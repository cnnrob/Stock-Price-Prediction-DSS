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onnor\Desktop\Git\Stock-Price-Prediction-DSS\"/>
    </mc:Choice>
  </mc:AlternateContent>
  <bookViews>
    <workbookView xWindow="0" yWindow="0" windowWidth="6825" windowHeight="4305" activeTab="10"/>
  </bookViews>
  <sheets>
    <sheet name="ADI" sheetId="480" r:id="rId1"/>
    <sheet name="ATVI" sheetId="481" r:id="rId2"/>
    <sheet name="AMZN" sheetId="482" r:id="rId3"/>
    <sheet name="BIDU" sheetId="483" r:id="rId4"/>
    <sheet name="BIIB" sheetId="484" r:id="rId5"/>
    <sheet name="COST" sheetId="485" r:id="rId6"/>
    <sheet name="MAT" sheetId="486" r:id="rId7"/>
    <sheet name="EBAY" sheetId="487" r:id="rId8"/>
    <sheet name="EXPE" sheetId="488" r:id="rId9"/>
    <sheet name="INTU" sheetId="489" r:id="rId10"/>
    <sheet name="Sheet1" sheetId="1" r:id="rId11"/>
  </sheets>
  <definedNames>
    <definedName name="solver_adj" localSheetId="0" hidden="1">ADI!$P$2:$U$7</definedName>
    <definedName name="solver_adj" localSheetId="2" hidden="1">AMZN!$P$2:$U$7</definedName>
    <definedName name="solver_adj" localSheetId="1" hidden="1">ATVI!$P$2:$U$7</definedName>
    <definedName name="solver_adj" localSheetId="3" hidden="1">BIDU!$P$2:$U$7</definedName>
    <definedName name="solver_adj" localSheetId="4" hidden="1">BIIB!$P$2:$U$7</definedName>
    <definedName name="solver_adj" localSheetId="5" hidden="1">COST!$P$2:$U$7</definedName>
    <definedName name="solver_adj" localSheetId="7" hidden="1">EBAY!$P$2:$U$7</definedName>
    <definedName name="solver_adj" localSheetId="8" hidden="1">EXPE!$P$2:$U$7</definedName>
    <definedName name="solver_adj" localSheetId="9" hidden="1">INTU!$P$2:$U$7</definedName>
    <definedName name="solver_adj" localSheetId="6" hidden="1">MAT!$P$2:$U$7</definedName>
    <definedName name="solver_adj" localSheetId="10" hidden="1">Sheet1!$H$2:$H$11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6" hidden="1">0.0001</definedName>
    <definedName name="solver_cvg" localSheetId="10" hidden="1">0.0001</definedName>
    <definedName name="solver_drv" localSheetId="0" hidden="1">2</definedName>
    <definedName name="solver_drv" localSheetId="2" hidden="1">2</definedName>
    <definedName name="solver_drv" localSheetId="1" hidden="1">2</definedName>
    <definedName name="solver_drv" localSheetId="3" hidden="1">2</definedName>
    <definedName name="solver_drv" localSheetId="4" hidden="1">2</definedName>
    <definedName name="solver_drv" localSheetId="5" hidden="1">2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6" hidden="1">2</definedName>
    <definedName name="solver_drv" localSheetId="10" hidden="1">1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6" hidden="1">1</definedName>
    <definedName name="solver_eng" localSheetId="10" hidden="1">1</definedName>
    <definedName name="solver_est" localSheetId="10" hidden="1">1</definedName>
    <definedName name="solver_itr" localSheetId="0" hidden="1">2147483647</definedName>
    <definedName name="solver_itr" localSheetId="2" hidden="1">2147483647</definedName>
    <definedName name="solver_itr" localSheetId="1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6" hidden="1">2147483647</definedName>
    <definedName name="solver_itr" localSheetId="10" hidden="1">2147483647</definedName>
    <definedName name="solver_lhs1" localSheetId="0" hidden="1">ADI!$P$2:$U$7</definedName>
    <definedName name="solver_lhs1" localSheetId="2" hidden="1">AMZN!$P$2:$U$7</definedName>
    <definedName name="solver_lhs1" localSheetId="1" hidden="1">ATVI!$P$2:$U$7</definedName>
    <definedName name="solver_lhs1" localSheetId="3" hidden="1">BIDU!$P$2:$U$7</definedName>
    <definedName name="solver_lhs1" localSheetId="4" hidden="1">BIIB!$P$2:$U$7</definedName>
    <definedName name="solver_lhs1" localSheetId="5" hidden="1">COST!$P$2:$U$7</definedName>
    <definedName name="solver_lhs1" localSheetId="7" hidden="1">EBAY!$P$2:$U$7</definedName>
    <definedName name="solver_lhs1" localSheetId="8" hidden="1">EXPE!$P$2:$U$7</definedName>
    <definedName name="solver_lhs1" localSheetId="9" hidden="1">INTU!$P$2:$U$7</definedName>
    <definedName name="solver_lhs1" localSheetId="6" hidden="1">MAT!$P$2:$U$7</definedName>
    <definedName name="solver_lhs1" localSheetId="10" hidden="1">Sheet1!$I$2:$I$11</definedName>
    <definedName name="solver_lhs2" localSheetId="10" hidden="1">Sheet1!$I$2:$I$11</definedName>
    <definedName name="solver_lhs3" localSheetId="10" hidden="1">Sheet1!$I$12</definedName>
    <definedName name="solver_lhs4" localSheetId="10" hidden="1">Sheet1!$H$2:$H$11</definedName>
    <definedName name="solver_mip" localSheetId="0" hidden="1">2147483647</definedName>
    <definedName name="solver_mip" localSheetId="2" hidden="1">2147483647</definedName>
    <definedName name="solver_mip" localSheetId="1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6" hidden="1">2147483647</definedName>
    <definedName name="solver_mip" localSheetId="10" hidden="1">2147483647</definedName>
    <definedName name="solver_mni" localSheetId="0" hidden="1">30</definedName>
    <definedName name="solver_mni" localSheetId="2" hidden="1">30</definedName>
    <definedName name="solver_mni" localSheetId="1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6" hidden="1">30</definedName>
    <definedName name="solver_mni" localSheetId="10" hidden="1">30</definedName>
    <definedName name="solver_mrt" localSheetId="0" hidden="1">0.075</definedName>
    <definedName name="solver_mrt" localSheetId="2" hidden="1">0.075</definedName>
    <definedName name="solver_mrt" localSheetId="1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6" hidden="1">0.075</definedName>
    <definedName name="solver_mrt" localSheetId="10" hidden="1">0.075</definedName>
    <definedName name="solver_msl" localSheetId="0" hidden="1">1</definedName>
    <definedName name="solver_msl" localSheetId="2" hidden="1">1</definedName>
    <definedName name="solver_msl" localSheetId="1" hidden="1">1</definedName>
    <definedName name="solver_msl" localSheetId="3" hidden="1">1</definedName>
    <definedName name="solver_msl" localSheetId="4" hidden="1">1</definedName>
    <definedName name="solver_msl" localSheetId="5" hidden="1">1</definedName>
    <definedName name="solver_msl" localSheetId="7" hidden="1">1</definedName>
    <definedName name="solver_msl" localSheetId="8" hidden="1">1</definedName>
    <definedName name="solver_msl" localSheetId="9" hidden="1">1</definedName>
    <definedName name="solver_msl" localSheetId="6" hidden="1">1</definedName>
    <definedName name="solver_msl" localSheetId="10" hidden="1">2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6" hidden="1">1</definedName>
    <definedName name="solver_neg" localSheetId="10" hidden="1">1</definedName>
    <definedName name="solver_nod" localSheetId="0" hidden="1">2147483647</definedName>
    <definedName name="solver_nod" localSheetId="2" hidden="1">2147483647</definedName>
    <definedName name="solver_nod" localSheetId="1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6" hidden="1">2147483647</definedName>
    <definedName name="solver_nod" localSheetId="10" hidden="1">2147483647</definedName>
    <definedName name="solver_num" localSheetId="0" hidden="1">0</definedName>
    <definedName name="solver_num" localSheetId="2" hidden="1">0</definedName>
    <definedName name="solver_num" localSheetId="1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6" hidden="1">0</definedName>
    <definedName name="solver_num" localSheetId="10" hidden="1">4</definedName>
    <definedName name="solver_nwt" localSheetId="10" hidden="1">1</definedName>
    <definedName name="solver_opt" localSheetId="0" hidden="1">ADI!$W$3</definedName>
    <definedName name="solver_opt" localSheetId="2" hidden="1">AMZN!$W$3</definedName>
    <definedName name="solver_opt" localSheetId="1" hidden="1">ATVI!$W$3</definedName>
    <definedName name="solver_opt" localSheetId="3" hidden="1">BIDU!$W$3</definedName>
    <definedName name="solver_opt" localSheetId="4" hidden="1">BIIB!$W$3</definedName>
    <definedName name="solver_opt" localSheetId="5" hidden="1">COST!$W$3</definedName>
    <definedName name="solver_opt" localSheetId="7" hidden="1">EBAY!$W$3</definedName>
    <definedName name="solver_opt" localSheetId="8" hidden="1">EXPE!$W$3</definedName>
    <definedName name="solver_opt" localSheetId="9" hidden="1">INTU!$W$3</definedName>
    <definedName name="solver_opt" localSheetId="6" hidden="1">MAT!$W$3</definedName>
    <definedName name="solver_opt" localSheetId="10" hidden="1">Sheet1!$J$12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6" hidden="1">0.000001</definedName>
    <definedName name="solver_pre" localSheetId="10" hidden="1">0.000001</definedName>
    <definedName name="solver_rbv" localSheetId="0" hidden="1">2</definedName>
    <definedName name="solver_rbv" localSheetId="2" hidden="1">2</definedName>
    <definedName name="solver_rbv" localSheetId="1" hidden="1">2</definedName>
    <definedName name="solver_rbv" localSheetId="3" hidden="1">2</definedName>
    <definedName name="solver_rbv" localSheetId="4" hidden="1">2</definedName>
    <definedName name="solver_rbv" localSheetId="5" hidden="1">2</definedName>
    <definedName name="solver_rbv" localSheetId="7" hidden="1">2</definedName>
    <definedName name="solver_rbv" localSheetId="8" hidden="1">2</definedName>
    <definedName name="solver_rbv" localSheetId="9" hidden="1">2</definedName>
    <definedName name="solver_rbv" localSheetId="6" hidden="1">2</definedName>
    <definedName name="solver_rbv" localSheetId="10" hidden="1">1</definedName>
    <definedName name="solver_rel1" localSheetId="0" hidden="1">3</definedName>
    <definedName name="solver_rel1" localSheetId="2" hidden="1">3</definedName>
    <definedName name="solver_rel1" localSheetId="1" hidden="1">3</definedName>
    <definedName name="solver_rel1" localSheetId="3" hidden="1">3</definedName>
    <definedName name="solver_rel1" localSheetId="4" hidden="1">3</definedName>
    <definedName name="solver_rel1" localSheetId="5" hidden="1">3</definedName>
    <definedName name="solver_rel1" localSheetId="7" hidden="1">3</definedName>
    <definedName name="solver_rel1" localSheetId="8" hidden="1">3</definedName>
    <definedName name="solver_rel1" localSheetId="9" hidden="1">3</definedName>
    <definedName name="solver_rel1" localSheetId="6" hidden="1">3</definedName>
    <definedName name="solver_rel1" localSheetId="10" hidden="1">1</definedName>
    <definedName name="solver_rel2" localSheetId="10" hidden="1">3</definedName>
    <definedName name="solver_rel3" localSheetId="10" hidden="1">1</definedName>
    <definedName name="solver_rel4" localSheetId="10" hidden="1">4</definedName>
    <definedName name="solver_rhs1" localSheetId="0" hidden="1">0.00000001</definedName>
    <definedName name="solver_rhs1" localSheetId="2" hidden="1">0.00000001</definedName>
    <definedName name="solver_rhs1" localSheetId="1" hidden="1">0.00000001</definedName>
    <definedName name="solver_rhs1" localSheetId="3" hidden="1">0.00000001</definedName>
    <definedName name="solver_rhs1" localSheetId="4" hidden="1">0.00000001</definedName>
    <definedName name="solver_rhs1" localSheetId="5" hidden="1">0.00000001</definedName>
    <definedName name="solver_rhs1" localSheetId="7" hidden="1">0.00000001</definedName>
    <definedName name="solver_rhs1" localSheetId="8" hidden="1">0.00000001</definedName>
    <definedName name="solver_rhs1" localSheetId="9" hidden="1">0.00000001</definedName>
    <definedName name="solver_rhs1" localSheetId="6" hidden="1">0.00000001</definedName>
    <definedName name="solver_rhs1" localSheetId="10" hidden="1">Sheet1!$G$2:$G$11</definedName>
    <definedName name="solver_rhs2" localSheetId="10" hidden="1">Sheet1!$F$2:$F$11</definedName>
    <definedName name="solver_rhs3" localSheetId="10" hidden="1">Sheet1!$H$12</definedName>
    <definedName name="solver_rhs4" localSheetId="10" hidden="1">integer</definedName>
    <definedName name="solver_rlx" localSheetId="0" hidden="1">2</definedName>
    <definedName name="solver_rlx" localSheetId="2" hidden="1">2</definedName>
    <definedName name="solver_rlx" localSheetId="1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6" hidden="1">2</definedName>
    <definedName name="solver_rlx" localSheetId="10" hidden="1">2</definedName>
    <definedName name="solver_rsd" localSheetId="0" hidden="1">0</definedName>
    <definedName name="solver_rsd" localSheetId="2" hidden="1">0</definedName>
    <definedName name="solver_rsd" localSheetId="1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6" hidden="1">0</definedName>
    <definedName name="solver_rsd" localSheetId="10" hidden="1">0</definedName>
    <definedName name="solver_scl" localSheetId="0" hidden="1">0</definedName>
    <definedName name="solver_scl" localSheetId="2" hidden="1">0</definedName>
    <definedName name="solver_scl" localSheetId="1" hidden="1">0</definedName>
    <definedName name="solver_scl" localSheetId="3" hidden="1">0</definedName>
    <definedName name="solver_scl" localSheetId="4" hidden="1">0</definedName>
    <definedName name="solver_scl" localSheetId="5" hidden="1">0</definedName>
    <definedName name="solver_scl" localSheetId="7" hidden="1">0</definedName>
    <definedName name="solver_scl" localSheetId="8" hidden="1">0</definedName>
    <definedName name="solver_scl" localSheetId="9" hidden="1">0</definedName>
    <definedName name="solver_scl" localSheetId="6" hidden="1">0</definedName>
    <definedName name="solver_scl" localSheetId="10" hidden="1">1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6" hidden="1">2</definedName>
    <definedName name="solver_sho" localSheetId="10" hidden="1">2</definedName>
    <definedName name="solver_ssz" localSheetId="0" hidden="1">100</definedName>
    <definedName name="solver_ssz" localSheetId="2" hidden="1">100</definedName>
    <definedName name="solver_ssz" localSheetId="1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6" hidden="1">100</definedName>
    <definedName name="solver_ssz" localSheetId="10" hidden="1">100</definedName>
    <definedName name="solver_tim" localSheetId="0" hidden="1">2147483647</definedName>
    <definedName name="solver_tim" localSheetId="2" hidden="1">2147483647</definedName>
    <definedName name="solver_tim" localSheetId="1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6" hidden="1">2147483647</definedName>
    <definedName name="solver_tim" localSheetId="10" hidden="1">60</definedName>
    <definedName name="solver_tol" localSheetId="0" hidden="1">0.01</definedName>
    <definedName name="solver_tol" localSheetId="2" hidden="1">0.01</definedName>
    <definedName name="solver_tol" localSheetId="1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6" hidden="1">0.01</definedName>
    <definedName name="solver_tol" localSheetId="10" hidden="1">0.01</definedName>
    <definedName name="solver_typ" localSheetId="0" hidden="1">2</definedName>
    <definedName name="solver_typ" localSheetId="2" hidden="1">2</definedName>
    <definedName name="solver_typ" localSheetId="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6" hidden="1">2</definedName>
    <definedName name="solver_typ" localSheetId="10" hidden="1">1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6" hidden="1">0</definedName>
    <definedName name="solver_val" localSheetId="10" hidden="1">0</definedName>
    <definedName name="solver_ver" localSheetId="0" hidden="1">3</definedName>
    <definedName name="solver_ver" localSheetId="2" hidden="1">3</definedName>
    <definedName name="solver_ver" localSheetId="1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6" hidden="1">3</definedName>
    <definedName name="solver_ver" localSheetId="10" hidden="1">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1" l="1"/>
  <c r="K247" i="489"/>
  <c r="H230" i="489"/>
  <c r="I84" i="489"/>
  <c r="J248" i="489"/>
  <c r="G164" i="489"/>
  <c r="G222" i="488"/>
  <c r="G224" i="488"/>
  <c r="H226" i="488"/>
  <c r="I57" i="488"/>
  <c r="J248" i="488"/>
  <c r="H247" i="488"/>
  <c r="K221" i="488"/>
  <c r="G213" i="487"/>
  <c r="G215" i="487"/>
  <c r="G217" i="487"/>
  <c r="G219" i="487"/>
  <c r="G221" i="487"/>
  <c r="G223" i="487"/>
  <c r="G225" i="487"/>
  <c r="G227" i="487"/>
  <c r="G236" i="487"/>
  <c r="G238" i="487"/>
  <c r="I248" i="487"/>
  <c r="H239" i="487"/>
  <c r="J235" i="487"/>
  <c r="H247" i="487"/>
  <c r="H235" i="487"/>
  <c r="K248" i="487"/>
  <c r="G239" i="487"/>
  <c r="K85" i="486"/>
  <c r="J232" i="486"/>
  <c r="J234" i="486"/>
  <c r="J236" i="486"/>
  <c r="J237" i="486"/>
  <c r="J238" i="486"/>
  <c r="J239" i="486"/>
  <c r="J240" i="486"/>
  <c r="J241" i="486"/>
  <c r="J242" i="486"/>
  <c r="J243" i="486"/>
  <c r="J244" i="486"/>
  <c r="J245" i="486"/>
  <c r="J246" i="486"/>
  <c r="J247" i="486"/>
  <c r="K248" i="486"/>
  <c r="J231" i="486"/>
  <c r="K247" i="486"/>
  <c r="K93" i="486"/>
  <c r="J235" i="486"/>
  <c r="J165" i="486"/>
  <c r="G231" i="485"/>
  <c r="K233" i="485"/>
  <c r="H248" i="485"/>
  <c r="I169" i="485"/>
  <c r="G247" i="485"/>
  <c r="H222" i="485"/>
  <c r="G92" i="485"/>
  <c r="J248" i="484"/>
  <c r="G247" i="484"/>
  <c r="H239" i="484"/>
  <c r="I246" i="484"/>
  <c r="H247" i="484"/>
  <c r="I212" i="484"/>
  <c r="K244" i="484"/>
  <c r="G210" i="484"/>
  <c r="G247" i="483"/>
  <c r="K247" i="483"/>
  <c r="H192" i="483"/>
  <c r="J217" i="483"/>
  <c r="K190" i="483"/>
  <c r="G217" i="483"/>
  <c r="K247" i="482"/>
  <c r="G237" i="482"/>
  <c r="K240" i="482"/>
  <c r="H210" i="482"/>
  <c r="I248" i="482"/>
  <c r="G219" i="482"/>
  <c r="G237" i="481"/>
  <c r="K236" i="481"/>
  <c r="J245" i="481"/>
  <c r="G218" i="481"/>
  <c r="I239" i="480"/>
  <c r="I240" i="480"/>
  <c r="I241" i="480"/>
  <c r="I242" i="480"/>
  <c r="I243" i="480"/>
  <c r="I244" i="480"/>
  <c r="I245" i="480"/>
  <c r="I246" i="480"/>
  <c r="I247" i="480"/>
  <c r="G215" i="480"/>
  <c r="I237" i="480"/>
  <c r="H248" i="480"/>
  <c r="K217" i="480"/>
  <c r="J3" i="489" l="1"/>
  <c r="J4" i="489"/>
  <c r="J5" i="489"/>
  <c r="J6" i="489"/>
  <c r="J7" i="489"/>
  <c r="J8" i="489"/>
  <c r="J9" i="489"/>
  <c r="J10" i="489"/>
  <c r="J11" i="489"/>
  <c r="J12" i="489"/>
  <c r="J13" i="489"/>
  <c r="J14" i="489"/>
  <c r="J15" i="489"/>
  <c r="J16" i="489"/>
  <c r="J17" i="489"/>
  <c r="J18" i="489"/>
  <c r="J19" i="489"/>
  <c r="J20" i="489"/>
  <c r="J21" i="489"/>
  <c r="J22" i="489"/>
  <c r="J23" i="489"/>
  <c r="J24" i="489"/>
  <c r="J25" i="489"/>
  <c r="J26" i="489"/>
  <c r="J27" i="489"/>
  <c r="J28" i="489"/>
  <c r="J29" i="489"/>
  <c r="J30" i="489"/>
  <c r="J31" i="489"/>
  <c r="J32" i="489"/>
  <c r="J33" i="489"/>
  <c r="J34" i="489"/>
  <c r="J35" i="489"/>
  <c r="J36" i="489"/>
  <c r="J37" i="489"/>
  <c r="J38" i="489"/>
  <c r="J39" i="489"/>
  <c r="J40" i="489"/>
  <c r="J41" i="489"/>
  <c r="J42" i="489"/>
  <c r="J43" i="489"/>
  <c r="J44" i="489"/>
  <c r="J2" i="489"/>
  <c r="J45" i="489"/>
  <c r="J46" i="489"/>
  <c r="J47" i="489"/>
  <c r="J48" i="489"/>
  <c r="J49" i="489"/>
  <c r="J50" i="489"/>
  <c r="J51" i="489"/>
  <c r="J52" i="489"/>
  <c r="J53" i="489"/>
  <c r="J54" i="489"/>
  <c r="J55" i="489"/>
  <c r="J56" i="489"/>
  <c r="J57" i="489"/>
  <c r="J58" i="489"/>
  <c r="J59" i="489"/>
  <c r="J60" i="489"/>
  <c r="J61" i="489"/>
  <c r="J62" i="489"/>
  <c r="J63" i="489"/>
  <c r="J64" i="489"/>
  <c r="J65" i="489"/>
  <c r="J66" i="489"/>
  <c r="J67" i="489"/>
  <c r="J68" i="489"/>
  <c r="J69" i="489"/>
  <c r="J70" i="489"/>
  <c r="J71" i="489"/>
  <c r="J72" i="489"/>
  <c r="J73" i="489"/>
  <c r="J74" i="489"/>
  <c r="J75" i="489"/>
  <c r="J76" i="489"/>
  <c r="J77" i="489"/>
  <c r="J78" i="489"/>
  <c r="J79" i="489"/>
  <c r="J80" i="489"/>
  <c r="J81" i="489"/>
  <c r="J82" i="489"/>
  <c r="J83" i="489"/>
  <c r="J84" i="489"/>
  <c r="J85" i="489"/>
  <c r="J86" i="489"/>
  <c r="J87" i="489"/>
  <c r="J88" i="489"/>
  <c r="J89" i="489"/>
  <c r="J90" i="489"/>
  <c r="J91" i="489"/>
  <c r="J92" i="489"/>
  <c r="J93" i="489"/>
  <c r="J94" i="489"/>
  <c r="J95" i="489"/>
  <c r="J96" i="489"/>
  <c r="J97" i="489"/>
  <c r="J98" i="489"/>
  <c r="J99" i="489"/>
  <c r="J100" i="489"/>
  <c r="J101" i="489"/>
  <c r="J102" i="489"/>
  <c r="J103" i="489"/>
  <c r="J104" i="489"/>
  <c r="J105" i="489"/>
  <c r="J106" i="489"/>
  <c r="J107" i="489"/>
  <c r="J108" i="489"/>
  <c r="J109" i="489"/>
  <c r="J110" i="489"/>
  <c r="J111" i="489"/>
  <c r="J112" i="489"/>
  <c r="J113" i="489"/>
  <c r="J114" i="489"/>
  <c r="J115" i="489"/>
  <c r="J116" i="489"/>
  <c r="J117" i="489"/>
  <c r="J118" i="489"/>
  <c r="J119" i="489"/>
  <c r="J120" i="489"/>
  <c r="J121" i="489"/>
  <c r="J122" i="489"/>
  <c r="J123" i="489"/>
  <c r="J124" i="489"/>
  <c r="J125" i="489"/>
  <c r="J126" i="489"/>
  <c r="J127" i="489"/>
  <c r="J128" i="489"/>
  <c r="J129" i="489"/>
  <c r="J130" i="489"/>
  <c r="J131" i="489"/>
  <c r="J132" i="489"/>
  <c r="J133" i="489"/>
  <c r="J134" i="489"/>
  <c r="J135" i="489"/>
  <c r="J136" i="489"/>
  <c r="J137" i="489"/>
  <c r="J138" i="489"/>
  <c r="J139" i="489"/>
  <c r="J140" i="489"/>
  <c r="J141" i="489"/>
  <c r="J142" i="489"/>
  <c r="J143" i="489"/>
  <c r="J144" i="489"/>
  <c r="J145" i="489"/>
  <c r="J146" i="489"/>
  <c r="J147" i="489"/>
  <c r="J148" i="489"/>
  <c r="J149" i="489"/>
  <c r="J150" i="489"/>
  <c r="J151" i="489"/>
  <c r="J152" i="489"/>
  <c r="J153" i="489"/>
  <c r="J154" i="489"/>
  <c r="J155" i="489"/>
  <c r="J156" i="489"/>
  <c r="J157" i="489"/>
  <c r="J158" i="489"/>
  <c r="J159" i="489"/>
  <c r="J160" i="489"/>
  <c r="J161" i="489"/>
  <c r="J162" i="489"/>
  <c r="J163" i="489"/>
  <c r="J164" i="489"/>
  <c r="J165" i="489"/>
  <c r="J166" i="489"/>
  <c r="J167" i="489"/>
  <c r="J168" i="489"/>
  <c r="J169" i="489"/>
  <c r="J170" i="489"/>
  <c r="J171" i="489"/>
  <c r="J172" i="489"/>
  <c r="J173" i="489"/>
  <c r="J174" i="489"/>
  <c r="J175" i="489"/>
  <c r="J176" i="489"/>
  <c r="J177" i="489"/>
  <c r="J178" i="489"/>
  <c r="J179" i="489"/>
  <c r="J180" i="489"/>
  <c r="J181" i="489"/>
  <c r="J182" i="489"/>
  <c r="J183" i="489"/>
  <c r="J184" i="489"/>
  <c r="J185" i="489"/>
  <c r="J186" i="489"/>
  <c r="J187" i="489"/>
  <c r="J188" i="489"/>
  <c r="J189" i="489"/>
  <c r="J190" i="489"/>
  <c r="J191" i="489"/>
  <c r="J192" i="489"/>
  <c r="J193" i="489"/>
  <c r="J194" i="489"/>
  <c r="J195" i="489"/>
  <c r="J196" i="489"/>
  <c r="J197" i="489"/>
  <c r="J198" i="489"/>
  <c r="J199" i="489"/>
  <c r="J200" i="489"/>
  <c r="J201" i="489"/>
  <c r="J202" i="489"/>
  <c r="J203" i="489"/>
  <c r="J204" i="489"/>
  <c r="J205" i="489"/>
  <c r="J206" i="489"/>
  <c r="J207" i="489"/>
  <c r="J208" i="489"/>
  <c r="J209" i="489"/>
  <c r="J210" i="489"/>
  <c r="J211" i="489"/>
  <c r="J212" i="489"/>
  <c r="J213" i="489"/>
  <c r="J214" i="489"/>
  <c r="J215" i="489"/>
  <c r="J216" i="489"/>
  <c r="J217" i="489"/>
  <c r="J218" i="489"/>
  <c r="J219" i="489"/>
  <c r="J220" i="489"/>
  <c r="J221" i="489"/>
  <c r="J222" i="489"/>
  <c r="J223" i="489"/>
  <c r="J224" i="489"/>
  <c r="J225" i="489"/>
  <c r="J226" i="489"/>
  <c r="J227" i="489"/>
  <c r="J228" i="489"/>
  <c r="J229" i="489"/>
  <c r="J230" i="489"/>
  <c r="J231" i="489"/>
  <c r="J232" i="489"/>
  <c r="J233" i="489"/>
  <c r="J234" i="489"/>
  <c r="J235" i="489"/>
  <c r="J236" i="489"/>
  <c r="J237" i="489"/>
  <c r="J238" i="489"/>
  <c r="J239" i="489"/>
  <c r="J240" i="489"/>
  <c r="J241" i="489"/>
  <c r="J242" i="489"/>
  <c r="J243" i="489"/>
  <c r="J244" i="489"/>
  <c r="J245" i="489"/>
  <c r="J246" i="489"/>
  <c r="J247" i="489"/>
  <c r="K240" i="489"/>
  <c r="K241" i="489"/>
  <c r="K243" i="489"/>
  <c r="K244" i="489"/>
  <c r="K246" i="489"/>
  <c r="K242" i="489"/>
  <c r="K245" i="489"/>
  <c r="G243" i="489"/>
  <c r="G245" i="489"/>
  <c r="G242" i="489"/>
  <c r="G244" i="489"/>
  <c r="G246" i="489"/>
  <c r="G240" i="489"/>
  <c r="G241" i="489"/>
  <c r="G247" i="489"/>
  <c r="K2" i="489"/>
  <c r="K3" i="489"/>
  <c r="K4" i="489"/>
  <c r="K5" i="489"/>
  <c r="K6" i="489"/>
  <c r="K7" i="489"/>
  <c r="K8" i="489"/>
  <c r="K9" i="489"/>
  <c r="K10" i="489"/>
  <c r="K11" i="489"/>
  <c r="K12" i="489"/>
  <c r="K13" i="489"/>
  <c r="K14" i="489"/>
  <c r="K15" i="489"/>
  <c r="K16" i="489"/>
  <c r="K17" i="489"/>
  <c r="K18" i="489"/>
  <c r="K19" i="489"/>
  <c r="K20" i="489"/>
  <c r="K21" i="489"/>
  <c r="K22" i="489"/>
  <c r="K23" i="489"/>
  <c r="K24" i="489"/>
  <c r="K25" i="489"/>
  <c r="K26" i="489"/>
  <c r="K27" i="489"/>
  <c r="K28" i="489"/>
  <c r="K29" i="489"/>
  <c r="K30" i="489"/>
  <c r="K31" i="489"/>
  <c r="K32" i="489"/>
  <c r="K33" i="489"/>
  <c r="K34" i="489"/>
  <c r="K35" i="489"/>
  <c r="K36" i="489"/>
  <c r="K37" i="489"/>
  <c r="K38" i="489"/>
  <c r="K39" i="489"/>
  <c r="K40" i="489"/>
  <c r="K41" i="489"/>
  <c r="K43" i="489"/>
  <c r="K45" i="489"/>
  <c r="K47" i="489"/>
  <c r="K49" i="489"/>
  <c r="K51" i="489"/>
  <c r="K53" i="489"/>
  <c r="K55" i="489"/>
  <c r="K57" i="489"/>
  <c r="K59" i="489"/>
  <c r="K61" i="489"/>
  <c r="K63" i="489"/>
  <c r="K65" i="489"/>
  <c r="K67" i="489"/>
  <c r="K69" i="489"/>
  <c r="K71" i="489"/>
  <c r="K72" i="489"/>
  <c r="K73" i="489"/>
  <c r="K74" i="489"/>
  <c r="K75" i="489"/>
  <c r="K76" i="489"/>
  <c r="K77" i="489"/>
  <c r="K78" i="489"/>
  <c r="K79" i="489"/>
  <c r="K80" i="489"/>
  <c r="K81" i="489"/>
  <c r="K82" i="489"/>
  <c r="K83" i="489"/>
  <c r="K84" i="489"/>
  <c r="K85" i="489"/>
  <c r="K86" i="489"/>
  <c r="K87" i="489"/>
  <c r="K88" i="489"/>
  <c r="K89" i="489"/>
  <c r="K90" i="489"/>
  <c r="K44" i="489"/>
  <c r="K46" i="489"/>
  <c r="K48" i="489"/>
  <c r="K50" i="489"/>
  <c r="K52" i="489"/>
  <c r="K54" i="489"/>
  <c r="K56" i="489"/>
  <c r="K58" i="489"/>
  <c r="K60" i="489"/>
  <c r="K62" i="489"/>
  <c r="K64" i="489"/>
  <c r="K66" i="489"/>
  <c r="K68" i="489"/>
  <c r="K70" i="489"/>
  <c r="K103" i="489"/>
  <c r="K104" i="489"/>
  <c r="K105" i="489"/>
  <c r="K106" i="489"/>
  <c r="K107" i="489"/>
  <c r="K108" i="489"/>
  <c r="K109" i="489"/>
  <c r="K110" i="489"/>
  <c r="K111" i="489"/>
  <c r="K112" i="489"/>
  <c r="K113" i="489"/>
  <c r="K114" i="489"/>
  <c r="K115" i="489"/>
  <c r="K116" i="489"/>
  <c r="K117" i="489"/>
  <c r="K118" i="489"/>
  <c r="K119" i="489"/>
  <c r="K120" i="489"/>
  <c r="K121" i="489"/>
  <c r="K122" i="489"/>
  <c r="K123" i="489"/>
  <c r="K124" i="489"/>
  <c r="K125" i="489"/>
  <c r="K126" i="489"/>
  <c r="K127" i="489"/>
  <c r="K128" i="489"/>
  <c r="K129" i="489"/>
  <c r="K130" i="489"/>
  <c r="K131" i="489"/>
  <c r="K132" i="489"/>
  <c r="K133" i="489"/>
  <c r="K134" i="489"/>
  <c r="K135" i="489"/>
  <c r="K136" i="489"/>
  <c r="K137" i="489"/>
  <c r="K138" i="489"/>
  <c r="K139" i="489"/>
  <c r="K140" i="489"/>
  <c r="K141" i="489"/>
  <c r="K142" i="489"/>
  <c r="K143" i="489"/>
  <c r="K144" i="489"/>
  <c r="K145" i="489"/>
  <c r="K146" i="489"/>
  <c r="K147" i="489"/>
  <c r="K148" i="489"/>
  <c r="K149" i="489"/>
  <c r="K150" i="489"/>
  <c r="K151" i="489"/>
  <c r="K152" i="489"/>
  <c r="K153" i="489"/>
  <c r="K154" i="489"/>
  <c r="K155" i="489"/>
  <c r="K156" i="489"/>
  <c r="K157" i="489"/>
  <c r="K158" i="489"/>
  <c r="K159" i="489"/>
  <c r="K42" i="489"/>
  <c r="K91" i="489"/>
  <c r="K92" i="489"/>
  <c r="K93" i="489"/>
  <c r="K94" i="489"/>
  <c r="K95" i="489"/>
  <c r="K96" i="489"/>
  <c r="K97" i="489"/>
  <c r="K98" i="489"/>
  <c r="K99" i="489"/>
  <c r="K100" i="489"/>
  <c r="K101" i="489"/>
  <c r="K102" i="489"/>
  <c r="K161" i="489"/>
  <c r="K163" i="489"/>
  <c r="K165" i="489"/>
  <c r="K167" i="489"/>
  <c r="K169" i="489"/>
  <c r="K171" i="489"/>
  <c r="K173" i="489"/>
  <c r="K160" i="489"/>
  <c r="K162" i="489"/>
  <c r="K164" i="489"/>
  <c r="K166" i="489"/>
  <c r="K168" i="489"/>
  <c r="K170" i="489"/>
  <c r="K172" i="489"/>
  <c r="I248" i="489"/>
  <c r="H247" i="489"/>
  <c r="H246" i="489"/>
  <c r="H245" i="489"/>
  <c r="H244" i="489"/>
  <c r="H243" i="489"/>
  <c r="H242" i="489"/>
  <c r="H241" i="489"/>
  <c r="H240" i="489"/>
  <c r="H239" i="489"/>
  <c r="H238" i="489"/>
  <c r="H237" i="489"/>
  <c r="H236" i="489"/>
  <c r="H235" i="489"/>
  <c r="H234" i="489"/>
  <c r="H233" i="489"/>
  <c r="H232" i="489"/>
  <c r="H231" i="489"/>
  <c r="I229" i="489"/>
  <c r="I228" i="489"/>
  <c r="I227" i="489"/>
  <c r="I226" i="489"/>
  <c r="G225" i="489"/>
  <c r="G223" i="489"/>
  <c r="G221" i="489"/>
  <c r="G219" i="489"/>
  <c r="G217" i="489"/>
  <c r="G215" i="489"/>
  <c r="G213" i="489"/>
  <c r="G211" i="489"/>
  <c r="G209" i="489"/>
  <c r="G207" i="489"/>
  <c r="G205" i="489"/>
  <c r="G203" i="489"/>
  <c r="G201" i="489"/>
  <c r="G199" i="489"/>
  <c r="G197" i="489"/>
  <c r="G195" i="489"/>
  <c r="G193" i="489"/>
  <c r="G191" i="489"/>
  <c r="G189" i="489"/>
  <c r="G187" i="489"/>
  <c r="G185" i="489"/>
  <c r="G183" i="489"/>
  <c r="G181" i="489"/>
  <c r="G179" i="489"/>
  <c r="G177" i="489"/>
  <c r="G175" i="489"/>
  <c r="G170" i="489"/>
  <c r="I167" i="489"/>
  <c r="G162" i="489"/>
  <c r="I153" i="489"/>
  <c r="I145" i="489"/>
  <c r="I137" i="489"/>
  <c r="I129" i="489"/>
  <c r="I121" i="489"/>
  <c r="I113" i="489"/>
  <c r="I105" i="489"/>
  <c r="K239" i="489"/>
  <c r="G239" i="489"/>
  <c r="K238" i="489"/>
  <c r="G238" i="489"/>
  <c r="K237" i="489"/>
  <c r="G237" i="489"/>
  <c r="K236" i="489"/>
  <c r="G236" i="489"/>
  <c r="K235" i="489"/>
  <c r="G235" i="489"/>
  <c r="K234" i="489"/>
  <c r="G234" i="489"/>
  <c r="K233" i="489"/>
  <c r="G233" i="489"/>
  <c r="K232" i="489"/>
  <c r="G232" i="489"/>
  <c r="K231" i="489"/>
  <c r="G231" i="489"/>
  <c r="K230" i="489"/>
  <c r="G230" i="489"/>
  <c r="G229" i="489"/>
  <c r="G228" i="489"/>
  <c r="G227" i="489"/>
  <c r="G226" i="489"/>
  <c r="K224" i="489"/>
  <c r="K222" i="489"/>
  <c r="K220" i="489"/>
  <c r="K218" i="489"/>
  <c r="K216" i="489"/>
  <c r="K214" i="489"/>
  <c r="K212" i="489"/>
  <c r="K210" i="489"/>
  <c r="K208" i="489"/>
  <c r="K206" i="489"/>
  <c r="K204" i="489"/>
  <c r="K202" i="489"/>
  <c r="K200" i="489"/>
  <c r="K198" i="489"/>
  <c r="K196" i="489"/>
  <c r="K194" i="489"/>
  <c r="K192" i="489"/>
  <c r="K190" i="489"/>
  <c r="K188" i="489"/>
  <c r="K186" i="489"/>
  <c r="K184" i="489"/>
  <c r="K182" i="489"/>
  <c r="K180" i="489"/>
  <c r="K178" i="489"/>
  <c r="K176" i="489"/>
  <c r="K174" i="489"/>
  <c r="G172" i="489"/>
  <c r="I169" i="489"/>
  <c r="I161" i="489"/>
  <c r="I151" i="489"/>
  <c r="I143" i="489"/>
  <c r="I135" i="489"/>
  <c r="I127" i="489"/>
  <c r="I119" i="489"/>
  <c r="I111" i="489"/>
  <c r="I103" i="489"/>
  <c r="G2" i="489"/>
  <c r="G3" i="489"/>
  <c r="G4" i="489"/>
  <c r="G5" i="489"/>
  <c r="G6" i="489"/>
  <c r="G7" i="489"/>
  <c r="G8" i="489"/>
  <c r="G9" i="489"/>
  <c r="G10" i="489"/>
  <c r="G11" i="489"/>
  <c r="G12" i="489"/>
  <c r="G13" i="489"/>
  <c r="G14" i="489"/>
  <c r="G15" i="489"/>
  <c r="G16" i="489"/>
  <c r="G17" i="489"/>
  <c r="G18" i="489"/>
  <c r="G19" i="489"/>
  <c r="G20" i="489"/>
  <c r="G21" i="489"/>
  <c r="G22" i="489"/>
  <c r="G23" i="489"/>
  <c r="G24" i="489"/>
  <c r="G25" i="489"/>
  <c r="G26" i="489"/>
  <c r="G27" i="489"/>
  <c r="G42" i="489"/>
  <c r="G44" i="489"/>
  <c r="G43" i="489"/>
  <c r="G28" i="489"/>
  <c r="G32" i="489"/>
  <c r="G36" i="489"/>
  <c r="G40" i="489"/>
  <c r="G29" i="489"/>
  <c r="G33" i="489"/>
  <c r="G37" i="489"/>
  <c r="G41" i="489"/>
  <c r="G46" i="489"/>
  <c r="G48" i="489"/>
  <c r="G50" i="489"/>
  <c r="G52" i="489"/>
  <c r="G54" i="489"/>
  <c r="G56" i="489"/>
  <c r="G58" i="489"/>
  <c r="G60" i="489"/>
  <c r="G62" i="489"/>
  <c r="G64" i="489"/>
  <c r="G66" i="489"/>
  <c r="G68" i="489"/>
  <c r="G70" i="489"/>
  <c r="G72" i="489"/>
  <c r="G73" i="489"/>
  <c r="G74" i="489"/>
  <c r="G75" i="489"/>
  <c r="G76" i="489"/>
  <c r="G77" i="489"/>
  <c r="G78" i="489"/>
  <c r="G79" i="489"/>
  <c r="G80" i="489"/>
  <c r="G81" i="489"/>
  <c r="G82" i="489"/>
  <c r="G83" i="489"/>
  <c r="G84" i="489"/>
  <c r="G85" i="489"/>
  <c r="G86" i="489"/>
  <c r="G87" i="489"/>
  <c r="G88" i="489"/>
  <c r="G89" i="489"/>
  <c r="G90" i="489"/>
  <c r="G91" i="489"/>
  <c r="G30" i="489"/>
  <c r="G34" i="489"/>
  <c r="G38" i="489"/>
  <c r="G71" i="489"/>
  <c r="G35" i="489"/>
  <c r="G47" i="489"/>
  <c r="G55" i="489"/>
  <c r="G63" i="489"/>
  <c r="G92" i="489"/>
  <c r="G93" i="489"/>
  <c r="G94" i="489"/>
  <c r="G95" i="489"/>
  <c r="G96" i="489"/>
  <c r="G97" i="489"/>
  <c r="G98" i="489"/>
  <c r="G99" i="489"/>
  <c r="G100" i="489"/>
  <c r="G101" i="489"/>
  <c r="G102" i="489"/>
  <c r="G39" i="489"/>
  <c r="G49" i="489"/>
  <c r="G57" i="489"/>
  <c r="G65" i="489"/>
  <c r="G103" i="489"/>
  <c r="G104" i="489"/>
  <c r="G105" i="489"/>
  <c r="G106" i="489"/>
  <c r="G107" i="489"/>
  <c r="G108" i="489"/>
  <c r="G109" i="489"/>
  <c r="G110" i="489"/>
  <c r="G111" i="489"/>
  <c r="G112" i="489"/>
  <c r="G113" i="489"/>
  <c r="G114" i="489"/>
  <c r="G115" i="489"/>
  <c r="G116" i="489"/>
  <c r="G117" i="489"/>
  <c r="G118" i="489"/>
  <c r="G119" i="489"/>
  <c r="G120" i="489"/>
  <c r="G121" i="489"/>
  <c r="G122" i="489"/>
  <c r="G123" i="489"/>
  <c r="G124" i="489"/>
  <c r="G125" i="489"/>
  <c r="G126" i="489"/>
  <c r="G127" i="489"/>
  <c r="G128" i="489"/>
  <c r="G129" i="489"/>
  <c r="G130" i="489"/>
  <c r="G131" i="489"/>
  <c r="G132" i="489"/>
  <c r="G133" i="489"/>
  <c r="G134" i="489"/>
  <c r="G135" i="489"/>
  <c r="G136" i="489"/>
  <c r="G137" i="489"/>
  <c r="G138" i="489"/>
  <c r="G139" i="489"/>
  <c r="G140" i="489"/>
  <c r="G141" i="489"/>
  <c r="G142" i="489"/>
  <c r="G143" i="489"/>
  <c r="G144" i="489"/>
  <c r="G145" i="489"/>
  <c r="G146" i="489"/>
  <c r="G147" i="489"/>
  <c r="G148" i="489"/>
  <c r="G149" i="489"/>
  <c r="G150" i="489"/>
  <c r="G151" i="489"/>
  <c r="G152" i="489"/>
  <c r="G153" i="489"/>
  <c r="G154" i="489"/>
  <c r="G155" i="489"/>
  <c r="G156" i="489"/>
  <c r="G157" i="489"/>
  <c r="G158" i="489"/>
  <c r="G159" i="489"/>
  <c r="G160" i="489"/>
  <c r="G51" i="489"/>
  <c r="G59" i="489"/>
  <c r="G67" i="489"/>
  <c r="G31" i="489"/>
  <c r="G69" i="489"/>
  <c r="G45" i="489"/>
  <c r="G161" i="489"/>
  <c r="G163" i="489"/>
  <c r="G165" i="489"/>
  <c r="G167" i="489"/>
  <c r="G169" i="489"/>
  <c r="G171" i="489"/>
  <c r="G173" i="489"/>
  <c r="G53" i="489"/>
  <c r="I3" i="489"/>
  <c r="I4" i="489"/>
  <c r="I5" i="489"/>
  <c r="I6" i="489"/>
  <c r="I7" i="489"/>
  <c r="I8" i="489"/>
  <c r="I9" i="489"/>
  <c r="I10" i="489"/>
  <c r="I11" i="489"/>
  <c r="I12" i="489"/>
  <c r="I13" i="489"/>
  <c r="I14" i="489"/>
  <c r="I15" i="489"/>
  <c r="I16" i="489"/>
  <c r="I17" i="489"/>
  <c r="I18" i="489"/>
  <c r="I19" i="489"/>
  <c r="I20" i="489"/>
  <c r="I21" i="489"/>
  <c r="I22" i="489"/>
  <c r="I23" i="489"/>
  <c r="I24" i="489"/>
  <c r="I25" i="489"/>
  <c r="I26" i="489"/>
  <c r="I27" i="489"/>
  <c r="I28" i="489"/>
  <c r="I29" i="489"/>
  <c r="I30" i="489"/>
  <c r="I31" i="489"/>
  <c r="I32" i="489"/>
  <c r="I33" i="489"/>
  <c r="I34" i="489"/>
  <c r="I35" i="489"/>
  <c r="I36" i="489"/>
  <c r="I37" i="489"/>
  <c r="I38" i="489"/>
  <c r="I39" i="489"/>
  <c r="I40" i="489"/>
  <c r="I41" i="489"/>
  <c r="I2" i="489"/>
  <c r="I43" i="489"/>
  <c r="I45" i="489"/>
  <c r="I46" i="489"/>
  <c r="I47" i="489"/>
  <c r="I48" i="489"/>
  <c r="I49" i="489"/>
  <c r="I50" i="489"/>
  <c r="I51" i="489"/>
  <c r="I52" i="489"/>
  <c r="I53" i="489"/>
  <c r="I54" i="489"/>
  <c r="I55" i="489"/>
  <c r="I56" i="489"/>
  <c r="I57" i="489"/>
  <c r="I58" i="489"/>
  <c r="I59" i="489"/>
  <c r="I60" i="489"/>
  <c r="I61" i="489"/>
  <c r="I62" i="489"/>
  <c r="I63" i="489"/>
  <c r="I64" i="489"/>
  <c r="I65" i="489"/>
  <c r="I66" i="489"/>
  <c r="I67" i="489"/>
  <c r="I68" i="489"/>
  <c r="I69" i="489"/>
  <c r="I42" i="489"/>
  <c r="I44" i="489"/>
  <c r="I71" i="489"/>
  <c r="I70" i="489"/>
  <c r="I73" i="489"/>
  <c r="I75" i="489"/>
  <c r="I77" i="489"/>
  <c r="I79" i="489"/>
  <c r="I81" i="489"/>
  <c r="I83" i="489"/>
  <c r="I85" i="489"/>
  <c r="I87" i="489"/>
  <c r="I89" i="489"/>
  <c r="I91" i="489"/>
  <c r="I92" i="489"/>
  <c r="I93" i="489"/>
  <c r="I94" i="489"/>
  <c r="I95" i="489"/>
  <c r="I96" i="489"/>
  <c r="I97" i="489"/>
  <c r="I98" i="489"/>
  <c r="I99" i="489"/>
  <c r="I100" i="489"/>
  <c r="I101" i="489"/>
  <c r="I102" i="489"/>
  <c r="I78" i="489"/>
  <c r="I86" i="489"/>
  <c r="I72" i="489"/>
  <c r="I80" i="489"/>
  <c r="I88" i="489"/>
  <c r="I104" i="489"/>
  <c r="I106" i="489"/>
  <c r="I108" i="489"/>
  <c r="I110" i="489"/>
  <c r="I112" i="489"/>
  <c r="I114" i="489"/>
  <c r="I116" i="489"/>
  <c r="I118" i="489"/>
  <c r="I120" i="489"/>
  <c r="I122" i="489"/>
  <c r="I124" i="489"/>
  <c r="I126" i="489"/>
  <c r="I128" i="489"/>
  <c r="I130" i="489"/>
  <c r="I132" i="489"/>
  <c r="I134" i="489"/>
  <c r="I136" i="489"/>
  <c r="I138" i="489"/>
  <c r="I140" i="489"/>
  <c r="I142" i="489"/>
  <c r="I144" i="489"/>
  <c r="I146" i="489"/>
  <c r="I148" i="489"/>
  <c r="I150" i="489"/>
  <c r="I152" i="489"/>
  <c r="I154" i="489"/>
  <c r="I156" i="489"/>
  <c r="I157" i="489"/>
  <c r="I158" i="489"/>
  <c r="I159" i="489"/>
  <c r="I160" i="489"/>
  <c r="I162" i="489"/>
  <c r="I164" i="489"/>
  <c r="I166" i="489"/>
  <c r="I168" i="489"/>
  <c r="I170" i="489"/>
  <c r="I172" i="489"/>
  <c r="I174" i="489"/>
  <c r="I175" i="489"/>
  <c r="I176" i="489"/>
  <c r="I177" i="489"/>
  <c r="I178" i="489"/>
  <c r="I179" i="489"/>
  <c r="I180" i="489"/>
  <c r="I181" i="489"/>
  <c r="I182" i="489"/>
  <c r="I183" i="489"/>
  <c r="I184" i="489"/>
  <c r="I185" i="489"/>
  <c r="I186" i="489"/>
  <c r="I187" i="489"/>
  <c r="I188" i="489"/>
  <c r="I189" i="489"/>
  <c r="I190" i="489"/>
  <c r="I191" i="489"/>
  <c r="I192" i="489"/>
  <c r="I193" i="489"/>
  <c r="I194" i="489"/>
  <c r="I195" i="489"/>
  <c r="I196" i="489"/>
  <c r="I197" i="489"/>
  <c r="I198" i="489"/>
  <c r="I199" i="489"/>
  <c r="I200" i="489"/>
  <c r="I201" i="489"/>
  <c r="I202" i="489"/>
  <c r="I203" i="489"/>
  <c r="I204" i="489"/>
  <c r="I205" i="489"/>
  <c r="I206" i="489"/>
  <c r="I207" i="489"/>
  <c r="I208" i="489"/>
  <c r="I209" i="489"/>
  <c r="I210" i="489"/>
  <c r="I211" i="489"/>
  <c r="I212" i="489"/>
  <c r="I213" i="489"/>
  <c r="I214" i="489"/>
  <c r="I215" i="489"/>
  <c r="I216" i="489"/>
  <c r="I217" i="489"/>
  <c r="I218" i="489"/>
  <c r="I219" i="489"/>
  <c r="I220" i="489"/>
  <c r="I221" i="489"/>
  <c r="I222" i="489"/>
  <c r="I223" i="489"/>
  <c r="I224" i="489"/>
  <c r="I225" i="489"/>
  <c r="I74" i="489"/>
  <c r="I82" i="489"/>
  <c r="I90" i="489"/>
  <c r="G248" i="489"/>
  <c r="K248" i="489"/>
  <c r="G224" i="489"/>
  <c r="G222" i="489"/>
  <c r="G220" i="489"/>
  <c r="G218" i="489"/>
  <c r="G216" i="489"/>
  <c r="G214" i="489"/>
  <c r="G212" i="489"/>
  <c r="G210" i="489"/>
  <c r="G208" i="489"/>
  <c r="G206" i="489"/>
  <c r="G204" i="489"/>
  <c r="G202" i="489"/>
  <c r="G200" i="489"/>
  <c r="G198" i="489"/>
  <c r="G196" i="489"/>
  <c r="G194" i="489"/>
  <c r="G192" i="489"/>
  <c r="G190" i="489"/>
  <c r="G188" i="489"/>
  <c r="G186" i="489"/>
  <c r="G184" i="489"/>
  <c r="G182" i="489"/>
  <c r="G180" i="489"/>
  <c r="G178" i="489"/>
  <c r="G176" i="489"/>
  <c r="G174" i="489"/>
  <c r="I171" i="489"/>
  <c r="G166" i="489"/>
  <c r="I163" i="489"/>
  <c r="I149" i="489"/>
  <c r="I141" i="489"/>
  <c r="I133" i="489"/>
  <c r="I125" i="489"/>
  <c r="I117" i="489"/>
  <c r="I109" i="489"/>
  <c r="I76" i="489"/>
  <c r="H2" i="489"/>
  <c r="H28" i="489"/>
  <c r="H29" i="489"/>
  <c r="H30" i="489"/>
  <c r="H31" i="489"/>
  <c r="H32" i="489"/>
  <c r="H33" i="489"/>
  <c r="H34" i="489"/>
  <c r="H35" i="489"/>
  <c r="H36" i="489"/>
  <c r="H37" i="489"/>
  <c r="H38" i="489"/>
  <c r="H39" i="489"/>
  <c r="H40" i="489"/>
  <c r="H41" i="489"/>
  <c r="H45" i="489"/>
  <c r="H46" i="489"/>
  <c r="H47" i="489"/>
  <c r="H48" i="489"/>
  <c r="H49" i="489"/>
  <c r="H50" i="489"/>
  <c r="H51" i="489"/>
  <c r="H52" i="489"/>
  <c r="H53" i="489"/>
  <c r="H54" i="489"/>
  <c r="H55" i="489"/>
  <c r="H56" i="489"/>
  <c r="H57" i="489"/>
  <c r="H58" i="489"/>
  <c r="H59" i="489"/>
  <c r="H60" i="489"/>
  <c r="H61" i="489"/>
  <c r="H62" i="489"/>
  <c r="H63" i="489"/>
  <c r="H64" i="489"/>
  <c r="H65" i="489"/>
  <c r="H66" i="489"/>
  <c r="H67" i="489"/>
  <c r="H68" i="489"/>
  <c r="H69" i="489"/>
  <c r="H70" i="489"/>
  <c r="H3" i="489"/>
  <c r="H5" i="489"/>
  <c r="H7" i="489"/>
  <c r="H9" i="489"/>
  <c r="H11" i="489"/>
  <c r="H13" i="489"/>
  <c r="H15" i="489"/>
  <c r="H17" i="489"/>
  <c r="H19" i="489"/>
  <c r="H21" i="489"/>
  <c r="H23" i="489"/>
  <c r="H25" i="489"/>
  <c r="H27" i="489"/>
  <c r="H42" i="489"/>
  <c r="H44" i="489"/>
  <c r="H4" i="489"/>
  <c r="H12" i="489"/>
  <c r="H20" i="489"/>
  <c r="H43" i="489"/>
  <c r="H6" i="489"/>
  <c r="H14" i="489"/>
  <c r="H22" i="489"/>
  <c r="H8" i="489"/>
  <c r="H16" i="489"/>
  <c r="H24" i="489"/>
  <c r="H72" i="489"/>
  <c r="H73" i="489"/>
  <c r="H74" i="489"/>
  <c r="H75" i="489"/>
  <c r="H76" i="489"/>
  <c r="H77" i="489"/>
  <c r="H78" i="489"/>
  <c r="H79" i="489"/>
  <c r="H80" i="489"/>
  <c r="H81" i="489"/>
  <c r="H82" i="489"/>
  <c r="H83" i="489"/>
  <c r="H84" i="489"/>
  <c r="H85" i="489"/>
  <c r="H86" i="489"/>
  <c r="H87" i="489"/>
  <c r="H88" i="489"/>
  <c r="H89" i="489"/>
  <c r="H90" i="489"/>
  <c r="H91" i="489"/>
  <c r="H92" i="489"/>
  <c r="H93" i="489"/>
  <c r="H94" i="489"/>
  <c r="H95" i="489"/>
  <c r="H96" i="489"/>
  <c r="H97" i="489"/>
  <c r="H98" i="489"/>
  <c r="H99" i="489"/>
  <c r="H100" i="489"/>
  <c r="H101" i="489"/>
  <c r="H102" i="489"/>
  <c r="H10" i="489"/>
  <c r="H18" i="489"/>
  <c r="H71" i="489"/>
  <c r="H26" i="489"/>
  <c r="H103" i="489"/>
  <c r="H104" i="489"/>
  <c r="H105" i="489"/>
  <c r="H106" i="489"/>
  <c r="H107" i="489"/>
  <c r="H108" i="489"/>
  <c r="H109" i="489"/>
  <c r="H110" i="489"/>
  <c r="H111" i="489"/>
  <c r="H112" i="489"/>
  <c r="H113" i="489"/>
  <c r="H114" i="489"/>
  <c r="H115" i="489"/>
  <c r="H116" i="489"/>
  <c r="H117" i="489"/>
  <c r="H118" i="489"/>
  <c r="H119" i="489"/>
  <c r="H120" i="489"/>
  <c r="H121" i="489"/>
  <c r="H122" i="489"/>
  <c r="H123" i="489"/>
  <c r="H124" i="489"/>
  <c r="H125" i="489"/>
  <c r="H126" i="489"/>
  <c r="H127" i="489"/>
  <c r="H128" i="489"/>
  <c r="H129" i="489"/>
  <c r="H130" i="489"/>
  <c r="H131" i="489"/>
  <c r="H132" i="489"/>
  <c r="H133" i="489"/>
  <c r="H134" i="489"/>
  <c r="H135" i="489"/>
  <c r="H136" i="489"/>
  <c r="H137" i="489"/>
  <c r="H138" i="489"/>
  <c r="H139" i="489"/>
  <c r="H140" i="489"/>
  <c r="H141" i="489"/>
  <c r="H142" i="489"/>
  <c r="H143" i="489"/>
  <c r="H144" i="489"/>
  <c r="H145" i="489"/>
  <c r="H146" i="489"/>
  <c r="H147" i="489"/>
  <c r="H148" i="489"/>
  <c r="H149" i="489"/>
  <c r="H150" i="489"/>
  <c r="H151" i="489"/>
  <c r="H152" i="489"/>
  <c r="H153" i="489"/>
  <c r="H154" i="489"/>
  <c r="H155" i="489"/>
  <c r="H156" i="489"/>
  <c r="H157" i="489"/>
  <c r="H158" i="489"/>
  <c r="H159" i="489"/>
  <c r="H160" i="489"/>
  <c r="H162" i="489"/>
  <c r="H164" i="489"/>
  <c r="H166" i="489"/>
  <c r="H168" i="489"/>
  <c r="H170" i="489"/>
  <c r="H172" i="489"/>
  <c r="H174" i="489"/>
  <c r="H175" i="489"/>
  <c r="H176" i="489"/>
  <c r="H177" i="489"/>
  <c r="H178" i="489"/>
  <c r="H179" i="489"/>
  <c r="H180" i="489"/>
  <c r="H181" i="489"/>
  <c r="H182" i="489"/>
  <c r="H183" i="489"/>
  <c r="H184" i="489"/>
  <c r="H185" i="489"/>
  <c r="H186" i="489"/>
  <c r="H187" i="489"/>
  <c r="H188" i="489"/>
  <c r="H189" i="489"/>
  <c r="H190" i="489"/>
  <c r="H191" i="489"/>
  <c r="H192" i="489"/>
  <c r="H193" i="489"/>
  <c r="H194" i="489"/>
  <c r="H195" i="489"/>
  <c r="H196" i="489"/>
  <c r="H197" i="489"/>
  <c r="H198" i="489"/>
  <c r="H199" i="489"/>
  <c r="H200" i="489"/>
  <c r="H201" i="489"/>
  <c r="H202" i="489"/>
  <c r="H203" i="489"/>
  <c r="H204" i="489"/>
  <c r="H205" i="489"/>
  <c r="H206" i="489"/>
  <c r="H207" i="489"/>
  <c r="H208" i="489"/>
  <c r="H209" i="489"/>
  <c r="H210" i="489"/>
  <c r="H211" i="489"/>
  <c r="H212" i="489"/>
  <c r="H213" i="489"/>
  <c r="H214" i="489"/>
  <c r="H215" i="489"/>
  <c r="H216" i="489"/>
  <c r="H217" i="489"/>
  <c r="H218" i="489"/>
  <c r="H219" i="489"/>
  <c r="H220" i="489"/>
  <c r="H221" i="489"/>
  <c r="H222" i="489"/>
  <c r="H223" i="489"/>
  <c r="H224" i="489"/>
  <c r="H225" i="489"/>
  <c r="H226" i="489"/>
  <c r="H227" i="489"/>
  <c r="H228" i="489"/>
  <c r="H229" i="489"/>
  <c r="H161" i="489"/>
  <c r="H163" i="489"/>
  <c r="H165" i="489"/>
  <c r="H167" i="489"/>
  <c r="H169" i="489"/>
  <c r="H171" i="489"/>
  <c r="H173" i="489"/>
  <c r="H248" i="489"/>
  <c r="I247" i="489"/>
  <c r="I246" i="489"/>
  <c r="I245" i="489"/>
  <c r="I244" i="489"/>
  <c r="I243" i="489"/>
  <c r="I242" i="489"/>
  <c r="I241" i="489"/>
  <c r="I240" i="489"/>
  <c r="I239" i="489"/>
  <c r="I238" i="489"/>
  <c r="I237" i="489"/>
  <c r="I236" i="489"/>
  <c r="I235" i="489"/>
  <c r="I234" i="489"/>
  <c r="I233" i="489"/>
  <c r="I232" i="489"/>
  <c r="I231" i="489"/>
  <c r="I230" i="489"/>
  <c r="K229" i="489"/>
  <c r="K228" i="489"/>
  <c r="K227" i="489"/>
  <c r="K226" i="489"/>
  <c r="K225" i="489"/>
  <c r="K223" i="489"/>
  <c r="K221" i="489"/>
  <c r="K219" i="489"/>
  <c r="K217" i="489"/>
  <c r="K215" i="489"/>
  <c r="K213" i="489"/>
  <c r="K211" i="489"/>
  <c r="K209" i="489"/>
  <c r="K207" i="489"/>
  <c r="K205" i="489"/>
  <c r="K203" i="489"/>
  <c r="K201" i="489"/>
  <c r="K199" i="489"/>
  <c r="K197" i="489"/>
  <c r="K195" i="489"/>
  <c r="K193" i="489"/>
  <c r="K191" i="489"/>
  <c r="K189" i="489"/>
  <c r="K187" i="489"/>
  <c r="K185" i="489"/>
  <c r="K183" i="489"/>
  <c r="K181" i="489"/>
  <c r="K179" i="489"/>
  <c r="K177" i="489"/>
  <c r="K175" i="489"/>
  <c r="I173" i="489"/>
  <c r="G168" i="489"/>
  <c r="I165" i="489"/>
  <c r="I155" i="489"/>
  <c r="I147" i="489"/>
  <c r="I139" i="489"/>
  <c r="I131" i="489"/>
  <c r="I123" i="489"/>
  <c r="I115" i="489"/>
  <c r="I107" i="489"/>
  <c r="G61" i="489"/>
  <c r="H245" i="488"/>
  <c r="H241" i="488"/>
  <c r="H237" i="488"/>
  <c r="H235" i="488"/>
  <c r="H233" i="488"/>
  <c r="H231" i="488"/>
  <c r="H228" i="488"/>
  <c r="G167" i="488"/>
  <c r="G175" i="488"/>
  <c r="G179" i="488"/>
  <c r="G182" i="488"/>
  <c r="G183" i="488"/>
  <c r="G186" i="488"/>
  <c r="G190" i="488"/>
  <c r="G193" i="488"/>
  <c r="G197" i="488"/>
  <c r="G198" i="488"/>
  <c r="G201" i="488"/>
  <c r="G205" i="488"/>
  <c r="G208" i="488"/>
  <c r="G212" i="488"/>
  <c r="G215" i="488"/>
  <c r="G218" i="488"/>
  <c r="G219" i="488"/>
  <c r="G169" i="488"/>
  <c r="G173" i="488"/>
  <c r="G177" i="488"/>
  <c r="G180" i="488"/>
  <c r="G185" i="488"/>
  <c r="G187" i="488"/>
  <c r="G189" i="488"/>
  <c r="G192" i="488"/>
  <c r="G196" i="488"/>
  <c r="G199" i="488"/>
  <c r="G202" i="488"/>
  <c r="G204" i="488"/>
  <c r="G209" i="488"/>
  <c r="G211" i="488"/>
  <c r="G214" i="488"/>
  <c r="G165" i="488"/>
  <c r="G171" i="488"/>
  <c r="G178" i="488"/>
  <c r="G181" i="488"/>
  <c r="G184" i="488"/>
  <c r="G188" i="488"/>
  <c r="G191" i="488"/>
  <c r="G194" i="488"/>
  <c r="G195" i="488"/>
  <c r="G200" i="488"/>
  <c r="G203" i="488"/>
  <c r="G206" i="488"/>
  <c r="G207" i="488"/>
  <c r="G210" i="488"/>
  <c r="G213" i="488"/>
  <c r="G216" i="488"/>
  <c r="G217" i="488"/>
  <c r="G220" i="488"/>
  <c r="G246" i="488"/>
  <c r="G243" i="488"/>
  <c r="G241" i="488"/>
  <c r="G239" i="488"/>
  <c r="G236" i="488"/>
  <c r="G234" i="488"/>
  <c r="G232" i="488"/>
  <c r="G230" i="488"/>
  <c r="G228" i="488"/>
  <c r="G227" i="488"/>
  <c r="G226" i="488"/>
  <c r="G225" i="488"/>
  <c r="K223" i="488"/>
  <c r="K2" i="488"/>
  <c r="K3" i="488"/>
  <c r="K4" i="488"/>
  <c r="K5" i="488"/>
  <c r="K6" i="488"/>
  <c r="K7" i="488"/>
  <c r="K8" i="488"/>
  <c r="K9" i="488"/>
  <c r="K10" i="488"/>
  <c r="K11" i="488"/>
  <c r="K12" i="488"/>
  <c r="K13" i="488"/>
  <c r="K14" i="488"/>
  <c r="K15" i="488"/>
  <c r="K16" i="488"/>
  <c r="K17" i="488"/>
  <c r="K18" i="488"/>
  <c r="K19" i="488"/>
  <c r="K20" i="488"/>
  <c r="K21" i="488"/>
  <c r="K22" i="488"/>
  <c r="K23" i="488"/>
  <c r="K24" i="488"/>
  <c r="K25" i="488"/>
  <c r="K26" i="488"/>
  <c r="K27" i="488"/>
  <c r="K28" i="488"/>
  <c r="K30" i="488"/>
  <c r="K32" i="488"/>
  <c r="K34" i="488"/>
  <c r="K36" i="488"/>
  <c r="K38" i="488"/>
  <c r="K40" i="488"/>
  <c r="K42" i="488"/>
  <c r="K44" i="488"/>
  <c r="K45" i="488"/>
  <c r="K46" i="488"/>
  <c r="K47" i="488"/>
  <c r="K48" i="488"/>
  <c r="K49" i="488"/>
  <c r="K50" i="488"/>
  <c r="K51" i="488"/>
  <c r="K52" i="488"/>
  <c r="K53" i="488"/>
  <c r="K54" i="488"/>
  <c r="K55" i="488"/>
  <c r="K56" i="488"/>
  <c r="K57" i="488"/>
  <c r="K58" i="488"/>
  <c r="K35" i="488"/>
  <c r="K43" i="488"/>
  <c r="K33" i="488"/>
  <c r="K41" i="488"/>
  <c r="K59" i="488"/>
  <c r="K60" i="488"/>
  <c r="K61" i="488"/>
  <c r="K62" i="488"/>
  <c r="K64" i="488"/>
  <c r="K66" i="488"/>
  <c r="K31" i="488"/>
  <c r="K39" i="488"/>
  <c r="K65" i="488"/>
  <c r="K109" i="488"/>
  <c r="K110" i="488"/>
  <c r="K111" i="488"/>
  <c r="K112" i="488"/>
  <c r="K113" i="488"/>
  <c r="K114" i="488"/>
  <c r="K115" i="488"/>
  <c r="K116" i="488"/>
  <c r="K117" i="488"/>
  <c r="K118" i="488"/>
  <c r="K119" i="488"/>
  <c r="K120" i="488"/>
  <c r="K121" i="488"/>
  <c r="K122" i="488"/>
  <c r="K123" i="488"/>
  <c r="K124" i="488"/>
  <c r="K125" i="488"/>
  <c r="K126" i="488"/>
  <c r="K127" i="488"/>
  <c r="K128" i="488"/>
  <c r="K129" i="488"/>
  <c r="K130" i="488"/>
  <c r="K131" i="488"/>
  <c r="K132" i="488"/>
  <c r="K133" i="488"/>
  <c r="K134" i="488"/>
  <c r="K135" i="488"/>
  <c r="K136" i="488"/>
  <c r="K137" i="488"/>
  <c r="K138" i="488"/>
  <c r="K139" i="488"/>
  <c r="K140" i="488"/>
  <c r="K141" i="488"/>
  <c r="K142" i="488"/>
  <c r="K143" i="488"/>
  <c r="K144" i="488"/>
  <c r="K145" i="488"/>
  <c r="K146" i="488"/>
  <c r="K147" i="488"/>
  <c r="K148" i="488"/>
  <c r="K63" i="488"/>
  <c r="K68" i="488"/>
  <c r="K70" i="488"/>
  <c r="K72" i="488"/>
  <c r="K74" i="488"/>
  <c r="K76" i="488"/>
  <c r="K78" i="488"/>
  <c r="K80" i="488"/>
  <c r="K82" i="488"/>
  <c r="K84" i="488"/>
  <c r="K86" i="488"/>
  <c r="K88" i="488"/>
  <c r="K90" i="488"/>
  <c r="K92" i="488"/>
  <c r="K94" i="488"/>
  <c r="K37" i="488"/>
  <c r="K96" i="488"/>
  <c r="K97" i="488"/>
  <c r="K98" i="488"/>
  <c r="K99" i="488"/>
  <c r="K100" i="488"/>
  <c r="K101" i="488"/>
  <c r="K102" i="488"/>
  <c r="K103" i="488"/>
  <c r="K104" i="488"/>
  <c r="K105" i="488"/>
  <c r="K106" i="488"/>
  <c r="K107" i="488"/>
  <c r="K108" i="488"/>
  <c r="K29" i="488"/>
  <c r="K71" i="488"/>
  <c r="K79" i="488"/>
  <c r="K87" i="488"/>
  <c r="K95" i="488"/>
  <c r="K149" i="488"/>
  <c r="K150" i="488"/>
  <c r="K151" i="488"/>
  <c r="K152" i="488"/>
  <c r="K153" i="488"/>
  <c r="K154" i="488"/>
  <c r="K155" i="488"/>
  <c r="K156" i="488"/>
  <c r="K157" i="488"/>
  <c r="K158" i="488"/>
  <c r="K159" i="488"/>
  <c r="K160" i="488"/>
  <c r="K161" i="488"/>
  <c r="K162" i="488"/>
  <c r="K163" i="488"/>
  <c r="K164" i="488"/>
  <c r="K166" i="488"/>
  <c r="K168" i="488"/>
  <c r="K170" i="488"/>
  <c r="K172" i="488"/>
  <c r="K174" i="488"/>
  <c r="K176" i="488"/>
  <c r="K73" i="488"/>
  <c r="K81" i="488"/>
  <c r="K89" i="488"/>
  <c r="K177" i="488"/>
  <c r="K180" i="488"/>
  <c r="K184" i="488"/>
  <c r="K187" i="488"/>
  <c r="K188" i="488"/>
  <c r="K191" i="488"/>
  <c r="K194" i="488"/>
  <c r="K195" i="488"/>
  <c r="K199" i="488"/>
  <c r="K202" i="488"/>
  <c r="K203" i="488"/>
  <c r="K206" i="488"/>
  <c r="K209" i="488"/>
  <c r="K210" i="488"/>
  <c r="K213" i="488"/>
  <c r="K216" i="488"/>
  <c r="K67" i="488"/>
  <c r="K75" i="488"/>
  <c r="K83" i="488"/>
  <c r="K91" i="488"/>
  <c r="K165" i="488"/>
  <c r="K167" i="488"/>
  <c r="K169" i="488"/>
  <c r="K171" i="488"/>
  <c r="K173" i="488"/>
  <c r="K175" i="488"/>
  <c r="K248" i="488"/>
  <c r="K77" i="488"/>
  <c r="K178" i="488"/>
  <c r="K181" i="488"/>
  <c r="K183" i="488"/>
  <c r="K190" i="488"/>
  <c r="K193" i="488"/>
  <c r="K197" i="488"/>
  <c r="K200" i="488"/>
  <c r="K205" i="488"/>
  <c r="K207" i="488"/>
  <c r="K212" i="488"/>
  <c r="K215" i="488"/>
  <c r="K217" i="488"/>
  <c r="K219" i="488"/>
  <c r="K69" i="488"/>
  <c r="K85" i="488"/>
  <c r="K93" i="488"/>
  <c r="K179" i="488"/>
  <c r="K182" i="488"/>
  <c r="K185" i="488"/>
  <c r="K186" i="488"/>
  <c r="K189" i="488"/>
  <c r="K192" i="488"/>
  <c r="K196" i="488"/>
  <c r="K198" i="488"/>
  <c r="K201" i="488"/>
  <c r="K204" i="488"/>
  <c r="K208" i="488"/>
  <c r="K211" i="488"/>
  <c r="K214" i="488"/>
  <c r="K218" i="488"/>
  <c r="H218" i="488"/>
  <c r="H219" i="488"/>
  <c r="H220" i="488"/>
  <c r="H221" i="488"/>
  <c r="H222" i="488"/>
  <c r="H223" i="488"/>
  <c r="H224" i="488"/>
  <c r="H246" i="488"/>
  <c r="H243" i="488"/>
  <c r="H240" i="488"/>
  <c r="H239" i="488"/>
  <c r="H236" i="488"/>
  <c r="H234" i="488"/>
  <c r="H232" i="488"/>
  <c r="H230" i="488"/>
  <c r="H229" i="488"/>
  <c r="H227" i="488"/>
  <c r="H225" i="488"/>
  <c r="J3" i="488"/>
  <c r="J4" i="488"/>
  <c r="J5" i="488"/>
  <c r="J6" i="488"/>
  <c r="J7" i="488"/>
  <c r="J8" i="488"/>
  <c r="J9" i="488"/>
  <c r="J10" i="488"/>
  <c r="J11" i="488"/>
  <c r="J12" i="488"/>
  <c r="J13" i="488"/>
  <c r="J14" i="488"/>
  <c r="J15" i="488"/>
  <c r="J16" i="488"/>
  <c r="J17" i="488"/>
  <c r="J18" i="488"/>
  <c r="J19" i="488"/>
  <c r="J20" i="488"/>
  <c r="J21" i="488"/>
  <c r="J22" i="488"/>
  <c r="J23" i="488"/>
  <c r="J24" i="488"/>
  <c r="J25" i="488"/>
  <c r="J26" i="488"/>
  <c r="J27" i="488"/>
  <c r="J28" i="488"/>
  <c r="J29" i="488"/>
  <c r="J30" i="488"/>
  <c r="J31" i="488"/>
  <c r="J32" i="488"/>
  <c r="J33" i="488"/>
  <c r="J34" i="488"/>
  <c r="J35" i="488"/>
  <c r="J36" i="488"/>
  <c r="J37" i="488"/>
  <c r="J38" i="488"/>
  <c r="J39" i="488"/>
  <c r="J40" i="488"/>
  <c r="J41" i="488"/>
  <c r="J42" i="488"/>
  <c r="J43" i="488"/>
  <c r="J44" i="488"/>
  <c r="J2" i="488"/>
  <c r="J45" i="488"/>
  <c r="J46" i="488"/>
  <c r="J47" i="488"/>
  <c r="J48" i="488"/>
  <c r="J49" i="488"/>
  <c r="J50" i="488"/>
  <c r="J51" i="488"/>
  <c r="J52" i="488"/>
  <c r="J53" i="488"/>
  <c r="J54" i="488"/>
  <c r="J55" i="488"/>
  <c r="J56" i="488"/>
  <c r="J57" i="488"/>
  <c r="J58" i="488"/>
  <c r="J59" i="488"/>
  <c r="J60" i="488"/>
  <c r="J61" i="488"/>
  <c r="J62" i="488"/>
  <c r="J63" i="488"/>
  <c r="J64" i="488"/>
  <c r="J65" i="488"/>
  <c r="J66" i="488"/>
  <c r="J67" i="488"/>
  <c r="J68" i="488"/>
  <c r="J69" i="488"/>
  <c r="J70" i="488"/>
  <c r="J71" i="488"/>
  <c r="J72" i="488"/>
  <c r="J73" i="488"/>
  <c r="J74" i="488"/>
  <c r="J75" i="488"/>
  <c r="J76" i="488"/>
  <c r="J77" i="488"/>
  <c r="J78" i="488"/>
  <c r="J79" i="488"/>
  <c r="J80" i="488"/>
  <c r="J81" i="488"/>
  <c r="J82" i="488"/>
  <c r="J83" i="488"/>
  <c r="J84" i="488"/>
  <c r="J85" i="488"/>
  <c r="J86" i="488"/>
  <c r="J87" i="488"/>
  <c r="J88" i="488"/>
  <c r="J89" i="488"/>
  <c r="J90" i="488"/>
  <c r="J91" i="488"/>
  <c r="J92" i="488"/>
  <c r="J93" i="488"/>
  <c r="J94" i="488"/>
  <c r="J95" i="488"/>
  <c r="J96" i="488"/>
  <c r="J97" i="488"/>
  <c r="J98" i="488"/>
  <c r="J99" i="488"/>
  <c r="J100" i="488"/>
  <c r="J101" i="488"/>
  <c r="J102" i="488"/>
  <c r="J103" i="488"/>
  <c r="J104" i="488"/>
  <c r="J105" i="488"/>
  <c r="J106" i="488"/>
  <c r="J107" i="488"/>
  <c r="J108" i="488"/>
  <c r="J110" i="488"/>
  <c r="J112" i="488"/>
  <c r="J114" i="488"/>
  <c r="J116" i="488"/>
  <c r="J118" i="488"/>
  <c r="J120" i="488"/>
  <c r="J122" i="488"/>
  <c r="J124" i="488"/>
  <c r="J126" i="488"/>
  <c r="J128" i="488"/>
  <c r="J130" i="488"/>
  <c r="J132" i="488"/>
  <c r="J134" i="488"/>
  <c r="J136" i="488"/>
  <c r="J138" i="488"/>
  <c r="J140" i="488"/>
  <c r="J142" i="488"/>
  <c r="J144" i="488"/>
  <c r="J146" i="488"/>
  <c r="J148" i="488"/>
  <c r="J165" i="488"/>
  <c r="J167" i="488"/>
  <c r="J169" i="488"/>
  <c r="J171" i="488"/>
  <c r="J173" i="488"/>
  <c r="J175" i="488"/>
  <c r="J188" i="488"/>
  <c r="J189" i="488"/>
  <c r="J190" i="488"/>
  <c r="J191" i="488"/>
  <c r="J192" i="488"/>
  <c r="J195" i="488"/>
  <c r="J196" i="488"/>
  <c r="J197" i="488"/>
  <c r="J198" i="488"/>
  <c r="J199" i="488"/>
  <c r="J200" i="488"/>
  <c r="J201" i="488"/>
  <c r="J202" i="488"/>
  <c r="J203" i="488"/>
  <c r="J204" i="488"/>
  <c r="J205" i="488"/>
  <c r="J206" i="488"/>
  <c r="J207" i="488"/>
  <c r="J208" i="488"/>
  <c r="J209" i="488"/>
  <c r="J210" i="488"/>
  <c r="J211" i="488"/>
  <c r="J212" i="488"/>
  <c r="J213" i="488"/>
  <c r="J214" i="488"/>
  <c r="J215" i="488"/>
  <c r="J216" i="488"/>
  <c r="J217" i="488"/>
  <c r="J218" i="488"/>
  <c r="J219" i="488"/>
  <c r="J220" i="488"/>
  <c r="J221" i="488"/>
  <c r="J222" i="488"/>
  <c r="J224" i="488"/>
  <c r="J226" i="488"/>
  <c r="J227" i="488"/>
  <c r="J229" i="488"/>
  <c r="J231" i="488"/>
  <c r="J233" i="488"/>
  <c r="J235" i="488"/>
  <c r="J236" i="488"/>
  <c r="J238" i="488"/>
  <c r="J240" i="488"/>
  <c r="J242" i="488"/>
  <c r="J244" i="488"/>
  <c r="J246" i="488"/>
  <c r="J247" i="488"/>
  <c r="J152" i="488"/>
  <c r="J156" i="488"/>
  <c r="J159" i="488"/>
  <c r="J161" i="488"/>
  <c r="J164" i="488"/>
  <c r="J170" i="488"/>
  <c r="J172" i="488"/>
  <c r="J109" i="488"/>
  <c r="J111" i="488"/>
  <c r="J113" i="488"/>
  <c r="J115" i="488"/>
  <c r="J117" i="488"/>
  <c r="J119" i="488"/>
  <c r="J121" i="488"/>
  <c r="J123" i="488"/>
  <c r="J125" i="488"/>
  <c r="J127" i="488"/>
  <c r="J129" i="488"/>
  <c r="J131" i="488"/>
  <c r="J133" i="488"/>
  <c r="J135" i="488"/>
  <c r="J137" i="488"/>
  <c r="J139" i="488"/>
  <c r="J141" i="488"/>
  <c r="J143" i="488"/>
  <c r="J145" i="488"/>
  <c r="J147" i="488"/>
  <c r="J177" i="488"/>
  <c r="J178" i="488"/>
  <c r="J179" i="488"/>
  <c r="J180" i="488"/>
  <c r="J181" i="488"/>
  <c r="J182" i="488"/>
  <c r="J183" i="488"/>
  <c r="J184" i="488"/>
  <c r="J185" i="488"/>
  <c r="J186" i="488"/>
  <c r="J187" i="488"/>
  <c r="J193" i="488"/>
  <c r="J194" i="488"/>
  <c r="J223" i="488"/>
  <c r="J225" i="488"/>
  <c r="J228" i="488"/>
  <c r="J230" i="488"/>
  <c r="J232" i="488"/>
  <c r="J234" i="488"/>
  <c r="J237" i="488"/>
  <c r="J239" i="488"/>
  <c r="J241" i="488"/>
  <c r="J243" i="488"/>
  <c r="J245" i="488"/>
  <c r="J150" i="488"/>
  <c r="J153" i="488"/>
  <c r="J155" i="488"/>
  <c r="J158" i="488"/>
  <c r="J163" i="488"/>
  <c r="J166" i="488"/>
  <c r="J149" i="488"/>
  <c r="J151" i="488"/>
  <c r="J154" i="488"/>
  <c r="J157" i="488"/>
  <c r="J160" i="488"/>
  <c r="J162" i="488"/>
  <c r="J168" i="488"/>
  <c r="J174" i="488"/>
  <c r="J176" i="488"/>
  <c r="G247" i="488"/>
  <c r="G245" i="488"/>
  <c r="G244" i="488"/>
  <c r="G242" i="488"/>
  <c r="G240" i="488"/>
  <c r="G238" i="488"/>
  <c r="G237" i="488"/>
  <c r="G235" i="488"/>
  <c r="G233" i="488"/>
  <c r="G231" i="488"/>
  <c r="G229" i="488"/>
  <c r="G149" i="488"/>
  <c r="I248" i="488"/>
  <c r="G223" i="488"/>
  <c r="G221" i="488"/>
  <c r="H244" i="488"/>
  <c r="H242" i="488"/>
  <c r="H238" i="488"/>
  <c r="K247" i="488"/>
  <c r="K246" i="488"/>
  <c r="K245" i="488"/>
  <c r="K244" i="488"/>
  <c r="K243" i="488"/>
  <c r="K242" i="488"/>
  <c r="K241" i="488"/>
  <c r="K240" i="488"/>
  <c r="K239" i="488"/>
  <c r="K238" i="488"/>
  <c r="K237" i="488"/>
  <c r="K236" i="488"/>
  <c r="K235" i="488"/>
  <c r="K234" i="488"/>
  <c r="K233" i="488"/>
  <c r="K232" i="488"/>
  <c r="K231" i="488"/>
  <c r="K230" i="488"/>
  <c r="K229" i="488"/>
  <c r="K228" i="488"/>
  <c r="K227" i="488"/>
  <c r="K226" i="488"/>
  <c r="K225" i="488"/>
  <c r="K224" i="488"/>
  <c r="K222" i="488"/>
  <c r="K220" i="488"/>
  <c r="I3" i="488"/>
  <c r="I4" i="488"/>
  <c r="I5" i="488"/>
  <c r="I6" i="488"/>
  <c r="I7" i="488"/>
  <c r="I8" i="488"/>
  <c r="I9" i="488"/>
  <c r="I10" i="488"/>
  <c r="I11" i="488"/>
  <c r="I12" i="488"/>
  <c r="I13" i="488"/>
  <c r="I14" i="488"/>
  <c r="I15" i="488"/>
  <c r="I16" i="488"/>
  <c r="I17" i="488"/>
  <c r="I18" i="488"/>
  <c r="I19" i="488"/>
  <c r="I20" i="488"/>
  <c r="I21" i="488"/>
  <c r="I22" i="488"/>
  <c r="I23" i="488"/>
  <c r="I24" i="488"/>
  <c r="I25" i="488"/>
  <c r="I26" i="488"/>
  <c r="I2" i="488"/>
  <c r="I28" i="488"/>
  <c r="I30" i="488"/>
  <c r="I32" i="488"/>
  <c r="I34" i="488"/>
  <c r="I36" i="488"/>
  <c r="I38" i="488"/>
  <c r="I40" i="488"/>
  <c r="I42" i="488"/>
  <c r="I44" i="488"/>
  <c r="I29" i="488"/>
  <c r="I31" i="488"/>
  <c r="I33" i="488"/>
  <c r="I35" i="488"/>
  <c r="I37" i="488"/>
  <c r="I39" i="488"/>
  <c r="I41" i="488"/>
  <c r="I43" i="488"/>
  <c r="I27" i="488"/>
  <c r="I59" i="488"/>
  <c r="I60" i="488"/>
  <c r="I61" i="488"/>
  <c r="I62" i="488"/>
  <c r="I64" i="488"/>
  <c r="I66" i="488"/>
  <c r="I46" i="488"/>
  <c r="I48" i="488"/>
  <c r="I50" i="488"/>
  <c r="I52" i="488"/>
  <c r="I54" i="488"/>
  <c r="I56" i="488"/>
  <c r="I58" i="488"/>
  <c r="I68" i="488"/>
  <c r="I69" i="488"/>
  <c r="I70" i="488"/>
  <c r="I71" i="488"/>
  <c r="I72" i="488"/>
  <c r="I73" i="488"/>
  <c r="I74" i="488"/>
  <c r="I75" i="488"/>
  <c r="I76" i="488"/>
  <c r="I77" i="488"/>
  <c r="I78" i="488"/>
  <c r="I79" i="488"/>
  <c r="I80" i="488"/>
  <c r="I81" i="488"/>
  <c r="I82" i="488"/>
  <c r="I83" i="488"/>
  <c r="I84" i="488"/>
  <c r="I85" i="488"/>
  <c r="I86" i="488"/>
  <c r="I87" i="488"/>
  <c r="I88" i="488"/>
  <c r="I89" i="488"/>
  <c r="I90" i="488"/>
  <c r="I91" i="488"/>
  <c r="I92" i="488"/>
  <c r="I93" i="488"/>
  <c r="I94" i="488"/>
  <c r="I95" i="488"/>
  <c r="I96" i="488"/>
  <c r="I97" i="488"/>
  <c r="I98" i="488"/>
  <c r="I99" i="488"/>
  <c r="I100" i="488"/>
  <c r="I101" i="488"/>
  <c r="I102" i="488"/>
  <c r="I103" i="488"/>
  <c r="I104" i="488"/>
  <c r="I105" i="488"/>
  <c r="I106" i="488"/>
  <c r="I107" i="488"/>
  <c r="I108" i="488"/>
  <c r="I109" i="488"/>
  <c r="I63" i="488"/>
  <c r="I65" i="488"/>
  <c r="I67" i="488"/>
  <c r="I51" i="488"/>
  <c r="I45" i="488"/>
  <c r="I53" i="488"/>
  <c r="I47" i="488"/>
  <c r="I55" i="488"/>
  <c r="I110" i="488"/>
  <c r="I111" i="488"/>
  <c r="I112" i="488"/>
  <c r="I113" i="488"/>
  <c r="I114" i="488"/>
  <c r="I115" i="488"/>
  <c r="I116" i="488"/>
  <c r="I117" i="488"/>
  <c r="I118" i="488"/>
  <c r="I119" i="488"/>
  <c r="I120" i="488"/>
  <c r="I121" i="488"/>
  <c r="I122" i="488"/>
  <c r="I123" i="488"/>
  <c r="I124" i="488"/>
  <c r="I125" i="488"/>
  <c r="I126" i="488"/>
  <c r="I127" i="488"/>
  <c r="I128" i="488"/>
  <c r="I129" i="488"/>
  <c r="I130" i="488"/>
  <c r="I131" i="488"/>
  <c r="I132" i="488"/>
  <c r="I133" i="488"/>
  <c r="I134" i="488"/>
  <c r="I135" i="488"/>
  <c r="I136" i="488"/>
  <c r="I137" i="488"/>
  <c r="I138" i="488"/>
  <c r="I139" i="488"/>
  <c r="I140" i="488"/>
  <c r="I141" i="488"/>
  <c r="I142" i="488"/>
  <c r="I143" i="488"/>
  <c r="I144" i="488"/>
  <c r="I145" i="488"/>
  <c r="I146" i="488"/>
  <c r="I147" i="488"/>
  <c r="I148" i="488"/>
  <c r="I149" i="488"/>
  <c r="I150" i="488"/>
  <c r="I151" i="488"/>
  <c r="I152" i="488"/>
  <c r="I153" i="488"/>
  <c r="I154" i="488"/>
  <c r="I155" i="488"/>
  <c r="I156" i="488"/>
  <c r="I157" i="488"/>
  <c r="I158" i="488"/>
  <c r="I159" i="488"/>
  <c r="I160" i="488"/>
  <c r="I161" i="488"/>
  <c r="I162" i="488"/>
  <c r="I163" i="488"/>
  <c r="I164" i="488"/>
  <c r="G248" i="488"/>
  <c r="I176" i="488"/>
  <c r="I174" i="488"/>
  <c r="I172" i="488"/>
  <c r="I170" i="488"/>
  <c r="I168" i="488"/>
  <c r="I166" i="488"/>
  <c r="G164" i="488"/>
  <c r="G163" i="488"/>
  <c r="G162" i="488"/>
  <c r="G161" i="488"/>
  <c r="G160" i="488"/>
  <c r="G159" i="488"/>
  <c r="G158" i="488"/>
  <c r="G157" i="488"/>
  <c r="G156" i="488"/>
  <c r="G155" i="488"/>
  <c r="G154" i="488"/>
  <c r="G153" i="488"/>
  <c r="G152" i="488"/>
  <c r="G151" i="488"/>
  <c r="G150" i="488"/>
  <c r="I49" i="488"/>
  <c r="G2" i="488"/>
  <c r="G3" i="488"/>
  <c r="G4" i="488"/>
  <c r="G5" i="488"/>
  <c r="G6" i="488"/>
  <c r="G7" i="488"/>
  <c r="G8" i="488"/>
  <c r="G9" i="488"/>
  <c r="G10" i="488"/>
  <c r="G11" i="488"/>
  <c r="G12" i="488"/>
  <c r="G13" i="488"/>
  <c r="G14" i="488"/>
  <c r="G15" i="488"/>
  <c r="G16" i="488"/>
  <c r="G17" i="488"/>
  <c r="G18" i="488"/>
  <c r="G19" i="488"/>
  <c r="G20" i="488"/>
  <c r="G21" i="488"/>
  <c r="G22" i="488"/>
  <c r="G23" i="488"/>
  <c r="G24" i="488"/>
  <c r="G25" i="488"/>
  <c r="G26" i="488"/>
  <c r="G27" i="488"/>
  <c r="G29" i="488"/>
  <c r="G31" i="488"/>
  <c r="G33" i="488"/>
  <c r="G35" i="488"/>
  <c r="G37" i="488"/>
  <c r="G39" i="488"/>
  <c r="G41" i="488"/>
  <c r="G43" i="488"/>
  <c r="G45" i="488"/>
  <c r="G46" i="488"/>
  <c r="G47" i="488"/>
  <c r="G48" i="488"/>
  <c r="G49" i="488"/>
  <c r="G50" i="488"/>
  <c r="G51" i="488"/>
  <c r="G52" i="488"/>
  <c r="G53" i="488"/>
  <c r="G54" i="488"/>
  <c r="G55" i="488"/>
  <c r="G56" i="488"/>
  <c r="G57" i="488"/>
  <c r="G58" i="488"/>
  <c r="G28" i="488"/>
  <c r="G30" i="488"/>
  <c r="G32" i="488"/>
  <c r="G34" i="488"/>
  <c r="G36" i="488"/>
  <c r="G38" i="488"/>
  <c r="G40" i="488"/>
  <c r="G42" i="488"/>
  <c r="G44" i="488"/>
  <c r="G63" i="488"/>
  <c r="G65" i="488"/>
  <c r="G67" i="488"/>
  <c r="G64" i="488"/>
  <c r="G66" i="488"/>
  <c r="G59" i="488"/>
  <c r="G68" i="488"/>
  <c r="G70" i="488"/>
  <c r="G72" i="488"/>
  <c r="G74" i="488"/>
  <c r="G76" i="488"/>
  <c r="G78" i="488"/>
  <c r="G80" i="488"/>
  <c r="G82" i="488"/>
  <c r="G84" i="488"/>
  <c r="G86" i="488"/>
  <c r="G88" i="488"/>
  <c r="G90" i="488"/>
  <c r="G92" i="488"/>
  <c r="G94" i="488"/>
  <c r="G96" i="488"/>
  <c r="G97" i="488"/>
  <c r="G98" i="488"/>
  <c r="G99" i="488"/>
  <c r="G100" i="488"/>
  <c r="G101" i="488"/>
  <c r="G102" i="488"/>
  <c r="G103" i="488"/>
  <c r="G104" i="488"/>
  <c r="G105" i="488"/>
  <c r="G106" i="488"/>
  <c r="G107" i="488"/>
  <c r="G108" i="488"/>
  <c r="G110" i="488"/>
  <c r="G111" i="488"/>
  <c r="G112" i="488"/>
  <c r="G113" i="488"/>
  <c r="G114" i="488"/>
  <c r="G115" i="488"/>
  <c r="G116" i="488"/>
  <c r="G117" i="488"/>
  <c r="G118" i="488"/>
  <c r="G119" i="488"/>
  <c r="G120" i="488"/>
  <c r="G121" i="488"/>
  <c r="G122" i="488"/>
  <c r="G123" i="488"/>
  <c r="G124" i="488"/>
  <c r="G125" i="488"/>
  <c r="G126" i="488"/>
  <c r="G127" i="488"/>
  <c r="G128" i="488"/>
  <c r="G129" i="488"/>
  <c r="G130" i="488"/>
  <c r="G131" i="488"/>
  <c r="G132" i="488"/>
  <c r="G133" i="488"/>
  <c r="G134" i="488"/>
  <c r="G135" i="488"/>
  <c r="G136" i="488"/>
  <c r="G137" i="488"/>
  <c r="G138" i="488"/>
  <c r="G139" i="488"/>
  <c r="G140" i="488"/>
  <c r="G141" i="488"/>
  <c r="G142" i="488"/>
  <c r="G143" i="488"/>
  <c r="G144" i="488"/>
  <c r="G145" i="488"/>
  <c r="G146" i="488"/>
  <c r="G147" i="488"/>
  <c r="G148" i="488"/>
  <c r="G60" i="488"/>
  <c r="G109" i="488"/>
  <c r="G61" i="488"/>
  <c r="G69" i="488"/>
  <c r="G71" i="488"/>
  <c r="G73" i="488"/>
  <c r="G75" i="488"/>
  <c r="G77" i="488"/>
  <c r="G79" i="488"/>
  <c r="G81" i="488"/>
  <c r="G83" i="488"/>
  <c r="G85" i="488"/>
  <c r="G87" i="488"/>
  <c r="G89" i="488"/>
  <c r="G91" i="488"/>
  <c r="G93" i="488"/>
  <c r="G95" i="488"/>
  <c r="H2" i="488"/>
  <c r="H3" i="488"/>
  <c r="H5" i="488"/>
  <c r="H7" i="488"/>
  <c r="H9" i="488"/>
  <c r="H11" i="488"/>
  <c r="H13" i="488"/>
  <c r="H15" i="488"/>
  <c r="H17" i="488"/>
  <c r="H19" i="488"/>
  <c r="H21" i="488"/>
  <c r="H23" i="488"/>
  <c r="H25" i="488"/>
  <c r="H29" i="488"/>
  <c r="H31" i="488"/>
  <c r="H33" i="488"/>
  <c r="H35" i="488"/>
  <c r="H37" i="488"/>
  <c r="H39" i="488"/>
  <c r="H41" i="488"/>
  <c r="H43" i="488"/>
  <c r="H27" i="488"/>
  <c r="H45" i="488"/>
  <c r="H46" i="488"/>
  <c r="H47" i="488"/>
  <c r="H48" i="488"/>
  <c r="H49" i="488"/>
  <c r="H50" i="488"/>
  <c r="H51" i="488"/>
  <c r="H52" i="488"/>
  <c r="H53" i="488"/>
  <c r="H54" i="488"/>
  <c r="H55" i="488"/>
  <c r="H56" i="488"/>
  <c r="H57" i="488"/>
  <c r="H58" i="488"/>
  <c r="H59" i="488"/>
  <c r="H60" i="488"/>
  <c r="H61" i="488"/>
  <c r="H62" i="488"/>
  <c r="H4" i="488"/>
  <c r="H12" i="488"/>
  <c r="H20" i="488"/>
  <c r="H30" i="488"/>
  <c r="H38" i="488"/>
  <c r="H68" i="488"/>
  <c r="H69" i="488"/>
  <c r="H70" i="488"/>
  <c r="H71" i="488"/>
  <c r="H72" i="488"/>
  <c r="H73" i="488"/>
  <c r="H74" i="488"/>
  <c r="H75" i="488"/>
  <c r="H76" i="488"/>
  <c r="H77" i="488"/>
  <c r="H78" i="488"/>
  <c r="H79" i="488"/>
  <c r="H80" i="488"/>
  <c r="H81" i="488"/>
  <c r="H82" i="488"/>
  <c r="H83" i="488"/>
  <c r="H84" i="488"/>
  <c r="H85" i="488"/>
  <c r="H86" i="488"/>
  <c r="H87" i="488"/>
  <c r="H88" i="488"/>
  <c r="H89" i="488"/>
  <c r="H90" i="488"/>
  <c r="H91" i="488"/>
  <c r="H92" i="488"/>
  <c r="H93" i="488"/>
  <c r="H94" i="488"/>
  <c r="H95" i="488"/>
  <c r="H96" i="488"/>
  <c r="H97" i="488"/>
  <c r="H98" i="488"/>
  <c r="H99" i="488"/>
  <c r="H100" i="488"/>
  <c r="H101" i="488"/>
  <c r="H102" i="488"/>
  <c r="H103" i="488"/>
  <c r="H104" i="488"/>
  <c r="H105" i="488"/>
  <c r="H106" i="488"/>
  <c r="H107" i="488"/>
  <c r="H108" i="488"/>
  <c r="H6" i="488"/>
  <c r="H14" i="488"/>
  <c r="H22" i="488"/>
  <c r="H28" i="488"/>
  <c r="H36" i="488"/>
  <c r="H44" i="488"/>
  <c r="H63" i="488"/>
  <c r="H65" i="488"/>
  <c r="H67" i="488"/>
  <c r="H8" i="488"/>
  <c r="H16" i="488"/>
  <c r="H24" i="488"/>
  <c r="H34" i="488"/>
  <c r="H42" i="488"/>
  <c r="H10" i="488"/>
  <c r="H32" i="488"/>
  <c r="H18" i="488"/>
  <c r="H66" i="488"/>
  <c r="H110" i="488"/>
  <c r="H111" i="488"/>
  <c r="H112" i="488"/>
  <c r="H113" i="488"/>
  <c r="H114" i="488"/>
  <c r="H115" i="488"/>
  <c r="H116" i="488"/>
  <c r="H117" i="488"/>
  <c r="H118" i="488"/>
  <c r="H119" i="488"/>
  <c r="H120" i="488"/>
  <c r="H121" i="488"/>
  <c r="H122" i="488"/>
  <c r="H123" i="488"/>
  <c r="H124" i="488"/>
  <c r="H125" i="488"/>
  <c r="H126" i="488"/>
  <c r="H127" i="488"/>
  <c r="H128" i="488"/>
  <c r="H129" i="488"/>
  <c r="H130" i="488"/>
  <c r="H131" i="488"/>
  <c r="H132" i="488"/>
  <c r="H133" i="488"/>
  <c r="H134" i="488"/>
  <c r="H135" i="488"/>
  <c r="H136" i="488"/>
  <c r="H137" i="488"/>
  <c r="H138" i="488"/>
  <c r="H139" i="488"/>
  <c r="H140" i="488"/>
  <c r="H141" i="488"/>
  <c r="H142" i="488"/>
  <c r="H143" i="488"/>
  <c r="H144" i="488"/>
  <c r="H145" i="488"/>
  <c r="H146" i="488"/>
  <c r="H147" i="488"/>
  <c r="H148" i="488"/>
  <c r="H149" i="488"/>
  <c r="H150" i="488"/>
  <c r="H151" i="488"/>
  <c r="H152" i="488"/>
  <c r="H153" i="488"/>
  <c r="H154" i="488"/>
  <c r="H155" i="488"/>
  <c r="H156" i="488"/>
  <c r="H157" i="488"/>
  <c r="H158" i="488"/>
  <c r="H159" i="488"/>
  <c r="H160" i="488"/>
  <c r="H161" i="488"/>
  <c r="H162" i="488"/>
  <c r="H163" i="488"/>
  <c r="H164" i="488"/>
  <c r="H165" i="488"/>
  <c r="H166" i="488"/>
  <c r="H167" i="488"/>
  <c r="H168" i="488"/>
  <c r="H169" i="488"/>
  <c r="H170" i="488"/>
  <c r="H171" i="488"/>
  <c r="H172" i="488"/>
  <c r="H173" i="488"/>
  <c r="H174" i="488"/>
  <c r="H175" i="488"/>
  <c r="H176" i="488"/>
  <c r="H26" i="488"/>
  <c r="H64" i="488"/>
  <c r="H109" i="488"/>
  <c r="H248" i="488"/>
  <c r="I247" i="488"/>
  <c r="I246" i="488"/>
  <c r="I245" i="488"/>
  <c r="I244" i="488"/>
  <c r="I243" i="488"/>
  <c r="I242" i="488"/>
  <c r="I241" i="488"/>
  <c r="I240" i="488"/>
  <c r="I239" i="488"/>
  <c r="I238" i="488"/>
  <c r="I237" i="488"/>
  <c r="I236" i="488"/>
  <c r="I235" i="488"/>
  <c r="I234" i="488"/>
  <c r="I233" i="488"/>
  <c r="I232" i="488"/>
  <c r="I231" i="488"/>
  <c r="I230" i="488"/>
  <c r="I229" i="488"/>
  <c r="I228" i="488"/>
  <c r="I227" i="488"/>
  <c r="I226" i="488"/>
  <c r="I225" i="488"/>
  <c r="I224" i="488"/>
  <c r="I223" i="488"/>
  <c r="I222" i="488"/>
  <c r="I221" i="488"/>
  <c r="I220" i="488"/>
  <c r="I219" i="488"/>
  <c r="I218" i="488"/>
  <c r="I217" i="488"/>
  <c r="I216" i="488"/>
  <c r="I215" i="488"/>
  <c r="I214" i="488"/>
  <c r="I213" i="488"/>
  <c r="I212" i="488"/>
  <c r="I211" i="488"/>
  <c r="I210" i="488"/>
  <c r="I209" i="488"/>
  <c r="I208" i="488"/>
  <c r="I207" i="488"/>
  <c r="I206" i="488"/>
  <c r="I205" i="488"/>
  <c r="I204" i="488"/>
  <c r="I203" i="488"/>
  <c r="I202" i="488"/>
  <c r="I201" i="488"/>
  <c r="I200" i="488"/>
  <c r="I199" i="488"/>
  <c r="I198" i="488"/>
  <c r="I197" i="488"/>
  <c r="I196" i="488"/>
  <c r="I195" i="488"/>
  <c r="I194" i="488"/>
  <c r="I193" i="488"/>
  <c r="I192" i="488"/>
  <c r="I191" i="488"/>
  <c r="I190" i="488"/>
  <c r="I189" i="488"/>
  <c r="I188" i="488"/>
  <c r="I187" i="488"/>
  <c r="I186" i="488"/>
  <c r="I185" i="488"/>
  <c r="I184" i="488"/>
  <c r="I183" i="488"/>
  <c r="I182" i="488"/>
  <c r="I181" i="488"/>
  <c r="I180" i="488"/>
  <c r="I179" i="488"/>
  <c r="I178" i="488"/>
  <c r="I177" i="488"/>
  <c r="G176" i="488"/>
  <c r="G174" i="488"/>
  <c r="G172" i="488"/>
  <c r="G170" i="488"/>
  <c r="G168" i="488"/>
  <c r="G166" i="488"/>
  <c r="H40" i="488"/>
  <c r="H217" i="488"/>
  <c r="H216" i="488"/>
  <c r="H215" i="488"/>
  <c r="H214" i="488"/>
  <c r="H213" i="488"/>
  <c r="H212" i="488"/>
  <c r="H211" i="488"/>
  <c r="H210" i="488"/>
  <c r="H209" i="488"/>
  <c r="H208" i="488"/>
  <c r="H207" i="488"/>
  <c r="H206" i="488"/>
  <c r="H205" i="488"/>
  <c r="H204" i="488"/>
  <c r="H203" i="488"/>
  <c r="H202" i="488"/>
  <c r="H201" i="488"/>
  <c r="H200" i="488"/>
  <c r="H199" i="488"/>
  <c r="H198" i="488"/>
  <c r="H197" i="488"/>
  <c r="H196" i="488"/>
  <c r="H195" i="488"/>
  <c r="H194" i="488"/>
  <c r="H193" i="488"/>
  <c r="H192" i="488"/>
  <c r="H191" i="488"/>
  <c r="H190" i="488"/>
  <c r="H189" i="488"/>
  <c r="H188" i="488"/>
  <c r="H187" i="488"/>
  <c r="H186" i="488"/>
  <c r="H185" i="488"/>
  <c r="H184" i="488"/>
  <c r="H183" i="488"/>
  <c r="H182" i="488"/>
  <c r="H181" i="488"/>
  <c r="H180" i="488"/>
  <c r="H179" i="488"/>
  <c r="H178" i="488"/>
  <c r="H177" i="488"/>
  <c r="I175" i="488"/>
  <c r="I173" i="488"/>
  <c r="I171" i="488"/>
  <c r="I169" i="488"/>
  <c r="I167" i="488"/>
  <c r="I165" i="488"/>
  <c r="G62" i="488"/>
  <c r="H246" i="487"/>
  <c r="H241" i="487"/>
  <c r="J3" i="487"/>
  <c r="J4" i="487"/>
  <c r="J5" i="487"/>
  <c r="J6" i="487"/>
  <c r="J7" i="487"/>
  <c r="J8" i="487"/>
  <c r="J9" i="487"/>
  <c r="J10" i="487"/>
  <c r="J11" i="487"/>
  <c r="J12" i="487"/>
  <c r="J13" i="487"/>
  <c r="J14" i="487"/>
  <c r="J15" i="487"/>
  <c r="J16" i="487"/>
  <c r="J17" i="487"/>
  <c r="J18" i="487"/>
  <c r="J19" i="487"/>
  <c r="J20" i="487"/>
  <c r="J21" i="487"/>
  <c r="J22" i="487"/>
  <c r="J23" i="487"/>
  <c r="J24" i="487"/>
  <c r="J25" i="487"/>
  <c r="J26" i="487"/>
  <c r="J27" i="487"/>
  <c r="J28" i="487"/>
  <c r="J29" i="487"/>
  <c r="J30" i="487"/>
  <c r="J31" i="487"/>
  <c r="J32" i="487"/>
  <c r="J33" i="487"/>
  <c r="J34" i="487"/>
  <c r="J35" i="487"/>
  <c r="J36" i="487"/>
  <c r="J37" i="487"/>
  <c r="J38" i="487"/>
  <c r="J39" i="487"/>
  <c r="J40" i="487"/>
  <c r="J41" i="487"/>
  <c r="J42" i="487"/>
  <c r="J43" i="487"/>
  <c r="J44" i="487"/>
  <c r="J2" i="487"/>
  <c r="J45" i="487"/>
  <c r="J46" i="487"/>
  <c r="J47" i="487"/>
  <c r="J48" i="487"/>
  <c r="J49" i="487"/>
  <c r="J50" i="487"/>
  <c r="J51" i="487"/>
  <c r="J52" i="487"/>
  <c r="J53" i="487"/>
  <c r="J54" i="487"/>
  <c r="J55" i="487"/>
  <c r="J56" i="487"/>
  <c r="J57" i="487"/>
  <c r="J58" i="487"/>
  <c r="J59" i="487"/>
  <c r="J60" i="487"/>
  <c r="J61" i="487"/>
  <c r="J62" i="487"/>
  <c r="J63" i="487"/>
  <c r="J64" i="487"/>
  <c r="J65" i="487"/>
  <c r="J66" i="487"/>
  <c r="J67" i="487"/>
  <c r="J68" i="487"/>
  <c r="J69" i="487"/>
  <c r="J70" i="487"/>
  <c r="J71" i="487"/>
  <c r="J72" i="487"/>
  <c r="J73" i="487"/>
  <c r="J74" i="487"/>
  <c r="J75" i="487"/>
  <c r="J76" i="487"/>
  <c r="J77" i="487"/>
  <c r="J78" i="487"/>
  <c r="J79" i="487"/>
  <c r="J80" i="487"/>
  <c r="J81" i="487"/>
  <c r="J82" i="487"/>
  <c r="J83" i="487"/>
  <c r="J84" i="487"/>
  <c r="J85" i="487"/>
  <c r="J86" i="487"/>
  <c r="J87" i="487"/>
  <c r="J88" i="487"/>
  <c r="J89" i="487"/>
  <c r="J90" i="487"/>
  <c r="J91" i="487"/>
  <c r="J92" i="487"/>
  <c r="J93" i="487"/>
  <c r="J94" i="487"/>
  <c r="J95" i="487"/>
  <c r="J96" i="487"/>
  <c r="J97" i="487"/>
  <c r="J98" i="487"/>
  <c r="J99" i="487"/>
  <c r="J100" i="487"/>
  <c r="J101" i="487"/>
  <c r="J102" i="487"/>
  <c r="J103" i="487"/>
  <c r="J104" i="487"/>
  <c r="J105" i="487"/>
  <c r="J106" i="487"/>
  <c r="J107" i="487"/>
  <c r="J108" i="487"/>
  <c r="J109" i="487"/>
  <c r="J110" i="487"/>
  <c r="J111" i="487"/>
  <c r="J112" i="487"/>
  <c r="J113" i="487"/>
  <c r="J114" i="487"/>
  <c r="J115" i="487"/>
  <c r="J116" i="487"/>
  <c r="J117" i="487"/>
  <c r="J118" i="487"/>
  <c r="J119" i="487"/>
  <c r="J120" i="487"/>
  <c r="J121" i="487"/>
  <c r="J122" i="487"/>
  <c r="J123" i="487"/>
  <c r="J124" i="487"/>
  <c r="J125" i="487"/>
  <c r="J126" i="487"/>
  <c r="J127" i="487"/>
  <c r="J128" i="487"/>
  <c r="J129" i="487"/>
  <c r="J130" i="487"/>
  <c r="J131" i="487"/>
  <c r="J132" i="487"/>
  <c r="J133" i="487"/>
  <c r="J134" i="487"/>
  <c r="J135" i="487"/>
  <c r="J136" i="487"/>
  <c r="J137" i="487"/>
  <c r="J138" i="487"/>
  <c r="J139" i="487"/>
  <c r="J140" i="487"/>
  <c r="J141" i="487"/>
  <c r="J142" i="487"/>
  <c r="J143" i="487"/>
  <c r="J144" i="487"/>
  <c r="J145" i="487"/>
  <c r="J146" i="487"/>
  <c r="J147" i="487"/>
  <c r="J148" i="487"/>
  <c r="J149" i="487"/>
  <c r="J150" i="487"/>
  <c r="J151" i="487"/>
  <c r="J152" i="487"/>
  <c r="J153" i="487"/>
  <c r="J154" i="487"/>
  <c r="J155" i="487"/>
  <c r="J156" i="487"/>
  <c r="J157" i="487"/>
  <c r="J158" i="487"/>
  <c r="J159" i="487"/>
  <c r="J160" i="487"/>
  <c r="J161" i="487"/>
  <c r="J162" i="487"/>
  <c r="J163" i="487"/>
  <c r="J164" i="487"/>
  <c r="J165" i="487"/>
  <c r="J166" i="487"/>
  <c r="J167" i="487"/>
  <c r="J168" i="487"/>
  <c r="J169" i="487"/>
  <c r="J170" i="487"/>
  <c r="J171" i="487"/>
  <c r="J172" i="487"/>
  <c r="J173" i="487"/>
  <c r="J174" i="487"/>
  <c r="J175" i="487"/>
  <c r="J176" i="487"/>
  <c r="J177" i="487"/>
  <c r="J178" i="487"/>
  <c r="J179" i="487"/>
  <c r="J180" i="487"/>
  <c r="J181" i="487"/>
  <c r="J182" i="487"/>
  <c r="J183" i="487"/>
  <c r="J184" i="487"/>
  <c r="J185" i="487"/>
  <c r="J186" i="487"/>
  <c r="J187" i="487"/>
  <c r="J188" i="487"/>
  <c r="J189" i="487"/>
  <c r="J190" i="487"/>
  <c r="J191" i="487"/>
  <c r="J192" i="487"/>
  <c r="J193" i="487"/>
  <c r="J194" i="487"/>
  <c r="J195" i="487"/>
  <c r="J196" i="487"/>
  <c r="J197" i="487"/>
  <c r="J198" i="487"/>
  <c r="J199" i="487"/>
  <c r="J200" i="487"/>
  <c r="J201" i="487"/>
  <c r="J202" i="487"/>
  <c r="J203" i="487"/>
  <c r="J204" i="487"/>
  <c r="J205" i="487"/>
  <c r="J206" i="487"/>
  <c r="J207" i="487"/>
  <c r="J208" i="487"/>
  <c r="J209" i="487"/>
  <c r="J210" i="487"/>
  <c r="J211" i="487"/>
  <c r="J212" i="487"/>
  <c r="J213" i="487"/>
  <c r="J214" i="487"/>
  <c r="J215" i="487"/>
  <c r="J216" i="487"/>
  <c r="J217" i="487"/>
  <c r="J218" i="487"/>
  <c r="J219" i="487"/>
  <c r="J220" i="487"/>
  <c r="J221" i="487"/>
  <c r="J222" i="487"/>
  <c r="J223" i="487"/>
  <c r="J224" i="487"/>
  <c r="J225" i="487"/>
  <c r="J226" i="487"/>
  <c r="J227" i="487"/>
  <c r="J228" i="487"/>
  <c r="J248" i="487"/>
  <c r="K247" i="487"/>
  <c r="G247" i="487"/>
  <c r="K246" i="487"/>
  <c r="G246" i="487"/>
  <c r="K245" i="487"/>
  <c r="G245" i="487"/>
  <c r="K244" i="487"/>
  <c r="G244" i="487"/>
  <c r="K243" i="487"/>
  <c r="G243" i="487"/>
  <c r="K242" i="487"/>
  <c r="G242" i="487"/>
  <c r="K241" i="487"/>
  <c r="G241" i="487"/>
  <c r="K240" i="487"/>
  <c r="G240" i="487"/>
  <c r="K239" i="487"/>
  <c r="K238" i="487"/>
  <c r="H237" i="487"/>
  <c r="K236" i="487"/>
  <c r="K234" i="487"/>
  <c r="K233" i="487"/>
  <c r="K232" i="487"/>
  <c r="K231" i="487"/>
  <c r="K230" i="487"/>
  <c r="K229" i="487"/>
  <c r="K228" i="487"/>
  <c r="K226" i="487"/>
  <c r="K224" i="487"/>
  <c r="K222" i="487"/>
  <c r="K220" i="487"/>
  <c r="K218" i="487"/>
  <c r="K216" i="487"/>
  <c r="K214" i="487"/>
  <c r="K212" i="487"/>
  <c r="H245" i="487"/>
  <c r="H243" i="487"/>
  <c r="H240" i="487"/>
  <c r="J237" i="487"/>
  <c r="G2" i="487"/>
  <c r="G3" i="487"/>
  <c r="G4" i="487"/>
  <c r="G5" i="487"/>
  <c r="G6" i="487"/>
  <c r="G7" i="487"/>
  <c r="G8" i="487"/>
  <c r="G9" i="487"/>
  <c r="G10" i="487"/>
  <c r="G11" i="487"/>
  <c r="G12" i="487"/>
  <c r="G13" i="487"/>
  <c r="G14" i="487"/>
  <c r="G15" i="487"/>
  <c r="G16" i="487"/>
  <c r="G17" i="487"/>
  <c r="G18" i="487"/>
  <c r="G19" i="487"/>
  <c r="G20" i="487"/>
  <c r="G21" i="487"/>
  <c r="G22" i="487"/>
  <c r="G23" i="487"/>
  <c r="G24" i="487"/>
  <c r="G25" i="487"/>
  <c r="G26" i="487"/>
  <c r="G27" i="487"/>
  <c r="G44" i="487"/>
  <c r="G28" i="487"/>
  <c r="G29" i="487"/>
  <c r="G30" i="487"/>
  <c r="G31" i="487"/>
  <c r="G32" i="487"/>
  <c r="G33" i="487"/>
  <c r="G34" i="487"/>
  <c r="G35" i="487"/>
  <c r="G36" i="487"/>
  <c r="G37" i="487"/>
  <c r="G38" i="487"/>
  <c r="G39" i="487"/>
  <c r="G40" i="487"/>
  <c r="G41" i="487"/>
  <c r="G42" i="487"/>
  <c r="G43" i="487"/>
  <c r="G45" i="487"/>
  <c r="G46" i="487"/>
  <c r="G47" i="487"/>
  <c r="G48" i="487"/>
  <c r="G49" i="487"/>
  <c r="G50" i="487"/>
  <c r="G51" i="487"/>
  <c r="G52" i="487"/>
  <c r="G53" i="487"/>
  <c r="G55" i="487"/>
  <c r="G57" i="487"/>
  <c r="G59" i="487"/>
  <c r="G64" i="487"/>
  <c r="G66" i="487"/>
  <c r="G68" i="487"/>
  <c r="G70" i="487"/>
  <c r="G72" i="487"/>
  <c r="G73" i="487"/>
  <c r="G74" i="487"/>
  <c r="G75" i="487"/>
  <c r="G76" i="487"/>
  <c r="G77" i="487"/>
  <c r="G78" i="487"/>
  <c r="G79" i="487"/>
  <c r="G80" i="487"/>
  <c r="G81" i="487"/>
  <c r="G82" i="487"/>
  <c r="G83" i="487"/>
  <c r="G84" i="487"/>
  <c r="G85" i="487"/>
  <c r="G86" i="487"/>
  <c r="G87" i="487"/>
  <c r="G88" i="487"/>
  <c r="G89" i="487"/>
  <c r="G90" i="487"/>
  <c r="G91" i="487"/>
  <c r="G61" i="487"/>
  <c r="G62" i="487"/>
  <c r="G54" i="487"/>
  <c r="G56" i="487"/>
  <c r="G58" i="487"/>
  <c r="G60" i="487"/>
  <c r="G63" i="487"/>
  <c r="G65" i="487"/>
  <c r="G67" i="487"/>
  <c r="G69" i="487"/>
  <c r="G71" i="487"/>
  <c r="G92" i="487"/>
  <c r="G94" i="487"/>
  <c r="G96" i="487"/>
  <c r="G98" i="487"/>
  <c r="G100" i="487"/>
  <c r="G103" i="487"/>
  <c r="G93" i="487"/>
  <c r="G95" i="487"/>
  <c r="G97" i="487"/>
  <c r="G99" i="487"/>
  <c r="G101" i="487"/>
  <c r="G102" i="487"/>
  <c r="G104" i="487"/>
  <c r="G105" i="487"/>
  <c r="G106" i="487"/>
  <c r="G107" i="487"/>
  <c r="G108" i="487"/>
  <c r="G109" i="487"/>
  <c r="G110" i="487"/>
  <c r="G111" i="487"/>
  <c r="G112" i="487"/>
  <c r="G113" i="487"/>
  <c r="G114" i="487"/>
  <c r="G115" i="487"/>
  <c r="G116" i="487"/>
  <c r="G117" i="487"/>
  <c r="G118" i="487"/>
  <c r="G119" i="487"/>
  <c r="G120" i="487"/>
  <c r="G121" i="487"/>
  <c r="G122" i="487"/>
  <c r="G123" i="487"/>
  <c r="G124" i="487"/>
  <c r="G125" i="487"/>
  <c r="G126" i="487"/>
  <c r="G127" i="487"/>
  <c r="G128" i="487"/>
  <c r="G129" i="487"/>
  <c r="G130" i="487"/>
  <c r="G131" i="487"/>
  <c r="G132" i="487"/>
  <c r="G133" i="487"/>
  <c r="G134" i="487"/>
  <c r="G135" i="487"/>
  <c r="G136" i="487"/>
  <c r="G137" i="487"/>
  <c r="G138" i="487"/>
  <c r="G139" i="487"/>
  <c r="G140" i="487"/>
  <c r="G141" i="487"/>
  <c r="G142" i="487"/>
  <c r="G143" i="487"/>
  <c r="G145" i="487"/>
  <c r="G147" i="487"/>
  <c r="G149" i="487"/>
  <c r="G151" i="487"/>
  <c r="G153" i="487"/>
  <c r="G155" i="487"/>
  <c r="G156" i="487"/>
  <c r="G157" i="487"/>
  <c r="G158" i="487"/>
  <c r="G144" i="487"/>
  <c r="G146" i="487"/>
  <c r="G148" i="487"/>
  <c r="G150" i="487"/>
  <c r="G152" i="487"/>
  <c r="G154" i="487"/>
  <c r="G159" i="487"/>
  <c r="G160" i="487"/>
  <c r="G161" i="487"/>
  <c r="G162" i="487"/>
  <c r="G163" i="487"/>
  <c r="G164" i="487"/>
  <c r="G165" i="487"/>
  <c r="G166" i="487"/>
  <c r="G167" i="487"/>
  <c r="G168" i="487"/>
  <c r="G169" i="487"/>
  <c r="G170" i="487"/>
  <c r="G171" i="487"/>
  <c r="G172" i="487"/>
  <c r="G173" i="487"/>
  <c r="G174" i="487"/>
  <c r="G175" i="487"/>
  <c r="G176" i="487"/>
  <c r="G177" i="487"/>
  <c r="G178" i="487"/>
  <c r="G179" i="487"/>
  <c r="G180" i="487"/>
  <c r="G181" i="487"/>
  <c r="G182" i="487"/>
  <c r="G183" i="487"/>
  <c r="G184" i="487"/>
  <c r="G185" i="487"/>
  <c r="G186" i="487"/>
  <c r="G187" i="487"/>
  <c r="G188" i="487"/>
  <c r="G189" i="487"/>
  <c r="G190" i="487"/>
  <c r="G191" i="487"/>
  <c r="G192" i="487"/>
  <c r="G193" i="487"/>
  <c r="G194" i="487"/>
  <c r="G195" i="487"/>
  <c r="G196" i="487"/>
  <c r="G197" i="487"/>
  <c r="G198" i="487"/>
  <c r="G199" i="487"/>
  <c r="G200" i="487"/>
  <c r="G201" i="487"/>
  <c r="G202" i="487"/>
  <c r="G203" i="487"/>
  <c r="G204" i="487"/>
  <c r="G205" i="487"/>
  <c r="G206" i="487"/>
  <c r="G207" i="487"/>
  <c r="G208" i="487"/>
  <c r="G209" i="487"/>
  <c r="G210" i="487"/>
  <c r="G211" i="487"/>
  <c r="I3" i="487"/>
  <c r="I4" i="487"/>
  <c r="I5" i="487"/>
  <c r="I6" i="487"/>
  <c r="I7" i="487"/>
  <c r="I8" i="487"/>
  <c r="I9" i="487"/>
  <c r="I10" i="487"/>
  <c r="I11" i="487"/>
  <c r="I12" i="487"/>
  <c r="I13" i="487"/>
  <c r="I14" i="487"/>
  <c r="I15" i="487"/>
  <c r="I16" i="487"/>
  <c r="I17" i="487"/>
  <c r="I18" i="487"/>
  <c r="I19" i="487"/>
  <c r="I20" i="487"/>
  <c r="I21" i="487"/>
  <c r="I22" i="487"/>
  <c r="I23" i="487"/>
  <c r="I24" i="487"/>
  <c r="I25" i="487"/>
  <c r="I26" i="487"/>
  <c r="I27" i="487"/>
  <c r="I28" i="487"/>
  <c r="I29" i="487"/>
  <c r="I30" i="487"/>
  <c r="I31" i="487"/>
  <c r="I32" i="487"/>
  <c r="I33" i="487"/>
  <c r="I34" i="487"/>
  <c r="I35" i="487"/>
  <c r="I36" i="487"/>
  <c r="I37" i="487"/>
  <c r="I38" i="487"/>
  <c r="I39" i="487"/>
  <c r="I40" i="487"/>
  <c r="I41" i="487"/>
  <c r="I42" i="487"/>
  <c r="I43" i="487"/>
  <c r="I2" i="487"/>
  <c r="I45" i="487"/>
  <c r="I46" i="487"/>
  <c r="I47" i="487"/>
  <c r="I48" i="487"/>
  <c r="I49" i="487"/>
  <c r="I50" i="487"/>
  <c r="I51" i="487"/>
  <c r="I52" i="487"/>
  <c r="I53" i="487"/>
  <c r="I54" i="487"/>
  <c r="I55" i="487"/>
  <c r="I56" i="487"/>
  <c r="I57" i="487"/>
  <c r="I58" i="487"/>
  <c r="I59" i="487"/>
  <c r="I60" i="487"/>
  <c r="I44" i="487"/>
  <c r="I63" i="487"/>
  <c r="I65" i="487"/>
  <c r="I67" i="487"/>
  <c r="I69" i="487"/>
  <c r="I71" i="487"/>
  <c r="I61" i="487"/>
  <c r="I62" i="487"/>
  <c r="I64" i="487"/>
  <c r="I66" i="487"/>
  <c r="I68" i="487"/>
  <c r="I70" i="487"/>
  <c r="I72" i="487"/>
  <c r="I73" i="487"/>
  <c r="I74" i="487"/>
  <c r="I75" i="487"/>
  <c r="I76" i="487"/>
  <c r="I77" i="487"/>
  <c r="I78" i="487"/>
  <c r="I79" i="487"/>
  <c r="I80" i="487"/>
  <c r="I81" i="487"/>
  <c r="I82" i="487"/>
  <c r="I83" i="487"/>
  <c r="I84" i="487"/>
  <c r="I85" i="487"/>
  <c r="I86" i="487"/>
  <c r="I87" i="487"/>
  <c r="I88" i="487"/>
  <c r="I89" i="487"/>
  <c r="I90" i="487"/>
  <c r="I91" i="487"/>
  <c r="I92" i="487"/>
  <c r="I93" i="487"/>
  <c r="I94" i="487"/>
  <c r="I95" i="487"/>
  <c r="I96" i="487"/>
  <c r="I97" i="487"/>
  <c r="I98" i="487"/>
  <c r="I99" i="487"/>
  <c r="I100" i="487"/>
  <c r="I102" i="487"/>
  <c r="I104" i="487"/>
  <c r="I105" i="487"/>
  <c r="I106" i="487"/>
  <c r="I107" i="487"/>
  <c r="I108" i="487"/>
  <c r="I109" i="487"/>
  <c r="I110" i="487"/>
  <c r="I111" i="487"/>
  <c r="I112" i="487"/>
  <c r="I113" i="487"/>
  <c r="I114" i="487"/>
  <c r="I115" i="487"/>
  <c r="I116" i="487"/>
  <c r="I117" i="487"/>
  <c r="I118" i="487"/>
  <c r="I119" i="487"/>
  <c r="I120" i="487"/>
  <c r="I121" i="487"/>
  <c r="I122" i="487"/>
  <c r="I123" i="487"/>
  <c r="I124" i="487"/>
  <c r="I125" i="487"/>
  <c r="I126" i="487"/>
  <c r="I127" i="487"/>
  <c r="I128" i="487"/>
  <c r="I129" i="487"/>
  <c r="I130" i="487"/>
  <c r="I131" i="487"/>
  <c r="I132" i="487"/>
  <c r="I133" i="487"/>
  <c r="I134" i="487"/>
  <c r="I135" i="487"/>
  <c r="I136" i="487"/>
  <c r="I137" i="487"/>
  <c r="I138" i="487"/>
  <c r="I139" i="487"/>
  <c r="I140" i="487"/>
  <c r="I141" i="487"/>
  <c r="I142" i="487"/>
  <c r="I143" i="487"/>
  <c r="I144" i="487"/>
  <c r="I145" i="487"/>
  <c r="I146" i="487"/>
  <c r="I147" i="487"/>
  <c r="I148" i="487"/>
  <c r="I149" i="487"/>
  <c r="I150" i="487"/>
  <c r="I151" i="487"/>
  <c r="I152" i="487"/>
  <c r="I153" i="487"/>
  <c r="I154" i="487"/>
  <c r="I155" i="487"/>
  <c r="I156" i="487"/>
  <c r="I157" i="487"/>
  <c r="I158" i="487"/>
  <c r="I101" i="487"/>
  <c r="I103" i="487"/>
  <c r="I159" i="487"/>
  <c r="I160" i="487"/>
  <c r="I161" i="487"/>
  <c r="I162" i="487"/>
  <c r="I163" i="487"/>
  <c r="I164" i="487"/>
  <c r="I165" i="487"/>
  <c r="I166" i="487"/>
  <c r="I167" i="487"/>
  <c r="I168" i="487"/>
  <c r="I169" i="487"/>
  <c r="I170" i="487"/>
  <c r="I171" i="487"/>
  <c r="I172" i="487"/>
  <c r="I173" i="487"/>
  <c r="I174" i="487"/>
  <c r="I175" i="487"/>
  <c r="I176" i="487"/>
  <c r="I177" i="487"/>
  <c r="I178" i="487"/>
  <c r="I179" i="487"/>
  <c r="I180" i="487"/>
  <c r="I181" i="487"/>
  <c r="I182" i="487"/>
  <c r="I183" i="487"/>
  <c r="I184" i="487"/>
  <c r="I185" i="487"/>
  <c r="I186" i="487"/>
  <c r="I187" i="487"/>
  <c r="I188" i="487"/>
  <c r="I189" i="487"/>
  <c r="I190" i="487"/>
  <c r="I191" i="487"/>
  <c r="I192" i="487"/>
  <c r="I193" i="487"/>
  <c r="I194" i="487"/>
  <c r="I195" i="487"/>
  <c r="I196" i="487"/>
  <c r="I197" i="487"/>
  <c r="I198" i="487"/>
  <c r="I199" i="487"/>
  <c r="I200" i="487"/>
  <c r="I201" i="487"/>
  <c r="I202" i="487"/>
  <c r="I203" i="487"/>
  <c r="I204" i="487"/>
  <c r="I205" i="487"/>
  <c r="I206" i="487"/>
  <c r="I207" i="487"/>
  <c r="I208" i="487"/>
  <c r="I209" i="487"/>
  <c r="I210" i="487"/>
  <c r="I211" i="487"/>
  <c r="I212" i="487"/>
  <c r="I213" i="487"/>
  <c r="I214" i="487"/>
  <c r="I215" i="487"/>
  <c r="I216" i="487"/>
  <c r="I217" i="487"/>
  <c r="I218" i="487"/>
  <c r="I219" i="487"/>
  <c r="I220" i="487"/>
  <c r="I221" i="487"/>
  <c r="I222" i="487"/>
  <c r="I223" i="487"/>
  <c r="I224" i="487"/>
  <c r="I225" i="487"/>
  <c r="I226" i="487"/>
  <c r="I227" i="487"/>
  <c r="I228" i="487"/>
  <c r="I229" i="487"/>
  <c r="I230" i="487"/>
  <c r="I231" i="487"/>
  <c r="I232" i="487"/>
  <c r="I233" i="487"/>
  <c r="I234" i="487"/>
  <c r="I235" i="487"/>
  <c r="I236" i="487"/>
  <c r="I237" i="487"/>
  <c r="I238" i="487"/>
  <c r="G248" i="487"/>
  <c r="J247" i="487"/>
  <c r="J246" i="487"/>
  <c r="J245" i="487"/>
  <c r="J244" i="487"/>
  <c r="J243" i="487"/>
  <c r="J242" i="487"/>
  <c r="J241" i="487"/>
  <c r="J240" i="487"/>
  <c r="J239" i="487"/>
  <c r="J238" i="487"/>
  <c r="G237" i="487"/>
  <c r="J236" i="487"/>
  <c r="G235" i="487"/>
  <c r="J234" i="487"/>
  <c r="J233" i="487"/>
  <c r="J232" i="487"/>
  <c r="J231" i="487"/>
  <c r="J230" i="487"/>
  <c r="J229" i="487"/>
  <c r="G228" i="487"/>
  <c r="G226" i="487"/>
  <c r="G224" i="487"/>
  <c r="G222" i="487"/>
  <c r="G220" i="487"/>
  <c r="G218" i="487"/>
  <c r="G216" i="487"/>
  <c r="G214" i="487"/>
  <c r="G212" i="487"/>
  <c r="K2" i="487"/>
  <c r="K3" i="487"/>
  <c r="K4" i="487"/>
  <c r="K5" i="487"/>
  <c r="K6" i="487"/>
  <c r="K7" i="487"/>
  <c r="K8" i="487"/>
  <c r="K9" i="487"/>
  <c r="K10" i="487"/>
  <c r="K11" i="487"/>
  <c r="K12" i="487"/>
  <c r="K13" i="487"/>
  <c r="K14" i="487"/>
  <c r="K15" i="487"/>
  <c r="K16" i="487"/>
  <c r="K17" i="487"/>
  <c r="K18" i="487"/>
  <c r="K19" i="487"/>
  <c r="K20" i="487"/>
  <c r="K21" i="487"/>
  <c r="K22" i="487"/>
  <c r="K23" i="487"/>
  <c r="K24" i="487"/>
  <c r="K25" i="487"/>
  <c r="K26" i="487"/>
  <c r="K27" i="487"/>
  <c r="K28" i="487"/>
  <c r="K29" i="487"/>
  <c r="K30" i="487"/>
  <c r="K31" i="487"/>
  <c r="K32" i="487"/>
  <c r="K33" i="487"/>
  <c r="K34" i="487"/>
  <c r="K35" i="487"/>
  <c r="K36" i="487"/>
  <c r="K37" i="487"/>
  <c r="K38" i="487"/>
  <c r="K39" i="487"/>
  <c r="K40" i="487"/>
  <c r="K41" i="487"/>
  <c r="K42" i="487"/>
  <c r="K43" i="487"/>
  <c r="K44" i="487"/>
  <c r="K45" i="487"/>
  <c r="K46" i="487"/>
  <c r="K47" i="487"/>
  <c r="K48" i="487"/>
  <c r="K49" i="487"/>
  <c r="K50" i="487"/>
  <c r="K51" i="487"/>
  <c r="K52" i="487"/>
  <c r="K54" i="487"/>
  <c r="K56" i="487"/>
  <c r="K58" i="487"/>
  <c r="K60" i="487"/>
  <c r="K61" i="487"/>
  <c r="K62" i="487"/>
  <c r="K64" i="487"/>
  <c r="K66" i="487"/>
  <c r="K68" i="487"/>
  <c r="K70" i="487"/>
  <c r="K72" i="487"/>
  <c r="K73" i="487"/>
  <c r="K74" i="487"/>
  <c r="K75" i="487"/>
  <c r="K76" i="487"/>
  <c r="K77" i="487"/>
  <c r="K78" i="487"/>
  <c r="K79" i="487"/>
  <c r="K80" i="487"/>
  <c r="K81" i="487"/>
  <c r="K82" i="487"/>
  <c r="K83" i="487"/>
  <c r="K84" i="487"/>
  <c r="K85" i="487"/>
  <c r="K86" i="487"/>
  <c r="K87" i="487"/>
  <c r="K88" i="487"/>
  <c r="K89" i="487"/>
  <c r="K90" i="487"/>
  <c r="K91" i="487"/>
  <c r="K53" i="487"/>
  <c r="K55" i="487"/>
  <c r="K57" i="487"/>
  <c r="K59" i="487"/>
  <c r="K63" i="487"/>
  <c r="K65" i="487"/>
  <c r="K67" i="487"/>
  <c r="K69" i="487"/>
  <c r="K71" i="487"/>
  <c r="K101" i="487"/>
  <c r="K103" i="487"/>
  <c r="K92" i="487"/>
  <c r="K94" i="487"/>
  <c r="K96" i="487"/>
  <c r="K98" i="487"/>
  <c r="K100" i="487"/>
  <c r="K102" i="487"/>
  <c r="K93" i="487"/>
  <c r="K95" i="487"/>
  <c r="K97" i="487"/>
  <c r="K99" i="487"/>
  <c r="K104" i="487"/>
  <c r="K105" i="487"/>
  <c r="K106" i="487"/>
  <c r="K107" i="487"/>
  <c r="K108" i="487"/>
  <c r="K109" i="487"/>
  <c r="K110" i="487"/>
  <c r="K111" i="487"/>
  <c r="K112" i="487"/>
  <c r="K113" i="487"/>
  <c r="K114" i="487"/>
  <c r="K115" i="487"/>
  <c r="K116" i="487"/>
  <c r="K117" i="487"/>
  <c r="K118" i="487"/>
  <c r="K119" i="487"/>
  <c r="K120" i="487"/>
  <c r="K121" i="487"/>
  <c r="K122" i="487"/>
  <c r="K123" i="487"/>
  <c r="K124" i="487"/>
  <c r="K125" i="487"/>
  <c r="K126" i="487"/>
  <c r="K127" i="487"/>
  <c r="K128" i="487"/>
  <c r="K129" i="487"/>
  <c r="K130" i="487"/>
  <c r="K131" i="487"/>
  <c r="K132" i="487"/>
  <c r="K133" i="487"/>
  <c r="K134" i="487"/>
  <c r="K135" i="487"/>
  <c r="K136" i="487"/>
  <c r="K137" i="487"/>
  <c r="K138" i="487"/>
  <c r="K139" i="487"/>
  <c r="K140" i="487"/>
  <c r="K141" i="487"/>
  <c r="K142" i="487"/>
  <c r="K144" i="487"/>
  <c r="K146" i="487"/>
  <c r="K148" i="487"/>
  <c r="K150" i="487"/>
  <c r="K152" i="487"/>
  <c r="K154" i="487"/>
  <c r="K143" i="487"/>
  <c r="K145" i="487"/>
  <c r="K147" i="487"/>
  <c r="K149" i="487"/>
  <c r="K151" i="487"/>
  <c r="K153" i="487"/>
  <c r="K155" i="487"/>
  <c r="K156" i="487"/>
  <c r="K157" i="487"/>
  <c r="K158" i="487"/>
  <c r="K159" i="487"/>
  <c r="K160" i="487"/>
  <c r="K161" i="487"/>
  <c r="K162" i="487"/>
  <c r="K163" i="487"/>
  <c r="K164" i="487"/>
  <c r="K165" i="487"/>
  <c r="K166" i="487"/>
  <c r="K167" i="487"/>
  <c r="K168" i="487"/>
  <c r="K169" i="487"/>
  <c r="K170" i="487"/>
  <c r="K171" i="487"/>
  <c r="K172" i="487"/>
  <c r="K173" i="487"/>
  <c r="K174" i="487"/>
  <c r="K175" i="487"/>
  <c r="K176" i="487"/>
  <c r="K177" i="487"/>
  <c r="K178" i="487"/>
  <c r="K179" i="487"/>
  <c r="K180" i="487"/>
  <c r="K181" i="487"/>
  <c r="K182" i="487"/>
  <c r="K183" i="487"/>
  <c r="K184" i="487"/>
  <c r="K185" i="487"/>
  <c r="K186" i="487"/>
  <c r="K187" i="487"/>
  <c r="K188" i="487"/>
  <c r="K189" i="487"/>
  <c r="K190" i="487"/>
  <c r="K191" i="487"/>
  <c r="K192" i="487"/>
  <c r="K193" i="487"/>
  <c r="K194" i="487"/>
  <c r="K195" i="487"/>
  <c r="K196" i="487"/>
  <c r="K197" i="487"/>
  <c r="K198" i="487"/>
  <c r="K199" i="487"/>
  <c r="K200" i="487"/>
  <c r="K201" i="487"/>
  <c r="K202" i="487"/>
  <c r="K203" i="487"/>
  <c r="K204" i="487"/>
  <c r="K205" i="487"/>
  <c r="K206" i="487"/>
  <c r="K207" i="487"/>
  <c r="K208" i="487"/>
  <c r="K209" i="487"/>
  <c r="K210" i="487"/>
  <c r="H244" i="487"/>
  <c r="H242" i="487"/>
  <c r="H2" i="487"/>
  <c r="H28" i="487"/>
  <c r="H29" i="487"/>
  <c r="H30" i="487"/>
  <c r="H31" i="487"/>
  <c r="H32" i="487"/>
  <c r="H33" i="487"/>
  <c r="H34" i="487"/>
  <c r="H35" i="487"/>
  <c r="H36" i="487"/>
  <c r="H37" i="487"/>
  <c r="H38" i="487"/>
  <c r="H39" i="487"/>
  <c r="H40" i="487"/>
  <c r="H41" i="487"/>
  <c r="H42" i="487"/>
  <c r="H43" i="487"/>
  <c r="H45" i="487"/>
  <c r="H46" i="487"/>
  <c r="H47" i="487"/>
  <c r="H48" i="487"/>
  <c r="H49" i="487"/>
  <c r="H50" i="487"/>
  <c r="H51" i="487"/>
  <c r="H52" i="487"/>
  <c r="H53" i="487"/>
  <c r="H54" i="487"/>
  <c r="H55" i="487"/>
  <c r="H56" i="487"/>
  <c r="H57" i="487"/>
  <c r="H58" i="487"/>
  <c r="H59" i="487"/>
  <c r="H60" i="487"/>
  <c r="H61" i="487"/>
  <c r="H62" i="487"/>
  <c r="H3" i="487"/>
  <c r="H5" i="487"/>
  <c r="H7" i="487"/>
  <c r="H9" i="487"/>
  <c r="H11" i="487"/>
  <c r="H13" i="487"/>
  <c r="H15" i="487"/>
  <c r="H17" i="487"/>
  <c r="H19" i="487"/>
  <c r="H21" i="487"/>
  <c r="H23" i="487"/>
  <c r="H25" i="487"/>
  <c r="H27" i="487"/>
  <c r="H44" i="487"/>
  <c r="H4" i="487"/>
  <c r="H6" i="487"/>
  <c r="H8" i="487"/>
  <c r="H10" i="487"/>
  <c r="H12" i="487"/>
  <c r="H14" i="487"/>
  <c r="H16" i="487"/>
  <c r="H18" i="487"/>
  <c r="H20" i="487"/>
  <c r="H22" i="487"/>
  <c r="H24" i="487"/>
  <c r="H26" i="487"/>
  <c r="H63" i="487"/>
  <c r="H65" i="487"/>
  <c r="H67" i="487"/>
  <c r="H69" i="487"/>
  <c r="H71" i="487"/>
  <c r="H64" i="487"/>
  <c r="H66" i="487"/>
  <c r="H68" i="487"/>
  <c r="H70" i="487"/>
  <c r="H72" i="487"/>
  <c r="H73" i="487"/>
  <c r="H74" i="487"/>
  <c r="H75" i="487"/>
  <c r="H76" i="487"/>
  <c r="H77" i="487"/>
  <c r="H78" i="487"/>
  <c r="H79" i="487"/>
  <c r="H80" i="487"/>
  <c r="H81" i="487"/>
  <c r="H82" i="487"/>
  <c r="H83" i="487"/>
  <c r="H84" i="487"/>
  <c r="H85" i="487"/>
  <c r="H86" i="487"/>
  <c r="H87" i="487"/>
  <c r="H88" i="487"/>
  <c r="H89" i="487"/>
  <c r="H90" i="487"/>
  <c r="H91" i="487"/>
  <c r="H92" i="487"/>
  <c r="H93" i="487"/>
  <c r="H94" i="487"/>
  <c r="H95" i="487"/>
  <c r="H96" i="487"/>
  <c r="H97" i="487"/>
  <c r="H98" i="487"/>
  <c r="H99" i="487"/>
  <c r="H100" i="487"/>
  <c r="H101" i="487"/>
  <c r="H102" i="487"/>
  <c r="H104" i="487"/>
  <c r="H105" i="487"/>
  <c r="H106" i="487"/>
  <c r="H107" i="487"/>
  <c r="H108" i="487"/>
  <c r="H109" i="487"/>
  <c r="H110" i="487"/>
  <c r="H111" i="487"/>
  <c r="H112" i="487"/>
  <c r="H113" i="487"/>
  <c r="H114" i="487"/>
  <c r="H115" i="487"/>
  <c r="H116" i="487"/>
  <c r="H117" i="487"/>
  <c r="H118" i="487"/>
  <c r="H119" i="487"/>
  <c r="H120" i="487"/>
  <c r="H121" i="487"/>
  <c r="H122" i="487"/>
  <c r="H123" i="487"/>
  <c r="H124" i="487"/>
  <c r="H125" i="487"/>
  <c r="H126" i="487"/>
  <c r="H127" i="487"/>
  <c r="H128" i="487"/>
  <c r="H129" i="487"/>
  <c r="H130" i="487"/>
  <c r="H131" i="487"/>
  <c r="H132" i="487"/>
  <c r="H133" i="487"/>
  <c r="H134" i="487"/>
  <c r="H135" i="487"/>
  <c r="H136" i="487"/>
  <c r="H137" i="487"/>
  <c r="H138" i="487"/>
  <c r="H139" i="487"/>
  <c r="H140" i="487"/>
  <c r="H141" i="487"/>
  <c r="H142" i="487"/>
  <c r="H143" i="487"/>
  <c r="H144" i="487"/>
  <c r="H145" i="487"/>
  <c r="H146" i="487"/>
  <c r="H147" i="487"/>
  <c r="H148" i="487"/>
  <c r="H149" i="487"/>
  <c r="H150" i="487"/>
  <c r="H151" i="487"/>
  <c r="H152" i="487"/>
  <c r="H153" i="487"/>
  <c r="H154" i="487"/>
  <c r="H155" i="487"/>
  <c r="H156" i="487"/>
  <c r="H157" i="487"/>
  <c r="H158" i="487"/>
  <c r="H103" i="487"/>
  <c r="H159" i="487"/>
  <c r="H160" i="487"/>
  <c r="H161" i="487"/>
  <c r="H162" i="487"/>
  <c r="H163" i="487"/>
  <c r="H164" i="487"/>
  <c r="H165" i="487"/>
  <c r="H166" i="487"/>
  <c r="H167" i="487"/>
  <c r="H168" i="487"/>
  <c r="H169" i="487"/>
  <c r="H170" i="487"/>
  <c r="H171" i="487"/>
  <c r="H172" i="487"/>
  <c r="H173" i="487"/>
  <c r="H174" i="487"/>
  <c r="H175" i="487"/>
  <c r="H176" i="487"/>
  <c r="H177" i="487"/>
  <c r="H178" i="487"/>
  <c r="H179" i="487"/>
  <c r="H180" i="487"/>
  <c r="H181" i="487"/>
  <c r="H182" i="487"/>
  <c r="H183" i="487"/>
  <c r="H184" i="487"/>
  <c r="H185" i="487"/>
  <c r="H186" i="487"/>
  <c r="H187" i="487"/>
  <c r="H188" i="487"/>
  <c r="H189" i="487"/>
  <c r="H190" i="487"/>
  <c r="H191" i="487"/>
  <c r="H192" i="487"/>
  <c r="H193" i="487"/>
  <c r="H194" i="487"/>
  <c r="H195" i="487"/>
  <c r="H196" i="487"/>
  <c r="H197" i="487"/>
  <c r="H198" i="487"/>
  <c r="H199" i="487"/>
  <c r="H200" i="487"/>
  <c r="H201" i="487"/>
  <c r="H202" i="487"/>
  <c r="H203" i="487"/>
  <c r="H204" i="487"/>
  <c r="H205" i="487"/>
  <c r="H206" i="487"/>
  <c r="H207" i="487"/>
  <c r="H208" i="487"/>
  <c r="H209" i="487"/>
  <c r="H210" i="487"/>
  <c r="H211" i="487"/>
  <c r="H212" i="487"/>
  <c r="H213" i="487"/>
  <c r="H214" i="487"/>
  <c r="H215" i="487"/>
  <c r="H216" i="487"/>
  <c r="H217" i="487"/>
  <c r="H218" i="487"/>
  <c r="H219" i="487"/>
  <c r="H220" i="487"/>
  <c r="H221" i="487"/>
  <c r="H222" i="487"/>
  <c r="H223" i="487"/>
  <c r="H224" i="487"/>
  <c r="H225" i="487"/>
  <c r="H226" i="487"/>
  <c r="H227" i="487"/>
  <c r="H228" i="487"/>
  <c r="H229" i="487"/>
  <c r="H230" i="487"/>
  <c r="H231" i="487"/>
  <c r="H232" i="487"/>
  <c r="H233" i="487"/>
  <c r="H234" i="487"/>
  <c r="H248" i="487"/>
  <c r="I247" i="487"/>
  <c r="I246" i="487"/>
  <c r="I245" i="487"/>
  <c r="I244" i="487"/>
  <c r="I243" i="487"/>
  <c r="I242" i="487"/>
  <c r="I241" i="487"/>
  <c r="I240" i="487"/>
  <c r="I239" i="487"/>
  <c r="H238" i="487"/>
  <c r="K237" i="487"/>
  <c r="H236" i="487"/>
  <c r="K235" i="487"/>
  <c r="G234" i="487"/>
  <c r="G233" i="487"/>
  <c r="G232" i="487"/>
  <c r="G231" i="487"/>
  <c r="G230" i="487"/>
  <c r="G229" i="487"/>
  <c r="K227" i="487"/>
  <c r="K225" i="487"/>
  <c r="K223" i="487"/>
  <c r="K221" i="487"/>
  <c r="K219" i="487"/>
  <c r="K217" i="487"/>
  <c r="K215" i="487"/>
  <c r="K213" i="487"/>
  <c r="K211" i="487"/>
  <c r="J233" i="486"/>
  <c r="G2" i="486"/>
  <c r="G3" i="486"/>
  <c r="G4" i="486"/>
  <c r="G5" i="486"/>
  <c r="G6" i="486"/>
  <c r="G7" i="486"/>
  <c r="G8" i="486"/>
  <c r="G9" i="486"/>
  <c r="G10" i="486"/>
  <c r="G11" i="486"/>
  <c r="G12" i="486"/>
  <c r="G13" i="486"/>
  <c r="G14" i="486"/>
  <c r="G15" i="486"/>
  <c r="G16" i="486"/>
  <c r="G17" i="486"/>
  <c r="G18" i="486"/>
  <c r="G19" i="486"/>
  <c r="G20" i="486"/>
  <c r="G21" i="486"/>
  <c r="G22" i="486"/>
  <c r="G23" i="486"/>
  <c r="G24" i="486"/>
  <c r="G25" i="486"/>
  <c r="G26" i="486"/>
  <c r="G27" i="486"/>
  <c r="G28" i="486"/>
  <c r="G45" i="486"/>
  <c r="G46" i="486"/>
  <c r="G47" i="486"/>
  <c r="G48" i="486"/>
  <c r="G49" i="486"/>
  <c r="G50" i="486"/>
  <c r="G51" i="486"/>
  <c r="G52" i="486"/>
  <c r="G53" i="486"/>
  <c r="G54" i="486"/>
  <c r="G55" i="486"/>
  <c r="G56" i="486"/>
  <c r="G57" i="486"/>
  <c r="G44" i="486"/>
  <c r="G29" i="486"/>
  <c r="G30" i="486"/>
  <c r="G31" i="486"/>
  <c r="G32" i="486"/>
  <c r="G33" i="486"/>
  <c r="G34" i="486"/>
  <c r="G35" i="486"/>
  <c r="G36" i="486"/>
  <c r="G37" i="486"/>
  <c r="G38" i="486"/>
  <c r="G39" i="486"/>
  <c r="G40" i="486"/>
  <c r="G41" i="486"/>
  <c r="G42" i="486"/>
  <c r="G58" i="486"/>
  <c r="G59" i="486"/>
  <c r="G60" i="486"/>
  <c r="G61" i="486"/>
  <c r="G62" i="486"/>
  <c r="G63" i="486"/>
  <c r="G64" i="486"/>
  <c r="G65" i="486"/>
  <c r="G66" i="486"/>
  <c r="G67" i="486"/>
  <c r="G68" i="486"/>
  <c r="G69" i="486"/>
  <c r="G70" i="486"/>
  <c r="G71" i="486"/>
  <c r="G72" i="486"/>
  <c r="G74" i="486"/>
  <c r="G75" i="486"/>
  <c r="G76" i="486"/>
  <c r="G77" i="486"/>
  <c r="G78" i="486"/>
  <c r="G79" i="486"/>
  <c r="G80" i="486"/>
  <c r="G87" i="486"/>
  <c r="G89" i="486"/>
  <c r="G91" i="486"/>
  <c r="G93" i="486"/>
  <c r="G95" i="486"/>
  <c r="G97" i="486"/>
  <c r="G99" i="486"/>
  <c r="G73" i="486"/>
  <c r="G81" i="486"/>
  <c r="G82" i="486"/>
  <c r="G83" i="486"/>
  <c r="G84" i="486"/>
  <c r="G85" i="486"/>
  <c r="G101" i="486"/>
  <c r="G102" i="486"/>
  <c r="G103" i="486"/>
  <c r="G104" i="486"/>
  <c r="G105" i="486"/>
  <c r="G106" i="486"/>
  <c r="G107" i="486"/>
  <c r="G108" i="486"/>
  <c r="G109" i="486"/>
  <c r="G110" i="486"/>
  <c r="G111" i="486"/>
  <c r="G112" i="486"/>
  <c r="G113" i="486"/>
  <c r="G114" i="486"/>
  <c r="G115" i="486"/>
  <c r="G116" i="486"/>
  <c r="G117" i="486"/>
  <c r="G118" i="486"/>
  <c r="G119" i="486"/>
  <c r="G120" i="486"/>
  <c r="G121" i="486"/>
  <c r="G122" i="486"/>
  <c r="G123" i="486"/>
  <c r="G124" i="486"/>
  <c r="G125" i="486"/>
  <c r="G126" i="486"/>
  <c r="G127" i="486"/>
  <c r="G128" i="486"/>
  <c r="G129" i="486"/>
  <c r="G130" i="486"/>
  <c r="G131" i="486"/>
  <c r="G132" i="486"/>
  <c r="G133" i="486"/>
  <c r="G134" i="486"/>
  <c r="G135" i="486"/>
  <c r="G136" i="486"/>
  <c r="G137" i="486"/>
  <c r="G138" i="486"/>
  <c r="G139" i="486"/>
  <c r="G140" i="486"/>
  <c r="G141" i="486"/>
  <c r="G142" i="486"/>
  <c r="G143" i="486"/>
  <c r="G144" i="486"/>
  <c r="G43" i="486"/>
  <c r="G86" i="486"/>
  <c r="G88" i="486"/>
  <c r="G90" i="486"/>
  <c r="G92" i="486"/>
  <c r="G94" i="486"/>
  <c r="G96" i="486"/>
  <c r="G98" i="486"/>
  <c r="G100" i="486"/>
  <c r="G163" i="486"/>
  <c r="G165" i="486"/>
  <c r="G167" i="486"/>
  <c r="G168" i="486"/>
  <c r="G169" i="486"/>
  <c r="G170" i="486"/>
  <c r="G171" i="486"/>
  <c r="G172" i="486"/>
  <c r="G173" i="486"/>
  <c r="G174" i="486"/>
  <c r="G175" i="486"/>
  <c r="G176" i="486"/>
  <c r="G177" i="486"/>
  <c r="G178" i="486"/>
  <c r="G179" i="486"/>
  <c r="G180" i="486"/>
  <c r="G181" i="486"/>
  <c r="G182" i="486"/>
  <c r="G183" i="486"/>
  <c r="G184" i="486"/>
  <c r="G185" i="486"/>
  <c r="G186" i="486"/>
  <c r="G187" i="486"/>
  <c r="G188" i="486"/>
  <c r="G189" i="486"/>
  <c r="G190" i="486"/>
  <c r="G191" i="486"/>
  <c r="G192" i="486"/>
  <c r="G193" i="486"/>
  <c r="G194" i="486"/>
  <c r="G195" i="486"/>
  <c r="G196" i="486"/>
  <c r="G197" i="486"/>
  <c r="G198" i="486"/>
  <c r="G199" i="486"/>
  <c r="G200" i="486"/>
  <c r="G201" i="486"/>
  <c r="G202" i="486"/>
  <c r="G203" i="486"/>
  <c r="G146" i="486"/>
  <c r="G150" i="486"/>
  <c r="G154" i="486"/>
  <c r="G158" i="486"/>
  <c r="G162" i="486"/>
  <c r="G224" i="486"/>
  <c r="G225" i="486"/>
  <c r="G226" i="486"/>
  <c r="G227" i="486"/>
  <c r="G228" i="486"/>
  <c r="G229" i="486"/>
  <c r="G230" i="486"/>
  <c r="G231" i="486"/>
  <c r="G232" i="486"/>
  <c r="G233" i="486"/>
  <c r="G234" i="486"/>
  <c r="G235" i="486"/>
  <c r="G236" i="486"/>
  <c r="G237" i="486"/>
  <c r="G238" i="486"/>
  <c r="G239" i="486"/>
  <c r="G240" i="486"/>
  <c r="G241" i="486"/>
  <c r="G242" i="486"/>
  <c r="G243" i="486"/>
  <c r="G244" i="486"/>
  <c r="G245" i="486"/>
  <c r="G246" i="486"/>
  <c r="G247" i="486"/>
  <c r="G152" i="486"/>
  <c r="G160" i="486"/>
  <c r="G166" i="486"/>
  <c r="G205" i="486"/>
  <c r="G208" i="486"/>
  <c r="G211" i="486"/>
  <c r="G213" i="486"/>
  <c r="G216" i="486"/>
  <c r="G149" i="486"/>
  <c r="G157" i="486"/>
  <c r="G147" i="486"/>
  <c r="G151" i="486"/>
  <c r="G155" i="486"/>
  <c r="G159" i="486"/>
  <c r="G219" i="486"/>
  <c r="G221" i="486"/>
  <c r="G223" i="486"/>
  <c r="G148" i="486"/>
  <c r="G156" i="486"/>
  <c r="G204" i="486"/>
  <c r="G207" i="486"/>
  <c r="G210" i="486"/>
  <c r="G214" i="486"/>
  <c r="G217" i="486"/>
  <c r="G153" i="486"/>
  <c r="G164" i="486"/>
  <c r="G220" i="486"/>
  <c r="G206" i="486"/>
  <c r="G209" i="486"/>
  <c r="G212" i="486"/>
  <c r="G215" i="486"/>
  <c r="G145" i="486"/>
  <c r="G161" i="486"/>
  <c r="G218" i="486"/>
  <c r="G222" i="486"/>
  <c r="I3" i="486"/>
  <c r="I4" i="486"/>
  <c r="I5" i="486"/>
  <c r="I6" i="486"/>
  <c r="I7" i="486"/>
  <c r="I8" i="486"/>
  <c r="I9" i="486"/>
  <c r="I10" i="486"/>
  <c r="I11" i="486"/>
  <c r="I12" i="486"/>
  <c r="I13" i="486"/>
  <c r="I14" i="486"/>
  <c r="I15" i="486"/>
  <c r="I16" i="486"/>
  <c r="I17" i="486"/>
  <c r="I18" i="486"/>
  <c r="I19" i="486"/>
  <c r="I20" i="486"/>
  <c r="I21" i="486"/>
  <c r="I22" i="486"/>
  <c r="I23" i="486"/>
  <c r="I24" i="486"/>
  <c r="I25" i="486"/>
  <c r="I26" i="486"/>
  <c r="I27" i="486"/>
  <c r="I28" i="486"/>
  <c r="I29" i="486"/>
  <c r="I30" i="486"/>
  <c r="I31" i="486"/>
  <c r="I32" i="486"/>
  <c r="I33" i="486"/>
  <c r="I34" i="486"/>
  <c r="I35" i="486"/>
  <c r="I36" i="486"/>
  <c r="I37" i="486"/>
  <c r="I38" i="486"/>
  <c r="I39" i="486"/>
  <c r="I40" i="486"/>
  <c r="I41" i="486"/>
  <c r="I42" i="486"/>
  <c r="I2" i="486"/>
  <c r="I43" i="486"/>
  <c r="I45" i="486"/>
  <c r="I46" i="486"/>
  <c r="I47" i="486"/>
  <c r="I48" i="486"/>
  <c r="I49" i="486"/>
  <c r="I50" i="486"/>
  <c r="I51" i="486"/>
  <c r="I52" i="486"/>
  <c r="I53" i="486"/>
  <c r="I54" i="486"/>
  <c r="I55" i="486"/>
  <c r="I56" i="486"/>
  <c r="I57" i="486"/>
  <c r="I58" i="486"/>
  <c r="I59" i="486"/>
  <c r="I60" i="486"/>
  <c r="I61" i="486"/>
  <c r="I62" i="486"/>
  <c r="I63" i="486"/>
  <c r="I64" i="486"/>
  <c r="I65" i="486"/>
  <c r="I66" i="486"/>
  <c r="I67" i="486"/>
  <c r="I68" i="486"/>
  <c r="I69" i="486"/>
  <c r="I70" i="486"/>
  <c r="I71" i="486"/>
  <c r="I73" i="486"/>
  <c r="I74" i="486"/>
  <c r="I75" i="486"/>
  <c r="I76" i="486"/>
  <c r="I77" i="486"/>
  <c r="I78" i="486"/>
  <c r="I79" i="486"/>
  <c r="I80" i="486"/>
  <c r="I81" i="486"/>
  <c r="I82" i="486"/>
  <c r="I83" i="486"/>
  <c r="I84" i="486"/>
  <c r="I85" i="486"/>
  <c r="I86" i="486"/>
  <c r="I87" i="486"/>
  <c r="I88" i="486"/>
  <c r="I89" i="486"/>
  <c r="I90" i="486"/>
  <c r="I91" i="486"/>
  <c r="I92" i="486"/>
  <c r="I93" i="486"/>
  <c r="I94" i="486"/>
  <c r="I95" i="486"/>
  <c r="I96" i="486"/>
  <c r="I97" i="486"/>
  <c r="I98" i="486"/>
  <c r="I99" i="486"/>
  <c r="I100" i="486"/>
  <c r="I44" i="486"/>
  <c r="I72" i="486"/>
  <c r="I145" i="486"/>
  <c r="I146" i="486"/>
  <c r="I147" i="486"/>
  <c r="I148" i="486"/>
  <c r="I149" i="486"/>
  <c r="I150" i="486"/>
  <c r="I151" i="486"/>
  <c r="I152" i="486"/>
  <c r="I153" i="486"/>
  <c r="I154" i="486"/>
  <c r="I155" i="486"/>
  <c r="I156" i="486"/>
  <c r="I157" i="486"/>
  <c r="I158" i="486"/>
  <c r="I159" i="486"/>
  <c r="I160" i="486"/>
  <c r="I161" i="486"/>
  <c r="I162" i="486"/>
  <c r="I164" i="486"/>
  <c r="I166" i="486"/>
  <c r="I167" i="486"/>
  <c r="I168" i="486"/>
  <c r="I169" i="486"/>
  <c r="I170" i="486"/>
  <c r="I171" i="486"/>
  <c r="I172" i="486"/>
  <c r="I173" i="486"/>
  <c r="I174" i="486"/>
  <c r="I175" i="486"/>
  <c r="I176" i="486"/>
  <c r="I177" i="486"/>
  <c r="I178" i="486"/>
  <c r="I179" i="486"/>
  <c r="I180" i="486"/>
  <c r="I181" i="486"/>
  <c r="I182" i="486"/>
  <c r="I183" i="486"/>
  <c r="I184" i="486"/>
  <c r="I185" i="486"/>
  <c r="I186" i="486"/>
  <c r="I187" i="486"/>
  <c r="I188" i="486"/>
  <c r="I189" i="486"/>
  <c r="I190" i="486"/>
  <c r="I191" i="486"/>
  <c r="I192" i="486"/>
  <c r="I193" i="486"/>
  <c r="I194" i="486"/>
  <c r="I195" i="486"/>
  <c r="I196" i="486"/>
  <c r="I197" i="486"/>
  <c r="I198" i="486"/>
  <c r="I199" i="486"/>
  <c r="I200" i="486"/>
  <c r="I201" i="486"/>
  <c r="I202" i="486"/>
  <c r="I203" i="486"/>
  <c r="I204" i="486"/>
  <c r="I205" i="486"/>
  <c r="I206" i="486"/>
  <c r="I207" i="486"/>
  <c r="I208" i="486"/>
  <c r="I209" i="486"/>
  <c r="I210" i="486"/>
  <c r="I211" i="486"/>
  <c r="I212" i="486"/>
  <c r="I213" i="486"/>
  <c r="I214" i="486"/>
  <c r="I215" i="486"/>
  <c r="I216" i="486"/>
  <c r="I217" i="486"/>
  <c r="I218" i="486"/>
  <c r="I219" i="486"/>
  <c r="I220" i="486"/>
  <c r="I221" i="486"/>
  <c r="I222" i="486"/>
  <c r="I223" i="486"/>
  <c r="I102" i="486"/>
  <c r="I104" i="486"/>
  <c r="I106" i="486"/>
  <c r="I108" i="486"/>
  <c r="I110" i="486"/>
  <c r="I112" i="486"/>
  <c r="I114" i="486"/>
  <c r="I116" i="486"/>
  <c r="I118" i="486"/>
  <c r="I120" i="486"/>
  <c r="I122" i="486"/>
  <c r="I124" i="486"/>
  <c r="I126" i="486"/>
  <c r="I128" i="486"/>
  <c r="I130" i="486"/>
  <c r="I132" i="486"/>
  <c r="I134" i="486"/>
  <c r="I136" i="486"/>
  <c r="I138" i="486"/>
  <c r="I140" i="486"/>
  <c r="I142" i="486"/>
  <c r="I144" i="486"/>
  <c r="I163" i="486"/>
  <c r="I165" i="486"/>
  <c r="I107" i="486"/>
  <c r="I115" i="486"/>
  <c r="I123" i="486"/>
  <c r="I131" i="486"/>
  <c r="I139" i="486"/>
  <c r="I111" i="486"/>
  <c r="I135" i="486"/>
  <c r="I143" i="486"/>
  <c r="I224" i="486"/>
  <c r="I227" i="486"/>
  <c r="I230" i="486"/>
  <c r="I233" i="486"/>
  <c r="I237" i="486"/>
  <c r="I239" i="486"/>
  <c r="I241" i="486"/>
  <c r="I245" i="486"/>
  <c r="I247" i="486"/>
  <c r="I129" i="486"/>
  <c r="I101" i="486"/>
  <c r="I109" i="486"/>
  <c r="I117" i="486"/>
  <c r="I125" i="486"/>
  <c r="I133" i="486"/>
  <c r="I141" i="486"/>
  <c r="I248" i="486"/>
  <c r="I103" i="486"/>
  <c r="I119" i="486"/>
  <c r="I127" i="486"/>
  <c r="I225" i="486"/>
  <c r="I228" i="486"/>
  <c r="I231" i="486"/>
  <c r="I234" i="486"/>
  <c r="I236" i="486"/>
  <c r="I240" i="486"/>
  <c r="I242" i="486"/>
  <c r="I244" i="486"/>
  <c r="I121" i="486"/>
  <c r="I137" i="486"/>
  <c r="I226" i="486"/>
  <c r="I229" i="486"/>
  <c r="I232" i="486"/>
  <c r="I235" i="486"/>
  <c r="I238" i="486"/>
  <c r="I243" i="486"/>
  <c r="I246" i="486"/>
  <c r="I105" i="486"/>
  <c r="I113" i="486"/>
  <c r="H204" i="486"/>
  <c r="H207" i="486"/>
  <c r="H210" i="486"/>
  <c r="H213" i="486"/>
  <c r="H216" i="486"/>
  <c r="H96" i="486"/>
  <c r="H205" i="486"/>
  <c r="H208" i="486"/>
  <c r="H211" i="486"/>
  <c r="H214" i="486"/>
  <c r="H217" i="486"/>
  <c r="H206" i="486"/>
  <c r="H209" i="486"/>
  <c r="H212" i="486"/>
  <c r="H215" i="486"/>
  <c r="J219" i="486"/>
  <c r="J221" i="486"/>
  <c r="J224" i="486"/>
  <c r="J227" i="486"/>
  <c r="J230" i="486"/>
  <c r="J163" i="486"/>
  <c r="J223" i="486"/>
  <c r="J225" i="486"/>
  <c r="J228" i="486"/>
  <c r="J226" i="486"/>
  <c r="J229" i="486"/>
  <c r="G248" i="486"/>
  <c r="H2" i="486"/>
  <c r="H43" i="486"/>
  <c r="H3" i="486"/>
  <c r="H5" i="486"/>
  <c r="H7" i="486"/>
  <c r="H9" i="486"/>
  <c r="H11" i="486"/>
  <c r="H13" i="486"/>
  <c r="H15" i="486"/>
  <c r="H17" i="486"/>
  <c r="H19" i="486"/>
  <c r="H21" i="486"/>
  <c r="H23" i="486"/>
  <c r="H25" i="486"/>
  <c r="H27" i="486"/>
  <c r="H45" i="486"/>
  <c r="H46" i="486"/>
  <c r="H47" i="486"/>
  <c r="H48" i="486"/>
  <c r="H49" i="486"/>
  <c r="H50" i="486"/>
  <c r="H51" i="486"/>
  <c r="H52" i="486"/>
  <c r="H53" i="486"/>
  <c r="H54" i="486"/>
  <c r="H55" i="486"/>
  <c r="H56" i="486"/>
  <c r="H57" i="486"/>
  <c r="H58" i="486"/>
  <c r="H59" i="486"/>
  <c r="H60" i="486"/>
  <c r="H61" i="486"/>
  <c r="H62" i="486"/>
  <c r="H63" i="486"/>
  <c r="H64" i="486"/>
  <c r="H65" i="486"/>
  <c r="H66" i="486"/>
  <c r="H67" i="486"/>
  <c r="H68" i="486"/>
  <c r="H69" i="486"/>
  <c r="H70" i="486"/>
  <c r="H71" i="486"/>
  <c r="H72" i="486"/>
  <c r="H73" i="486"/>
  <c r="H44" i="486"/>
  <c r="H4" i="486"/>
  <c r="H12" i="486"/>
  <c r="H20" i="486"/>
  <c r="H28" i="486"/>
  <c r="H32" i="486"/>
  <c r="H36" i="486"/>
  <c r="H40" i="486"/>
  <c r="H6" i="486"/>
  <c r="H14" i="486"/>
  <c r="H22" i="486"/>
  <c r="H29" i="486"/>
  <c r="H33" i="486"/>
  <c r="H37" i="486"/>
  <c r="H41" i="486"/>
  <c r="H8" i="486"/>
  <c r="H16" i="486"/>
  <c r="H24" i="486"/>
  <c r="H30" i="486"/>
  <c r="H34" i="486"/>
  <c r="H38" i="486"/>
  <c r="H42" i="486"/>
  <c r="H10" i="486"/>
  <c r="H35" i="486"/>
  <c r="H18" i="486"/>
  <c r="H39" i="486"/>
  <c r="H75" i="486"/>
  <c r="H77" i="486"/>
  <c r="H79" i="486"/>
  <c r="H87" i="486"/>
  <c r="H89" i="486"/>
  <c r="H91" i="486"/>
  <c r="H93" i="486"/>
  <c r="H95" i="486"/>
  <c r="H97" i="486"/>
  <c r="H99" i="486"/>
  <c r="H26" i="486"/>
  <c r="H81" i="486"/>
  <c r="H82" i="486"/>
  <c r="H83" i="486"/>
  <c r="H84" i="486"/>
  <c r="H85" i="486"/>
  <c r="H101" i="486"/>
  <c r="H102" i="486"/>
  <c r="H103" i="486"/>
  <c r="H104" i="486"/>
  <c r="H105" i="486"/>
  <c r="H106" i="486"/>
  <c r="H107" i="486"/>
  <c r="H108" i="486"/>
  <c r="H109" i="486"/>
  <c r="H110" i="486"/>
  <c r="H111" i="486"/>
  <c r="H112" i="486"/>
  <c r="H113" i="486"/>
  <c r="H114" i="486"/>
  <c r="H115" i="486"/>
  <c r="H116" i="486"/>
  <c r="H117" i="486"/>
  <c r="H118" i="486"/>
  <c r="H119" i="486"/>
  <c r="H120" i="486"/>
  <c r="H121" i="486"/>
  <c r="H122" i="486"/>
  <c r="H123" i="486"/>
  <c r="H124" i="486"/>
  <c r="H125" i="486"/>
  <c r="H126" i="486"/>
  <c r="H127" i="486"/>
  <c r="H128" i="486"/>
  <c r="H129" i="486"/>
  <c r="H130" i="486"/>
  <c r="H131" i="486"/>
  <c r="H132" i="486"/>
  <c r="H133" i="486"/>
  <c r="H134" i="486"/>
  <c r="H135" i="486"/>
  <c r="H136" i="486"/>
  <c r="H137" i="486"/>
  <c r="H138" i="486"/>
  <c r="H139" i="486"/>
  <c r="H140" i="486"/>
  <c r="H141" i="486"/>
  <c r="H142" i="486"/>
  <c r="H143" i="486"/>
  <c r="H144" i="486"/>
  <c r="H145" i="486"/>
  <c r="H146" i="486"/>
  <c r="H147" i="486"/>
  <c r="H148" i="486"/>
  <c r="H149" i="486"/>
  <c r="H150" i="486"/>
  <c r="H151" i="486"/>
  <c r="H152" i="486"/>
  <c r="H153" i="486"/>
  <c r="H154" i="486"/>
  <c r="H155" i="486"/>
  <c r="H156" i="486"/>
  <c r="H157" i="486"/>
  <c r="H158" i="486"/>
  <c r="H159" i="486"/>
  <c r="H160" i="486"/>
  <c r="H161" i="486"/>
  <c r="H162" i="486"/>
  <c r="H163" i="486"/>
  <c r="H164" i="486"/>
  <c r="H165" i="486"/>
  <c r="H166" i="486"/>
  <c r="H31" i="486"/>
  <c r="H76" i="486"/>
  <c r="H86" i="486"/>
  <c r="H94" i="486"/>
  <c r="H78" i="486"/>
  <c r="H92" i="486"/>
  <c r="H100" i="486"/>
  <c r="H80" i="486"/>
  <c r="H90" i="486"/>
  <c r="H98" i="486"/>
  <c r="H223" i="486"/>
  <c r="K218" i="486"/>
  <c r="H200" i="486"/>
  <c r="H194" i="486"/>
  <c r="H186" i="486"/>
  <c r="H174" i="486"/>
  <c r="H248" i="486"/>
  <c r="K222" i="486"/>
  <c r="K220" i="486"/>
  <c r="H198" i="486"/>
  <c r="H192" i="486"/>
  <c r="H188" i="486"/>
  <c r="H182" i="486"/>
  <c r="H178" i="486"/>
  <c r="H172" i="486"/>
  <c r="H168" i="486"/>
  <c r="K81" i="486"/>
  <c r="K2" i="486"/>
  <c r="K3" i="486"/>
  <c r="K4" i="486"/>
  <c r="K5" i="486"/>
  <c r="K6" i="486"/>
  <c r="K7" i="486"/>
  <c r="K8" i="486"/>
  <c r="K9" i="486"/>
  <c r="K10" i="486"/>
  <c r="K11" i="486"/>
  <c r="K12" i="486"/>
  <c r="K13" i="486"/>
  <c r="K14" i="486"/>
  <c r="K15" i="486"/>
  <c r="K16" i="486"/>
  <c r="K17" i="486"/>
  <c r="K18" i="486"/>
  <c r="K19" i="486"/>
  <c r="K20" i="486"/>
  <c r="K21" i="486"/>
  <c r="K22" i="486"/>
  <c r="K23" i="486"/>
  <c r="K24" i="486"/>
  <c r="K25" i="486"/>
  <c r="K26" i="486"/>
  <c r="K27" i="486"/>
  <c r="K28" i="486"/>
  <c r="K29" i="486"/>
  <c r="K30" i="486"/>
  <c r="K31" i="486"/>
  <c r="K32" i="486"/>
  <c r="K33" i="486"/>
  <c r="K34" i="486"/>
  <c r="K35" i="486"/>
  <c r="K36" i="486"/>
  <c r="K37" i="486"/>
  <c r="K38" i="486"/>
  <c r="K39" i="486"/>
  <c r="K40" i="486"/>
  <c r="K41" i="486"/>
  <c r="K42" i="486"/>
  <c r="K44" i="486"/>
  <c r="K45" i="486"/>
  <c r="K46" i="486"/>
  <c r="K47" i="486"/>
  <c r="K48" i="486"/>
  <c r="K49" i="486"/>
  <c r="K50" i="486"/>
  <c r="K51" i="486"/>
  <c r="K52" i="486"/>
  <c r="K53" i="486"/>
  <c r="K54" i="486"/>
  <c r="K55" i="486"/>
  <c r="K56" i="486"/>
  <c r="K57" i="486"/>
  <c r="K43" i="486"/>
  <c r="K72" i="486"/>
  <c r="K73" i="486"/>
  <c r="K74" i="486"/>
  <c r="K75" i="486"/>
  <c r="K76" i="486"/>
  <c r="K77" i="486"/>
  <c r="K78" i="486"/>
  <c r="K79" i="486"/>
  <c r="K80" i="486"/>
  <c r="K60" i="486"/>
  <c r="K64" i="486"/>
  <c r="K68" i="486"/>
  <c r="K61" i="486"/>
  <c r="K65" i="486"/>
  <c r="K69" i="486"/>
  <c r="K86" i="486"/>
  <c r="K88" i="486"/>
  <c r="K90" i="486"/>
  <c r="K92" i="486"/>
  <c r="K94" i="486"/>
  <c r="K96" i="486"/>
  <c r="K98" i="486"/>
  <c r="K100" i="486"/>
  <c r="K101" i="486"/>
  <c r="K102" i="486"/>
  <c r="K103" i="486"/>
  <c r="K104" i="486"/>
  <c r="K105" i="486"/>
  <c r="K106" i="486"/>
  <c r="K107" i="486"/>
  <c r="K108" i="486"/>
  <c r="K109" i="486"/>
  <c r="K110" i="486"/>
  <c r="K111" i="486"/>
  <c r="K112" i="486"/>
  <c r="K113" i="486"/>
  <c r="K114" i="486"/>
  <c r="K115" i="486"/>
  <c r="K116" i="486"/>
  <c r="K117" i="486"/>
  <c r="K118" i="486"/>
  <c r="K119" i="486"/>
  <c r="K120" i="486"/>
  <c r="K121" i="486"/>
  <c r="K122" i="486"/>
  <c r="K123" i="486"/>
  <c r="K124" i="486"/>
  <c r="K125" i="486"/>
  <c r="K126" i="486"/>
  <c r="K127" i="486"/>
  <c r="K128" i="486"/>
  <c r="K129" i="486"/>
  <c r="K130" i="486"/>
  <c r="K131" i="486"/>
  <c r="K132" i="486"/>
  <c r="K133" i="486"/>
  <c r="K134" i="486"/>
  <c r="K135" i="486"/>
  <c r="K136" i="486"/>
  <c r="K137" i="486"/>
  <c r="K138" i="486"/>
  <c r="K139" i="486"/>
  <c r="K140" i="486"/>
  <c r="K141" i="486"/>
  <c r="K142" i="486"/>
  <c r="K143" i="486"/>
  <c r="K144" i="486"/>
  <c r="K58" i="486"/>
  <c r="K62" i="486"/>
  <c r="K66" i="486"/>
  <c r="K70" i="486"/>
  <c r="K63" i="486"/>
  <c r="K82" i="486"/>
  <c r="K91" i="486"/>
  <c r="K99" i="486"/>
  <c r="K163" i="486"/>
  <c r="K165" i="486"/>
  <c r="K67" i="486"/>
  <c r="K83" i="486"/>
  <c r="K89" i="486"/>
  <c r="K97" i="486"/>
  <c r="K145" i="486"/>
  <c r="K146" i="486"/>
  <c r="K147" i="486"/>
  <c r="K148" i="486"/>
  <c r="K149" i="486"/>
  <c r="K150" i="486"/>
  <c r="K151" i="486"/>
  <c r="K152" i="486"/>
  <c r="K153" i="486"/>
  <c r="K154" i="486"/>
  <c r="K155" i="486"/>
  <c r="K156" i="486"/>
  <c r="K157" i="486"/>
  <c r="K158" i="486"/>
  <c r="K159" i="486"/>
  <c r="K160" i="486"/>
  <c r="K161" i="486"/>
  <c r="K71" i="486"/>
  <c r="K84" i="486"/>
  <c r="K87" i="486"/>
  <c r="K95" i="486"/>
  <c r="K162" i="486"/>
  <c r="K164" i="486"/>
  <c r="K166" i="486"/>
  <c r="K167" i="486"/>
  <c r="K168" i="486"/>
  <c r="K169" i="486"/>
  <c r="K170" i="486"/>
  <c r="K171" i="486"/>
  <c r="K172" i="486"/>
  <c r="K173" i="486"/>
  <c r="K174" i="486"/>
  <c r="K175" i="486"/>
  <c r="K176" i="486"/>
  <c r="K177" i="486"/>
  <c r="K178" i="486"/>
  <c r="K179" i="486"/>
  <c r="K180" i="486"/>
  <c r="K181" i="486"/>
  <c r="K182" i="486"/>
  <c r="K183" i="486"/>
  <c r="K184" i="486"/>
  <c r="K185" i="486"/>
  <c r="K186" i="486"/>
  <c r="K187" i="486"/>
  <c r="K188" i="486"/>
  <c r="K189" i="486"/>
  <c r="K190" i="486"/>
  <c r="K191" i="486"/>
  <c r="K192" i="486"/>
  <c r="K193" i="486"/>
  <c r="K194" i="486"/>
  <c r="K195" i="486"/>
  <c r="K196" i="486"/>
  <c r="K197" i="486"/>
  <c r="K198" i="486"/>
  <c r="K199" i="486"/>
  <c r="K200" i="486"/>
  <c r="K201" i="486"/>
  <c r="K202" i="486"/>
  <c r="K203" i="486"/>
  <c r="H247" i="486"/>
  <c r="H246" i="486"/>
  <c r="H245" i="486"/>
  <c r="H244" i="486"/>
  <c r="H243" i="486"/>
  <c r="H242" i="486"/>
  <c r="H241" i="486"/>
  <c r="H240" i="486"/>
  <c r="H239" i="486"/>
  <c r="H238" i="486"/>
  <c r="H237" i="486"/>
  <c r="H236" i="486"/>
  <c r="H235" i="486"/>
  <c r="H234" i="486"/>
  <c r="H233" i="486"/>
  <c r="H232" i="486"/>
  <c r="H231" i="486"/>
  <c r="H230" i="486"/>
  <c r="H229" i="486"/>
  <c r="H228" i="486"/>
  <c r="H227" i="486"/>
  <c r="H226" i="486"/>
  <c r="H225" i="486"/>
  <c r="H224" i="486"/>
  <c r="J222" i="486"/>
  <c r="J220" i="486"/>
  <c r="J218" i="486"/>
  <c r="H74" i="486"/>
  <c r="H221" i="486"/>
  <c r="H219" i="486"/>
  <c r="H202" i="486"/>
  <c r="H196" i="486"/>
  <c r="H190" i="486"/>
  <c r="H184" i="486"/>
  <c r="H180" i="486"/>
  <c r="H176" i="486"/>
  <c r="H170" i="486"/>
  <c r="J3" i="486"/>
  <c r="J4" i="486"/>
  <c r="J5" i="486"/>
  <c r="J6" i="486"/>
  <c r="J7" i="486"/>
  <c r="J8" i="486"/>
  <c r="J9" i="486"/>
  <c r="J10" i="486"/>
  <c r="J11" i="486"/>
  <c r="J12" i="486"/>
  <c r="J13" i="486"/>
  <c r="J14" i="486"/>
  <c r="J15" i="486"/>
  <c r="J16" i="486"/>
  <c r="J17" i="486"/>
  <c r="J18" i="486"/>
  <c r="J19" i="486"/>
  <c r="J20" i="486"/>
  <c r="J21" i="486"/>
  <c r="J22" i="486"/>
  <c r="J23" i="486"/>
  <c r="J24" i="486"/>
  <c r="J25" i="486"/>
  <c r="J26" i="486"/>
  <c r="J27" i="486"/>
  <c r="J28" i="486"/>
  <c r="J29" i="486"/>
  <c r="J30" i="486"/>
  <c r="J31" i="486"/>
  <c r="J32" i="486"/>
  <c r="J33" i="486"/>
  <c r="J34" i="486"/>
  <c r="J35" i="486"/>
  <c r="J36" i="486"/>
  <c r="J37" i="486"/>
  <c r="J38" i="486"/>
  <c r="J39" i="486"/>
  <c r="J40" i="486"/>
  <c r="J41" i="486"/>
  <c r="J42" i="486"/>
  <c r="J43" i="486"/>
  <c r="J44" i="486"/>
  <c r="J2" i="486"/>
  <c r="J46" i="486"/>
  <c r="J48" i="486"/>
  <c r="J50" i="486"/>
  <c r="J52" i="486"/>
  <c r="J54" i="486"/>
  <c r="J56" i="486"/>
  <c r="J73" i="486"/>
  <c r="J74" i="486"/>
  <c r="J75" i="486"/>
  <c r="J76" i="486"/>
  <c r="J77" i="486"/>
  <c r="J78" i="486"/>
  <c r="J79" i="486"/>
  <c r="J80" i="486"/>
  <c r="J81" i="486"/>
  <c r="J82" i="486"/>
  <c r="J83" i="486"/>
  <c r="J84" i="486"/>
  <c r="J85" i="486"/>
  <c r="J58" i="486"/>
  <c r="J59" i="486"/>
  <c r="J60" i="486"/>
  <c r="J61" i="486"/>
  <c r="J62" i="486"/>
  <c r="J63" i="486"/>
  <c r="J64" i="486"/>
  <c r="J65" i="486"/>
  <c r="J66" i="486"/>
  <c r="J67" i="486"/>
  <c r="J68" i="486"/>
  <c r="J69" i="486"/>
  <c r="J70" i="486"/>
  <c r="J71" i="486"/>
  <c r="J47" i="486"/>
  <c r="J55" i="486"/>
  <c r="J72" i="486"/>
  <c r="J86" i="486"/>
  <c r="J88" i="486"/>
  <c r="J90" i="486"/>
  <c r="J92" i="486"/>
  <c r="J94" i="486"/>
  <c r="J96" i="486"/>
  <c r="J98" i="486"/>
  <c r="J100" i="486"/>
  <c r="J101" i="486"/>
  <c r="J102" i="486"/>
  <c r="J103" i="486"/>
  <c r="J104" i="486"/>
  <c r="J105" i="486"/>
  <c r="J106" i="486"/>
  <c r="J107" i="486"/>
  <c r="J108" i="486"/>
  <c r="J109" i="486"/>
  <c r="J110" i="486"/>
  <c r="J111" i="486"/>
  <c r="J112" i="486"/>
  <c r="J113" i="486"/>
  <c r="J114" i="486"/>
  <c r="J115" i="486"/>
  <c r="J116" i="486"/>
  <c r="J117" i="486"/>
  <c r="J118" i="486"/>
  <c r="J119" i="486"/>
  <c r="J120" i="486"/>
  <c r="J121" i="486"/>
  <c r="J122" i="486"/>
  <c r="J123" i="486"/>
  <c r="J124" i="486"/>
  <c r="J125" i="486"/>
  <c r="J126" i="486"/>
  <c r="J127" i="486"/>
  <c r="J128" i="486"/>
  <c r="J129" i="486"/>
  <c r="J130" i="486"/>
  <c r="J131" i="486"/>
  <c r="J132" i="486"/>
  <c r="J133" i="486"/>
  <c r="J134" i="486"/>
  <c r="J135" i="486"/>
  <c r="J136" i="486"/>
  <c r="J137" i="486"/>
  <c r="J138" i="486"/>
  <c r="J139" i="486"/>
  <c r="J140" i="486"/>
  <c r="J141" i="486"/>
  <c r="J142" i="486"/>
  <c r="J143" i="486"/>
  <c r="J144" i="486"/>
  <c r="J145" i="486"/>
  <c r="J146" i="486"/>
  <c r="J147" i="486"/>
  <c r="J148" i="486"/>
  <c r="J149" i="486"/>
  <c r="J150" i="486"/>
  <c r="J151" i="486"/>
  <c r="J152" i="486"/>
  <c r="J153" i="486"/>
  <c r="J154" i="486"/>
  <c r="J155" i="486"/>
  <c r="J156" i="486"/>
  <c r="J157" i="486"/>
  <c r="J158" i="486"/>
  <c r="J159" i="486"/>
  <c r="J160" i="486"/>
  <c r="J161" i="486"/>
  <c r="J49" i="486"/>
  <c r="J57" i="486"/>
  <c r="J51" i="486"/>
  <c r="J87" i="486"/>
  <c r="J89" i="486"/>
  <c r="J91" i="486"/>
  <c r="J93" i="486"/>
  <c r="J95" i="486"/>
  <c r="J97" i="486"/>
  <c r="J99" i="486"/>
  <c r="J45" i="486"/>
  <c r="J162" i="486"/>
  <c r="J164" i="486"/>
  <c r="J166" i="486"/>
  <c r="J167" i="486"/>
  <c r="J168" i="486"/>
  <c r="J169" i="486"/>
  <c r="J170" i="486"/>
  <c r="J171" i="486"/>
  <c r="J172" i="486"/>
  <c r="J173" i="486"/>
  <c r="J174" i="486"/>
  <c r="J175" i="486"/>
  <c r="J176" i="486"/>
  <c r="J177" i="486"/>
  <c r="J178" i="486"/>
  <c r="J179" i="486"/>
  <c r="J180" i="486"/>
  <c r="J181" i="486"/>
  <c r="J182" i="486"/>
  <c r="J183" i="486"/>
  <c r="J184" i="486"/>
  <c r="J185" i="486"/>
  <c r="J186" i="486"/>
  <c r="J187" i="486"/>
  <c r="J188" i="486"/>
  <c r="J189" i="486"/>
  <c r="J190" i="486"/>
  <c r="J191" i="486"/>
  <c r="J192" i="486"/>
  <c r="J193" i="486"/>
  <c r="J194" i="486"/>
  <c r="J195" i="486"/>
  <c r="J196" i="486"/>
  <c r="J197" i="486"/>
  <c r="J198" i="486"/>
  <c r="J199" i="486"/>
  <c r="J200" i="486"/>
  <c r="J201" i="486"/>
  <c r="J202" i="486"/>
  <c r="J203" i="486"/>
  <c r="J204" i="486"/>
  <c r="J205" i="486"/>
  <c r="J206" i="486"/>
  <c r="J207" i="486"/>
  <c r="J208" i="486"/>
  <c r="J209" i="486"/>
  <c r="J210" i="486"/>
  <c r="J211" i="486"/>
  <c r="J212" i="486"/>
  <c r="J213" i="486"/>
  <c r="J214" i="486"/>
  <c r="J215" i="486"/>
  <c r="J216" i="486"/>
  <c r="J217" i="486"/>
  <c r="J53" i="486"/>
  <c r="J248" i="486"/>
  <c r="K246" i="486"/>
  <c r="K245" i="486"/>
  <c r="K244" i="486"/>
  <c r="K243" i="486"/>
  <c r="K242" i="486"/>
  <c r="K241" i="486"/>
  <c r="K240" i="486"/>
  <c r="K239" i="486"/>
  <c r="K238" i="486"/>
  <c r="K237" i="486"/>
  <c r="K236" i="486"/>
  <c r="K235" i="486"/>
  <c r="K234" i="486"/>
  <c r="K233" i="486"/>
  <c r="K232" i="486"/>
  <c r="K231" i="486"/>
  <c r="K230" i="486"/>
  <c r="K229" i="486"/>
  <c r="K228" i="486"/>
  <c r="K227" i="486"/>
  <c r="K226" i="486"/>
  <c r="K225" i="486"/>
  <c r="K224" i="486"/>
  <c r="K223" i="486"/>
  <c r="H222" i="486"/>
  <c r="K221" i="486"/>
  <c r="H220" i="486"/>
  <c r="K219" i="486"/>
  <c r="H218" i="486"/>
  <c r="K217" i="486"/>
  <c r="K216" i="486"/>
  <c r="K215" i="486"/>
  <c r="K214" i="486"/>
  <c r="K213" i="486"/>
  <c r="K212" i="486"/>
  <c r="K211" i="486"/>
  <c r="K210" i="486"/>
  <c r="K209" i="486"/>
  <c r="K208" i="486"/>
  <c r="K207" i="486"/>
  <c r="K206" i="486"/>
  <c r="K205" i="486"/>
  <c r="K204" i="486"/>
  <c r="H203" i="486"/>
  <c r="H201" i="486"/>
  <c r="H199" i="486"/>
  <c r="H197" i="486"/>
  <c r="H195" i="486"/>
  <c r="H193" i="486"/>
  <c r="H191" i="486"/>
  <c r="H189" i="486"/>
  <c r="H187" i="486"/>
  <c r="H185" i="486"/>
  <c r="H183" i="486"/>
  <c r="H181" i="486"/>
  <c r="H179" i="486"/>
  <c r="H177" i="486"/>
  <c r="H175" i="486"/>
  <c r="H173" i="486"/>
  <c r="H171" i="486"/>
  <c r="H169" i="486"/>
  <c r="H167" i="486"/>
  <c r="H88" i="486"/>
  <c r="K59" i="486"/>
  <c r="K247" i="485"/>
  <c r="G245" i="485"/>
  <c r="K243" i="485"/>
  <c r="K241" i="485"/>
  <c r="G240" i="485"/>
  <c r="G238" i="485"/>
  <c r="G236" i="485"/>
  <c r="G234" i="485"/>
  <c r="G232" i="485"/>
  <c r="G230" i="485"/>
  <c r="I224" i="485"/>
  <c r="I217" i="485"/>
  <c r="I205" i="485"/>
  <c r="I197" i="485"/>
  <c r="I189" i="485"/>
  <c r="I181" i="485"/>
  <c r="G84" i="485"/>
  <c r="J3" i="485"/>
  <c r="J4" i="485"/>
  <c r="J5" i="485"/>
  <c r="J6" i="485"/>
  <c r="J7" i="485"/>
  <c r="J8" i="485"/>
  <c r="J9" i="485"/>
  <c r="J10" i="485"/>
  <c r="J11" i="485"/>
  <c r="J12" i="485"/>
  <c r="J13" i="485"/>
  <c r="J14" i="485"/>
  <c r="J15" i="485"/>
  <c r="J16" i="485"/>
  <c r="J17" i="485"/>
  <c r="J18" i="485"/>
  <c r="J19" i="485"/>
  <c r="J20" i="485"/>
  <c r="J21" i="485"/>
  <c r="J22" i="485"/>
  <c r="J23" i="485"/>
  <c r="J24" i="485"/>
  <c r="J25" i="485"/>
  <c r="J26" i="485"/>
  <c r="J27" i="485"/>
  <c r="J28" i="485"/>
  <c r="J29" i="485"/>
  <c r="J30" i="485"/>
  <c r="J31" i="485"/>
  <c r="J32" i="485"/>
  <c r="J33" i="485"/>
  <c r="J34" i="485"/>
  <c r="J35" i="485"/>
  <c r="J36" i="485"/>
  <c r="J37" i="485"/>
  <c r="J38" i="485"/>
  <c r="J39" i="485"/>
  <c r="J40" i="485"/>
  <c r="J41" i="485"/>
  <c r="J42" i="485"/>
  <c r="J43" i="485"/>
  <c r="J44" i="485"/>
  <c r="J2" i="485"/>
  <c r="J45" i="485"/>
  <c r="J46" i="485"/>
  <c r="J47" i="485"/>
  <c r="J48" i="485"/>
  <c r="J49" i="485"/>
  <c r="J50" i="485"/>
  <c r="J51" i="485"/>
  <c r="J52" i="485"/>
  <c r="J53" i="485"/>
  <c r="J54" i="485"/>
  <c r="J55" i="485"/>
  <c r="J56" i="485"/>
  <c r="J57" i="485"/>
  <c r="J58" i="485"/>
  <c r="J59" i="485"/>
  <c r="J60" i="485"/>
  <c r="J61" i="485"/>
  <c r="J62" i="485"/>
  <c r="J63" i="485"/>
  <c r="J64" i="485"/>
  <c r="J65" i="485"/>
  <c r="J66" i="485"/>
  <c r="J67" i="485"/>
  <c r="J68" i="485"/>
  <c r="J69" i="485"/>
  <c r="J70" i="485"/>
  <c r="J71" i="485"/>
  <c r="J72" i="485"/>
  <c r="J73" i="485"/>
  <c r="J74" i="485"/>
  <c r="J75" i="485"/>
  <c r="J76" i="485"/>
  <c r="J77" i="485"/>
  <c r="J78" i="485"/>
  <c r="J79" i="485"/>
  <c r="J80" i="485"/>
  <c r="J81" i="485"/>
  <c r="J82" i="485"/>
  <c r="J83" i="485"/>
  <c r="J84" i="485"/>
  <c r="J85" i="485"/>
  <c r="J86" i="485"/>
  <c r="J87" i="485"/>
  <c r="J88" i="485"/>
  <c r="J89" i="485"/>
  <c r="J90" i="485"/>
  <c r="J91" i="485"/>
  <c r="J92" i="485"/>
  <c r="J93" i="485"/>
  <c r="J94" i="485"/>
  <c r="J95" i="485"/>
  <c r="J96" i="485"/>
  <c r="J97" i="485"/>
  <c r="J99" i="485"/>
  <c r="J101" i="485"/>
  <c r="J103" i="485"/>
  <c r="J105" i="485"/>
  <c r="J107" i="485"/>
  <c r="J109" i="485"/>
  <c r="J111" i="485"/>
  <c r="J113" i="485"/>
  <c r="J115" i="485"/>
  <c r="J117" i="485"/>
  <c r="J119" i="485"/>
  <c r="J121" i="485"/>
  <c r="J123" i="485"/>
  <c r="J125" i="485"/>
  <c r="J127" i="485"/>
  <c r="J129" i="485"/>
  <c r="J131" i="485"/>
  <c r="J133" i="485"/>
  <c r="J135" i="485"/>
  <c r="J137" i="485"/>
  <c r="J168" i="485"/>
  <c r="J169" i="485"/>
  <c r="J170" i="485"/>
  <c r="J171" i="485"/>
  <c r="J172" i="485"/>
  <c r="J173" i="485"/>
  <c r="J174" i="485"/>
  <c r="J175" i="485"/>
  <c r="J176" i="485"/>
  <c r="J177" i="485"/>
  <c r="J178" i="485"/>
  <c r="J179" i="485"/>
  <c r="J180" i="485"/>
  <c r="J181" i="485"/>
  <c r="J182" i="485"/>
  <c r="J183" i="485"/>
  <c r="J184" i="485"/>
  <c r="J185" i="485"/>
  <c r="J186" i="485"/>
  <c r="J187" i="485"/>
  <c r="J188" i="485"/>
  <c r="J189" i="485"/>
  <c r="J190" i="485"/>
  <c r="J191" i="485"/>
  <c r="J192" i="485"/>
  <c r="J193" i="485"/>
  <c r="J194" i="485"/>
  <c r="J195" i="485"/>
  <c r="J196" i="485"/>
  <c r="J197" i="485"/>
  <c r="J198" i="485"/>
  <c r="J199" i="485"/>
  <c r="J200" i="485"/>
  <c r="J201" i="485"/>
  <c r="J202" i="485"/>
  <c r="J203" i="485"/>
  <c r="J204" i="485"/>
  <c r="J205" i="485"/>
  <c r="J206" i="485"/>
  <c r="J207" i="485"/>
  <c r="J208" i="485"/>
  <c r="J209" i="485"/>
  <c r="J210" i="485"/>
  <c r="J211" i="485"/>
  <c r="J212" i="485"/>
  <c r="J213" i="485"/>
  <c r="J214" i="485"/>
  <c r="J215" i="485"/>
  <c r="J216" i="485"/>
  <c r="J217" i="485"/>
  <c r="J218" i="485"/>
  <c r="J219" i="485"/>
  <c r="J220" i="485"/>
  <c r="J221" i="485"/>
  <c r="J222" i="485"/>
  <c r="J223" i="485"/>
  <c r="J139" i="485"/>
  <c r="J140" i="485"/>
  <c r="J141" i="485"/>
  <c r="J142" i="485"/>
  <c r="J143" i="485"/>
  <c r="J144" i="485"/>
  <c r="J145" i="485"/>
  <c r="J146" i="485"/>
  <c r="J147" i="485"/>
  <c r="J148" i="485"/>
  <c r="J149" i="485"/>
  <c r="J150" i="485"/>
  <c r="J151" i="485"/>
  <c r="J152" i="485"/>
  <c r="J153" i="485"/>
  <c r="J154" i="485"/>
  <c r="J155" i="485"/>
  <c r="J156" i="485"/>
  <c r="J157" i="485"/>
  <c r="J158" i="485"/>
  <c r="J159" i="485"/>
  <c r="J160" i="485"/>
  <c r="J161" i="485"/>
  <c r="J162" i="485"/>
  <c r="J163" i="485"/>
  <c r="J164" i="485"/>
  <c r="J165" i="485"/>
  <c r="J166" i="485"/>
  <c r="J167" i="485"/>
  <c r="J98" i="485"/>
  <c r="J100" i="485"/>
  <c r="J102" i="485"/>
  <c r="J104" i="485"/>
  <c r="J106" i="485"/>
  <c r="J108" i="485"/>
  <c r="J110" i="485"/>
  <c r="J112" i="485"/>
  <c r="J114" i="485"/>
  <c r="J116" i="485"/>
  <c r="J118" i="485"/>
  <c r="J120" i="485"/>
  <c r="J122" i="485"/>
  <c r="J124" i="485"/>
  <c r="J126" i="485"/>
  <c r="J128" i="485"/>
  <c r="J130" i="485"/>
  <c r="J132" i="485"/>
  <c r="J134" i="485"/>
  <c r="J136" i="485"/>
  <c r="J138" i="485"/>
  <c r="K246" i="485"/>
  <c r="K244" i="485"/>
  <c r="K242" i="485"/>
  <c r="K240" i="485"/>
  <c r="K238" i="485"/>
  <c r="K236" i="485"/>
  <c r="K234" i="485"/>
  <c r="K232" i="485"/>
  <c r="K230" i="485"/>
  <c r="I226" i="485"/>
  <c r="I222" i="485"/>
  <c r="I215" i="485"/>
  <c r="I209" i="485"/>
  <c r="I201" i="485"/>
  <c r="I193" i="485"/>
  <c r="I185" i="485"/>
  <c r="I179" i="485"/>
  <c r="I173" i="485"/>
  <c r="K248" i="485"/>
  <c r="J245" i="485"/>
  <c r="J242" i="485"/>
  <c r="J240" i="485"/>
  <c r="J239" i="485"/>
  <c r="J238" i="485"/>
  <c r="J237" i="485"/>
  <c r="J236" i="485"/>
  <c r="J235" i="485"/>
  <c r="J234" i="485"/>
  <c r="J233" i="485"/>
  <c r="J232" i="485"/>
  <c r="J231" i="485"/>
  <c r="J230" i="485"/>
  <c r="J229" i="485"/>
  <c r="H228" i="485"/>
  <c r="J227" i="485"/>
  <c r="H226" i="485"/>
  <c r="J225" i="485"/>
  <c r="H224" i="485"/>
  <c r="H223" i="485"/>
  <c r="G96" i="485"/>
  <c r="K245" i="485"/>
  <c r="G243" i="485"/>
  <c r="G241" i="485"/>
  <c r="G239" i="485"/>
  <c r="G237" i="485"/>
  <c r="G235" i="485"/>
  <c r="G233" i="485"/>
  <c r="K231" i="485"/>
  <c r="K229" i="485"/>
  <c r="I221" i="485"/>
  <c r="I213" i="485"/>
  <c r="I207" i="485"/>
  <c r="I199" i="485"/>
  <c r="I191" i="485"/>
  <c r="I183" i="485"/>
  <c r="I175" i="485"/>
  <c r="I171" i="485"/>
  <c r="I3" i="485"/>
  <c r="I4" i="485"/>
  <c r="I5" i="485"/>
  <c r="I6" i="485"/>
  <c r="I7" i="485"/>
  <c r="I8" i="485"/>
  <c r="I9" i="485"/>
  <c r="I10" i="485"/>
  <c r="I11" i="485"/>
  <c r="I12" i="485"/>
  <c r="I13" i="485"/>
  <c r="I14" i="485"/>
  <c r="I15" i="485"/>
  <c r="I16" i="485"/>
  <c r="I17" i="485"/>
  <c r="I18" i="485"/>
  <c r="I19" i="485"/>
  <c r="I20" i="485"/>
  <c r="I21" i="485"/>
  <c r="I22" i="485"/>
  <c r="I23" i="485"/>
  <c r="I24" i="485"/>
  <c r="I25" i="485"/>
  <c r="I26" i="485"/>
  <c r="I27" i="485"/>
  <c r="I28" i="485"/>
  <c r="I29" i="485"/>
  <c r="I2" i="485"/>
  <c r="I31" i="485"/>
  <c r="I33" i="485"/>
  <c r="I35" i="485"/>
  <c r="I37" i="485"/>
  <c r="I39" i="485"/>
  <c r="I41" i="485"/>
  <c r="I43" i="485"/>
  <c r="I45" i="485"/>
  <c r="I46" i="485"/>
  <c r="I47" i="485"/>
  <c r="I48" i="485"/>
  <c r="I49" i="485"/>
  <c r="I50" i="485"/>
  <c r="I51" i="485"/>
  <c r="I52" i="485"/>
  <c r="I53" i="485"/>
  <c r="I54" i="485"/>
  <c r="I55" i="485"/>
  <c r="I56" i="485"/>
  <c r="I57" i="485"/>
  <c r="I58" i="485"/>
  <c r="I59" i="485"/>
  <c r="I60" i="485"/>
  <c r="I61" i="485"/>
  <c r="I62" i="485"/>
  <c r="I63" i="485"/>
  <c r="I64" i="485"/>
  <c r="I30" i="485"/>
  <c r="I32" i="485"/>
  <c r="I34" i="485"/>
  <c r="I36" i="485"/>
  <c r="I38" i="485"/>
  <c r="I40" i="485"/>
  <c r="I42" i="485"/>
  <c r="I44" i="485"/>
  <c r="I65" i="485"/>
  <c r="I67" i="485"/>
  <c r="I69" i="485"/>
  <c r="I70" i="485"/>
  <c r="I71" i="485"/>
  <c r="I72" i="485"/>
  <c r="I73" i="485"/>
  <c r="I74" i="485"/>
  <c r="I75" i="485"/>
  <c r="I76" i="485"/>
  <c r="I77" i="485"/>
  <c r="I78" i="485"/>
  <c r="I79" i="485"/>
  <c r="I80" i="485"/>
  <c r="I81" i="485"/>
  <c r="I82" i="485"/>
  <c r="I83" i="485"/>
  <c r="I84" i="485"/>
  <c r="I85" i="485"/>
  <c r="I86" i="485"/>
  <c r="I87" i="485"/>
  <c r="I88" i="485"/>
  <c r="I89" i="485"/>
  <c r="I90" i="485"/>
  <c r="I91" i="485"/>
  <c r="I92" i="485"/>
  <c r="I93" i="485"/>
  <c r="I94" i="485"/>
  <c r="I95" i="485"/>
  <c r="I96" i="485"/>
  <c r="I97" i="485"/>
  <c r="I66" i="485"/>
  <c r="I68" i="485"/>
  <c r="I98" i="485"/>
  <c r="I99" i="485"/>
  <c r="I100" i="485"/>
  <c r="I101" i="485"/>
  <c r="I102" i="485"/>
  <c r="I103" i="485"/>
  <c r="I104" i="485"/>
  <c r="I105" i="485"/>
  <c r="I106" i="485"/>
  <c r="I107" i="485"/>
  <c r="I108" i="485"/>
  <c r="I109" i="485"/>
  <c r="I110" i="485"/>
  <c r="I111" i="485"/>
  <c r="I112" i="485"/>
  <c r="I113" i="485"/>
  <c r="I114" i="485"/>
  <c r="I115" i="485"/>
  <c r="I116" i="485"/>
  <c r="I117" i="485"/>
  <c r="I118" i="485"/>
  <c r="I119" i="485"/>
  <c r="I120" i="485"/>
  <c r="I121" i="485"/>
  <c r="I122" i="485"/>
  <c r="I123" i="485"/>
  <c r="I124" i="485"/>
  <c r="I125" i="485"/>
  <c r="I126" i="485"/>
  <c r="I127" i="485"/>
  <c r="I128" i="485"/>
  <c r="I129" i="485"/>
  <c r="I130" i="485"/>
  <c r="I131" i="485"/>
  <c r="I132" i="485"/>
  <c r="I133" i="485"/>
  <c r="I134" i="485"/>
  <c r="I135" i="485"/>
  <c r="I136" i="485"/>
  <c r="I137" i="485"/>
  <c r="I138" i="485"/>
  <c r="I139" i="485"/>
  <c r="I140" i="485"/>
  <c r="I141" i="485"/>
  <c r="I142" i="485"/>
  <c r="I143" i="485"/>
  <c r="I144" i="485"/>
  <c r="I145" i="485"/>
  <c r="I146" i="485"/>
  <c r="I147" i="485"/>
  <c r="I148" i="485"/>
  <c r="I149" i="485"/>
  <c r="I150" i="485"/>
  <c r="I151" i="485"/>
  <c r="I152" i="485"/>
  <c r="I153" i="485"/>
  <c r="I154" i="485"/>
  <c r="I155" i="485"/>
  <c r="I156" i="485"/>
  <c r="I157" i="485"/>
  <c r="I158" i="485"/>
  <c r="I159" i="485"/>
  <c r="I160" i="485"/>
  <c r="I161" i="485"/>
  <c r="I162" i="485"/>
  <c r="I163" i="485"/>
  <c r="I164" i="485"/>
  <c r="I165" i="485"/>
  <c r="I166" i="485"/>
  <c r="I167" i="485"/>
  <c r="J247" i="485"/>
  <c r="J244" i="485"/>
  <c r="I247" i="485"/>
  <c r="I245" i="485"/>
  <c r="I243" i="485"/>
  <c r="I241" i="485"/>
  <c r="I239" i="485"/>
  <c r="I237" i="485"/>
  <c r="I235" i="485"/>
  <c r="I234" i="485"/>
  <c r="I232" i="485"/>
  <c r="I230" i="485"/>
  <c r="I229" i="485"/>
  <c r="I227" i="485"/>
  <c r="I225" i="485"/>
  <c r="I220" i="485"/>
  <c r="I218" i="485"/>
  <c r="I216" i="485"/>
  <c r="I214" i="485"/>
  <c r="I212" i="485"/>
  <c r="I210" i="485"/>
  <c r="I208" i="485"/>
  <c r="I206" i="485"/>
  <c r="I204" i="485"/>
  <c r="I202" i="485"/>
  <c r="I200" i="485"/>
  <c r="I198" i="485"/>
  <c r="I196" i="485"/>
  <c r="I194" i="485"/>
  <c r="I192" i="485"/>
  <c r="I190" i="485"/>
  <c r="I188" i="485"/>
  <c r="I186" i="485"/>
  <c r="I184" i="485"/>
  <c r="I182" i="485"/>
  <c r="I180" i="485"/>
  <c r="I178" i="485"/>
  <c r="I176" i="485"/>
  <c r="I174" i="485"/>
  <c r="I172" i="485"/>
  <c r="I170" i="485"/>
  <c r="I168" i="485"/>
  <c r="J248" i="485"/>
  <c r="G246" i="485"/>
  <c r="G244" i="485"/>
  <c r="G242" i="485"/>
  <c r="K239" i="485"/>
  <c r="K237" i="485"/>
  <c r="K235" i="485"/>
  <c r="I228" i="485"/>
  <c r="I223" i="485"/>
  <c r="I219" i="485"/>
  <c r="I211" i="485"/>
  <c r="I203" i="485"/>
  <c r="I195" i="485"/>
  <c r="I187" i="485"/>
  <c r="I177" i="485"/>
  <c r="G2" i="485"/>
  <c r="G3" i="485"/>
  <c r="G4" i="485"/>
  <c r="G5" i="485"/>
  <c r="G6" i="485"/>
  <c r="G7" i="485"/>
  <c r="G8" i="485"/>
  <c r="G9" i="485"/>
  <c r="G10" i="485"/>
  <c r="G11" i="485"/>
  <c r="G12" i="485"/>
  <c r="G13" i="485"/>
  <c r="G14" i="485"/>
  <c r="G15" i="485"/>
  <c r="G16" i="485"/>
  <c r="G17" i="485"/>
  <c r="G18" i="485"/>
  <c r="G19" i="485"/>
  <c r="G20" i="485"/>
  <c r="G21" i="485"/>
  <c r="G22" i="485"/>
  <c r="G23" i="485"/>
  <c r="G24" i="485"/>
  <c r="G25" i="485"/>
  <c r="G26" i="485"/>
  <c r="G27" i="485"/>
  <c r="G28" i="485"/>
  <c r="G29" i="485"/>
  <c r="G30" i="485"/>
  <c r="G32" i="485"/>
  <c r="G34" i="485"/>
  <c r="G36" i="485"/>
  <c r="G38" i="485"/>
  <c r="G40" i="485"/>
  <c r="G42" i="485"/>
  <c r="G44" i="485"/>
  <c r="G31" i="485"/>
  <c r="G33" i="485"/>
  <c r="G35" i="485"/>
  <c r="G37" i="485"/>
  <c r="G39" i="485"/>
  <c r="G41" i="485"/>
  <c r="G43" i="485"/>
  <c r="G45" i="485"/>
  <c r="G47" i="485"/>
  <c r="G49" i="485"/>
  <c r="G51" i="485"/>
  <c r="G53" i="485"/>
  <c r="G55" i="485"/>
  <c r="G57" i="485"/>
  <c r="G59" i="485"/>
  <c r="G61" i="485"/>
  <c r="G66" i="485"/>
  <c r="G68" i="485"/>
  <c r="G63" i="485"/>
  <c r="G64" i="485"/>
  <c r="G46" i="485"/>
  <c r="G48" i="485"/>
  <c r="G50" i="485"/>
  <c r="G52" i="485"/>
  <c r="G54" i="485"/>
  <c r="G56" i="485"/>
  <c r="G58" i="485"/>
  <c r="G60" i="485"/>
  <c r="G62" i="485"/>
  <c r="G65" i="485"/>
  <c r="G67" i="485"/>
  <c r="G69" i="485"/>
  <c r="G70" i="485"/>
  <c r="G71" i="485"/>
  <c r="G72" i="485"/>
  <c r="G73" i="485"/>
  <c r="G74" i="485"/>
  <c r="G75" i="485"/>
  <c r="G76" i="485"/>
  <c r="G77" i="485"/>
  <c r="G78" i="485"/>
  <c r="G79" i="485"/>
  <c r="G80" i="485"/>
  <c r="G98" i="485"/>
  <c r="G99" i="485"/>
  <c r="G100" i="485"/>
  <c r="G101" i="485"/>
  <c r="G102" i="485"/>
  <c r="G103" i="485"/>
  <c r="G104" i="485"/>
  <c r="G105" i="485"/>
  <c r="G106" i="485"/>
  <c r="G107" i="485"/>
  <c r="G108" i="485"/>
  <c r="G109" i="485"/>
  <c r="G110" i="485"/>
  <c r="G111" i="485"/>
  <c r="G112" i="485"/>
  <c r="G113" i="485"/>
  <c r="G114" i="485"/>
  <c r="G115" i="485"/>
  <c r="G116" i="485"/>
  <c r="G117" i="485"/>
  <c r="G118" i="485"/>
  <c r="G119" i="485"/>
  <c r="G120" i="485"/>
  <c r="G121" i="485"/>
  <c r="G122" i="485"/>
  <c r="G123" i="485"/>
  <c r="G124" i="485"/>
  <c r="G125" i="485"/>
  <c r="G126" i="485"/>
  <c r="G127" i="485"/>
  <c r="G128" i="485"/>
  <c r="G129" i="485"/>
  <c r="G130" i="485"/>
  <c r="G131" i="485"/>
  <c r="G132" i="485"/>
  <c r="G133" i="485"/>
  <c r="G134" i="485"/>
  <c r="G135" i="485"/>
  <c r="G136" i="485"/>
  <c r="G137" i="485"/>
  <c r="G138" i="485"/>
  <c r="G81" i="485"/>
  <c r="G85" i="485"/>
  <c r="G89" i="485"/>
  <c r="G93" i="485"/>
  <c r="G97" i="485"/>
  <c r="G139" i="485"/>
  <c r="G140" i="485"/>
  <c r="G141" i="485"/>
  <c r="G142" i="485"/>
  <c r="G143" i="485"/>
  <c r="G144" i="485"/>
  <c r="G145" i="485"/>
  <c r="G146" i="485"/>
  <c r="G147" i="485"/>
  <c r="G148" i="485"/>
  <c r="G149" i="485"/>
  <c r="G150" i="485"/>
  <c r="G151" i="485"/>
  <c r="G152" i="485"/>
  <c r="G153" i="485"/>
  <c r="G154" i="485"/>
  <c r="G155" i="485"/>
  <c r="G156" i="485"/>
  <c r="G157" i="485"/>
  <c r="G158" i="485"/>
  <c r="G159" i="485"/>
  <c r="G160" i="485"/>
  <c r="G161" i="485"/>
  <c r="G162" i="485"/>
  <c r="G163" i="485"/>
  <c r="G164" i="485"/>
  <c r="G165" i="485"/>
  <c r="G166" i="485"/>
  <c r="G167" i="485"/>
  <c r="G82" i="485"/>
  <c r="G86" i="485"/>
  <c r="G90" i="485"/>
  <c r="G94" i="485"/>
  <c r="G168" i="485"/>
  <c r="G169" i="485"/>
  <c r="G170" i="485"/>
  <c r="G171" i="485"/>
  <c r="G172" i="485"/>
  <c r="G173" i="485"/>
  <c r="G174" i="485"/>
  <c r="G175" i="485"/>
  <c r="G176" i="485"/>
  <c r="G177" i="485"/>
  <c r="G178" i="485"/>
  <c r="G179" i="485"/>
  <c r="G180" i="485"/>
  <c r="G181" i="485"/>
  <c r="G182" i="485"/>
  <c r="G183" i="485"/>
  <c r="G184" i="485"/>
  <c r="G185" i="485"/>
  <c r="G186" i="485"/>
  <c r="G187" i="485"/>
  <c r="G188" i="485"/>
  <c r="G189" i="485"/>
  <c r="G190" i="485"/>
  <c r="G191" i="485"/>
  <c r="G192" i="485"/>
  <c r="G193" i="485"/>
  <c r="G194" i="485"/>
  <c r="G195" i="485"/>
  <c r="G196" i="485"/>
  <c r="G197" i="485"/>
  <c r="G198" i="485"/>
  <c r="G199" i="485"/>
  <c r="G200" i="485"/>
  <c r="G201" i="485"/>
  <c r="G202" i="485"/>
  <c r="G203" i="485"/>
  <c r="G204" i="485"/>
  <c r="G205" i="485"/>
  <c r="G206" i="485"/>
  <c r="G207" i="485"/>
  <c r="G208" i="485"/>
  <c r="G209" i="485"/>
  <c r="G210" i="485"/>
  <c r="G211" i="485"/>
  <c r="G212" i="485"/>
  <c r="G213" i="485"/>
  <c r="G214" i="485"/>
  <c r="G215" i="485"/>
  <c r="G216" i="485"/>
  <c r="G217" i="485"/>
  <c r="G218" i="485"/>
  <c r="G219" i="485"/>
  <c r="G220" i="485"/>
  <c r="G221" i="485"/>
  <c r="G222" i="485"/>
  <c r="G223" i="485"/>
  <c r="G224" i="485"/>
  <c r="G225" i="485"/>
  <c r="G226" i="485"/>
  <c r="G227" i="485"/>
  <c r="G228" i="485"/>
  <c r="G229" i="485"/>
  <c r="G83" i="485"/>
  <c r="G87" i="485"/>
  <c r="G91" i="485"/>
  <c r="G95" i="485"/>
  <c r="G248" i="485"/>
  <c r="J246" i="485"/>
  <c r="J243" i="485"/>
  <c r="J241" i="485"/>
  <c r="H2" i="485"/>
  <c r="H45" i="485"/>
  <c r="H46" i="485"/>
  <c r="H47" i="485"/>
  <c r="H48" i="485"/>
  <c r="H49" i="485"/>
  <c r="H50" i="485"/>
  <c r="H51" i="485"/>
  <c r="H52" i="485"/>
  <c r="H53" i="485"/>
  <c r="H54" i="485"/>
  <c r="H55" i="485"/>
  <c r="H56" i="485"/>
  <c r="H57" i="485"/>
  <c r="H58" i="485"/>
  <c r="H59" i="485"/>
  <c r="H60" i="485"/>
  <c r="H61" i="485"/>
  <c r="H62" i="485"/>
  <c r="H3" i="485"/>
  <c r="H5" i="485"/>
  <c r="H7" i="485"/>
  <c r="H9" i="485"/>
  <c r="H11" i="485"/>
  <c r="H13" i="485"/>
  <c r="H15" i="485"/>
  <c r="H17" i="485"/>
  <c r="H19" i="485"/>
  <c r="H21" i="485"/>
  <c r="H23" i="485"/>
  <c r="H25" i="485"/>
  <c r="H27" i="485"/>
  <c r="H29" i="485"/>
  <c r="H30" i="485"/>
  <c r="H32" i="485"/>
  <c r="H34" i="485"/>
  <c r="H36" i="485"/>
  <c r="H38" i="485"/>
  <c r="H40" i="485"/>
  <c r="H42" i="485"/>
  <c r="H44" i="485"/>
  <c r="H4" i="485"/>
  <c r="H12" i="485"/>
  <c r="H20" i="485"/>
  <c r="H28" i="485"/>
  <c r="H37" i="485"/>
  <c r="H6" i="485"/>
  <c r="H14" i="485"/>
  <c r="H22" i="485"/>
  <c r="H35" i="485"/>
  <c r="H43" i="485"/>
  <c r="H66" i="485"/>
  <c r="H68" i="485"/>
  <c r="H8" i="485"/>
  <c r="H16" i="485"/>
  <c r="H24" i="485"/>
  <c r="H33" i="485"/>
  <c r="H41" i="485"/>
  <c r="H63" i="485"/>
  <c r="H64" i="485"/>
  <c r="H10" i="485"/>
  <c r="H65" i="485"/>
  <c r="H70" i="485"/>
  <c r="H72" i="485"/>
  <c r="H74" i="485"/>
  <c r="H76" i="485"/>
  <c r="H78" i="485"/>
  <c r="H80" i="485"/>
  <c r="H81" i="485"/>
  <c r="H82" i="485"/>
  <c r="H83" i="485"/>
  <c r="H84" i="485"/>
  <c r="H85" i="485"/>
  <c r="H86" i="485"/>
  <c r="H87" i="485"/>
  <c r="H88" i="485"/>
  <c r="H89" i="485"/>
  <c r="H90" i="485"/>
  <c r="H91" i="485"/>
  <c r="H92" i="485"/>
  <c r="H93" i="485"/>
  <c r="H94" i="485"/>
  <c r="H95" i="485"/>
  <c r="H96" i="485"/>
  <c r="H97" i="485"/>
  <c r="H18" i="485"/>
  <c r="H98" i="485"/>
  <c r="H99" i="485"/>
  <c r="H100" i="485"/>
  <c r="H101" i="485"/>
  <c r="H102" i="485"/>
  <c r="H103" i="485"/>
  <c r="H104" i="485"/>
  <c r="H105" i="485"/>
  <c r="H106" i="485"/>
  <c r="H107" i="485"/>
  <c r="H108" i="485"/>
  <c r="H109" i="485"/>
  <c r="H110" i="485"/>
  <c r="H111" i="485"/>
  <c r="H112" i="485"/>
  <c r="H113" i="485"/>
  <c r="H114" i="485"/>
  <c r="H115" i="485"/>
  <c r="H116" i="485"/>
  <c r="H117" i="485"/>
  <c r="H118" i="485"/>
  <c r="H119" i="485"/>
  <c r="H120" i="485"/>
  <c r="H121" i="485"/>
  <c r="H122" i="485"/>
  <c r="H123" i="485"/>
  <c r="H124" i="485"/>
  <c r="H125" i="485"/>
  <c r="H126" i="485"/>
  <c r="H127" i="485"/>
  <c r="H128" i="485"/>
  <c r="H129" i="485"/>
  <c r="H130" i="485"/>
  <c r="H131" i="485"/>
  <c r="H132" i="485"/>
  <c r="H133" i="485"/>
  <c r="H134" i="485"/>
  <c r="H135" i="485"/>
  <c r="H136" i="485"/>
  <c r="H137" i="485"/>
  <c r="H138" i="485"/>
  <c r="H139" i="485"/>
  <c r="H140" i="485"/>
  <c r="H141" i="485"/>
  <c r="H142" i="485"/>
  <c r="H143" i="485"/>
  <c r="H144" i="485"/>
  <c r="H145" i="485"/>
  <c r="H146" i="485"/>
  <c r="H147" i="485"/>
  <c r="H148" i="485"/>
  <c r="H149" i="485"/>
  <c r="H150" i="485"/>
  <c r="H151" i="485"/>
  <c r="H152" i="485"/>
  <c r="H153" i="485"/>
  <c r="H154" i="485"/>
  <c r="H155" i="485"/>
  <c r="H156" i="485"/>
  <c r="H157" i="485"/>
  <c r="H158" i="485"/>
  <c r="H159" i="485"/>
  <c r="H160" i="485"/>
  <c r="H161" i="485"/>
  <c r="H162" i="485"/>
  <c r="H163" i="485"/>
  <c r="H164" i="485"/>
  <c r="H165" i="485"/>
  <c r="H166" i="485"/>
  <c r="H167" i="485"/>
  <c r="H26" i="485"/>
  <c r="H39" i="485"/>
  <c r="H69" i="485"/>
  <c r="H71" i="485"/>
  <c r="H73" i="485"/>
  <c r="H75" i="485"/>
  <c r="H77" i="485"/>
  <c r="H79" i="485"/>
  <c r="H31" i="485"/>
  <c r="H67" i="485"/>
  <c r="H168" i="485"/>
  <c r="H169" i="485"/>
  <c r="H170" i="485"/>
  <c r="H171" i="485"/>
  <c r="H172" i="485"/>
  <c r="H173" i="485"/>
  <c r="H174" i="485"/>
  <c r="H175" i="485"/>
  <c r="H176" i="485"/>
  <c r="H177" i="485"/>
  <c r="H178" i="485"/>
  <c r="H179" i="485"/>
  <c r="H180" i="485"/>
  <c r="H181" i="485"/>
  <c r="H182" i="485"/>
  <c r="H183" i="485"/>
  <c r="H184" i="485"/>
  <c r="H185" i="485"/>
  <c r="H186" i="485"/>
  <c r="H187" i="485"/>
  <c r="H188" i="485"/>
  <c r="H189" i="485"/>
  <c r="H190" i="485"/>
  <c r="H191" i="485"/>
  <c r="H192" i="485"/>
  <c r="H193" i="485"/>
  <c r="H194" i="485"/>
  <c r="H195" i="485"/>
  <c r="H196" i="485"/>
  <c r="H197" i="485"/>
  <c r="H198" i="485"/>
  <c r="H199" i="485"/>
  <c r="H200" i="485"/>
  <c r="H201" i="485"/>
  <c r="H202" i="485"/>
  <c r="H203" i="485"/>
  <c r="H204" i="485"/>
  <c r="H205" i="485"/>
  <c r="H206" i="485"/>
  <c r="H207" i="485"/>
  <c r="H208" i="485"/>
  <c r="H209" i="485"/>
  <c r="H210" i="485"/>
  <c r="H211" i="485"/>
  <c r="H212" i="485"/>
  <c r="H213" i="485"/>
  <c r="H214" i="485"/>
  <c r="H215" i="485"/>
  <c r="H216" i="485"/>
  <c r="H217" i="485"/>
  <c r="H218" i="485"/>
  <c r="H219" i="485"/>
  <c r="H220" i="485"/>
  <c r="H221" i="485"/>
  <c r="I246" i="485"/>
  <c r="I244" i="485"/>
  <c r="I242" i="485"/>
  <c r="I240" i="485"/>
  <c r="I238" i="485"/>
  <c r="I236" i="485"/>
  <c r="I233" i="485"/>
  <c r="I231" i="485"/>
  <c r="K2" i="485"/>
  <c r="K3" i="485"/>
  <c r="K4" i="485"/>
  <c r="K5" i="485"/>
  <c r="K6" i="485"/>
  <c r="K7" i="485"/>
  <c r="K8" i="485"/>
  <c r="K9" i="485"/>
  <c r="K10" i="485"/>
  <c r="K11" i="485"/>
  <c r="K12" i="485"/>
  <c r="K13" i="485"/>
  <c r="K14" i="485"/>
  <c r="K15" i="485"/>
  <c r="K16" i="485"/>
  <c r="K17" i="485"/>
  <c r="K18" i="485"/>
  <c r="K19" i="485"/>
  <c r="K20" i="485"/>
  <c r="K21" i="485"/>
  <c r="K22" i="485"/>
  <c r="K23" i="485"/>
  <c r="K24" i="485"/>
  <c r="K25" i="485"/>
  <c r="K26" i="485"/>
  <c r="K27" i="485"/>
  <c r="K28" i="485"/>
  <c r="K29" i="485"/>
  <c r="K31" i="485"/>
  <c r="K33" i="485"/>
  <c r="K35" i="485"/>
  <c r="K37" i="485"/>
  <c r="K39" i="485"/>
  <c r="K41" i="485"/>
  <c r="K43" i="485"/>
  <c r="K34" i="485"/>
  <c r="K42" i="485"/>
  <c r="K32" i="485"/>
  <c r="K40" i="485"/>
  <c r="K45" i="485"/>
  <c r="K47" i="485"/>
  <c r="K49" i="485"/>
  <c r="K51" i="485"/>
  <c r="K53" i="485"/>
  <c r="K55" i="485"/>
  <c r="K57" i="485"/>
  <c r="K59" i="485"/>
  <c r="K61" i="485"/>
  <c r="K65" i="485"/>
  <c r="K67" i="485"/>
  <c r="K30" i="485"/>
  <c r="K38" i="485"/>
  <c r="K69" i="485"/>
  <c r="K70" i="485"/>
  <c r="K71" i="485"/>
  <c r="K72" i="485"/>
  <c r="K73" i="485"/>
  <c r="K74" i="485"/>
  <c r="K75" i="485"/>
  <c r="K76" i="485"/>
  <c r="K77" i="485"/>
  <c r="K78" i="485"/>
  <c r="K79" i="485"/>
  <c r="K44" i="485"/>
  <c r="K52" i="485"/>
  <c r="K60" i="485"/>
  <c r="K98" i="485"/>
  <c r="K99" i="485"/>
  <c r="K100" i="485"/>
  <c r="K101" i="485"/>
  <c r="K102" i="485"/>
  <c r="K103" i="485"/>
  <c r="K104" i="485"/>
  <c r="K105" i="485"/>
  <c r="K106" i="485"/>
  <c r="K107" i="485"/>
  <c r="K108" i="485"/>
  <c r="K109" i="485"/>
  <c r="K110" i="485"/>
  <c r="K111" i="485"/>
  <c r="K112" i="485"/>
  <c r="K113" i="485"/>
  <c r="K114" i="485"/>
  <c r="K115" i="485"/>
  <c r="K116" i="485"/>
  <c r="K117" i="485"/>
  <c r="K118" i="485"/>
  <c r="K119" i="485"/>
  <c r="K120" i="485"/>
  <c r="K121" i="485"/>
  <c r="K122" i="485"/>
  <c r="K123" i="485"/>
  <c r="K124" i="485"/>
  <c r="K125" i="485"/>
  <c r="K126" i="485"/>
  <c r="K127" i="485"/>
  <c r="K128" i="485"/>
  <c r="K129" i="485"/>
  <c r="K130" i="485"/>
  <c r="K131" i="485"/>
  <c r="K132" i="485"/>
  <c r="K133" i="485"/>
  <c r="K134" i="485"/>
  <c r="K135" i="485"/>
  <c r="K136" i="485"/>
  <c r="K137" i="485"/>
  <c r="K138" i="485"/>
  <c r="K36" i="485"/>
  <c r="K46" i="485"/>
  <c r="K54" i="485"/>
  <c r="K62" i="485"/>
  <c r="K68" i="485"/>
  <c r="K80" i="485"/>
  <c r="K81" i="485"/>
  <c r="K82" i="485"/>
  <c r="K83" i="485"/>
  <c r="K84" i="485"/>
  <c r="K85" i="485"/>
  <c r="K86" i="485"/>
  <c r="K87" i="485"/>
  <c r="K88" i="485"/>
  <c r="K89" i="485"/>
  <c r="K90" i="485"/>
  <c r="K91" i="485"/>
  <c r="K92" i="485"/>
  <c r="K93" i="485"/>
  <c r="K94" i="485"/>
  <c r="K95" i="485"/>
  <c r="K96" i="485"/>
  <c r="K97" i="485"/>
  <c r="K48" i="485"/>
  <c r="K56" i="485"/>
  <c r="K63" i="485"/>
  <c r="K66" i="485"/>
  <c r="K64" i="485"/>
  <c r="K168" i="485"/>
  <c r="K169" i="485"/>
  <c r="K170" i="485"/>
  <c r="K171" i="485"/>
  <c r="K172" i="485"/>
  <c r="K173" i="485"/>
  <c r="K174" i="485"/>
  <c r="K175" i="485"/>
  <c r="K176" i="485"/>
  <c r="K177" i="485"/>
  <c r="K178" i="485"/>
  <c r="K179" i="485"/>
  <c r="K180" i="485"/>
  <c r="K181" i="485"/>
  <c r="K182" i="485"/>
  <c r="K183" i="485"/>
  <c r="K184" i="485"/>
  <c r="K185" i="485"/>
  <c r="K186" i="485"/>
  <c r="K187" i="485"/>
  <c r="K188" i="485"/>
  <c r="K189" i="485"/>
  <c r="K190" i="485"/>
  <c r="K191" i="485"/>
  <c r="K192" i="485"/>
  <c r="K193" i="485"/>
  <c r="K194" i="485"/>
  <c r="K195" i="485"/>
  <c r="K196" i="485"/>
  <c r="K197" i="485"/>
  <c r="K198" i="485"/>
  <c r="K199" i="485"/>
  <c r="K200" i="485"/>
  <c r="K201" i="485"/>
  <c r="K202" i="485"/>
  <c r="K203" i="485"/>
  <c r="K204" i="485"/>
  <c r="K205" i="485"/>
  <c r="K206" i="485"/>
  <c r="K207" i="485"/>
  <c r="K208" i="485"/>
  <c r="K209" i="485"/>
  <c r="K210" i="485"/>
  <c r="K211" i="485"/>
  <c r="K212" i="485"/>
  <c r="K213" i="485"/>
  <c r="K214" i="485"/>
  <c r="K215" i="485"/>
  <c r="K216" i="485"/>
  <c r="K217" i="485"/>
  <c r="K218" i="485"/>
  <c r="K219" i="485"/>
  <c r="K220" i="485"/>
  <c r="K221" i="485"/>
  <c r="K222" i="485"/>
  <c r="K223" i="485"/>
  <c r="K224" i="485"/>
  <c r="K225" i="485"/>
  <c r="K226" i="485"/>
  <c r="K227" i="485"/>
  <c r="K228" i="485"/>
  <c r="K50" i="485"/>
  <c r="K139" i="485"/>
  <c r="K140" i="485"/>
  <c r="K141" i="485"/>
  <c r="K142" i="485"/>
  <c r="K143" i="485"/>
  <c r="K144" i="485"/>
  <c r="K145" i="485"/>
  <c r="K146" i="485"/>
  <c r="K147" i="485"/>
  <c r="K148" i="485"/>
  <c r="K149" i="485"/>
  <c r="K150" i="485"/>
  <c r="K151" i="485"/>
  <c r="K152" i="485"/>
  <c r="K153" i="485"/>
  <c r="K154" i="485"/>
  <c r="K155" i="485"/>
  <c r="K156" i="485"/>
  <c r="K157" i="485"/>
  <c r="K158" i="485"/>
  <c r="K159" i="485"/>
  <c r="K160" i="485"/>
  <c r="K161" i="485"/>
  <c r="K162" i="485"/>
  <c r="K163" i="485"/>
  <c r="K164" i="485"/>
  <c r="K165" i="485"/>
  <c r="K166" i="485"/>
  <c r="K167" i="485"/>
  <c r="I248" i="485"/>
  <c r="H247" i="485"/>
  <c r="H246" i="485"/>
  <c r="H245" i="485"/>
  <c r="H244" i="485"/>
  <c r="H243" i="485"/>
  <c r="H242" i="485"/>
  <c r="H241" i="485"/>
  <c r="H240" i="485"/>
  <c r="H239" i="485"/>
  <c r="H238" i="485"/>
  <c r="H237" i="485"/>
  <c r="H236" i="485"/>
  <c r="H235" i="485"/>
  <c r="H234" i="485"/>
  <c r="H233" i="485"/>
  <c r="H232" i="485"/>
  <c r="H231" i="485"/>
  <c r="H230" i="485"/>
  <c r="H229" i="485"/>
  <c r="J228" i="485"/>
  <c r="H227" i="485"/>
  <c r="J226" i="485"/>
  <c r="H225" i="485"/>
  <c r="J224" i="485"/>
  <c r="G88" i="485"/>
  <c r="K58" i="485"/>
  <c r="G245" i="484"/>
  <c r="I244" i="484"/>
  <c r="G243" i="484"/>
  <c r="I242" i="484"/>
  <c r="G241" i="484"/>
  <c r="I240" i="484"/>
  <c r="G239" i="484"/>
  <c r="I238" i="484"/>
  <c r="I237" i="484"/>
  <c r="I236" i="484"/>
  <c r="I235" i="484"/>
  <c r="I234" i="484"/>
  <c r="I233" i="484"/>
  <c r="I232" i="484"/>
  <c r="I231" i="484"/>
  <c r="I230" i="484"/>
  <c r="I229" i="484"/>
  <c r="I228" i="484"/>
  <c r="I227" i="484"/>
  <c r="I226" i="484"/>
  <c r="I225" i="484"/>
  <c r="I224" i="484"/>
  <c r="I223" i="484"/>
  <c r="I222" i="484"/>
  <c r="I221" i="484"/>
  <c r="I220" i="484"/>
  <c r="I219" i="484"/>
  <c r="I218" i="484"/>
  <c r="I217" i="484"/>
  <c r="I216" i="484"/>
  <c r="I215" i="484"/>
  <c r="I214" i="484"/>
  <c r="I213" i="484"/>
  <c r="K210" i="484"/>
  <c r="H248" i="484"/>
  <c r="H246" i="484"/>
  <c r="H244" i="484"/>
  <c r="H242" i="484"/>
  <c r="H240" i="484"/>
  <c r="G238" i="484"/>
  <c r="G236" i="484"/>
  <c r="G234" i="484"/>
  <c r="G232" i="484"/>
  <c r="G230" i="484"/>
  <c r="G229" i="484"/>
  <c r="G228" i="484"/>
  <c r="G227" i="484"/>
  <c r="G226" i="484"/>
  <c r="G225" i="484"/>
  <c r="G224" i="484"/>
  <c r="G223" i="484"/>
  <c r="G222" i="484"/>
  <c r="G221" i="484"/>
  <c r="G220" i="484"/>
  <c r="G219" i="484"/>
  <c r="G218" i="484"/>
  <c r="G217" i="484"/>
  <c r="G216" i="484"/>
  <c r="G215" i="484"/>
  <c r="G214" i="484"/>
  <c r="G213" i="484"/>
  <c r="G212" i="484"/>
  <c r="K2" i="484"/>
  <c r="K3" i="484"/>
  <c r="K4" i="484"/>
  <c r="K5" i="484"/>
  <c r="K6" i="484"/>
  <c r="K7" i="484"/>
  <c r="K8" i="484"/>
  <c r="K9" i="484"/>
  <c r="K10" i="484"/>
  <c r="K11" i="484"/>
  <c r="K12" i="484"/>
  <c r="K13" i="484"/>
  <c r="K14" i="484"/>
  <c r="K15" i="484"/>
  <c r="K16" i="484"/>
  <c r="K17" i="484"/>
  <c r="K18" i="484"/>
  <c r="K19" i="484"/>
  <c r="K20" i="484"/>
  <c r="K21" i="484"/>
  <c r="K22" i="484"/>
  <c r="K23" i="484"/>
  <c r="K24" i="484"/>
  <c r="K25" i="484"/>
  <c r="K26" i="484"/>
  <c r="K28" i="484"/>
  <c r="K30" i="484"/>
  <c r="K32" i="484"/>
  <c r="K34" i="484"/>
  <c r="K36" i="484"/>
  <c r="K38" i="484"/>
  <c r="K40" i="484"/>
  <c r="K45" i="484"/>
  <c r="K46" i="484"/>
  <c r="K47" i="484"/>
  <c r="K48" i="484"/>
  <c r="K49" i="484"/>
  <c r="K50" i="484"/>
  <c r="K51" i="484"/>
  <c r="K52" i="484"/>
  <c r="K53" i="484"/>
  <c r="K54" i="484"/>
  <c r="K55" i="484"/>
  <c r="K56" i="484"/>
  <c r="K57" i="484"/>
  <c r="K58" i="484"/>
  <c r="K59" i="484"/>
  <c r="K60" i="484"/>
  <c r="K61" i="484"/>
  <c r="K62" i="484"/>
  <c r="K63" i="484"/>
  <c r="K64" i="484"/>
  <c r="K65" i="484"/>
  <c r="K66" i="484"/>
  <c r="K67" i="484"/>
  <c r="K27" i="484"/>
  <c r="K29" i="484"/>
  <c r="K31" i="484"/>
  <c r="K33" i="484"/>
  <c r="K35" i="484"/>
  <c r="K37" i="484"/>
  <c r="K39" i="484"/>
  <c r="K41" i="484"/>
  <c r="K42" i="484"/>
  <c r="K43" i="484"/>
  <c r="K44" i="484"/>
  <c r="K68" i="484"/>
  <c r="K70" i="484"/>
  <c r="K72" i="484"/>
  <c r="K74" i="484"/>
  <c r="K76" i="484"/>
  <c r="K78" i="484"/>
  <c r="K80" i="484"/>
  <c r="K82" i="484"/>
  <c r="K83" i="484"/>
  <c r="K84" i="484"/>
  <c r="K85" i="484"/>
  <c r="K86" i="484"/>
  <c r="K87" i="484"/>
  <c r="K88" i="484"/>
  <c r="K89" i="484"/>
  <c r="K90" i="484"/>
  <c r="K91" i="484"/>
  <c r="K92" i="484"/>
  <c r="K93" i="484"/>
  <c r="K94" i="484"/>
  <c r="K95" i="484"/>
  <c r="K96" i="484"/>
  <c r="K97" i="484"/>
  <c r="K98" i="484"/>
  <c r="K99" i="484"/>
  <c r="K100" i="484"/>
  <c r="K101" i="484"/>
  <c r="K102" i="484"/>
  <c r="K103" i="484"/>
  <c r="K104" i="484"/>
  <c r="K105" i="484"/>
  <c r="K106" i="484"/>
  <c r="K107" i="484"/>
  <c r="K108" i="484"/>
  <c r="K69" i="484"/>
  <c r="K71" i="484"/>
  <c r="K73" i="484"/>
  <c r="K75" i="484"/>
  <c r="K77" i="484"/>
  <c r="K79" i="484"/>
  <c r="K81" i="484"/>
  <c r="K109" i="484"/>
  <c r="K111" i="484"/>
  <c r="K113" i="484"/>
  <c r="K115" i="484"/>
  <c r="K121" i="484"/>
  <c r="K122" i="484"/>
  <c r="K123" i="484"/>
  <c r="K124" i="484"/>
  <c r="K125" i="484"/>
  <c r="K126" i="484"/>
  <c r="K127" i="484"/>
  <c r="K128" i="484"/>
  <c r="K129" i="484"/>
  <c r="K130" i="484"/>
  <c r="K131" i="484"/>
  <c r="K132" i="484"/>
  <c r="K133" i="484"/>
  <c r="K134" i="484"/>
  <c r="K135" i="484"/>
  <c r="K136" i="484"/>
  <c r="K137" i="484"/>
  <c r="K138" i="484"/>
  <c r="K139" i="484"/>
  <c r="K140" i="484"/>
  <c r="K141" i="484"/>
  <c r="K142" i="484"/>
  <c r="K143" i="484"/>
  <c r="K144" i="484"/>
  <c r="K145" i="484"/>
  <c r="K146" i="484"/>
  <c r="K147" i="484"/>
  <c r="K148" i="484"/>
  <c r="K149" i="484"/>
  <c r="K150" i="484"/>
  <c r="K151" i="484"/>
  <c r="K152" i="484"/>
  <c r="K153" i="484"/>
  <c r="K154" i="484"/>
  <c r="K155" i="484"/>
  <c r="K156" i="484"/>
  <c r="K157" i="484"/>
  <c r="K158" i="484"/>
  <c r="K159" i="484"/>
  <c r="K160" i="484"/>
  <c r="K161" i="484"/>
  <c r="K162" i="484"/>
  <c r="K163" i="484"/>
  <c r="K164" i="484"/>
  <c r="K165" i="484"/>
  <c r="K166" i="484"/>
  <c r="K167" i="484"/>
  <c r="K168" i="484"/>
  <c r="K110" i="484"/>
  <c r="K112" i="484"/>
  <c r="K114" i="484"/>
  <c r="K116" i="484"/>
  <c r="K117" i="484"/>
  <c r="K191" i="484"/>
  <c r="K193" i="484"/>
  <c r="K195" i="484"/>
  <c r="K197" i="484"/>
  <c r="K199" i="484"/>
  <c r="K201" i="484"/>
  <c r="K202" i="484"/>
  <c r="K203" i="484"/>
  <c r="K204" i="484"/>
  <c r="K205" i="484"/>
  <c r="K206" i="484"/>
  <c r="K207" i="484"/>
  <c r="K208" i="484"/>
  <c r="K118" i="484"/>
  <c r="K119" i="484"/>
  <c r="K169" i="484"/>
  <c r="K170" i="484"/>
  <c r="K171" i="484"/>
  <c r="K172" i="484"/>
  <c r="K173" i="484"/>
  <c r="K174" i="484"/>
  <c r="K175" i="484"/>
  <c r="K176" i="484"/>
  <c r="K177" i="484"/>
  <c r="K178" i="484"/>
  <c r="K179" i="484"/>
  <c r="K180" i="484"/>
  <c r="K181" i="484"/>
  <c r="K182" i="484"/>
  <c r="K183" i="484"/>
  <c r="K184" i="484"/>
  <c r="K185" i="484"/>
  <c r="K186" i="484"/>
  <c r="K187" i="484"/>
  <c r="K188" i="484"/>
  <c r="K189" i="484"/>
  <c r="K190" i="484"/>
  <c r="K192" i="484"/>
  <c r="K194" i="484"/>
  <c r="K196" i="484"/>
  <c r="K198" i="484"/>
  <c r="K200" i="484"/>
  <c r="K120" i="484"/>
  <c r="K248" i="484"/>
  <c r="K246" i="484"/>
  <c r="J3" i="484"/>
  <c r="J4" i="484"/>
  <c r="J5" i="484"/>
  <c r="J6" i="484"/>
  <c r="J7" i="484"/>
  <c r="J8" i="484"/>
  <c r="J9" i="484"/>
  <c r="J10" i="484"/>
  <c r="J11" i="484"/>
  <c r="J12" i="484"/>
  <c r="J13" i="484"/>
  <c r="J14" i="484"/>
  <c r="J15" i="484"/>
  <c r="J16" i="484"/>
  <c r="J17" i="484"/>
  <c r="J18" i="484"/>
  <c r="J19" i="484"/>
  <c r="J20" i="484"/>
  <c r="J21" i="484"/>
  <c r="J22" i="484"/>
  <c r="J23" i="484"/>
  <c r="J24" i="484"/>
  <c r="J25" i="484"/>
  <c r="J26" i="484"/>
  <c r="J27" i="484"/>
  <c r="J28" i="484"/>
  <c r="J29" i="484"/>
  <c r="J30" i="484"/>
  <c r="J31" i="484"/>
  <c r="J32" i="484"/>
  <c r="J33" i="484"/>
  <c r="J34" i="484"/>
  <c r="J35" i="484"/>
  <c r="J36" i="484"/>
  <c r="J37" i="484"/>
  <c r="J38" i="484"/>
  <c r="J39" i="484"/>
  <c r="J40" i="484"/>
  <c r="J41" i="484"/>
  <c r="J42" i="484"/>
  <c r="J43" i="484"/>
  <c r="J44" i="484"/>
  <c r="J2" i="484"/>
  <c r="J45" i="484"/>
  <c r="J46" i="484"/>
  <c r="J47" i="484"/>
  <c r="J48" i="484"/>
  <c r="J49" i="484"/>
  <c r="J50" i="484"/>
  <c r="J51" i="484"/>
  <c r="J52" i="484"/>
  <c r="J53" i="484"/>
  <c r="J54" i="484"/>
  <c r="J55" i="484"/>
  <c r="J56" i="484"/>
  <c r="J57" i="484"/>
  <c r="J58" i="484"/>
  <c r="J59" i="484"/>
  <c r="J60" i="484"/>
  <c r="J61" i="484"/>
  <c r="J62" i="484"/>
  <c r="J63" i="484"/>
  <c r="J64" i="484"/>
  <c r="J65" i="484"/>
  <c r="J66" i="484"/>
  <c r="J67" i="484"/>
  <c r="J68" i="484"/>
  <c r="J69" i="484"/>
  <c r="J70" i="484"/>
  <c r="J71" i="484"/>
  <c r="J72" i="484"/>
  <c r="J73" i="484"/>
  <c r="J74" i="484"/>
  <c r="J75" i="484"/>
  <c r="J76" i="484"/>
  <c r="J77" i="484"/>
  <c r="J78" i="484"/>
  <c r="J79" i="484"/>
  <c r="J80" i="484"/>
  <c r="J81" i="484"/>
  <c r="J82" i="484"/>
  <c r="J83" i="484"/>
  <c r="J84" i="484"/>
  <c r="J85" i="484"/>
  <c r="J86" i="484"/>
  <c r="J87" i="484"/>
  <c r="J88" i="484"/>
  <c r="J89" i="484"/>
  <c r="J90" i="484"/>
  <c r="J91" i="484"/>
  <c r="J92" i="484"/>
  <c r="J93" i="484"/>
  <c r="J94" i="484"/>
  <c r="J95" i="484"/>
  <c r="J96" i="484"/>
  <c r="J97" i="484"/>
  <c r="J98" i="484"/>
  <c r="J99" i="484"/>
  <c r="J100" i="484"/>
  <c r="J101" i="484"/>
  <c r="J102" i="484"/>
  <c r="J103" i="484"/>
  <c r="J104" i="484"/>
  <c r="J105" i="484"/>
  <c r="J106" i="484"/>
  <c r="J107" i="484"/>
  <c r="J108" i="484"/>
  <c r="J109" i="484"/>
  <c r="J110" i="484"/>
  <c r="J111" i="484"/>
  <c r="J112" i="484"/>
  <c r="J113" i="484"/>
  <c r="J114" i="484"/>
  <c r="J115" i="484"/>
  <c r="J116" i="484"/>
  <c r="J117" i="484"/>
  <c r="J118" i="484"/>
  <c r="J119" i="484"/>
  <c r="J120" i="484"/>
  <c r="J121" i="484"/>
  <c r="J122" i="484"/>
  <c r="J123" i="484"/>
  <c r="J124" i="484"/>
  <c r="J125" i="484"/>
  <c r="J126" i="484"/>
  <c r="J127" i="484"/>
  <c r="J128" i="484"/>
  <c r="J129" i="484"/>
  <c r="J130" i="484"/>
  <c r="J131" i="484"/>
  <c r="J132" i="484"/>
  <c r="J133" i="484"/>
  <c r="J134" i="484"/>
  <c r="J135" i="484"/>
  <c r="J136" i="484"/>
  <c r="J137" i="484"/>
  <c r="J138" i="484"/>
  <c r="J139" i="484"/>
  <c r="J140" i="484"/>
  <c r="J141" i="484"/>
  <c r="J142" i="484"/>
  <c r="J143" i="484"/>
  <c r="J144" i="484"/>
  <c r="J145" i="484"/>
  <c r="J146" i="484"/>
  <c r="J147" i="484"/>
  <c r="J148" i="484"/>
  <c r="J149" i="484"/>
  <c r="J150" i="484"/>
  <c r="J151" i="484"/>
  <c r="J152" i="484"/>
  <c r="J153" i="484"/>
  <c r="J154" i="484"/>
  <c r="J155" i="484"/>
  <c r="J156" i="484"/>
  <c r="J157" i="484"/>
  <c r="J158" i="484"/>
  <c r="J159" i="484"/>
  <c r="J160" i="484"/>
  <c r="J161" i="484"/>
  <c r="J162" i="484"/>
  <c r="J163" i="484"/>
  <c r="J164" i="484"/>
  <c r="J165" i="484"/>
  <c r="J166" i="484"/>
  <c r="J167" i="484"/>
  <c r="J168" i="484"/>
  <c r="J169" i="484"/>
  <c r="J170" i="484"/>
  <c r="J171" i="484"/>
  <c r="J172" i="484"/>
  <c r="J173" i="484"/>
  <c r="J174" i="484"/>
  <c r="J175" i="484"/>
  <c r="J176" i="484"/>
  <c r="J177" i="484"/>
  <c r="J178" i="484"/>
  <c r="J179" i="484"/>
  <c r="J180" i="484"/>
  <c r="J181" i="484"/>
  <c r="J182" i="484"/>
  <c r="J183" i="484"/>
  <c r="J184" i="484"/>
  <c r="J185" i="484"/>
  <c r="J186" i="484"/>
  <c r="J187" i="484"/>
  <c r="J188" i="484"/>
  <c r="J189" i="484"/>
  <c r="J190" i="484"/>
  <c r="J191" i="484"/>
  <c r="J192" i="484"/>
  <c r="J193" i="484"/>
  <c r="J194" i="484"/>
  <c r="J195" i="484"/>
  <c r="J196" i="484"/>
  <c r="J197" i="484"/>
  <c r="J198" i="484"/>
  <c r="J199" i="484"/>
  <c r="J200" i="484"/>
  <c r="J201" i="484"/>
  <c r="J202" i="484"/>
  <c r="J203" i="484"/>
  <c r="J204" i="484"/>
  <c r="J205" i="484"/>
  <c r="J206" i="484"/>
  <c r="J207" i="484"/>
  <c r="J208" i="484"/>
  <c r="J209" i="484"/>
  <c r="J210" i="484"/>
  <c r="J211" i="484"/>
  <c r="J212" i="484"/>
  <c r="J213" i="484"/>
  <c r="J214" i="484"/>
  <c r="J215" i="484"/>
  <c r="J216" i="484"/>
  <c r="J217" i="484"/>
  <c r="J218" i="484"/>
  <c r="J219" i="484"/>
  <c r="J220" i="484"/>
  <c r="J221" i="484"/>
  <c r="J222" i="484"/>
  <c r="J223" i="484"/>
  <c r="J224" i="484"/>
  <c r="J225" i="484"/>
  <c r="J226" i="484"/>
  <c r="J227" i="484"/>
  <c r="J228" i="484"/>
  <c r="J229" i="484"/>
  <c r="J230" i="484"/>
  <c r="J231" i="484"/>
  <c r="J232" i="484"/>
  <c r="J233" i="484"/>
  <c r="J234" i="484"/>
  <c r="J235" i="484"/>
  <c r="J236" i="484"/>
  <c r="J237" i="484"/>
  <c r="J238" i="484"/>
  <c r="J239" i="484"/>
  <c r="J240" i="484"/>
  <c r="J241" i="484"/>
  <c r="J242" i="484"/>
  <c r="J243" i="484"/>
  <c r="J244" i="484"/>
  <c r="J245" i="484"/>
  <c r="J246" i="484"/>
  <c r="J247" i="484"/>
  <c r="G2" i="484"/>
  <c r="G3" i="484"/>
  <c r="G4" i="484"/>
  <c r="G5" i="484"/>
  <c r="G6" i="484"/>
  <c r="G7" i="484"/>
  <c r="G8" i="484"/>
  <c r="G9" i="484"/>
  <c r="G10" i="484"/>
  <c r="G11" i="484"/>
  <c r="G12" i="484"/>
  <c r="G13" i="484"/>
  <c r="G14" i="484"/>
  <c r="G15" i="484"/>
  <c r="G16" i="484"/>
  <c r="G17" i="484"/>
  <c r="G18" i="484"/>
  <c r="G19" i="484"/>
  <c r="G20" i="484"/>
  <c r="G21" i="484"/>
  <c r="G22" i="484"/>
  <c r="G23" i="484"/>
  <c r="G24" i="484"/>
  <c r="G25" i="484"/>
  <c r="G26" i="484"/>
  <c r="G42" i="484"/>
  <c r="G43" i="484"/>
  <c r="G44" i="484"/>
  <c r="G27" i="484"/>
  <c r="G29" i="484"/>
  <c r="G31" i="484"/>
  <c r="G33" i="484"/>
  <c r="G35" i="484"/>
  <c r="G37" i="484"/>
  <c r="G39" i="484"/>
  <c r="G41" i="484"/>
  <c r="G45" i="484"/>
  <c r="G46" i="484"/>
  <c r="G47" i="484"/>
  <c r="G48" i="484"/>
  <c r="G49" i="484"/>
  <c r="G50" i="484"/>
  <c r="G51" i="484"/>
  <c r="G52" i="484"/>
  <c r="G53" i="484"/>
  <c r="G54" i="484"/>
  <c r="G55" i="484"/>
  <c r="G56" i="484"/>
  <c r="G57" i="484"/>
  <c r="G58" i="484"/>
  <c r="G59" i="484"/>
  <c r="G60" i="484"/>
  <c r="G61" i="484"/>
  <c r="G62" i="484"/>
  <c r="G63" i="484"/>
  <c r="G64" i="484"/>
  <c r="G65" i="484"/>
  <c r="G66" i="484"/>
  <c r="G67" i="484"/>
  <c r="G68" i="484"/>
  <c r="G28" i="484"/>
  <c r="G30" i="484"/>
  <c r="G32" i="484"/>
  <c r="G34" i="484"/>
  <c r="G36" i="484"/>
  <c r="G38" i="484"/>
  <c r="G40" i="484"/>
  <c r="G69" i="484"/>
  <c r="G71" i="484"/>
  <c r="G73" i="484"/>
  <c r="G75" i="484"/>
  <c r="G77" i="484"/>
  <c r="G79" i="484"/>
  <c r="G81" i="484"/>
  <c r="G82" i="484"/>
  <c r="G83" i="484"/>
  <c r="G84" i="484"/>
  <c r="G85" i="484"/>
  <c r="G86" i="484"/>
  <c r="G87" i="484"/>
  <c r="G88" i="484"/>
  <c r="G89" i="484"/>
  <c r="G90" i="484"/>
  <c r="G91" i="484"/>
  <c r="G92" i="484"/>
  <c r="G93" i="484"/>
  <c r="G94" i="484"/>
  <c r="G95" i="484"/>
  <c r="G96" i="484"/>
  <c r="G97" i="484"/>
  <c r="G98" i="484"/>
  <c r="G99" i="484"/>
  <c r="G100" i="484"/>
  <c r="G101" i="484"/>
  <c r="G102" i="484"/>
  <c r="G103" i="484"/>
  <c r="G104" i="484"/>
  <c r="G105" i="484"/>
  <c r="G106" i="484"/>
  <c r="G107" i="484"/>
  <c r="G108" i="484"/>
  <c r="G70" i="484"/>
  <c r="G72" i="484"/>
  <c r="G74" i="484"/>
  <c r="G76" i="484"/>
  <c r="G78" i="484"/>
  <c r="G80" i="484"/>
  <c r="G109" i="484"/>
  <c r="G111" i="484"/>
  <c r="G113" i="484"/>
  <c r="G115" i="484"/>
  <c r="G117" i="484"/>
  <c r="G118" i="484"/>
  <c r="G119" i="484"/>
  <c r="G120" i="484"/>
  <c r="G121" i="484"/>
  <c r="G122" i="484"/>
  <c r="G123" i="484"/>
  <c r="G124" i="484"/>
  <c r="G125" i="484"/>
  <c r="G126" i="484"/>
  <c r="G127" i="484"/>
  <c r="G128" i="484"/>
  <c r="G129" i="484"/>
  <c r="G130" i="484"/>
  <c r="G131" i="484"/>
  <c r="G132" i="484"/>
  <c r="G133" i="484"/>
  <c r="G134" i="484"/>
  <c r="G135" i="484"/>
  <c r="G136" i="484"/>
  <c r="G137" i="484"/>
  <c r="G138" i="484"/>
  <c r="G139" i="484"/>
  <c r="G140" i="484"/>
  <c r="G141" i="484"/>
  <c r="G142" i="484"/>
  <c r="G143" i="484"/>
  <c r="G144" i="484"/>
  <c r="G145" i="484"/>
  <c r="G146" i="484"/>
  <c r="G147" i="484"/>
  <c r="G148" i="484"/>
  <c r="G149" i="484"/>
  <c r="G150" i="484"/>
  <c r="G151" i="484"/>
  <c r="G152" i="484"/>
  <c r="G153" i="484"/>
  <c r="G154" i="484"/>
  <c r="G155" i="484"/>
  <c r="G156" i="484"/>
  <c r="G157" i="484"/>
  <c r="G158" i="484"/>
  <c r="G159" i="484"/>
  <c r="G160" i="484"/>
  <c r="G161" i="484"/>
  <c r="G162" i="484"/>
  <c r="G163" i="484"/>
  <c r="G164" i="484"/>
  <c r="G165" i="484"/>
  <c r="G166" i="484"/>
  <c r="G167" i="484"/>
  <c r="G168" i="484"/>
  <c r="G110" i="484"/>
  <c r="G169" i="484"/>
  <c r="G170" i="484"/>
  <c r="G171" i="484"/>
  <c r="G172" i="484"/>
  <c r="G173" i="484"/>
  <c r="G174" i="484"/>
  <c r="G175" i="484"/>
  <c r="G176" i="484"/>
  <c r="G177" i="484"/>
  <c r="G178" i="484"/>
  <c r="G179" i="484"/>
  <c r="G180" i="484"/>
  <c r="G181" i="484"/>
  <c r="G182" i="484"/>
  <c r="G183" i="484"/>
  <c r="G184" i="484"/>
  <c r="G185" i="484"/>
  <c r="G186" i="484"/>
  <c r="G187" i="484"/>
  <c r="G188" i="484"/>
  <c r="G189" i="484"/>
  <c r="G190" i="484"/>
  <c r="G202" i="484"/>
  <c r="G203" i="484"/>
  <c r="G204" i="484"/>
  <c r="G205" i="484"/>
  <c r="G206" i="484"/>
  <c r="G207" i="484"/>
  <c r="G208" i="484"/>
  <c r="G112" i="484"/>
  <c r="G191" i="484"/>
  <c r="G193" i="484"/>
  <c r="G195" i="484"/>
  <c r="G197" i="484"/>
  <c r="G199" i="484"/>
  <c r="G201" i="484"/>
  <c r="G114" i="484"/>
  <c r="G116" i="484"/>
  <c r="G192" i="484"/>
  <c r="G194" i="484"/>
  <c r="G196" i="484"/>
  <c r="G198" i="484"/>
  <c r="G200" i="484"/>
  <c r="G248" i="484"/>
  <c r="I3" i="484"/>
  <c r="I4" i="484"/>
  <c r="I5" i="484"/>
  <c r="I6" i="484"/>
  <c r="I7" i="484"/>
  <c r="I8" i="484"/>
  <c r="I9" i="484"/>
  <c r="I10" i="484"/>
  <c r="I11" i="484"/>
  <c r="I12" i="484"/>
  <c r="I13" i="484"/>
  <c r="I14" i="484"/>
  <c r="I15" i="484"/>
  <c r="I16" i="484"/>
  <c r="I17" i="484"/>
  <c r="I18" i="484"/>
  <c r="I19" i="484"/>
  <c r="I20" i="484"/>
  <c r="I21" i="484"/>
  <c r="I22" i="484"/>
  <c r="I23" i="484"/>
  <c r="I24" i="484"/>
  <c r="I25" i="484"/>
  <c r="I26" i="484"/>
  <c r="I27" i="484"/>
  <c r="I28" i="484"/>
  <c r="I29" i="484"/>
  <c r="I30" i="484"/>
  <c r="I31" i="484"/>
  <c r="I32" i="484"/>
  <c r="I33" i="484"/>
  <c r="I34" i="484"/>
  <c r="I35" i="484"/>
  <c r="I36" i="484"/>
  <c r="I37" i="484"/>
  <c r="I38" i="484"/>
  <c r="I39" i="484"/>
  <c r="I40" i="484"/>
  <c r="I41" i="484"/>
  <c r="I2" i="484"/>
  <c r="I42" i="484"/>
  <c r="I43" i="484"/>
  <c r="I44" i="484"/>
  <c r="I45" i="484"/>
  <c r="I46" i="484"/>
  <c r="I47" i="484"/>
  <c r="I48" i="484"/>
  <c r="I49" i="484"/>
  <c r="I50" i="484"/>
  <c r="I51" i="484"/>
  <c r="I52" i="484"/>
  <c r="I53" i="484"/>
  <c r="I54" i="484"/>
  <c r="I55" i="484"/>
  <c r="I56" i="484"/>
  <c r="I57" i="484"/>
  <c r="I58" i="484"/>
  <c r="I59" i="484"/>
  <c r="I60" i="484"/>
  <c r="I61" i="484"/>
  <c r="I62" i="484"/>
  <c r="I63" i="484"/>
  <c r="I64" i="484"/>
  <c r="I65" i="484"/>
  <c r="I66" i="484"/>
  <c r="I67" i="484"/>
  <c r="I68" i="484"/>
  <c r="I69" i="484"/>
  <c r="I70" i="484"/>
  <c r="I71" i="484"/>
  <c r="I72" i="484"/>
  <c r="I73" i="484"/>
  <c r="I74" i="484"/>
  <c r="I75" i="484"/>
  <c r="I76" i="484"/>
  <c r="I77" i="484"/>
  <c r="I78" i="484"/>
  <c r="I79" i="484"/>
  <c r="I80" i="484"/>
  <c r="I81" i="484"/>
  <c r="I82" i="484"/>
  <c r="I83" i="484"/>
  <c r="I84" i="484"/>
  <c r="I85" i="484"/>
  <c r="I86" i="484"/>
  <c r="I87" i="484"/>
  <c r="I88" i="484"/>
  <c r="I89" i="484"/>
  <c r="I90" i="484"/>
  <c r="I91" i="484"/>
  <c r="I92" i="484"/>
  <c r="I93" i="484"/>
  <c r="I94" i="484"/>
  <c r="I95" i="484"/>
  <c r="I96" i="484"/>
  <c r="I97" i="484"/>
  <c r="I98" i="484"/>
  <c r="I99" i="484"/>
  <c r="I100" i="484"/>
  <c r="I101" i="484"/>
  <c r="I102" i="484"/>
  <c r="I103" i="484"/>
  <c r="I104" i="484"/>
  <c r="I105" i="484"/>
  <c r="I106" i="484"/>
  <c r="I107" i="484"/>
  <c r="I108" i="484"/>
  <c r="I109" i="484"/>
  <c r="I110" i="484"/>
  <c r="I111" i="484"/>
  <c r="I112" i="484"/>
  <c r="I113" i="484"/>
  <c r="I114" i="484"/>
  <c r="I115" i="484"/>
  <c r="I116" i="484"/>
  <c r="I117" i="484"/>
  <c r="I118" i="484"/>
  <c r="I119" i="484"/>
  <c r="I120" i="484"/>
  <c r="I121" i="484"/>
  <c r="I122" i="484"/>
  <c r="I123" i="484"/>
  <c r="I124" i="484"/>
  <c r="I125" i="484"/>
  <c r="I126" i="484"/>
  <c r="I127" i="484"/>
  <c r="I128" i="484"/>
  <c r="I129" i="484"/>
  <c r="I130" i="484"/>
  <c r="I131" i="484"/>
  <c r="I132" i="484"/>
  <c r="I133" i="484"/>
  <c r="I134" i="484"/>
  <c r="I135" i="484"/>
  <c r="I136" i="484"/>
  <c r="I137" i="484"/>
  <c r="I138" i="484"/>
  <c r="I139" i="484"/>
  <c r="I140" i="484"/>
  <c r="I141" i="484"/>
  <c r="I142" i="484"/>
  <c r="I143" i="484"/>
  <c r="I144" i="484"/>
  <c r="I145" i="484"/>
  <c r="I146" i="484"/>
  <c r="I147" i="484"/>
  <c r="I148" i="484"/>
  <c r="I149" i="484"/>
  <c r="I150" i="484"/>
  <c r="I151" i="484"/>
  <c r="I152" i="484"/>
  <c r="I153" i="484"/>
  <c r="I154" i="484"/>
  <c r="I155" i="484"/>
  <c r="I156" i="484"/>
  <c r="I157" i="484"/>
  <c r="I158" i="484"/>
  <c r="I159" i="484"/>
  <c r="I160" i="484"/>
  <c r="I161" i="484"/>
  <c r="I162" i="484"/>
  <c r="I163" i="484"/>
  <c r="I164" i="484"/>
  <c r="I165" i="484"/>
  <c r="I166" i="484"/>
  <c r="I167" i="484"/>
  <c r="I168" i="484"/>
  <c r="I169" i="484"/>
  <c r="I170" i="484"/>
  <c r="I171" i="484"/>
  <c r="I172" i="484"/>
  <c r="I173" i="484"/>
  <c r="I174" i="484"/>
  <c r="I175" i="484"/>
  <c r="I176" i="484"/>
  <c r="I177" i="484"/>
  <c r="I178" i="484"/>
  <c r="I179" i="484"/>
  <c r="I180" i="484"/>
  <c r="I181" i="484"/>
  <c r="I182" i="484"/>
  <c r="I183" i="484"/>
  <c r="I184" i="484"/>
  <c r="I185" i="484"/>
  <c r="I186" i="484"/>
  <c r="I187" i="484"/>
  <c r="I188" i="484"/>
  <c r="I189" i="484"/>
  <c r="I190" i="484"/>
  <c r="I192" i="484"/>
  <c r="I194" i="484"/>
  <c r="I196" i="484"/>
  <c r="I198" i="484"/>
  <c r="I200" i="484"/>
  <c r="I202" i="484"/>
  <c r="I203" i="484"/>
  <c r="I204" i="484"/>
  <c r="I205" i="484"/>
  <c r="I206" i="484"/>
  <c r="I207" i="484"/>
  <c r="I208" i="484"/>
  <c r="I209" i="484"/>
  <c r="I210" i="484"/>
  <c r="I211" i="484"/>
  <c r="I191" i="484"/>
  <c r="I193" i="484"/>
  <c r="I195" i="484"/>
  <c r="I197" i="484"/>
  <c r="I199" i="484"/>
  <c r="I201" i="484"/>
  <c r="K247" i="484"/>
  <c r="K245" i="484"/>
  <c r="K243" i="484"/>
  <c r="K241" i="484"/>
  <c r="K239" i="484"/>
  <c r="G237" i="484"/>
  <c r="G235" i="484"/>
  <c r="G233" i="484"/>
  <c r="G231" i="484"/>
  <c r="H2" i="484"/>
  <c r="H3" i="484"/>
  <c r="H4" i="484"/>
  <c r="H5" i="484"/>
  <c r="H6" i="484"/>
  <c r="H7" i="484"/>
  <c r="H8" i="484"/>
  <c r="H9" i="484"/>
  <c r="H10" i="484"/>
  <c r="H11" i="484"/>
  <c r="H12" i="484"/>
  <c r="H13" i="484"/>
  <c r="H14" i="484"/>
  <c r="H15" i="484"/>
  <c r="H16" i="484"/>
  <c r="H17" i="484"/>
  <c r="H18" i="484"/>
  <c r="H19" i="484"/>
  <c r="H20" i="484"/>
  <c r="H21" i="484"/>
  <c r="H22" i="484"/>
  <c r="H23" i="484"/>
  <c r="H24" i="484"/>
  <c r="H25" i="484"/>
  <c r="H26" i="484"/>
  <c r="H27" i="484"/>
  <c r="H28" i="484"/>
  <c r="H29" i="484"/>
  <c r="H30" i="484"/>
  <c r="H31" i="484"/>
  <c r="H32" i="484"/>
  <c r="H33" i="484"/>
  <c r="H34" i="484"/>
  <c r="H35" i="484"/>
  <c r="H36" i="484"/>
  <c r="H37" i="484"/>
  <c r="H38" i="484"/>
  <c r="H39" i="484"/>
  <c r="H40" i="484"/>
  <c r="H41" i="484"/>
  <c r="H42" i="484"/>
  <c r="H43" i="484"/>
  <c r="H44" i="484"/>
  <c r="H45" i="484"/>
  <c r="H46" i="484"/>
  <c r="H47" i="484"/>
  <c r="H48" i="484"/>
  <c r="H49" i="484"/>
  <c r="H50" i="484"/>
  <c r="H51" i="484"/>
  <c r="H52" i="484"/>
  <c r="H53" i="484"/>
  <c r="H54" i="484"/>
  <c r="H55" i="484"/>
  <c r="H56" i="484"/>
  <c r="H57" i="484"/>
  <c r="H58" i="484"/>
  <c r="H59" i="484"/>
  <c r="H60" i="484"/>
  <c r="H61" i="484"/>
  <c r="H62" i="484"/>
  <c r="H63" i="484"/>
  <c r="H64" i="484"/>
  <c r="H65" i="484"/>
  <c r="H66" i="484"/>
  <c r="H67" i="484"/>
  <c r="H68" i="484"/>
  <c r="H69" i="484"/>
  <c r="H70" i="484"/>
  <c r="H71" i="484"/>
  <c r="H72" i="484"/>
  <c r="H73" i="484"/>
  <c r="H74" i="484"/>
  <c r="H75" i="484"/>
  <c r="H76" i="484"/>
  <c r="H77" i="484"/>
  <c r="H78" i="484"/>
  <c r="H79" i="484"/>
  <c r="H80" i="484"/>
  <c r="H81" i="484"/>
  <c r="H82" i="484"/>
  <c r="H83" i="484"/>
  <c r="H84" i="484"/>
  <c r="H85" i="484"/>
  <c r="H86" i="484"/>
  <c r="H87" i="484"/>
  <c r="H88" i="484"/>
  <c r="H89" i="484"/>
  <c r="H90" i="484"/>
  <c r="H91" i="484"/>
  <c r="H92" i="484"/>
  <c r="H93" i="484"/>
  <c r="H94" i="484"/>
  <c r="H95" i="484"/>
  <c r="H96" i="484"/>
  <c r="H97" i="484"/>
  <c r="H98" i="484"/>
  <c r="H99" i="484"/>
  <c r="H100" i="484"/>
  <c r="H101" i="484"/>
  <c r="H102" i="484"/>
  <c r="H103" i="484"/>
  <c r="H104" i="484"/>
  <c r="H105" i="484"/>
  <c r="H106" i="484"/>
  <c r="H107" i="484"/>
  <c r="H108" i="484"/>
  <c r="H109" i="484"/>
  <c r="H110" i="484"/>
  <c r="H111" i="484"/>
  <c r="H112" i="484"/>
  <c r="H113" i="484"/>
  <c r="H114" i="484"/>
  <c r="H115" i="484"/>
  <c r="H116" i="484"/>
  <c r="H117" i="484"/>
  <c r="H118" i="484"/>
  <c r="H119" i="484"/>
  <c r="H120" i="484"/>
  <c r="H121" i="484"/>
  <c r="H123" i="484"/>
  <c r="H125" i="484"/>
  <c r="H127" i="484"/>
  <c r="H129" i="484"/>
  <c r="H131" i="484"/>
  <c r="H133" i="484"/>
  <c r="H135" i="484"/>
  <c r="H137" i="484"/>
  <c r="H139" i="484"/>
  <c r="H141" i="484"/>
  <c r="H143" i="484"/>
  <c r="H145" i="484"/>
  <c r="H147" i="484"/>
  <c r="H149" i="484"/>
  <c r="H151" i="484"/>
  <c r="H153" i="484"/>
  <c r="H155" i="484"/>
  <c r="H157" i="484"/>
  <c r="H159" i="484"/>
  <c r="H161" i="484"/>
  <c r="H163" i="484"/>
  <c r="H165" i="484"/>
  <c r="H167" i="484"/>
  <c r="H192" i="484"/>
  <c r="H194" i="484"/>
  <c r="H196" i="484"/>
  <c r="H198" i="484"/>
  <c r="H200" i="484"/>
  <c r="H169" i="484"/>
  <c r="H170" i="484"/>
  <c r="H171" i="484"/>
  <c r="H172" i="484"/>
  <c r="H173" i="484"/>
  <c r="H174" i="484"/>
  <c r="H175" i="484"/>
  <c r="H176" i="484"/>
  <c r="H177" i="484"/>
  <c r="H178" i="484"/>
  <c r="H179" i="484"/>
  <c r="H180" i="484"/>
  <c r="H181" i="484"/>
  <c r="H182" i="484"/>
  <c r="H183" i="484"/>
  <c r="H184" i="484"/>
  <c r="H185" i="484"/>
  <c r="H186" i="484"/>
  <c r="H187" i="484"/>
  <c r="H188" i="484"/>
  <c r="H189" i="484"/>
  <c r="H190" i="484"/>
  <c r="H202" i="484"/>
  <c r="H203" i="484"/>
  <c r="H204" i="484"/>
  <c r="H205" i="484"/>
  <c r="H206" i="484"/>
  <c r="H207" i="484"/>
  <c r="H208" i="484"/>
  <c r="H209" i="484"/>
  <c r="H210" i="484"/>
  <c r="H211" i="484"/>
  <c r="H212" i="484"/>
  <c r="H213" i="484"/>
  <c r="H214" i="484"/>
  <c r="H215" i="484"/>
  <c r="H216" i="484"/>
  <c r="H217" i="484"/>
  <c r="H218" i="484"/>
  <c r="H219" i="484"/>
  <c r="H220" i="484"/>
  <c r="H221" i="484"/>
  <c r="H222" i="484"/>
  <c r="H223" i="484"/>
  <c r="H224" i="484"/>
  <c r="H225" i="484"/>
  <c r="H226" i="484"/>
  <c r="H227" i="484"/>
  <c r="H228" i="484"/>
  <c r="H229" i="484"/>
  <c r="H230" i="484"/>
  <c r="H231" i="484"/>
  <c r="H232" i="484"/>
  <c r="H233" i="484"/>
  <c r="H234" i="484"/>
  <c r="H235" i="484"/>
  <c r="H236" i="484"/>
  <c r="H237" i="484"/>
  <c r="H238" i="484"/>
  <c r="H122" i="484"/>
  <c r="H124" i="484"/>
  <c r="H126" i="484"/>
  <c r="H128" i="484"/>
  <c r="H130" i="484"/>
  <c r="H132" i="484"/>
  <c r="H134" i="484"/>
  <c r="H136" i="484"/>
  <c r="H138" i="484"/>
  <c r="H140" i="484"/>
  <c r="H142" i="484"/>
  <c r="H144" i="484"/>
  <c r="H146" i="484"/>
  <c r="H148" i="484"/>
  <c r="H150" i="484"/>
  <c r="H152" i="484"/>
  <c r="H154" i="484"/>
  <c r="H156" i="484"/>
  <c r="H158" i="484"/>
  <c r="H160" i="484"/>
  <c r="H162" i="484"/>
  <c r="H164" i="484"/>
  <c r="H166" i="484"/>
  <c r="H168" i="484"/>
  <c r="H191" i="484"/>
  <c r="H193" i="484"/>
  <c r="H195" i="484"/>
  <c r="H197" i="484"/>
  <c r="H199" i="484"/>
  <c r="H201" i="484"/>
  <c r="I248" i="484"/>
  <c r="I247" i="484"/>
  <c r="G246" i="484"/>
  <c r="I245" i="484"/>
  <c r="G244" i="484"/>
  <c r="I243" i="484"/>
  <c r="G242" i="484"/>
  <c r="I241" i="484"/>
  <c r="G240" i="484"/>
  <c r="I239" i="484"/>
  <c r="K211" i="484"/>
  <c r="K209" i="484"/>
  <c r="H245" i="484"/>
  <c r="H243" i="484"/>
  <c r="K242" i="484"/>
  <c r="H241" i="484"/>
  <c r="K240" i="484"/>
  <c r="K238" i="484"/>
  <c r="K237" i="484"/>
  <c r="K236" i="484"/>
  <c r="K235" i="484"/>
  <c r="K234" i="484"/>
  <c r="K233" i="484"/>
  <c r="K232" i="484"/>
  <c r="K231" i="484"/>
  <c r="K230" i="484"/>
  <c r="K229" i="484"/>
  <c r="K228" i="484"/>
  <c r="K227" i="484"/>
  <c r="K226" i="484"/>
  <c r="K225" i="484"/>
  <c r="K224" i="484"/>
  <c r="K223" i="484"/>
  <c r="K222" i="484"/>
  <c r="K221" i="484"/>
  <c r="K220" i="484"/>
  <c r="K219" i="484"/>
  <c r="K218" i="484"/>
  <c r="K217" i="484"/>
  <c r="K216" i="484"/>
  <c r="K215" i="484"/>
  <c r="K214" i="484"/>
  <c r="K213" i="484"/>
  <c r="K212" i="484"/>
  <c r="G211" i="484"/>
  <c r="G209" i="484"/>
  <c r="K246" i="483"/>
  <c r="G246" i="483"/>
  <c r="K245" i="483"/>
  <c r="G245" i="483"/>
  <c r="K244" i="483"/>
  <c r="G244" i="483"/>
  <c r="K243" i="483"/>
  <c r="G243" i="483"/>
  <c r="K242" i="483"/>
  <c r="G242" i="483"/>
  <c r="K241" i="483"/>
  <c r="G241" i="483"/>
  <c r="K240" i="483"/>
  <c r="G240" i="483"/>
  <c r="K239" i="483"/>
  <c r="G239" i="483"/>
  <c r="K238" i="483"/>
  <c r="G238" i="483"/>
  <c r="K237" i="483"/>
  <c r="G237" i="483"/>
  <c r="K236" i="483"/>
  <c r="G236" i="483"/>
  <c r="K235" i="483"/>
  <c r="G235" i="483"/>
  <c r="K234" i="483"/>
  <c r="G234" i="483"/>
  <c r="K233" i="483"/>
  <c r="G233" i="483"/>
  <c r="K232" i="483"/>
  <c r="G232" i="483"/>
  <c r="K231" i="483"/>
  <c r="G231" i="483"/>
  <c r="K230" i="483"/>
  <c r="G230" i="483"/>
  <c r="K229" i="483"/>
  <c r="G229" i="483"/>
  <c r="K228" i="483"/>
  <c r="G228" i="483"/>
  <c r="K227" i="483"/>
  <c r="G227" i="483"/>
  <c r="K226" i="483"/>
  <c r="G226" i="483"/>
  <c r="K225" i="483"/>
  <c r="G225" i="483"/>
  <c r="K224" i="483"/>
  <c r="G224" i="483"/>
  <c r="K223" i="483"/>
  <c r="G223" i="483"/>
  <c r="K222" i="483"/>
  <c r="G222" i="483"/>
  <c r="K221" i="483"/>
  <c r="G221" i="483"/>
  <c r="K220" i="483"/>
  <c r="G220" i="483"/>
  <c r="K219" i="483"/>
  <c r="G219" i="483"/>
  <c r="K218" i="483"/>
  <c r="G218" i="483"/>
  <c r="K217" i="483"/>
  <c r="K216" i="483"/>
  <c r="H215" i="483"/>
  <c r="K214" i="483"/>
  <c r="H213" i="483"/>
  <c r="K212" i="483"/>
  <c r="H211" i="483"/>
  <c r="K210" i="483"/>
  <c r="H209" i="483"/>
  <c r="K208" i="483"/>
  <c r="H207" i="483"/>
  <c r="K206" i="483"/>
  <c r="H205" i="483"/>
  <c r="K204" i="483"/>
  <c r="H203" i="483"/>
  <c r="K202" i="483"/>
  <c r="H201" i="483"/>
  <c r="K200" i="483"/>
  <c r="H199" i="483"/>
  <c r="K198" i="483"/>
  <c r="H197" i="483"/>
  <c r="K196" i="483"/>
  <c r="H195" i="483"/>
  <c r="K194" i="483"/>
  <c r="H193" i="483"/>
  <c r="K192" i="483"/>
  <c r="K191" i="483"/>
  <c r="G2" i="483"/>
  <c r="G41" i="483"/>
  <c r="G43" i="483"/>
  <c r="G3" i="483"/>
  <c r="G4" i="483"/>
  <c r="G5" i="483"/>
  <c r="G6" i="483"/>
  <c r="G7" i="483"/>
  <c r="G8" i="483"/>
  <c r="G9" i="483"/>
  <c r="G10" i="483"/>
  <c r="G11" i="483"/>
  <c r="G12" i="483"/>
  <c r="G13" i="483"/>
  <c r="G14" i="483"/>
  <c r="G15" i="483"/>
  <c r="G16" i="483"/>
  <c r="G17" i="483"/>
  <c r="G18" i="483"/>
  <c r="G19" i="483"/>
  <c r="G20" i="483"/>
  <c r="G21" i="483"/>
  <c r="G22" i="483"/>
  <c r="G23" i="483"/>
  <c r="G24" i="483"/>
  <c r="G25" i="483"/>
  <c r="G26" i="483"/>
  <c r="G27" i="483"/>
  <c r="G28" i="483"/>
  <c r="G29" i="483"/>
  <c r="G30" i="483"/>
  <c r="G31" i="483"/>
  <c r="G32" i="483"/>
  <c r="G33" i="483"/>
  <c r="G34" i="483"/>
  <c r="G35" i="483"/>
  <c r="G36" i="483"/>
  <c r="G37" i="483"/>
  <c r="G44" i="483"/>
  <c r="G45" i="483"/>
  <c r="G47" i="483"/>
  <c r="G49" i="483"/>
  <c r="G51" i="483"/>
  <c r="G53" i="483"/>
  <c r="G55" i="483"/>
  <c r="G57" i="483"/>
  <c r="G59" i="483"/>
  <c r="G61" i="483"/>
  <c r="G63" i="483"/>
  <c r="G39" i="483"/>
  <c r="G40" i="483"/>
  <c r="G65" i="483"/>
  <c r="G66" i="483"/>
  <c r="G67" i="483"/>
  <c r="G68" i="483"/>
  <c r="G69" i="483"/>
  <c r="G70" i="483"/>
  <c r="G71" i="483"/>
  <c r="G72" i="483"/>
  <c r="G73" i="483"/>
  <c r="G74" i="483"/>
  <c r="G75" i="483"/>
  <c r="G76" i="483"/>
  <c r="G77" i="483"/>
  <c r="G78" i="483"/>
  <c r="G79" i="483"/>
  <c r="G80" i="483"/>
  <c r="G81" i="483"/>
  <c r="G82" i="483"/>
  <c r="G83" i="483"/>
  <c r="G84" i="483"/>
  <c r="G38" i="483"/>
  <c r="G42" i="483"/>
  <c r="G48" i="483"/>
  <c r="G56" i="483"/>
  <c r="G64" i="483"/>
  <c r="G46" i="483"/>
  <c r="G54" i="483"/>
  <c r="G62" i="483"/>
  <c r="G104" i="483"/>
  <c r="G106" i="483"/>
  <c r="G108" i="483"/>
  <c r="G110" i="483"/>
  <c r="G112" i="483"/>
  <c r="G114" i="483"/>
  <c r="G116" i="483"/>
  <c r="G118" i="483"/>
  <c r="G120" i="483"/>
  <c r="G122" i="483"/>
  <c r="G52" i="483"/>
  <c r="G60" i="483"/>
  <c r="G124" i="483"/>
  <c r="G125" i="483"/>
  <c r="G126" i="483"/>
  <c r="G127" i="483"/>
  <c r="G128" i="483"/>
  <c r="G129" i="483"/>
  <c r="G130" i="483"/>
  <c r="G131" i="483"/>
  <c r="G132" i="483"/>
  <c r="G133" i="483"/>
  <c r="G134" i="483"/>
  <c r="G135" i="483"/>
  <c r="G136" i="483"/>
  <c r="G137" i="483"/>
  <c r="G138" i="483"/>
  <c r="G139" i="483"/>
  <c r="G140" i="483"/>
  <c r="G141" i="483"/>
  <c r="G142" i="483"/>
  <c r="G143" i="483"/>
  <c r="G144" i="483"/>
  <c r="G145" i="483"/>
  <c r="G146" i="483"/>
  <c r="G147" i="483"/>
  <c r="G148" i="483"/>
  <c r="G149" i="483"/>
  <c r="G150" i="483"/>
  <c r="G151" i="483"/>
  <c r="G152" i="483"/>
  <c r="G153" i="483"/>
  <c r="G154" i="483"/>
  <c r="G155" i="483"/>
  <c r="G156" i="483"/>
  <c r="G157" i="483"/>
  <c r="G158" i="483"/>
  <c r="G159" i="483"/>
  <c r="G160" i="483"/>
  <c r="G161" i="483"/>
  <c r="G50" i="483"/>
  <c r="G58" i="483"/>
  <c r="G85" i="483"/>
  <c r="G86" i="483"/>
  <c r="G87" i="483"/>
  <c r="G88" i="483"/>
  <c r="G89" i="483"/>
  <c r="G90" i="483"/>
  <c r="G91" i="483"/>
  <c r="G92" i="483"/>
  <c r="G93" i="483"/>
  <c r="G94" i="483"/>
  <c r="G95" i="483"/>
  <c r="G96" i="483"/>
  <c r="G97" i="483"/>
  <c r="G98" i="483"/>
  <c r="G99" i="483"/>
  <c r="G103" i="483"/>
  <c r="G111" i="483"/>
  <c r="G119" i="483"/>
  <c r="G162" i="483"/>
  <c r="G164" i="483"/>
  <c r="G166" i="483"/>
  <c r="G168" i="483"/>
  <c r="G170" i="483"/>
  <c r="G172" i="483"/>
  <c r="G100" i="483"/>
  <c r="G109" i="483"/>
  <c r="G117" i="483"/>
  <c r="G101" i="483"/>
  <c r="G107" i="483"/>
  <c r="G115" i="483"/>
  <c r="G123" i="483"/>
  <c r="G163" i="483"/>
  <c r="G165" i="483"/>
  <c r="G167" i="483"/>
  <c r="G169" i="483"/>
  <c r="G171" i="483"/>
  <c r="G173" i="483"/>
  <c r="G174" i="483"/>
  <c r="G175" i="483"/>
  <c r="G176" i="483"/>
  <c r="G177" i="483"/>
  <c r="G178" i="483"/>
  <c r="G179" i="483"/>
  <c r="G180" i="483"/>
  <c r="G181" i="483"/>
  <c r="G182" i="483"/>
  <c r="G183" i="483"/>
  <c r="G184" i="483"/>
  <c r="G185" i="483"/>
  <c r="G186" i="483"/>
  <c r="G187" i="483"/>
  <c r="G188" i="483"/>
  <c r="G189" i="483"/>
  <c r="G102" i="483"/>
  <c r="G105" i="483"/>
  <c r="G113" i="483"/>
  <c r="G121" i="483"/>
  <c r="I3" i="483"/>
  <c r="I4" i="483"/>
  <c r="I5" i="483"/>
  <c r="I6" i="483"/>
  <c r="I7" i="483"/>
  <c r="I8" i="483"/>
  <c r="I9" i="483"/>
  <c r="I10" i="483"/>
  <c r="I11" i="483"/>
  <c r="I12" i="483"/>
  <c r="I13" i="483"/>
  <c r="I14" i="483"/>
  <c r="I15" i="483"/>
  <c r="I16" i="483"/>
  <c r="I17" i="483"/>
  <c r="I18" i="483"/>
  <c r="I19" i="483"/>
  <c r="I20" i="483"/>
  <c r="I21" i="483"/>
  <c r="I22" i="483"/>
  <c r="I23" i="483"/>
  <c r="I24" i="483"/>
  <c r="I25" i="483"/>
  <c r="I26" i="483"/>
  <c r="I27" i="483"/>
  <c r="I28" i="483"/>
  <c r="I29" i="483"/>
  <c r="I30" i="483"/>
  <c r="I31" i="483"/>
  <c r="I32" i="483"/>
  <c r="I33" i="483"/>
  <c r="I34" i="483"/>
  <c r="I35" i="483"/>
  <c r="I36" i="483"/>
  <c r="I37" i="483"/>
  <c r="I38" i="483"/>
  <c r="I39" i="483"/>
  <c r="I40" i="483"/>
  <c r="I41" i="483"/>
  <c r="I42" i="483"/>
  <c r="I43" i="483"/>
  <c r="I44" i="483"/>
  <c r="I2" i="483"/>
  <c r="I65" i="483"/>
  <c r="I66" i="483"/>
  <c r="I67" i="483"/>
  <c r="I68" i="483"/>
  <c r="I69" i="483"/>
  <c r="I70" i="483"/>
  <c r="I71" i="483"/>
  <c r="I72" i="483"/>
  <c r="I73" i="483"/>
  <c r="I74" i="483"/>
  <c r="I75" i="483"/>
  <c r="I76" i="483"/>
  <c r="I77" i="483"/>
  <c r="I78" i="483"/>
  <c r="I79" i="483"/>
  <c r="I80" i="483"/>
  <c r="I81" i="483"/>
  <c r="I82" i="483"/>
  <c r="I83" i="483"/>
  <c r="I84" i="483"/>
  <c r="I85" i="483"/>
  <c r="I86" i="483"/>
  <c r="I87" i="483"/>
  <c r="I88" i="483"/>
  <c r="I89" i="483"/>
  <c r="I90" i="483"/>
  <c r="I91" i="483"/>
  <c r="I92" i="483"/>
  <c r="I93" i="483"/>
  <c r="I94" i="483"/>
  <c r="I95" i="483"/>
  <c r="I96" i="483"/>
  <c r="I97" i="483"/>
  <c r="I98" i="483"/>
  <c r="I99" i="483"/>
  <c r="I100" i="483"/>
  <c r="I101" i="483"/>
  <c r="I102" i="483"/>
  <c r="I46" i="483"/>
  <c r="I48" i="483"/>
  <c r="I50" i="483"/>
  <c r="I52" i="483"/>
  <c r="I54" i="483"/>
  <c r="I56" i="483"/>
  <c r="I58" i="483"/>
  <c r="I60" i="483"/>
  <c r="I62" i="483"/>
  <c r="I64" i="483"/>
  <c r="I45" i="483"/>
  <c r="I53" i="483"/>
  <c r="I61" i="483"/>
  <c r="I124" i="483"/>
  <c r="I125" i="483"/>
  <c r="I126" i="483"/>
  <c r="I127" i="483"/>
  <c r="I128" i="483"/>
  <c r="I129" i="483"/>
  <c r="I130" i="483"/>
  <c r="I131" i="483"/>
  <c r="I132" i="483"/>
  <c r="I133" i="483"/>
  <c r="I134" i="483"/>
  <c r="I135" i="483"/>
  <c r="I136" i="483"/>
  <c r="I137" i="483"/>
  <c r="I138" i="483"/>
  <c r="I139" i="483"/>
  <c r="I140" i="483"/>
  <c r="I141" i="483"/>
  <c r="I142" i="483"/>
  <c r="I143" i="483"/>
  <c r="I144" i="483"/>
  <c r="I145" i="483"/>
  <c r="I146" i="483"/>
  <c r="I147" i="483"/>
  <c r="I148" i="483"/>
  <c r="I149" i="483"/>
  <c r="I150" i="483"/>
  <c r="I151" i="483"/>
  <c r="I152" i="483"/>
  <c r="I153" i="483"/>
  <c r="I154" i="483"/>
  <c r="I51" i="483"/>
  <c r="I59" i="483"/>
  <c r="I103" i="483"/>
  <c r="I105" i="483"/>
  <c r="I107" i="483"/>
  <c r="I109" i="483"/>
  <c r="I111" i="483"/>
  <c r="I113" i="483"/>
  <c r="I115" i="483"/>
  <c r="I117" i="483"/>
  <c r="I119" i="483"/>
  <c r="I121" i="483"/>
  <c r="I123" i="483"/>
  <c r="I49" i="483"/>
  <c r="I57" i="483"/>
  <c r="I47" i="483"/>
  <c r="I55" i="483"/>
  <c r="I63" i="483"/>
  <c r="I108" i="483"/>
  <c r="I116" i="483"/>
  <c r="I155" i="483"/>
  <c r="I156" i="483"/>
  <c r="I157" i="483"/>
  <c r="I158" i="483"/>
  <c r="I159" i="483"/>
  <c r="I160" i="483"/>
  <c r="I161" i="483"/>
  <c r="I163" i="483"/>
  <c r="I165" i="483"/>
  <c r="I167" i="483"/>
  <c r="I169" i="483"/>
  <c r="I171" i="483"/>
  <c r="I173" i="483"/>
  <c r="I174" i="483"/>
  <c r="I175" i="483"/>
  <c r="I176" i="483"/>
  <c r="I177" i="483"/>
  <c r="I178" i="483"/>
  <c r="I179" i="483"/>
  <c r="I180" i="483"/>
  <c r="I181" i="483"/>
  <c r="I182" i="483"/>
  <c r="I183" i="483"/>
  <c r="I184" i="483"/>
  <c r="I185" i="483"/>
  <c r="I186" i="483"/>
  <c r="I187" i="483"/>
  <c r="I188" i="483"/>
  <c r="I189" i="483"/>
  <c r="I190" i="483"/>
  <c r="I191" i="483"/>
  <c r="I192" i="483"/>
  <c r="I106" i="483"/>
  <c r="I114" i="483"/>
  <c r="I122" i="483"/>
  <c r="I104" i="483"/>
  <c r="I112" i="483"/>
  <c r="I120" i="483"/>
  <c r="I162" i="483"/>
  <c r="I164" i="483"/>
  <c r="I166" i="483"/>
  <c r="I168" i="483"/>
  <c r="I170" i="483"/>
  <c r="I172" i="483"/>
  <c r="I110" i="483"/>
  <c r="I118" i="483"/>
  <c r="G248" i="483"/>
  <c r="K248" i="483"/>
  <c r="J247" i="483"/>
  <c r="J246" i="483"/>
  <c r="J245" i="483"/>
  <c r="J244" i="483"/>
  <c r="J243" i="483"/>
  <c r="J242" i="483"/>
  <c r="J241" i="483"/>
  <c r="J240" i="483"/>
  <c r="J239" i="483"/>
  <c r="J238" i="483"/>
  <c r="J237" i="483"/>
  <c r="J236" i="483"/>
  <c r="J235" i="483"/>
  <c r="J234" i="483"/>
  <c r="J233" i="483"/>
  <c r="J232" i="483"/>
  <c r="J231" i="483"/>
  <c r="J230" i="483"/>
  <c r="J229" i="483"/>
  <c r="J228" i="483"/>
  <c r="J227" i="483"/>
  <c r="J226" i="483"/>
  <c r="J225" i="483"/>
  <c r="J224" i="483"/>
  <c r="J223" i="483"/>
  <c r="J222" i="483"/>
  <c r="J221" i="483"/>
  <c r="J220" i="483"/>
  <c r="J219" i="483"/>
  <c r="J218" i="483"/>
  <c r="I216" i="483"/>
  <c r="G215" i="483"/>
  <c r="I214" i="483"/>
  <c r="G213" i="483"/>
  <c r="I212" i="483"/>
  <c r="G211" i="483"/>
  <c r="I210" i="483"/>
  <c r="G209" i="483"/>
  <c r="I208" i="483"/>
  <c r="G207" i="483"/>
  <c r="I206" i="483"/>
  <c r="G205" i="483"/>
  <c r="I204" i="483"/>
  <c r="G203" i="483"/>
  <c r="I202" i="483"/>
  <c r="G201" i="483"/>
  <c r="I200" i="483"/>
  <c r="G199" i="483"/>
  <c r="I198" i="483"/>
  <c r="G197" i="483"/>
  <c r="I196" i="483"/>
  <c r="G195" i="483"/>
  <c r="I194" i="483"/>
  <c r="G193" i="483"/>
  <c r="G191" i="483"/>
  <c r="H2" i="483"/>
  <c r="H3" i="483"/>
  <c r="H7" i="483"/>
  <c r="H11" i="483"/>
  <c r="H15" i="483"/>
  <c r="H19" i="483"/>
  <c r="H23" i="483"/>
  <c r="H27" i="483"/>
  <c r="H31" i="483"/>
  <c r="H35" i="483"/>
  <c r="H38" i="483"/>
  <c r="H42" i="483"/>
  <c r="H43" i="483"/>
  <c r="H46" i="483"/>
  <c r="H48" i="483"/>
  <c r="H50" i="483"/>
  <c r="H52" i="483"/>
  <c r="H54" i="483"/>
  <c r="H56" i="483"/>
  <c r="H58" i="483"/>
  <c r="H60" i="483"/>
  <c r="H62" i="483"/>
  <c r="H64" i="483"/>
  <c r="H4" i="483"/>
  <c r="H8" i="483"/>
  <c r="H12" i="483"/>
  <c r="H16" i="483"/>
  <c r="H20" i="483"/>
  <c r="H24" i="483"/>
  <c r="H28" i="483"/>
  <c r="H32" i="483"/>
  <c r="H36" i="483"/>
  <c r="H44" i="483"/>
  <c r="H5" i="483"/>
  <c r="H9" i="483"/>
  <c r="H13" i="483"/>
  <c r="H17" i="483"/>
  <c r="H21" i="483"/>
  <c r="H25" i="483"/>
  <c r="H29" i="483"/>
  <c r="H33" i="483"/>
  <c r="H37" i="483"/>
  <c r="H45" i="483"/>
  <c r="H47" i="483"/>
  <c r="H49" i="483"/>
  <c r="H51" i="483"/>
  <c r="H53" i="483"/>
  <c r="H55" i="483"/>
  <c r="H57" i="483"/>
  <c r="H59" i="483"/>
  <c r="H61" i="483"/>
  <c r="H63" i="483"/>
  <c r="H6" i="483"/>
  <c r="H22" i="483"/>
  <c r="H66" i="483"/>
  <c r="H68" i="483"/>
  <c r="H70" i="483"/>
  <c r="H72" i="483"/>
  <c r="H74" i="483"/>
  <c r="H76" i="483"/>
  <c r="H78" i="483"/>
  <c r="H80" i="483"/>
  <c r="H82" i="483"/>
  <c r="H84" i="483"/>
  <c r="H85" i="483"/>
  <c r="H86" i="483"/>
  <c r="H87" i="483"/>
  <c r="H88" i="483"/>
  <c r="H89" i="483"/>
  <c r="H90" i="483"/>
  <c r="H91" i="483"/>
  <c r="H92" i="483"/>
  <c r="H93" i="483"/>
  <c r="H94" i="483"/>
  <c r="H95" i="483"/>
  <c r="H96" i="483"/>
  <c r="H97" i="483"/>
  <c r="H98" i="483"/>
  <c r="H99" i="483"/>
  <c r="H100" i="483"/>
  <c r="H101" i="483"/>
  <c r="H102" i="483"/>
  <c r="H103" i="483"/>
  <c r="H105" i="483"/>
  <c r="H107" i="483"/>
  <c r="H109" i="483"/>
  <c r="H111" i="483"/>
  <c r="H113" i="483"/>
  <c r="H115" i="483"/>
  <c r="H117" i="483"/>
  <c r="H119" i="483"/>
  <c r="H121" i="483"/>
  <c r="H123" i="483"/>
  <c r="H10" i="483"/>
  <c r="H26" i="483"/>
  <c r="H39" i="483"/>
  <c r="H14" i="483"/>
  <c r="H30" i="483"/>
  <c r="H40" i="483"/>
  <c r="H65" i="483"/>
  <c r="H67" i="483"/>
  <c r="H69" i="483"/>
  <c r="H71" i="483"/>
  <c r="H73" i="483"/>
  <c r="H75" i="483"/>
  <c r="H77" i="483"/>
  <c r="H79" i="483"/>
  <c r="H81" i="483"/>
  <c r="H83" i="483"/>
  <c r="H104" i="483"/>
  <c r="H106" i="483"/>
  <c r="H108" i="483"/>
  <c r="H110" i="483"/>
  <c r="H112" i="483"/>
  <c r="H114" i="483"/>
  <c r="H116" i="483"/>
  <c r="H118" i="483"/>
  <c r="H120" i="483"/>
  <c r="H122" i="483"/>
  <c r="H18" i="483"/>
  <c r="H34" i="483"/>
  <c r="H41" i="483"/>
  <c r="H124" i="483"/>
  <c r="H126" i="483"/>
  <c r="H128" i="483"/>
  <c r="H130" i="483"/>
  <c r="H132" i="483"/>
  <c r="H134" i="483"/>
  <c r="H136" i="483"/>
  <c r="H138" i="483"/>
  <c r="H140" i="483"/>
  <c r="H142" i="483"/>
  <c r="H144" i="483"/>
  <c r="H146" i="483"/>
  <c r="H148" i="483"/>
  <c r="H150" i="483"/>
  <c r="H152" i="483"/>
  <c r="H154" i="483"/>
  <c r="H162" i="483"/>
  <c r="H164" i="483"/>
  <c r="H166" i="483"/>
  <c r="H168" i="483"/>
  <c r="H170" i="483"/>
  <c r="H172" i="483"/>
  <c r="H125" i="483"/>
  <c r="H127" i="483"/>
  <c r="H129" i="483"/>
  <c r="H131" i="483"/>
  <c r="H133" i="483"/>
  <c r="H135" i="483"/>
  <c r="H137" i="483"/>
  <c r="H139" i="483"/>
  <c r="H141" i="483"/>
  <c r="H143" i="483"/>
  <c r="H145" i="483"/>
  <c r="H147" i="483"/>
  <c r="H149" i="483"/>
  <c r="H151" i="483"/>
  <c r="H153" i="483"/>
  <c r="H155" i="483"/>
  <c r="H156" i="483"/>
  <c r="H157" i="483"/>
  <c r="H158" i="483"/>
  <c r="H159" i="483"/>
  <c r="H160" i="483"/>
  <c r="H161" i="483"/>
  <c r="H163" i="483"/>
  <c r="H165" i="483"/>
  <c r="H167" i="483"/>
  <c r="H169" i="483"/>
  <c r="H171" i="483"/>
  <c r="H173" i="483"/>
  <c r="H174" i="483"/>
  <c r="H175" i="483"/>
  <c r="H176" i="483"/>
  <c r="H177" i="483"/>
  <c r="H178" i="483"/>
  <c r="H179" i="483"/>
  <c r="H180" i="483"/>
  <c r="H181" i="483"/>
  <c r="H182" i="483"/>
  <c r="H183" i="483"/>
  <c r="H184" i="483"/>
  <c r="H185" i="483"/>
  <c r="H186" i="483"/>
  <c r="H187" i="483"/>
  <c r="H188" i="483"/>
  <c r="H189" i="483"/>
  <c r="H190" i="483"/>
  <c r="H191" i="483"/>
  <c r="H248" i="483"/>
  <c r="I247" i="483"/>
  <c r="I246" i="483"/>
  <c r="I245" i="483"/>
  <c r="I244" i="483"/>
  <c r="I243" i="483"/>
  <c r="I242" i="483"/>
  <c r="I241" i="483"/>
  <c r="I240" i="483"/>
  <c r="I239" i="483"/>
  <c r="I238" i="483"/>
  <c r="I237" i="483"/>
  <c r="I236" i="483"/>
  <c r="I235" i="483"/>
  <c r="I234" i="483"/>
  <c r="I233" i="483"/>
  <c r="I232" i="483"/>
  <c r="I231" i="483"/>
  <c r="I230" i="483"/>
  <c r="I229" i="483"/>
  <c r="I228" i="483"/>
  <c r="I227" i="483"/>
  <c r="I226" i="483"/>
  <c r="I225" i="483"/>
  <c r="I224" i="483"/>
  <c r="I223" i="483"/>
  <c r="I222" i="483"/>
  <c r="I221" i="483"/>
  <c r="I220" i="483"/>
  <c r="I219" i="483"/>
  <c r="I218" i="483"/>
  <c r="I217" i="483"/>
  <c r="H216" i="483"/>
  <c r="K215" i="483"/>
  <c r="H214" i="483"/>
  <c r="K213" i="483"/>
  <c r="H212" i="483"/>
  <c r="K211" i="483"/>
  <c r="H210" i="483"/>
  <c r="K209" i="483"/>
  <c r="H208" i="483"/>
  <c r="K207" i="483"/>
  <c r="H206" i="483"/>
  <c r="K205" i="483"/>
  <c r="H204" i="483"/>
  <c r="K203" i="483"/>
  <c r="H202" i="483"/>
  <c r="K201" i="483"/>
  <c r="H200" i="483"/>
  <c r="K199" i="483"/>
  <c r="H198" i="483"/>
  <c r="K197" i="483"/>
  <c r="H196" i="483"/>
  <c r="K195" i="483"/>
  <c r="H194" i="483"/>
  <c r="K193" i="483"/>
  <c r="G192" i="483"/>
  <c r="J3" i="483"/>
  <c r="J4" i="483"/>
  <c r="J5" i="483"/>
  <c r="J6" i="483"/>
  <c r="J7" i="483"/>
  <c r="J8" i="483"/>
  <c r="J9" i="483"/>
  <c r="J10" i="483"/>
  <c r="J11" i="483"/>
  <c r="J12" i="483"/>
  <c r="J13" i="483"/>
  <c r="J14" i="483"/>
  <c r="J15" i="483"/>
  <c r="J16" i="483"/>
  <c r="J17" i="483"/>
  <c r="J18" i="483"/>
  <c r="J19" i="483"/>
  <c r="J20" i="483"/>
  <c r="J21" i="483"/>
  <c r="J22" i="483"/>
  <c r="J23" i="483"/>
  <c r="J24" i="483"/>
  <c r="J25" i="483"/>
  <c r="J26" i="483"/>
  <c r="J27" i="483"/>
  <c r="J28" i="483"/>
  <c r="J29" i="483"/>
  <c r="J30" i="483"/>
  <c r="J31" i="483"/>
  <c r="J32" i="483"/>
  <c r="J33" i="483"/>
  <c r="J34" i="483"/>
  <c r="J35" i="483"/>
  <c r="J36" i="483"/>
  <c r="J37" i="483"/>
  <c r="J38" i="483"/>
  <c r="J39" i="483"/>
  <c r="J2" i="483"/>
  <c r="J40" i="483"/>
  <c r="J42" i="483"/>
  <c r="J44" i="483"/>
  <c r="J45" i="483"/>
  <c r="J46" i="483"/>
  <c r="J47" i="483"/>
  <c r="J48" i="483"/>
  <c r="J49" i="483"/>
  <c r="J50" i="483"/>
  <c r="J51" i="483"/>
  <c r="J52" i="483"/>
  <c r="J53" i="483"/>
  <c r="J54" i="483"/>
  <c r="J55" i="483"/>
  <c r="J56" i="483"/>
  <c r="J57" i="483"/>
  <c r="J58" i="483"/>
  <c r="J59" i="483"/>
  <c r="J60" i="483"/>
  <c r="J61" i="483"/>
  <c r="J62" i="483"/>
  <c r="J63" i="483"/>
  <c r="J64" i="483"/>
  <c r="J41" i="483"/>
  <c r="J43" i="483"/>
  <c r="J65" i="483"/>
  <c r="J66" i="483"/>
  <c r="J67" i="483"/>
  <c r="J68" i="483"/>
  <c r="J69" i="483"/>
  <c r="J70" i="483"/>
  <c r="J71" i="483"/>
  <c r="J72" i="483"/>
  <c r="J73" i="483"/>
  <c r="J74" i="483"/>
  <c r="J75" i="483"/>
  <c r="J76" i="483"/>
  <c r="J77" i="483"/>
  <c r="J78" i="483"/>
  <c r="J79" i="483"/>
  <c r="J80" i="483"/>
  <c r="J81" i="483"/>
  <c r="J82" i="483"/>
  <c r="J83" i="483"/>
  <c r="J84" i="483"/>
  <c r="J85" i="483"/>
  <c r="J86" i="483"/>
  <c r="J87" i="483"/>
  <c r="J88" i="483"/>
  <c r="J89" i="483"/>
  <c r="J90" i="483"/>
  <c r="J91" i="483"/>
  <c r="J92" i="483"/>
  <c r="J93" i="483"/>
  <c r="J94" i="483"/>
  <c r="J95" i="483"/>
  <c r="J96" i="483"/>
  <c r="J97" i="483"/>
  <c r="J98" i="483"/>
  <c r="J99" i="483"/>
  <c r="J100" i="483"/>
  <c r="J101" i="483"/>
  <c r="J102" i="483"/>
  <c r="J103" i="483"/>
  <c r="J104" i="483"/>
  <c r="J105" i="483"/>
  <c r="J106" i="483"/>
  <c r="J107" i="483"/>
  <c r="J108" i="483"/>
  <c r="J109" i="483"/>
  <c r="J110" i="483"/>
  <c r="J111" i="483"/>
  <c r="J112" i="483"/>
  <c r="J113" i="483"/>
  <c r="J114" i="483"/>
  <c r="J115" i="483"/>
  <c r="J116" i="483"/>
  <c r="J117" i="483"/>
  <c r="J118" i="483"/>
  <c r="J119" i="483"/>
  <c r="J120" i="483"/>
  <c r="J121" i="483"/>
  <c r="J122" i="483"/>
  <c r="J123" i="483"/>
  <c r="J124" i="483"/>
  <c r="J125" i="483"/>
  <c r="J126" i="483"/>
  <c r="J127" i="483"/>
  <c r="J128" i="483"/>
  <c r="J129" i="483"/>
  <c r="J130" i="483"/>
  <c r="J131" i="483"/>
  <c r="J132" i="483"/>
  <c r="J133" i="483"/>
  <c r="J134" i="483"/>
  <c r="J135" i="483"/>
  <c r="J136" i="483"/>
  <c r="J137" i="483"/>
  <c r="J138" i="483"/>
  <c r="J139" i="483"/>
  <c r="J140" i="483"/>
  <c r="J141" i="483"/>
  <c r="J142" i="483"/>
  <c r="J143" i="483"/>
  <c r="J144" i="483"/>
  <c r="J145" i="483"/>
  <c r="J146" i="483"/>
  <c r="J147" i="483"/>
  <c r="J148" i="483"/>
  <c r="J149" i="483"/>
  <c r="J150" i="483"/>
  <c r="J151" i="483"/>
  <c r="J152" i="483"/>
  <c r="J153" i="483"/>
  <c r="J154" i="483"/>
  <c r="J155" i="483"/>
  <c r="J156" i="483"/>
  <c r="J157" i="483"/>
  <c r="J158" i="483"/>
  <c r="J159" i="483"/>
  <c r="J160" i="483"/>
  <c r="J161" i="483"/>
  <c r="J162" i="483"/>
  <c r="J163" i="483"/>
  <c r="J164" i="483"/>
  <c r="J165" i="483"/>
  <c r="J166" i="483"/>
  <c r="J167" i="483"/>
  <c r="J168" i="483"/>
  <c r="J169" i="483"/>
  <c r="J170" i="483"/>
  <c r="J171" i="483"/>
  <c r="J172" i="483"/>
  <c r="J173" i="483"/>
  <c r="J174" i="483"/>
  <c r="J175" i="483"/>
  <c r="J176" i="483"/>
  <c r="J177" i="483"/>
  <c r="J178" i="483"/>
  <c r="J179" i="483"/>
  <c r="J180" i="483"/>
  <c r="J181" i="483"/>
  <c r="J182" i="483"/>
  <c r="J183" i="483"/>
  <c r="J184" i="483"/>
  <c r="J185" i="483"/>
  <c r="J186" i="483"/>
  <c r="J187" i="483"/>
  <c r="J188" i="483"/>
  <c r="J189" i="483"/>
  <c r="J190" i="483"/>
  <c r="J191" i="483"/>
  <c r="J192" i="483"/>
  <c r="J193" i="483"/>
  <c r="J194" i="483"/>
  <c r="J195" i="483"/>
  <c r="J196" i="483"/>
  <c r="J197" i="483"/>
  <c r="J198" i="483"/>
  <c r="J199" i="483"/>
  <c r="J200" i="483"/>
  <c r="J201" i="483"/>
  <c r="J202" i="483"/>
  <c r="J203" i="483"/>
  <c r="J204" i="483"/>
  <c r="J205" i="483"/>
  <c r="J206" i="483"/>
  <c r="J207" i="483"/>
  <c r="J208" i="483"/>
  <c r="J209" i="483"/>
  <c r="J210" i="483"/>
  <c r="J211" i="483"/>
  <c r="J212" i="483"/>
  <c r="J213" i="483"/>
  <c r="J214" i="483"/>
  <c r="J215" i="483"/>
  <c r="J216" i="483"/>
  <c r="J248" i="483"/>
  <c r="K2" i="483"/>
  <c r="K3" i="483"/>
  <c r="K4" i="483"/>
  <c r="K5" i="483"/>
  <c r="K6" i="483"/>
  <c r="K7" i="483"/>
  <c r="K8" i="483"/>
  <c r="K9" i="483"/>
  <c r="K10" i="483"/>
  <c r="K11" i="483"/>
  <c r="K12" i="483"/>
  <c r="K13" i="483"/>
  <c r="K14" i="483"/>
  <c r="K15" i="483"/>
  <c r="K16" i="483"/>
  <c r="K17" i="483"/>
  <c r="K18" i="483"/>
  <c r="K19" i="483"/>
  <c r="K20" i="483"/>
  <c r="K21" i="483"/>
  <c r="K22" i="483"/>
  <c r="K23" i="483"/>
  <c r="K24" i="483"/>
  <c r="K25" i="483"/>
  <c r="K26" i="483"/>
  <c r="K27" i="483"/>
  <c r="K28" i="483"/>
  <c r="K29" i="483"/>
  <c r="K30" i="483"/>
  <c r="K31" i="483"/>
  <c r="K32" i="483"/>
  <c r="K33" i="483"/>
  <c r="K34" i="483"/>
  <c r="K35" i="483"/>
  <c r="K36" i="483"/>
  <c r="K37" i="483"/>
  <c r="K39" i="483"/>
  <c r="K40" i="483"/>
  <c r="K45" i="483"/>
  <c r="K47" i="483"/>
  <c r="K49" i="483"/>
  <c r="K51" i="483"/>
  <c r="K53" i="483"/>
  <c r="K55" i="483"/>
  <c r="K57" i="483"/>
  <c r="K59" i="483"/>
  <c r="K61" i="483"/>
  <c r="K63" i="483"/>
  <c r="K38" i="483"/>
  <c r="K41" i="483"/>
  <c r="K42" i="483"/>
  <c r="K43" i="483"/>
  <c r="K44" i="483"/>
  <c r="K46" i="483"/>
  <c r="K48" i="483"/>
  <c r="K50" i="483"/>
  <c r="K52" i="483"/>
  <c r="K54" i="483"/>
  <c r="K56" i="483"/>
  <c r="K58" i="483"/>
  <c r="K60" i="483"/>
  <c r="K62" i="483"/>
  <c r="K64" i="483"/>
  <c r="K65" i="483"/>
  <c r="K66" i="483"/>
  <c r="K67" i="483"/>
  <c r="K68" i="483"/>
  <c r="K69" i="483"/>
  <c r="K70" i="483"/>
  <c r="K71" i="483"/>
  <c r="K72" i="483"/>
  <c r="K73" i="483"/>
  <c r="K74" i="483"/>
  <c r="K75" i="483"/>
  <c r="K76" i="483"/>
  <c r="K77" i="483"/>
  <c r="K78" i="483"/>
  <c r="K79" i="483"/>
  <c r="K80" i="483"/>
  <c r="K81" i="483"/>
  <c r="K82" i="483"/>
  <c r="K83" i="483"/>
  <c r="K104" i="483"/>
  <c r="K106" i="483"/>
  <c r="K108" i="483"/>
  <c r="K110" i="483"/>
  <c r="K112" i="483"/>
  <c r="K114" i="483"/>
  <c r="K116" i="483"/>
  <c r="K118" i="483"/>
  <c r="K120" i="483"/>
  <c r="K122" i="483"/>
  <c r="K84" i="483"/>
  <c r="K85" i="483"/>
  <c r="K86" i="483"/>
  <c r="K87" i="483"/>
  <c r="K88" i="483"/>
  <c r="K89" i="483"/>
  <c r="K90" i="483"/>
  <c r="K91" i="483"/>
  <c r="K92" i="483"/>
  <c r="K93" i="483"/>
  <c r="K94" i="483"/>
  <c r="K95" i="483"/>
  <c r="K96" i="483"/>
  <c r="K97" i="483"/>
  <c r="K98" i="483"/>
  <c r="K99" i="483"/>
  <c r="K100" i="483"/>
  <c r="K101" i="483"/>
  <c r="K102" i="483"/>
  <c r="K103" i="483"/>
  <c r="K105" i="483"/>
  <c r="K107" i="483"/>
  <c r="K109" i="483"/>
  <c r="K111" i="483"/>
  <c r="K113" i="483"/>
  <c r="K115" i="483"/>
  <c r="K117" i="483"/>
  <c r="K119" i="483"/>
  <c r="K121" i="483"/>
  <c r="K123" i="483"/>
  <c r="K124" i="483"/>
  <c r="K125" i="483"/>
  <c r="K126" i="483"/>
  <c r="K127" i="483"/>
  <c r="K128" i="483"/>
  <c r="K129" i="483"/>
  <c r="K130" i="483"/>
  <c r="K131" i="483"/>
  <c r="K132" i="483"/>
  <c r="K133" i="483"/>
  <c r="K134" i="483"/>
  <c r="K135" i="483"/>
  <c r="K136" i="483"/>
  <c r="K137" i="483"/>
  <c r="K138" i="483"/>
  <c r="K139" i="483"/>
  <c r="K140" i="483"/>
  <c r="K141" i="483"/>
  <c r="K142" i="483"/>
  <c r="K143" i="483"/>
  <c r="K144" i="483"/>
  <c r="K145" i="483"/>
  <c r="K146" i="483"/>
  <c r="K147" i="483"/>
  <c r="K148" i="483"/>
  <c r="K149" i="483"/>
  <c r="K150" i="483"/>
  <c r="K151" i="483"/>
  <c r="K152" i="483"/>
  <c r="K153" i="483"/>
  <c r="K154" i="483"/>
  <c r="K155" i="483"/>
  <c r="K156" i="483"/>
  <c r="K157" i="483"/>
  <c r="K158" i="483"/>
  <c r="K159" i="483"/>
  <c r="K160" i="483"/>
  <c r="K161" i="483"/>
  <c r="K163" i="483"/>
  <c r="K165" i="483"/>
  <c r="K167" i="483"/>
  <c r="K169" i="483"/>
  <c r="K171" i="483"/>
  <c r="K173" i="483"/>
  <c r="K174" i="483"/>
  <c r="K175" i="483"/>
  <c r="K176" i="483"/>
  <c r="K177" i="483"/>
  <c r="K178" i="483"/>
  <c r="K179" i="483"/>
  <c r="K180" i="483"/>
  <c r="K181" i="483"/>
  <c r="K182" i="483"/>
  <c r="K183" i="483"/>
  <c r="K184" i="483"/>
  <c r="K185" i="483"/>
  <c r="K186" i="483"/>
  <c r="K187" i="483"/>
  <c r="K188" i="483"/>
  <c r="K189" i="483"/>
  <c r="K162" i="483"/>
  <c r="K164" i="483"/>
  <c r="K166" i="483"/>
  <c r="K168" i="483"/>
  <c r="K170" i="483"/>
  <c r="K172" i="483"/>
  <c r="I248" i="483"/>
  <c r="H247" i="483"/>
  <c r="H246" i="483"/>
  <c r="H245" i="483"/>
  <c r="H244" i="483"/>
  <c r="H243" i="483"/>
  <c r="H242" i="483"/>
  <c r="H241" i="483"/>
  <c r="H240" i="483"/>
  <c r="H239" i="483"/>
  <c r="H238" i="483"/>
  <c r="H237" i="483"/>
  <c r="H236" i="483"/>
  <c r="H235" i="483"/>
  <c r="H234" i="483"/>
  <c r="H233" i="483"/>
  <c r="H232" i="483"/>
  <c r="H231" i="483"/>
  <c r="H230" i="483"/>
  <c r="H229" i="483"/>
  <c r="H228" i="483"/>
  <c r="H227" i="483"/>
  <c r="H226" i="483"/>
  <c r="H225" i="483"/>
  <c r="H224" i="483"/>
  <c r="H223" i="483"/>
  <c r="H222" i="483"/>
  <c r="H221" i="483"/>
  <c r="H220" i="483"/>
  <c r="H219" i="483"/>
  <c r="H218" i="483"/>
  <c r="H217" i="483"/>
  <c r="G216" i="483"/>
  <c r="I215" i="483"/>
  <c r="G214" i="483"/>
  <c r="I213" i="483"/>
  <c r="G212" i="483"/>
  <c r="I211" i="483"/>
  <c r="G210" i="483"/>
  <c r="I209" i="483"/>
  <c r="G208" i="483"/>
  <c r="I207" i="483"/>
  <c r="G206" i="483"/>
  <c r="I205" i="483"/>
  <c r="G204" i="483"/>
  <c r="I203" i="483"/>
  <c r="G202" i="483"/>
  <c r="I201" i="483"/>
  <c r="G200" i="483"/>
  <c r="I199" i="483"/>
  <c r="G198" i="483"/>
  <c r="I197" i="483"/>
  <c r="G196" i="483"/>
  <c r="I195" i="483"/>
  <c r="G194" i="483"/>
  <c r="I193" i="483"/>
  <c r="G190" i="483"/>
  <c r="J3" i="482"/>
  <c r="J4" i="482"/>
  <c r="J5" i="482"/>
  <c r="J6" i="482"/>
  <c r="J7" i="482"/>
  <c r="J8" i="482"/>
  <c r="J9" i="482"/>
  <c r="J10" i="482"/>
  <c r="J11" i="482"/>
  <c r="J12" i="482"/>
  <c r="J13" i="482"/>
  <c r="J14" i="482"/>
  <c r="J15" i="482"/>
  <c r="J16" i="482"/>
  <c r="J17" i="482"/>
  <c r="J18" i="482"/>
  <c r="J19" i="482"/>
  <c r="J20" i="482"/>
  <c r="J21" i="482"/>
  <c r="J22" i="482"/>
  <c r="J23" i="482"/>
  <c r="J24" i="482"/>
  <c r="J25" i="482"/>
  <c r="J26" i="482"/>
  <c r="J27" i="482"/>
  <c r="J28" i="482"/>
  <c r="J29" i="482"/>
  <c r="J30" i="482"/>
  <c r="J31" i="482"/>
  <c r="J32" i="482"/>
  <c r="J33" i="482"/>
  <c r="J34" i="482"/>
  <c r="J35" i="482"/>
  <c r="J36" i="482"/>
  <c r="J37" i="482"/>
  <c r="J38" i="482"/>
  <c r="J39" i="482"/>
  <c r="J40" i="482"/>
  <c r="J41" i="482"/>
  <c r="J2" i="482"/>
  <c r="J42" i="482"/>
  <c r="J44" i="482"/>
  <c r="J43" i="482"/>
  <c r="J46" i="482"/>
  <c r="J48" i="482"/>
  <c r="J50" i="482"/>
  <c r="J52" i="482"/>
  <c r="J54" i="482"/>
  <c r="J56" i="482"/>
  <c r="J58" i="482"/>
  <c r="J60" i="482"/>
  <c r="J62" i="482"/>
  <c r="J64" i="482"/>
  <c r="J65" i="482"/>
  <c r="J66" i="482"/>
  <c r="J67" i="482"/>
  <c r="J68" i="482"/>
  <c r="J69" i="482"/>
  <c r="J70" i="482"/>
  <c r="J71" i="482"/>
  <c r="J72" i="482"/>
  <c r="J73" i="482"/>
  <c r="J74" i="482"/>
  <c r="J75" i="482"/>
  <c r="J77" i="482"/>
  <c r="J76" i="482"/>
  <c r="J78" i="482"/>
  <c r="J79" i="482"/>
  <c r="J80" i="482"/>
  <c r="J81" i="482"/>
  <c r="J82" i="482"/>
  <c r="J83" i="482"/>
  <c r="J84" i="482"/>
  <c r="J85" i="482"/>
  <c r="J86" i="482"/>
  <c r="J87" i="482"/>
  <c r="J88" i="482"/>
  <c r="J89" i="482"/>
  <c r="J90" i="482"/>
  <c r="J91" i="482"/>
  <c r="J92" i="482"/>
  <c r="J93" i="482"/>
  <c r="J94" i="482"/>
  <c r="J95" i="482"/>
  <c r="J96" i="482"/>
  <c r="J97" i="482"/>
  <c r="J98" i="482"/>
  <c r="J99" i="482"/>
  <c r="J100" i="482"/>
  <c r="J101" i="482"/>
  <c r="J102" i="482"/>
  <c r="J103" i="482"/>
  <c r="J104" i="482"/>
  <c r="J49" i="482"/>
  <c r="J57" i="482"/>
  <c r="J51" i="482"/>
  <c r="J59" i="482"/>
  <c r="J105" i="482"/>
  <c r="J106" i="482"/>
  <c r="J107" i="482"/>
  <c r="J108" i="482"/>
  <c r="J109" i="482"/>
  <c r="J110" i="482"/>
  <c r="J111" i="482"/>
  <c r="J112" i="482"/>
  <c r="J113" i="482"/>
  <c r="J114" i="482"/>
  <c r="J115" i="482"/>
  <c r="J116" i="482"/>
  <c r="J117" i="482"/>
  <c r="J118" i="482"/>
  <c r="J119" i="482"/>
  <c r="J120" i="482"/>
  <c r="J121" i="482"/>
  <c r="J122" i="482"/>
  <c r="J123" i="482"/>
  <c r="J124" i="482"/>
  <c r="J125" i="482"/>
  <c r="J126" i="482"/>
  <c r="J127" i="482"/>
  <c r="J128" i="482"/>
  <c r="J129" i="482"/>
  <c r="J130" i="482"/>
  <c r="J131" i="482"/>
  <c r="J132" i="482"/>
  <c r="J133" i="482"/>
  <c r="J134" i="482"/>
  <c r="J135" i="482"/>
  <c r="J136" i="482"/>
  <c r="J137" i="482"/>
  <c r="J138" i="482"/>
  <c r="J139" i="482"/>
  <c r="J140" i="482"/>
  <c r="J141" i="482"/>
  <c r="J45" i="482"/>
  <c r="J53" i="482"/>
  <c r="J61" i="482"/>
  <c r="J47" i="482"/>
  <c r="J55" i="482"/>
  <c r="J63" i="482"/>
  <c r="J142" i="482"/>
  <c r="J143" i="482"/>
  <c r="J144" i="482"/>
  <c r="J145" i="482"/>
  <c r="J146" i="482"/>
  <c r="J147" i="482"/>
  <c r="J148" i="482"/>
  <c r="J149" i="482"/>
  <c r="J150" i="482"/>
  <c r="J151" i="482"/>
  <c r="J152" i="482"/>
  <c r="J153" i="482"/>
  <c r="J154" i="482"/>
  <c r="J155" i="482"/>
  <c r="J156" i="482"/>
  <c r="J157" i="482"/>
  <c r="J158" i="482"/>
  <c r="J159" i="482"/>
  <c r="J160" i="482"/>
  <c r="J161" i="482"/>
  <c r="J162" i="482"/>
  <c r="J163" i="482"/>
  <c r="J164" i="482"/>
  <c r="J165" i="482"/>
  <c r="J166" i="482"/>
  <c r="J167" i="482"/>
  <c r="J168" i="482"/>
  <c r="J169" i="482"/>
  <c r="J170" i="482"/>
  <c r="J171" i="482"/>
  <c r="J172" i="482"/>
  <c r="J173" i="482"/>
  <c r="J174" i="482"/>
  <c r="J175" i="482"/>
  <c r="J176" i="482"/>
  <c r="J177" i="482"/>
  <c r="J178" i="482"/>
  <c r="J179" i="482"/>
  <c r="J180" i="482"/>
  <c r="J181" i="482"/>
  <c r="J182" i="482"/>
  <c r="J183" i="482"/>
  <c r="J184" i="482"/>
  <c r="J185" i="482"/>
  <c r="J186" i="482"/>
  <c r="J187" i="482"/>
  <c r="J188" i="482"/>
  <c r="J189" i="482"/>
  <c r="J190" i="482"/>
  <c r="J191" i="482"/>
  <c r="J192" i="482"/>
  <c r="J193" i="482"/>
  <c r="J194" i="482"/>
  <c r="J195" i="482"/>
  <c r="J196" i="482"/>
  <c r="J197" i="482"/>
  <c r="J198" i="482"/>
  <c r="J199" i="482"/>
  <c r="J200" i="482"/>
  <c r="J201" i="482"/>
  <c r="J202" i="482"/>
  <c r="J203" i="482"/>
  <c r="J204" i="482"/>
  <c r="J205" i="482"/>
  <c r="J206" i="482"/>
  <c r="J207" i="482"/>
  <c r="J208" i="482"/>
  <c r="J209" i="482"/>
  <c r="J210" i="482"/>
  <c r="J211" i="482"/>
  <c r="J212" i="482"/>
  <c r="J213" i="482"/>
  <c r="J214" i="482"/>
  <c r="G247" i="482"/>
  <c r="G245" i="482"/>
  <c r="G243" i="482"/>
  <c r="G241" i="482"/>
  <c r="G239" i="482"/>
  <c r="G238" i="482"/>
  <c r="K2" i="482"/>
  <c r="K45" i="482"/>
  <c r="K46" i="482"/>
  <c r="K47" i="482"/>
  <c r="K48" i="482"/>
  <c r="K49" i="482"/>
  <c r="K50" i="482"/>
  <c r="K51" i="482"/>
  <c r="K52" i="482"/>
  <c r="K53" i="482"/>
  <c r="K54" i="482"/>
  <c r="K55" i="482"/>
  <c r="K56" i="482"/>
  <c r="K57" i="482"/>
  <c r="K58" i="482"/>
  <c r="K59" i="482"/>
  <c r="K60" i="482"/>
  <c r="K61" i="482"/>
  <c r="K62" i="482"/>
  <c r="K63" i="482"/>
  <c r="K3" i="482"/>
  <c r="K5" i="482"/>
  <c r="K7" i="482"/>
  <c r="K9" i="482"/>
  <c r="K11" i="482"/>
  <c r="K13" i="482"/>
  <c r="K15" i="482"/>
  <c r="K17" i="482"/>
  <c r="K19" i="482"/>
  <c r="K21" i="482"/>
  <c r="K23" i="482"/>
  <c r="K25" i="482"/>
  <c r="K27" i="482"/>
  <c r="K29" i="482"/>
  <c r="K31" i="482"/>
  <c r="K33" i="482"/>
  <c r="K35" i="482"/>
  <c r="K37" i="482"/>
  <c r="K39" i="482"/>
  <c r="K42" i="482"/>
  <c r="K44" i="482"/>
  <c r="K10" i="482"/>
  <c r="K18" i="482"/>
  <c r="K26" i="482"/>
  <c r="K34" i="482"/>
  <c r="K41" i="482"/>
  <c r="K76" i="482"/>
  <c r="K78" i="482"/>
  <c r="K79" i="482"/>
  <c r="K80" i="482"/>
  <c r="K81" i="482"/>
  <c r="K82" i="482"/>
  <c r="K83" i="482"/>
  <c r="K84" i="482"/>
  <c r="K85" i="482"/>
  <c r="K86" i="482"/>
  <c r="K87" i="482"/>
  <c r="K88" i="482"/>
  <c r="K89" i="482"/>
  <c r="K90" i="482"/>
  <c r="K91" i="482"/>
  <c r="K92" i="482"/>
  <c r="K93" i="482"/>
  <c r="K4" i="482"/>
  <c r="K12" i="482"/>
  <c r="K20" i="482"/>
  <c r="K28" i="482"/>
  <c r="K36" i="482"/>
  <c r="K64" i="482"/>
  <c r="K65" i="482"/>
  <c r="K66" i="482"/>
  <c r="K67" i="482"/>
  <c r="K68" i="482"/>
  <c r="K69" i="482"/>
  <c r="K70" i="482"/>
  <c r="K71" i="482"/>
  <c r="K72" i="482"/>
  <c r="K73" i="482"/>
  <c r="K74" i="482"/>
  <c r="K8" i="482"/>
  <c r="K16" i="482"/>
  <c r="K24" i="482"/>
  <c r="K32" i="482"/>
  <c r="K40" i="482"/>
  <c r="K43" i="482"/>
  <c r="K6" i="482"/>
  <c r="K38" i="482"/>
  <c r="K94" i="482"/>
  <c r="K95" i="482"/>
  <c r="K96" i="482"/>
  <c r="K97" i="482"/>
  <c r="K98" i="482"/>
  <c r="K99" i="482"/>
  <c r="K100" i="482"/>
  <c r="K101" i="482"/>
  <c r="K102" i="482"/>
  <c r="K103" i="482"/>
  <c r="K104" i="482"/>
  <c r="K14" i="482"/>
  <c r="K22" i="482"/>
  <c r="K77" i="482"/>
  <c r="K105" i="482"/>
  <c r="K106" i="482"/>
  <c r="K107" i="482"/>
  <c r="K108" i="482"/>
  <c r="K109" i="482"/>
  <c r="K110" i="482"/>
  <c r="K111" i="482"/>
  <c r="K112" i="482"/>
  <c r="K113" i="482"/>
  <c r="K114" i="482"/>
  <c r="K115" i="482"/>
  <c r="K116" i="482"/>
  <c r="K117" i="482"/>
  <c r="K118" i="482"/>
  <c r="K119" i="482"/>
  <c r="K120" i="482"/>
  <c r="K121" i="482"/>
  <c r="K30" i="482"/>
  <c r="K75" i="482"/>
  <c r="K122" i="482"/>
  <c r="K124" i="482"/>
  <c r="K126" i="482"/>
  <c r="K128" i="482"/>
  <c r="K130" i="482"/>
  <c r="K132" i="482"/>
  <c r="K134" i="482"/>
  <c r="K135" i="482"/>
  <c r="K137" i="482"/>
  <c r="K139" i="482"/>
  <c r="K141" i="482"/>
  <c r="K142" i="482"/>
  <c r="K143" i="482"/>
  <c r="K144" i="482"/>
  <c r="K145" i="482"/>
  <c r="K146" i="482"/>
  <c r="K147" i="482"/>
  <c r="K148" i="482"/>
  <c r="K149" i="482"/>
  <c r="K150" i="482"/>
  <c r="K151" i="482"/>
  <c r="K152" i="482"/>
  <c r="K153" i="482"/>
  <c r="K154" i="482"/>
  <c r="K155" i="482"/>
  <c r="K156" i="482"/>
  <c r="K157" i="482"/>
  <c r="K158" i="482"/>
  <c r="K159" i="482"/>
  <c r="K160" i="482"/>
  <c r="K161" i="482"/>
  <c r="K162" i="482"/>
  <c r="K163" i="482"/>
  <c r="K164" i="482"/>
  <c r="K165" i="482"/>
  <c r="K166" i="482"/>
  <c r="K167" i="482"/>
  <c r="K168" i="482"/>
  <c r="K169" i="482"/>
  <c r="K170" i="482"/>
  <c r="K171" i="482"/>
  <c r="K172" i="482"/>
  <c r="K173" i="482"/>
  <c r="K174" i="482"/>
  <c r="K175" i="482"/>
  <c r="K176" i="482"/>
  <c r="K177" i="482"/>
  <c r="K178" i="482"/>
  <c r="K179" i="482"/>
  <c r="K180" i="482"/>
  <c r="K181" i="482"/>
  <c r="K182" i="482"/>
  <c r="K183" i="482"/>
  <c r="K184" i="482"/>
  <c r="K185" i="482"/>
  <c r="K186" i="482"/>
  <c r="K187" i="482"/>
  <c r="K188" i="482"/>
  <c r="K189" i="482"/>
  <c r="K190" i="482"/>
  <c r="K191" i="482"/>
  <c r="K123" i="482"/>
  <c r="K125" i="482"/>
  <c r="K127" i="482"/>
  <c r="K129" i="482"/>
  <c r="K131" i="482"/>
  <c r="K133" i="482"/>
  <c r="K136" i="482"/>
  <c r="K138" i="482"/>
  <c r="K140" i="482"/>
  <c r="H247" i="482"/>
  <c r="H246" i="482"/>
  <c r="H245" i="482"/>
  <c r="H244" i="482"/>
  <c r="H243" i="482"/>
  <c r="H242" i="482"/>
  <c r="H241" i="482"/>
  <c r="H240" i="482"/>
  <c r="H239" i="482"/>
  <c r="H238" i="482"/>
  <c r="H237" i="482"/>
  <c r="H236" i="482"/>
  <c r="H235" i="482"/>
  <c r="H234" i="482"/>
  <c r="H233" i="482"/>
  <c r="H232" i="482"/>
  <c r="H231" i="482"/>
  <c r="H230" i="482"/>
  <c r="H229" i="482"/>
  <c r="H228" i="482"/>
  <c r="H227" i="482"/>
  <c r="H226" i="482"/>
  <c r="H225" i="482"/>
  <c r="H224" i="482"/>
  <c r="H223" i="482"/>
  <c r="H222" i="482"/>
  <c r="H221" i="482"/>
  <c r="H220" i="482"/>
  <c r="H219" i="482"/>
  <c r="G218" i="482"/>
  <c r="J217" i="482"/>
  <c r="G216" i="482"/>
  <c r="J215" i="482"/>
  <c r="G208" i="482"/>
  <c r="G206" i="482"/>
  <c r="G204" i="482"/>
  <c r="G202" i="482"/>
  <c r="G200" i="482"/>
  <c r="G198" i="482"/>
  <c r="G196" i="482"/>
  <c r="G194" i="482"/>
  <c r="K245" i="482"/>
  <c r="K243" i="482"/>
  <c r="K241" i="482"/>
  <c r="K239" i="482"/>
  <c r="K238" i="482"/>
  <c r="K236" i="482"/>
  <c r="G236" i="482"/>
  <c r="K235" i="482"/>
  <c r="G235" i="482"/>
  <c r="K234" i="482"/>
  <c r="G234" i="482"/>
  <c r="K233" i="482"/>
  <c r="G233" i="482"/>
  <c r="K232" i="482"/>
  <c r="G232" i="482"/>
  <c r="K231" i="482"/>
  <c r="G231" i="482"/>
  <c r="K230" i="482"/>
  <c r="G230" i="482"/>
  <c r="K229" i="482"/>
  <c r="G229" i="482"/>
  <c r="K228" i="482"/>
  <c r="G228" i="482"/>
  <c r="K227" i="482"/>
  <c r="G227" i="482"/>
  <c r="K226" i="482"/>
  <c r="G226" i="482"/>
  <c r="K225" i="482"/>
  <c r="G225" i="482"/>
  <c r="K224" i="482"/>
  <c r="G224" i="482"/>
  <c r="K223" i="482"/>
  <c r="G223" i="482"/>
  <c r="K222" i="482"/>
  <c r="G222" i="482"/>
  <c r="K221" i="482"/>
  <c r="G221" i="482"/>
  <c r="K220" i="482"/>
  <c r="G220" i="482"/>
  <c r="K219" i="482"/>
  <c r="K218" i="482"/>
  <c r="H217" i="482"/>
  <c r="K216" i="482"/>
  <c r="H215" i="482"/>
  <c r="K214" i="482"/>
  <c r="K213" i="482"/>
  <c r="K212" i="482"/>
  <c r="K211" i="482"/>
  <c r="K210" i="482"/>
  <c r="K209" i="482"/>
  <c r="K207" i="482"/>
  <c r="K205" i="482"/>
  <c r="K203" i="482"/>
  <c r="K201" i="482"/>
  <c r="K199" i="482"/>
  <c r="K197" i="482"/>
  <c r="K195" i="482"/>
  <c r="K193" i="482"/>
  <c r="J248" i="482"/>
  <c r="G246" i="482"/>
  <c r="G244" i="482"/>
  <c r="G242" i="482"/>
  <c r="G240" i="482"/>
  <c r="K237" i="482"/>
  <c r="G2" i="482"/>
  <c r="G3" i="482"/>
  <c r="G5" i="482"/>
  <c r="G7" i="482"/>
  <c r="G9" i="482"/>
  <c r="G11" i="482"/>
  <c r="G13" i="482"/>
  <c r="G15" i="482"/>
  <c r="G17" i="482"/>
  <c r="G19" i="482"/>
  <c r="G21" i="482"/>
  <c r="G23" i="482"/>
  <c r="G25" i="482"/>
  <c r="G27" i="482"/>
  <c r="G29" i="482"/>
  <c r="G31" i="482"/>
  <c r="G33" i="482"/>
  <c r="G35" i="482"/>
  <c r="G37" i="482"/>
  <c r="G39" i="482"/>
  <c r="G43" i="482"/>
  <c r="G45" i="482"/>
  <c r="G46" i="482"/>
  <c r="G47" i="482"/>
  <c r="G48" i="482"/>
  <c r="G49" i="482"/>
  <c r="G50" i="482"/>
  <c r="G51" i="482"/>
  <c r="G52" i="482"/>
  <c r="G53" i="482"/>
  <c r="G54" i="482"/>
  <c r="G55" i="482"/>
  <c r="G56" i="482"/>
  <c r="G57" i="482"/>
  <c r="G58" i="482"/>
  <c r="G59" i="482"/>
  <c r="G60" i="482"/>
  <c r="G61" i="482"/>
  <c r="G62" i="482"/>
  <c r="G63" i="482"/>
  <c r="G64" i="482"/>
  <c r="G41" i="482"/>
  <c r="G4" i="482"/>
  <c r="G6" i="482"/>
  <c r="G8" i="482"/>
  <c r="G10" i="482"/>
  <c r="G12" i="482"/>
  <c r="G14" i="482"/>
  <c r="G16" i="482"/>
  <c r="G18" i="482"/>
  <c r="G20" i="482"/>
  <c r="G22" i="482"/>
  <c r="G24" i="482"/>
  <c r="G26" i="482"/>
  <c r="G28" i="482"/>
  <c r="G30" i="482"/>
  <c r="G32" i="482"/>
  <c r="G34" i="482"/>
  <c r="G36" i="482"/>
  <c r="G38" i="482"/>
  <c r="G40" i="482"/>
  <c r="G42" i="482"/>
  <c r="G44" i="482"/>
  <c r="G79" i="482"/>
  <c r="G80" i="482"/>
  <c r="G81" i="482"/>
  <c r="G82" i="482"/>
  <c r="G83" i="482"/>
  <c r="G84" i="482"/>
  <c r="G85" i="482"/>
  <c r="G86" i="482"/>
  <c r="G87" i="482"/>
  <c r="G88" i="482"/>
  <c r="G89" i="482"/>
  <c r="G90" i="482"/>
  <c r="G91" i="482"/>
  <c r="G92" i="482"/>
  <c r="G93" i="482"/>
  <c r="G94" i="482"/>
  <c r="G76" i="482"/>
  <c r="G78" i="482"/>
  <c r="G65" i="482"/>
  <c r="G66" i="482"/>
  <c r="G67" i="482"/>
  <c r="G68" i="482"/>
  <c r="G69" i="482"/>
  <c r="G70" i="482"/>
  <c r="G71" i="482"/>
  <c r="G72" i="482"/>
  <c r="G73" i="482"/>
  <c r="G74" i="482"/>
  <c r="G75" i="482"/>
  <c r="G77" i="482"/>
  <c r="G95" i="482"/>
  <c r="G96" i="482"/>
  <c r="G97" i="482"/>
  <c r="G98" i="482"/>
  <c r="G99" i="482"/>
  <c r="G100" i="482"/>
  <c r="G101" i="482"/>
  <c r="G102" i="482"/>
  <c r="G103" i="482"/>
  <c r="G104" i="482"/>
  <c r="G105" i="482"/>
  <c r="G106" i="482"/>
  <c r="G107" i="482"/>
  <c r="G108" i="482"/>
  <c r="G109" i="482"/>
  <c r="G110" i="482"/>
  <c r="G111" i="482"/>
  <c r="G112" i="482"/>
  <c r="G113" i="482"/>
  <c r="G114" i="482"/>
  <c r="G115" i="482"/>
  <c r="G116" i="482"/>
  <c r="G117" i="482"/>
  <c r="G118" i="482"/>
  <c r="G119" i="482"/>
  <c r="G120" i="482"/>
  <c r="G121" i="482"/>
  <c r="G122" i="482"/>
  <c r="G136" i="482"/>
  <c r="G138" i="482"/>
  <c r="G140" i="482"/>
  <c r="G123" i="482"/>
  <c r="G125" i="482"/>
  <c r="G127" i="482"/>
  <c r="G129" i="482"/>
  <c r="G131" i="482"/>
  <c r="G133" i="482"/>
  <c r="G142" i="482"/>
  <c r="G143" i="482"/>
  <c r="G144" i="482"/>
  <c r="G145" i="482"/>
  <c r="G146" i="482"/>
  <c r="G147" i="482"/>
  <c r="G148" i="482"/>
  <c r="G149" i="482"/>
  <c r="G150" i="482"/>
  <c r="G151" i="482"/>
  <c r="G152" i="482"/>
  <c r="G153" i="482"/>
  <c r="G154" i="482"/>
  <c r="G155" i="482"/>
  <c r="G156" i="482"/>
  <c r="G157" i="482"/>
  <c r="G158" i="482"/>
  <c r="G159" i="482"/>
  <c r="G160" i="482"/>
  <c r="G161" i="482"/>
  <c r="G162" i="482"/>
  <c r="G163" i="482"/>
  <c r="G164" i="482"/>
  <c r="G165" i="482"/>
  <c r="G166" i="482"/>
  <c r="G167" i="482"/>
  <c r="G168" i="482"/>
  <c r="G169" i="482"/>
  <c r="G170" i="482"/>
  <c r="G171" i="482"/>
  <c r="G172" i="482"/>
  <c r="G173" i="482"/>
  <c r="G174" i="482"/>
  <c r="G175" i="482"/>
  <c r="G176" i="482"/>
  <c r="G177" i="482"/>
  <c r="G178" i="482"/>
  <c r="G179" i="482"/>
  <c r="G180" i="482"/>
  <c r="G181" i="482"/>
  <c r="G182" i="482"/>
  <c r="G183" i="482"/>
  <c r="G184" i="482"/>
  <c r="G185" i="482"/>
  <c r="G186" i="482"/>
  <c r="G187" i="482"/>
  <c r="G188" i="482"/>
  <c r="G189" i="482"/>
  <c r="G190" i="482"/>
  <c r="G191" i="482"/>
  <c r="G192" i="482"/>
  <c r="G137" i="482"/>
  <c r="G139" i="482"/>
  <c r="G141" i="482"/>
  <c r="G124" i="482"/>
  <c r="G126" i="482"/>
  <c r="G128" i="482"/>
  <c r="G130" i="482"/>
  <c r="G132" i="482"/>
  <c r="G134" i="482"/>
  <c r="G135" i="482"/>
  <c r="I3" i="482"/>
  <c r="I4" i="482"/>
  <c r="I5" i="482"/>
  <c r="I6" i="482"/>
  <c r="I7" i="482"/>
  <c r="I8" i="482"/>
  <c r="I9" i="482"/>
  <c r="I10" i="482"/>
  <c r="I11" i="482"/>
  <c r="I12" i="482"/>
  <c r="I13" i="482"/>
  <c r="I14" i="482"/>
  <c r="I15" i="482"/>
  <c r="I16" i="482"/>
  <c r="I17" i="482"/>
  <c r="I18" i="482"/>
  <c r="I19" i="482"/>
  <c r="I20" i="482"/>
  <c r="I21" i="482"/>
  <c r="I22" i="482"/>
  <c r="I23" i="482"/>
  <c r="I24" i="482"/>
  <c r="I25" i="482"/>
  <c r="I26" i="482"/>
  <c r="I27" i="482"/>
  <c r="I28" i="482"/>
  <c r="I29" i="482"/>
  <c r="I30" i="482"/>
  <c r="I31" i="482"/>
  <c r="I32" i="482"/>
  <c r="I33" i="482"/>
  <c r="I34" i="482"/>
  <c r="I35" i="482"/>
  <c r="I36" i="482"/>
  <c r="I37" i="482"/>
  <c r="I38" i="482"/>
  <c r="I39" i="482"/>
  <c r="I40" i="482"/>
  <c r="I43" i="482"/>
  <c r="I41" i="482"/>
  <c r="I45" i="482"/>
  <c r="I46" i="482"/>
  <c r="I47" i="482"/>
  <c r="I48" i="482"/>
  <c r="I49" i="482"/>
  <c r="I50" i="482"/>
  <c r="I51" i="482"/>
  <c r="I52" i="482"/>
  <c r="I53" i="482"/>
  <c r="I54" i="482"/>
  <c r="I55" i="482"/>
  <c r="I56" i="482"/>
  <c r="I57" i="482"/>
  <c r="I58" i="482"/>
  <c r="I59" i="482"/>
  <c r="I60" i="482"/>
  <c r="I61" i="482"/>
  <c r="I62" i="482"/>
  <c r="I63" i="482"/>
  <c r="I64" i="482"/>
  <c r="I65" i="482"/>
  <c r="I66" i="482"/>
  <c r="I67" i="482"/>
  <c r="I68" i="482"/>
  <c r="I69" i="482"/>
  <c r="I70" i="482"/>
  <c r="I71" i="482"/>
  <c r="I72" i="482"/>
  <c r="I73" i="482"/>
  <c r="I74" i="482"/>
  <c r="I75" i="482"/>
  <c r="I76" i="482"/>
  <c r="I77" i="482"/>
  <c r="I78" i="482"/>
  <c r="I2" i="482"/>
  <c r="I44" i="482"/>
  <c r="I42" i="482"/>
  <c r="I105" i="482"/>
  <c r="I106" i="482"/>
  <c r="I107" i="482"/>
  <c r="I108" i="482"/>
  <c r="I109" i="482"/>
  <c r="I110" i="482"/>
  <c r="I111" i="482"/>
  <c r="I112" i="482"/>
  <c r="I113" i="482"/>
  <c r="I114" i="482"/>
  <c r="I115" i="482"/>
  <c r="I116" i="482"/>
  <c r="I117" i="482"/>
  <c r="I118" i="482"/>
  <c r="I119" i="482"/>
  <c r="I120" i="482"/>
  <c r="I121" i="482"/>
  <c r="I122" i="482"/>
  <c r="I123" i="482"/>
  <c r="I124" i="482"/>
  <c r="I125" i="482"/>
  <c r="I126" i="482"/>
  <c r="I127" i="482"/>
  <c r="I128" i="482"/>
  <c r="I129" i="482"/>
  <c r="I130" i="482"/>
  <c r="I131" i="482"/>
  <c r="I132" i="482"/>
  <c r="I133" i="482"/>
  <c r="I79" i="482"/>
  <c r="I81" i="482"/>
  <c r="I83" i="482"/>
  <c r="I85" i="482"/>
  <c r="I87" i="482"/>
  <c r="I89" i="482"/>
  <c r="I91" i="482"/>
  <c r="I93" i="482"/>
  <c r="I80" i="482"/>
  <c r="I82" i="482"/>
  <c r="I84" i="482"/>
  <c r="I86" i="482"/>
  <c r="I88" i="482"/>
  <c r="I90" i="482"/>
  <c r="I92" i="482"/>
  <c r="I94" i="482"/>
  <c r="I95" i="482"/>
  <c r="I96" i="482"/>
  <c r="I97" i="482"/>
  <c r="I98" i="482"/>
  <c r="I99" i="482"/>
  <c r="I100" i="482"/>
  <c r="I101" i="482"/>
  <c r="I102" i="482"/>
  <c r="I103" i="482"/>
  <c r="I104" i="482"/>
  <c r="I134" i="482"/>
  <c r="I135" i="482"/>
  <c r="I137" i="482"/>
  <c r="I139" i="482"/>
  <c r="I141" i="482"/>
  <c r="I136" i="482"/>
  <c r="I138" i="482"/>
  <c r="I140" i="482"/>
  <c r="I142" i="482"/>
  <c r="I143" i="482"/>
  <c r="I144" i="482"/>
  <c r="I145" i="482"/>
  <c r="I146" i="482"/>
  <c r="I147" i="482"/>
  <c r="I148" i="482"/>
  <c r="I149" i="482"/>
  <c r="I150" i="482"/>
  <c r="I151" i="482"/>
  <c r="I152" i="482"/>
  <c r="I153" i="482"/>
  <c r="I154" i="482"/>
  <c r="I155" i="482"/>
  <c r="I156" i="482"/>
  <c r="I157" i="482"/>
  <c r="I158" i="482"/>
  <c r="I159" i="482"/>
  <c r="I160" i="482"/>
  <c r="I161" i="482"/>
  <c r="I162" i="482"/>
  <c r="I163" i="482"/>
  <c r="I164" i="482"/>
  <c r="I165" i="482"/>
  <c r="I166" i="482"/>
  <c r="I167" i="482"/>
  <c r="I168" i="482"/>
  <c r="I169" i="482"/>
  <c r="I170" i="482"/>
  <c r="I171" i="482"/>
  <c r="I172" i="482"/>
  <c r="I173" i="482"/>
  <c r="I174" i="482"/>
  <c r="I175" i="482"/>
  <c r="I176" i="482"/>
  <c r="I177" i="482"/>
  <c r="I178" i="482"/>
  <c r="I179" i="482"/>
  <c r="I180" i="482"/>
  <c r="I181" i="482"/>
  <c r="I182" i="482"/>
  <c r="I183" i="482"/>
  <c r="I184" i="482"/>
  <c r="I185" i="482"/>
  <c r="I186" i="482"/>
  <c r="I187" i="482"/>
  <c r="I188" i="482"/>
  <c r="I189" i="482"/>
  <c r="I190" i="482"/>
  <c r="I191" i="482"/>
  <c r="I192" i="482"/>
  <c r="I193" i="482"/>
  <c r="I194" i="482"/>
  <c r="I195" i="482"/>
  <c r="I196" i="482"/>
  <c r="I197" i="482"/>
  <c r="I198" i="482"/>
  <c r="I199" i="482"/>
  <c r="I200" i="482"/>
  <c r="I201" i="482"/>
  <c r="I202" i="482"/>
  <c r="I203" i="482"/>
  <c r="I204" i="482"/>
  <c r="I205" i="482"/>
  <c r="I206" i="482"/>
  <c r="I207" i="482"/>
  <c r="I208" i="482"/>
  <c r="I209" i="482"/>
  <c r="I210" i="482"/>
  <c r="I211" i="482"/>
  <c r="I212" i="482"/>
  <c r="I213" i="482"/>
  <c r="I214" i="482"/>
  <c r="I215" i="482"/>
  <c r="I216" i="482"/>
  <c r="I217" i="482"/>
  <c r="I218" i="482"/>
  <c r="G248" i="482"/>
  <c r="K248" i="482"/>
  <c r="J247" i="482"/>
  <c r="J246" i="482"/>
  <c r="J245" i="482"/>
  <c r="J244" i="482"/>
  <c r="J243" i="482"/>
  <c r="J242" i="482"/>
  <c r="J241" i="482"/>
  <c r="J240" i="482"/>
  <c r="J239" i="482"/>
  <c r="J238" i="482"/>
  <c r="J237" i="482"/>
  <c r="J236" i="482"/>
  <c r="J235" i="482"/>
  <c r="J234" i="482"/>
  <c r="J233" i="482"/>
  <c r="J232" i="482"/>
  <c r="J231" i="482"/>
  <c r="J230" i="482"/>
  <c r="J229" i="482"/>
  <c r="J228" i="482"/>
  <c r="J227" i="482"/>
  <c r="J226" i="482"/>
  <c r="J225" i="482"/>
  <c r="J224" i="482"/>
  <c r="J223" i="482"/>
  <c r="J222" i="482"/>
  <c r="J221" i="482"/>
  <c r="J220" i="482"/>
  <c r="J219" i="482"/>
  <c r="J218" i="482"/>
  <c r="G217" i="482"/>
  <c r="J216" i="482"/>
  <c r="G215" i="482"/>
  <c r="H214" i="482"/>
  <c r="H213" i="482"/>
  <c r="H212" i="482"/>
  <c r="H211" i="482"/>
  <c r="G209" i="482"/>
  <c r="G207" i="482"/>
  <c r="G205" i="482"/>
  <c r="G203" i="482"/>
  <c r="G201" i="482"/>
  <c r="G199" i="482"/>
  <c r="G197" i="482"/>
  <c r="G195" i="482"/>
  <c r="G193" i="482"/>
  <c r="K246" i="482"/>
  <c r="K244" i="482"/>
  <c r="K242" i="482"/>
  <c r="H2" i="482"/>
  <c r="H3" i="482"/>
  <c r="H4" i="482"/>
  <c r="H5" i="482"/>
  <c r="H6" i="482"/>
  <c r="H7" i="482"/>
  <c r="H8" i="482"/>
  <c r="H9" i="482"/>
  <c r="H10" i="482"/>
  <c r="H11" i="482"/>
  <c r="H12" i="482"/>
  <c r="H13" i="482"/>
  <c r="H14" i="482"/>
  <c r="H15" i="482"/>
  <c r="H16" i="482"/>
  <c r="H17" i="482"/>
  <c r="H18" i="482"/>
  <c r="H19" i="482"/>
  <c r="H20" i="482"/>
  <c r="H21" i="482"/>
  <c r="H22" i="482"/>
  <c r="H23" i="482"/>
  <c r="H24" i="482"/>
  <c r="H25" i="482"/>
  <c r="H26" i="482"/>
  <c r="H27" i="482"/>
  <c r="H28" i="482"/>
  <c r="H29" i="482"/>
  <c r="H30" i="482"/>
  <c r="H31" i="482"/>
  <c r="H32" i="482"/>
  <c r="H33" i="482"/>
  <c r="H34" i="482"/>
  <c r="H35" i="482"/>
  <c r="H36" i="482"/>
  <c r="H37" i="482"/>
  <c r="H38" i="482"/>
  <c r="H39" i="482"/>
  <c r="H40" i="482"/>
  <c r="H41" i="482"/>
  <c r="H42" i="482"/>
  <c r="H43" i="482"/>
  <c r="H44" i="482"/>
  <c r="H45" i="482"/>
  <c r="H46" i="482"/>
  <c r="H47" i="482"/>
  <c r="H48" i="482"/>
  <c r="H49" i="482"/>
  <c r="H50" i="482"/>
  <c r="H51" i="482"/>
  <c r="H52" i="482"/>
  <c r="H53" i="482"/>
  <c r="H54" i="482"/>
  <c r="H55" i="482"/>
  <c r="H56" i="482"/>
  <c r="H57" i="482"/>
  <c r="H58" i="482"/>
  <c r="H59" i="482"/>
  <c r="H60" i="482"/>
  <c r="H61" i="482"/>
  <c r="H62" i="482"/>
  <c r="H63" i="482"/>
  <c r="H64" i="482"/>
  <c r="H65" i="482"/>
  <c r="H66" i="482"/>
  <c r="H67" i="482"/>
  <c r="H68" i="482"/>
  <c r="H69" i="482"/>
  <c r="H70" i="482"/>
  <c r="H71" i="482"/>
  <c r="H72" i="482"/>
  <c r="H73" i="482"/>
  <c r="H74" i="482"/>
  <c r="H75" i="482"/>
  <c r="H77" i="482"/>
  <c r="H79" i="482"/>
  <c r="H80" i="482"/>
  <c r="H81" i="482"/>
  <c r="H82" i="482"/>
  <c r="H83" i="482"/>
  <c r="H84" i="482"/>
  <c r="H85" i="482"/>
  <c r="H86" i="482"/>
  <c r="H87" i="482"/>
  <c r="H88" i="482"/>
  <c r="H89" i="482"/>
  <c r="H90" i="482"/>
  <c r="H91" i="482"/>
  <c r="H92" i="482"/>
  <c r="H93" i="482"/>
  <c r="H94" i="482"/>
  <c r="H95" i="482"/>
  <c r="H96" i="482"/>
  <c r="H97" i="482"/>
  <c r="H98" i="482"/>
  <c r="H99" i="482"/>
  <c r="H100" i="482"/>
  <c r="H101" i="482"/>
  <c r="H102" i="482"/>
  <c r="H103" i="482"/>
  <c r="H104" i="482"/>
  <c r="H76" i="482"/>
  <c r="H78" i="482"/>
  <c r="H105" i="482"/>
  <c r="H106" i="482"/>
  <c r="H107" i="482"/>
  <c r="H108" i="482"/>
  <c r="H109" i="482"/>
  <c r="H110" i="482"/>
  <c r="H111" i="482"/>
  <c r="H112" i="482"/>
  <c r="H113" i="482"/>
  <c r="H114" i="482"/>
  <c r="H115" i="482"/>
  <c r="H116" i="482"/>
  <c r="H117" i="482"/>
  <c r="H118" i="482"/>
  <c r="H119" i="482"/>
  <c r="H120" i="482"/>
  <c r="H121" i="482"/>
  <c r="H122" i="482"/>
  <c r="H123" i="482"/>
  <c r="H124" i="482"/>
  <c r="H125" i="482"/>
  <c r="H126" i="482"/>
  <c r="H127" i="482"/>
  <c r="H128" i="482"/>
  <c r="H129" i="482"/>
  <c r="H130" i="482"/>
  <c r="H131" i="482"/>
  <c r="H132" i="482"/>
  <c r="H133" i="482"/>
  <c r="H134" i="482"/>
  <c r="H135" i="482"/>
  <c r="H136" i="482"/>
  <c r="H138" i="482"/>
  <c r="H140" i="482"/>
  <c r="H142" i="482"/>
  <c r="H143" i="482"/>
  <c r="H144" i="482"/>
  <c r="H145" i="482"/>
  <c r="H146" i="482"/>
  <c r="H147" i="482"/>
  <c r="H148" i="482"/>
  <c r="H149" i="482"/>
  <c r="H150" i="482"/>
  <c r="H151" i="482"/>
  <c r="H152" i="482"/>
  <c r="H153" i="482"/>
  <c r="H154" i="482"/>
  <c r="H155" i="482"/>
  <c r="H156" i="482"/>
  <c r="H157" i="482"/>
  <c r="H158" i="482"/>
  <c r="H159" i="482"/>
  <c r="H160" i="482"/>
  <c r="H161" i="482"/>
  <c r="H162" i="482"/>
  <c r="H163" i="482"/>
  <c r="H164" i="482"/>
  <c r="H165" i="482"/>
  <c r="H166" i="482"/>
  <c r="H167" i="482"/>
  <c r="H168" i="482"/>
  <c r="H169" i="482"/>
  <c r="H170" i="482"/>
  <c r="H171" i="482"/>
  <c r="H172" i="482"/>
  <c r="H173" i="482"/>
  <c r="H174" i="482"/>
  <c r="H175" i="482"/>
  <c r="H176" i="482"/>
  <c r="H177" i="482"/>
  <c r="H178" i="482"/>
  <c r="H179" i="482"/>
  <c r="H180" i="482"/>
  <c r="H181" i="482"/>
  <c r="H182" i="482"/>
  <c r="H183" i="482"/>
  <c r="H184" i="482"/>
  <c r="H185" i="482"/>
  <c r="H186" i="482"/>
  <c r="H187" i="482"/>
  <c r="H188" i="482"/>
  <c r="H189" i="482"/>
  <c r="H190" i="482"/>
  <c r="H191" i="482"/>
  <c r="H192" i="482"/>
  <c r="H193" i="482"/>
  <c r="H194" i="482"/>
  <c r="H195" i="482"/>
  <c r="H196" i="482"/>
  <c r="H197" i="482"/>
  <c r="H198" i="482"/>
  <c r="H199" i="482"/>
  <c r="H200" i="482"/>
  <c r="H201" i="482"/>
  <c r="H202" i="482"/>
  <c r="H203" i="482"/>
  <c r="H204" i="482"/>
  <c r="H205" i="482"/>
  <c r="H206" i="482"/>
  <c r="H207" i="482"/>
  <c r="H208" i="482"/>
  <c r="H209" i="482"/>
  <c r="H137" i="482"/>
  <c r="H139" i="482"/>
  <c r="H141" i="482"/>
  <c r="H248" i="482"/>
  <c r="I247" i="482"/>
  <c r="I246" i="482"/>
  <c r="I245" i="482"/>
  <c r="I244" i="482"/>
  <c r="I243" i="482"/>
  <c r="I242" i="482"/>
  <c r="I241" i="482"/>
  <c r="I240" i="482"/>
  <c r="I239" i="482"/>
  <c r="I238" i="482"/>
  <c r="I237" i="482"/>
  <c r="I236" i="482"/>
  <c r="I235" i="482"/>
  <c r="I234" i="482"/>
  <c r="I233" i="482"/>
  <c r="I232" i="482"/>
  <c r="I231" i="482"/>
  <c r="I230" i="482"/>
  <c r="I229" i="482"/>
  <c r="I228" i="482"/>
  <c r="I227" i="482"/>
  <c r="I226" i="482"/>
  <c r="I225" i="482"/>
  <c r="I224" i="482"/>
  <c r="I223" i="482"/>
  <c r="I222" i="482"/>
  <c r="I221" i="482"/>
  <c r="I220" i="482"/>
  <c r="I219" i="482"/>
  <c r="H218" i="482"/>
  <c r="K217" i="482"/>
  <c r="H216" i="482"/>
  <c r="K215" i="482"/>
  <c r="G214" i="482"/>
  <c r="G213" i="482"/>
  <c r="G212" i="482"/>
  <c r="G211" i="482"/>
  <c r="G210" i="482"/>
  <c r="K208" i="482"/>
  <c r="K206" i="482"/>
  <c r="K204" i="482"/>
  <c r="K202" i="482"/>
  <c r="K200" i="482"/>
  <c r="K198" i="482"/>
  <c r="K196" i="482"/>
  <c r="K194" i="482"/>
  <c r="K192" i="482"/>
  <c r="J248" i="481"/>
  <c r="G246" i="481"/>
  <c r="G244" i="481"/>
  <c r="G242" i="481"/>
  <c r="G240" i="481"/>
  <c r="G238" i="481"/>
  <c r="G236" i="481"/>
  <c r="I3" i="481"/>
  <c r="I4" i="481"/>
  <c r="I5" i="481"/>
  <c r="I6" i="481"/>
  <c r="I7" i="481"/>
  <c r="I8" i="481"/>
  <c r="I9" i="481"/>
  <c r="I10" i="481"/>
  <c r="I11" i="481"/>
  <c r="I12" i="481"/>
  <c r="I13" i="481"/>
  <c r="I14" i="481"/>
  <c r="I15" i="481"/>
  <c r="I16" i="481"/>
  <c r="I17" i="481"/>
  <c r="I18" i="481"/>
  <c r="I19" i="481"/>
  <c r="I20" i="481"/>
  <c r="I21" i="481"/>
  <c r="I22" i="481"/>
  <c r="I23" i="481"/>
  <c r="I24" i="481"/>
  <c r="I25" i="481"/>
  <c r="I26" i="481"/>
  <c r="I27" i="481"/>
  <c r="I28" i="481"/>
  <c r="I29" i="481"/>
  <c r="I30" i="481"/>
  <c r="I31" i="481"/>
  <c r="I32" i="481"/>
  <c r="I33" i="481"/>
  <c r="I34" i="481"/>
  <c r="I35" i="481"/>
  <c r="I36" i="481"/>
  <c r="I37" i="481"/>
  <c r="I38" i="481"/>
  <c r="I39" i="481"/>
  <c r="I40" i="481"/>
  <c r="I41" i="481"/>
  <c r="I2" i="481"/>
  <c r="I45" i="481"/>
  <c r="I46" i="481"/>
  <c r="I47" i="481"/>
  <c r="I48" i="481"/>
  <c r="I49" i="481"/>
  <c r="I50" i="481"/>
  <c r="I51" i="481"/>
  <c r="I52" i="481"/>
  <c r="I53" i="481"/>
  <c r="I54" i="481"/>
  <c r="I55" i="481"/>
  <c r="I56" i="481"/>
  <c r="I57" i="481"/>
  <c r="I58" i="481"/>
  <c r="I59" i="481"/>
  <c r="I60" i="481"/>
  <c r="I61" i="481"/>
  <c r="I62" i="481"/>
  <c r="I63" i="481"/>
  <c r="I64" i="481"/>
  <c r="I65" i="481"/>
  <c r="I66" i="481"/>
  <c r="I67" i="481"/>
  <c r="I68" i="481"/>
  <c r="I69" i="481"/>
  <c r="I42" i="481"/>
  <c r="I44" i="481"/>
  <c r="I43" i="481"/>
  <c r="I70" i="481"/>
  <c r="I72" i="481"/>
  <c r="I74" i="481"/>
  <c r="I76" i="481"/>
  <c r="I78" i="481"/>
  <c r="I80" i="481"/>
  <c r="I82" i="481"/>
  <c r="I84" i="481"/>
  <c r="I86" i="481"/>
  <c r="I87" i="481"/>
  <c r="I88" i="481"/>
  <c r="I89" i="481"/>
  <c r="I90" i="481"/>
  <c r="I91" i="481"/>
  <c r="I92" i="481"/>
  <c r="I93" i="481"/>
  <c r="I94" i="481"/>
  <c r="I95" i="481"/>
  <c r="I96" i="481"/>
  <c r="I71" i="481"/>
  <c r="I73" i="481"/>
  <c r="I75" i="481"/>
  <c r="I77" i="481"/>
  <c r="I79" i="481"/>
  <c r="I81" i="481"/>
  <c r="I83" i="481"/>
  <c r="I85" i="481"/>
  <c r="I97" i="481"/>
  <c r="I98" i="481"/>
  <c r="I99" i="481"/>
  <c r="I100" i="481"/>
  <c r="I101" i="481"/>
  <c r="I102" i="481"/>
  <c r="I103" i="481"/>
  <c r="I104" i="481"/>
  <c r="I105" i="481"/>
  <c r="I106" i="481"/>
  <c r="I107" i="481"/>
  <c r="I108" i="481"/>
  <c r="I109" i="481"/>
  <c r="I110" i="481"/>
  <c r="I111" i="481"/>
  <c r="I112" i="481"/>
  <c r="I113" i="481"/>
  <c r="I114" i="481"/>
  <c r="I115" i="481"/>
  <c r="I116" i="481"/>
  <c r="I117" i="481"/>
  <c r="I118" i="481"/>
  <c r="I119" i="481"/>
  <c r="I120" i="481"/>
  <c r="I121" i="481"/>
  <c r="I122" i="481"/>
  <c r="I123" i="481"/>
  <c r="I124" i="481"/>
  <c r="I125" i="481"/>
  <c r="I126" i="481"/>
  <c r="I127" i="481"/>
  <c r="I128" i="481"/>
  <c r="I129" i="481"/>
  <c r="I130" i="481"/>
  <c r="I131" i="481"/>
  <c r="I132" i="481"/>
  <c r="I133" i="481"/>
  <c r="I134" i="481"/>
  <c r="I135" i="481"/>
  <c r="I136" i="481"/>
  <c r="I137" i="481"/>
  <c r="I138" i="481"/>
  <c r="I139" i="481"/>
  <c r="I140" i="481"/>
  <c r="I141" i="481"/>
  <c r="I142" i="481"/>
  <c r="I143" i="481"/>
  <c r="I144" i="481"/>
  <c r="I145" i="481"/>
  <c r="I146" i="481"/>
  <c r="I147" i="481"/>
  <c r="I148" i="481"/>
  <c r="I149" i="481"/>
  <c r="I150" i="481"/>
  <c r="I151" i="481"/>
  <c r="I152" i="481"/>
  <c r="I153" i="481"/>
  <c r="I154" i="481"/>
  <c r="I155" i="481"/>
  <c r="I156" i="481"/>
  <c r="I157" i="481"/>
  <c r="I158" i="481"/>
  <c r="I159" i="481"/>
  <c r="I160" i="481"/>
  <c r="I161" i="481"/>
  <c r="I162" i="481"/>
  <c r="I163" i="481"/>
  <c r="I164" i="481"/>
  <c r="I165" i="481"/>
  <c r="I166" i="481"/>
  <c r="I167" i="481"/>
  <c r="I168" i="481"/>
  <c r="I169" i="481"/>
  <c r="I170" i="481"/>
  <c r="I171" i="481"/>
  <c r="I172" i="481"/>
  <c r="I173" i="481"/>
  <c r="I174" i="481"/>
  <c r="I175" i="481"/>
  <c r="I176" i="481"/>
  <c r="I177" i="481"/>
  <c r="I178" i="481"/>
  <c r="I179" i="481"/>
  <c r="I180" i="481"/>
  <c r="I181" i="481"/>
  <c r="I182" i="481"/>
  <c r="I183" i="481"/>
  <c r="I184" i="481"/>
  <c r="I185" i="481"/>
  <c r="I186" i="481"/>
  <c r="I187" i="481"/>
  <c r="I188" i="481"/>
  <c r="I189" i="481"/>
  <c r="I190" i="481"/>
  <c r="I191" i="481"/>
  <c r="I192" i="481"/>
  <c r="I193" i="481"/>
  <c r="I194" i="481"/>
  <c r="I195" i="481"/>
  <c r="I196" i="481"/>
  <c r="I197" i="481"/>
  <c r="G248" i="481"/>
  <c r="H2" i="481"/>
  <c r="H42" i="481"/>
  <c r="H44" i="481"/>
  <c r="H3" i="481"/>
  <c r="H5" i="481"/>
  <c r="H7" i="481"/>
  <c r="H9" i="481"/>
  <c r="H11" i="481"/>
  <c r="H13" i="481"/>
  <c r="H15" i="481"/>
  <c r="H17" i="481"/>
  <c r="H19" i="481"/>
  <c r="H43" i="481"/>
  <c r="H4" i="481"/>
  <c r="H12" i="481"/>
  <c r="H20" i="481"/>
  <c r="H24" i="481"/>
  <c r="H28" i="481"/>
  <c r="H32" i="481"/>
  <c r="H36" i="481"/>
  <c r="H40" i="481"/>
  <c r="H86" i="481"/>
  <c r="H87" i="481"/>
  <c r="H88" i="481"/>
  <c r="H89" i="481"/>
  <c r="H90" i="481"/>
  <c r="H91" i="481"/>
  <c r="H92" i="481"/>
  <c r="H93" i="481"/>
  <c r="H94" i="481"/>
  <c r="H95" i="481"/>
  <c r="H96" i="481"/>
  <c r="H97" i="481"/>
  <c r="H98" i="481"/>
  <c r="H99" i="481"/>
  <c r="H100" i="481"/>
  <c r="H101" i="481"/>
  <c r="H102" i="481"/>
  <c r="H103" i="481"/>
  <c r="H6" i="481"/>
  <c r="H14" i="481"/>
  <c r="H21" i="481"/>
  <c r="H25" i="481"/>
  <c r="H29" i="481"/>
  <c r="H33" i="481"/>
  <c r="H37" i="481"/>
  <c r="H41" i="481"/>
  <c r="H46" i="481"/>
  <c r="H48" i="481"/>
  <c r="H50" i="481"/>
  <c r="H52" i="481"/>
  <c r="H54" i="481"/>
  <c r="H56" i="481"/>
  <c r="H58" i="481"/>
  <c r="H60" i="481"/>
  <c r="H71" i="481"/>
  <c r="H73" i="481"/>
  <c r="H75" i="481"/>
  <c r="H77" i="481"/>
  <c r="H79" i="481"/>
  <c r="H81" i="481"/>
  <c r="H83" i="481"/>
  <c r="H85" i="481"/>
  <c r="H8" i="481"/>
  <c r="H16" i="481"/>
  <c r="H22" i="481"/>
  <c r="H26" i="481"/>
  <c r="H30" i="481"/>
  <c r="H34" i="481"/>
  <c r="H38" i="481"/>
  <c r="H62" i="481"/>
  <c r="H63" i="481"/>
  <c r="H64" i="481"/>
  <c r="H65" i="481"/>
  <c r="H66" i="481"/>
  <c r="H67" i="481"/>
  <c r="H68" i="481"/>
  <c r="H69" i="481"/>
  <c r="H10" i="481"/>
  <c r="H18" i="481"/>
  <c r="H23" i="481"/>
  <c r="H27" i="481"/>
  <c r="H31" i="481"/>
  <c r="H35" i="481"/>
  <c r="H39" i="481"/>
  <c r="H45" i="481"/>
  <c r="H47" i="481"/>
  <c r="H49" i="481"/>
  <c r="H51" i="481"/>
  <c r="H53" i="481"/>
  <c r="H55" i="481"/>
  <c r="H57" i="481"/>
  <c r="H59" i="481"/>
  <c r="H61" i="481"/>
  <c r="H70" i="481"/>
  <c r="H72" i="481"/>
  <c r="H74" i="481"/>
  <c r="H76" i="481"/>
  <c r="H78" i="481"/>
  <c r="H80" i="481"/>
  <c r="H82" i="481"/>
  <c r="H84" i="481"/>
  <c r="H104" i="481"/>
  <c r="H105" i="481"/>
  <c r="H106" i="481"/>
  <c r="H107" i="481"/>
  <c r="H108" i="481"/>
  <c r="H109" i="481"/>
  <c r="H110" i="481"/>
  <c r="H111" i="481"/>
  <c r="H112" i="481"/>
  <c r="H113" i="481"/>
  <c r="H114" i="481"/>
  <c r="H115" i="481"/>
  <c r="H116" i="481"/>
  <c r="H117" i="481"/>
  <c r="H118" i="481"/>
  <c r="H119" i="481"/>
  <c r="H120" i="481"/>
  <c r="H121" i="481"/>
  <c r="H122" i="481"/>
  <c r="H123" i="481"/>
  <c r="H124" i="481"/>
  <c r="H125" i="481"/>
  <c r="H126" i="481"/>
  <c r="H127" i="481"/>
  <c r="H128" i="481"/>
  <c r="H129" i="481"/>
  <c r="H130" i="481"/>
  <c r="H131" i="481"/>
  <c r="H132" i="481"/>
  <c r="H133" i="481"/>
  <c r="H134" i="481"/>
  <c r="H135" i="481"/>
  <c r="H136" i="481"/>
  <c r="H137" i="481"/>
  <c r="H138" i="481"/>
  <c r="H139" i="481"/>
  <c r="H140" i="481"/>
  <c r="H141" i="481"/>
  <c r="H142" i="481"/>
  <c r="H143" i="481"/>
  <c r="H144" i="481"/>
  <c r="H145" i="481"/>
  <c r="H146" i="481"/>
  <c r="H147" i="481"/>
  <c r="H148" i="481"/>
  <c r="H149" i="481"/>
  <c r="H150" i="481"/>
  <c r="H151" i="481"/>
  <c r="H152" i="481"/>
  <c r="H153" i="481"/>
  <c r="H154" i="481"/>
  <c r="H155" i="481"/>
  <c r="H156" i="481"/>
  <c r="H157" i="481"/>
  <c r="H158" i="481"/>
  <c r="H159" i="481"/>
  <c r="H160" i="481"/>
  <c r="H161" i="481"/>
  <c r="H162" i="481"/>
  <c r="H163" i="481"/>
  <c r="H164" i="481"/>
  <c r="H165" i="481"/>
  <c r="H166" i="481"/>
  <c r="H167" i="481"/>
  <c r="H168" i="481"/>
  <c r="H169" i="481"/>
  <c r="H170" i="481"/>
  <c r="H171" i="481"/>
  <c r="H172" i="481"/>
  <c r="H173" i="481"/>
  <c r="H174" i="481"/>
  <c r="H175" i="481"/>
  <c r="H176" i="481"/>
  <c r="H177" i="481"/>
  <c r="H178" i="481"/>
  <c r="H179" i="481"/>
  <c r="H180" i="481"/>
  <c r="H181" i="481"/>
  <c r="H182" i="481"/>
  <c r="H183" i="481"/>
  <c r="H184" i="481"/>
  <c r="H185" i="481"/>
  <c r="H186" i="481"/>
  <c r="H187" i="481"/>
  <c r="H188" i="481"/>
  <c r="H189" i="481"/>
  <c r="H190" i="481"/>
  <c r="H191" i="481"/>
  <c r="H192" i="481"/>
  <c r="H193" i="481"/>
  <c r="H194" i="481"/>
  <c r="H195" i="481"/>
  <c r="H196" i="481"/>
  <c r="H197" i="481"/>
  <c r="H198" i="481"/>
  <c r="H199" i="481"/>
  <c r="H200" i="481"/>
  <c r="H201" i="481"/>
  <c r="H202" i="481"/>
  <c r="H203" i="481"/>
  <c r="H204" i="481"/>
  <c r="H205" i="481"/>
  <c r="H206" i="481"/>
  <c r="H207" i="481"/>
  <c r="H208" i="481"/>
  <c r="H209" i="481"/>
  <c r="H210" i="481"/>
  <c r="H211" i="481"/>
  <c r="H212" i="481"/>
  <c r="H213" i="481"/>
  <c r="H214" i="481"/>
  <c r="H215" i="481"/>
  <c r="H216" i="481"/>
  <c r="H217" i="481"/>
  <c r="I246" i="481"/>
  <c r="K2" i="481"/>
  <c r="K3" i="481"/>
  <c r="K4" i="481"/>
  <c r="K5" i="481"/>
  <c r="K6" i="481"/>
  <c r="K7" i="481"/>
  <c r="K8" i="481"/>
  <c r="K9" i="481"/>
  <c r="K10" i="481"/>
  <c r="K11" i="481"/>
  <c r="K12" i="481"/>
  <c r="K13" i="481"/>
  <c r="K14" i="481"/>
  <c r="K15" i="481"/>
  <c r="K16" i="481"/>
  <c r="K17" i="481"/>
  <c r="K18" i="481"/>
  <c r="K19" i="481"/>
  <c r="K20" i="481"/>
  <c r="K21" i="481"/>
  <c r="K22" i="481"/>
  <c r="K23" i="481"/>
  <c r="K24" i="481"/>
  <c r="K25" i="481"/>
  <c r="K26" i="481"/>
  <c r="K27" i="481"/>
  <c r="K28" i="481"/>
  <c r="K29" i="481"/>
  <c r="K30" i="481"/>
  <c r="K31" i="481"/>
  <c r="K32" i="481"/>
  <c r="K33" i="481"/>
  <c r="K34" i="481"/>
  <c r="K35" i="481"/>
  <c r="K36" i="481"/>
  <c r="K37" i="481"/>
  <c r="K38" i="481"/>
  <c r="K39" i="481"/>
  <c r="K40" i="481"/>
  <c r="K41" i="481"/>
  <c r="K43" i="481"/>
  <c r="K42" i="481"/>
  <c r="K44" i="481"/>
  <c r="K45" i="481"/>
  <c r="K46" i="481"/>
  <c r="K47" i="481"/>
  <c r="K48" i="481"/>
  <c r="K49" i="481"/>
  <c r="K50" i="481"/>
  <c r="K51" i="481"/>
  <c r="K52" i="481"/>
  <c r="K53" i="481"/>
  <c r="K54" i="481"/>
  <c r="K55" i="481"/>
  <c r="K56" i="481"/>
  <c r="K57" i="481"/>
  <c r="K58" i="481"/>
  <c r="K59" i="481"/>
  <c r="K60" i="481"/>
  <c r="K61" i="481"/>
  <c r="K70" i="481"/>
  <c r="K72" i="481"/>
  <c r="K74" i="481"/>
  <c r="K76" i="481"/>
  <c r="K78" i="481"/>
  <c r="K80" i="481"/>
  <c r="K82" i="481"/>
  <c r="K84" i="481"/>
  <c r="K62" i="481"/>
  <c r="K63" i="481"/>
  <c r="K64" i="481"/>
  <c r="K65" i="481"/>
  <c r="K66" i="481"/>
  <c r="K67" i="481"/>
  <c r="K68" i="481"/>
  <c r="K69" i="481"/>
  <c r="K71" i="481"/>
  <c r="K73" i="481"/>
  <c r="K75" i="481"/>
  <c r="K77" i="481"/>
  <c r="K79" i="481"/>
  <c r="K81" i="481"/>
  <c r="K83" i="481"/>
  <c r="K85" i="481"/>
  <c r="K86" i="481"/>
  <c r="K87" i="481"/>
  <c r="K88" i="481"/>
  <c r="K89" i="481"/>
  <c r="K90" i="481"/>
  <c r="K91" i="481"/>
  <c r="K92" i="481"/>
  <c r="K93" i="481"/>
  <c r="K95" i="481"/>
  <c r="K104" i="481"/>
  <c r="K105" i="481"/>
  <c r="K106" i="481"/>
  <c r="K107" i="481"/>
  <c r="K108" i="481"/>
  <c r="K109" i="481"/>
  <c r="K110" i="481"/>
  <c r="K111" i="481"/>
  <c r="K112" i="481"/>
  <c r="K113" i="481"/>
  <c r="K114" i="481"/>
  <c r="K115" i="481"/>
  <c r="K116" i="481"/>
  <c r="K117" i="481"/>
  <c r="K118" i="481"/>
  <c r="K119" i="481"/>
  <c r="K120" i="481"/>
  <c r="K121" i="481"/>
  <c r="K122" i="481"/>
  <c r="K123" i="481"/>
  <c r="K124" i="481"/>
  <c r="K97" i="481"/>
  <c r="K98" i="481"/>
  <c r="K99" i="481"/>
  <c r="K100" i="481"/>
  <c r="K101" i="481"/>
  <c r="K102" i="481"/>
  <c r="K103" i="481"/>
  <c r="K94" i="481"/>
  <c r="K96" i="481"/>
  <c r="K125" i="481"/>
  <c r="K127" i="481"/>
  <c r="K129" i="481"/>
  <c r="K131" i="481"/>
  <c r="K133" i="481"/>
  <c r="K135" i="481"/>
  <c r="K137" i="481"/>
  <c r="K138" i="481"/>
  <c r="K139" i="481"/>
  <c r="K140" i="481"/>
  <c r="K141" i="481"/>
  <c r="K142" i="481"/>
  <c r="K143" i="481"/>
  <c r="K144" i="481"/>
  <c r="K145" i="481"/>
  <c r="K146" i="481"/>
  <c r="K147" i="481"/>
  <c r="K148" i="481"/>
  <c r="K149" i="481"/>
  <c r="K150" i="481"/>
  <c r="K151" i="481"/>
  <c r="K152" i="481"/>
  <c r="K153" i="481"/>
  <c r="K154" i="481"/>
  <c r="K155" i="481"/>
  <c r="K156" i="481"/>
  <c r="K157" i="481"/>
  <c r="K158" i="481"/>
  <c r="K159" i="481"/>
  <c r="K160" i="481"/>
  <c r="K161" i="481"/>
  <c r="K162" i="481"/>
  <c r="K163" i="481"/>
  <c r="K164" i="481"/>
  <c r="K165" i="481"/>
  <c r="K166" i="481"/>
  <c r="K167" i="481"/>
  <c r="K168" i="481"/>
  <c r="K169" i="481"/>
  <c r="K170" i="481"/>
  <c r="K171" i="481"/>
  <c r="K172" i="481"/>
  <c r="K173" i="481"/>
  <c r="K174" i="481"/>
  <c r="K175" i="481"/>
  <c r="K176" i="481"/>
  <c r="K177" i="481"/>
  <c r="K178" i="481"/>
  <c r="K179" i="481"/>
  <c r="K180" i="481"/>
  <c r="K181" i="481"/>
  <c r="K182" i="481"/>
  <c r="K183" i="481"/>
  <c r="K184" i="481"/>
  <c r="K185" i="481"/>
  <c r="K186" i="481"/>
  <c r="K187" i="481"/>
  <c r="K188" i="481"/>
  <c r="K189" i="481"/>
  <c r="K190" i="481"/>
  <c r="K191" i="481"/>
  <c r="K192" i="481"/>
  <c r="K193" i="481"/>
  <c r="K194" i="481"/>
  <c r="K195" i="481"/>
  <c r="K196" i="481"/>
  <c r="K197" i="481"/>
  <c r="K198" i="481"/>
  <c r="K199" i="481"/>
  <c r="K126" i="481"/>
  <c r="K128" i="481"/>
  <c r="K130" i="481"/>
  <c r="K132" i="481"/>
  <c r="K134" i="481"/>
  <c r="K136" i="481"/>
  <c r="I248" i="481"/>
  <c r="H247" i="481"/>
  <c r="H246" i="481"/>
  <c r="H245" i="481"/>
  <c r="H244" i="481"/>
  <c r="H243" i="481"/>
  <c r="H242" i="481"/>
  <c r="H241" i="481"/>
  <c r="H240" i="481"/>
  <c r="H239" i="481"/>
  <c r="H238" i="481"/>
  <c r="H237" i="481"/>
  <c r="H236" i="481"/>
  <c r="H235" i="481"/>
  <c r="H234" i="481"/>
  <c r="H233" i="481"/>
  <c r="H232" i="481"/>
  <c r="H231" i="481"/>
  <c r="H230" i="481"/>
  <c r="H229" i="481"/>
  <c r="H228" i="481"/>
  <c r="H227" i="481"/>
  <c r="H226" i="481"/>
  <c r="H225" i="481"/>
  <c r="H224" i="481"/>
  <c r="H223" i="481"/>
  <c r="H222" i="481"/>
  <c r="G221" i="481"/>
  <c r="I220" i="481"/>
  <c r="G219" i="481"/>
  <c r="I218" i="481"/>
  <c r="I199" i="481"/>
  <c r="G247" i="481"/>
  <c r="G245" i="481"/>
  <c r="G243" i="481"/>
  <c r="G241" i="481"/>
  <c r="G239" i="481"/>
  <c r="K235" i="481"/>
  <c r="G235" i="481"/>
  <c r="K234" i="481"/>
  <c r="G234" i="481"/>
  <c r="K233" i="481"/>
  <c r="G233" i="481"/>
  <c r="K232" i="481"/>
  <c r="G232" i="481"/>
  <c r="K231" i="481"/>
  <c r="G231" i="481"/>
  <c r="K230" i="481"/>
  <c r="G230" i="481"/>
  <c r="K229" i="481"/>
  <c r="G229" i="481"/>
  <c r="K228" i="481"/>
  <c r="G228" i="481"/>
  <c r="K227" i="481"/>
  <c r="G227" i="481"/>
  <c r="K226" i="481"/>
  <c r="G226" i="481"/>
  <c r="K225" i="481"/>
  <c r="G225" i="481"/>
  <c r="K224" i="481"/>
  <c r="G224" i="481"/>
  <c r="K223" i="481"/>
  <c r="G223" i="481"/>
  <c r="K222" i="481"/>
  <c r="G222" i="481"/>
  <c r="K221" i="481"/>
  <c r="H220" i="481"/>
  <c r="K219" i="481"/>
  <c r="H218" i="481"/>
  <c r="K217" i="481"/>
  <c r="K216" i="481"/>
  <c r="K215" i="481"/>
  <c r="K214" i="481"/>
  <c r="K213" i="481"/>
  <c r="K212" i="481"/>
  <c r="K211" i="481"/>
  <c r="K210" i="481"/>
  <c r="K209" i="481"/>
  <c r="K208" i="481"/>
  <c r="K207" i="481"/>
  <c r="K206" i="481"/>
  <c r="K205" i="481"/>
  <c r="K204" i="481"/>
  <c r="K203" i="481"/>
  <c r="K202" i="481"/>
  <c r="K201" i="481"/>
  <c r="K200" i="481"/>
  <c r="J3" i="481"/>
  <c r="J4" i="481"/>
  <c r="J5" i="481"/>
  <c r="J6" i="481"/>
  <c r="J7" i="481"/>
  <c r="J8" i="481"/>
  <c r="J9" i="481"/>
  <c r="J10" i="481"/>
  <c r="J11" i="481"/>
  <c r="J12" i="481"/>
  <c r="J13" i="481"/>
  <c r="J14" i="481"/>
  <c r="J15" i="481"/>
  <c r="J16" i="481"/>
  <c r="J17" i="481"/>
  <c r="J18" i="481"/>
  <c r="J19" i="481"/>
  <c r="J20" i="481"/>
  <c r="J21" i="481"/>
  <c r="J22" i="481"/>
  <c r="J23" i="481"/>
  <c r="J24" i="481"/>
  <c r="J25" i="481"/>
  <c r="J26" i="481"/>
  <c r="J27" i="481"/>
  <c r="J28" i="481"/>
  <c r="J29" i="481"/>
  <c r="J30" i="481"/>
  <c r="J31" i="481"/>
  <c r="J32" i="481"/>
  <c r="J33" i="481"/>
  <c r="J34" i="481"/>
  <c r="J35" i="481"/>
  <c r="J36" i="481"/>
  <c r="J37" i="481"/>
  <c r="J38" i="481"/>
  <c r="J39" i="481"/>
  <c r="J40" i="481"/>
  <c r="J41" i="481"/>
  <c r="J42" i="481"/>
  <c r="J43" i="481"/>
  <c r="J44" i="481"/>
  <c r="J2" i="481"/>
  <c r="J45" i="481"/>
  <c r="J46" i="481"/>
  <c r="J47" i="481"/>
  <c r="J48" i="481"/>
  <c r="J49" i="481"/>
  <c r="J50" i="481"/>
  <c r="J51" i="481"/>
  <c r="J52" i="481"/>
  <c r="J53" i="481"/>
  <c r="J54" i="481"/>
  <c r="J55" i="481"/>
  <c r="J56" i="481"/>
  <c r="J57" i="481"/>
  <c r="J58" i="481"/>
  <c r="J59" i="481"/>
  <c r="J60" i="481"/>
  <c r="J61" i="481"/>
  <c r="J62" i="481"/>
  <c r="J63" i="481"/>
  <c r="J64" i="481"/>
  <c r="J65" i="481"/>
  <c r="J66" i="481"/>
  <c r="J67" i="481"/>
  <c r="J68" i="481"/>
  <c r="J69" i="481"/>
  <c r="J70" i="481"/>
  <c r="J71" i="481"/>
  <c r="J72" i="481"/>
  <c r="J73" i="481"/>
  <c r="J74" i="481"/>
  <c r="J75" i="481"/>
  <c r="J76" i="481"/>
  <c r="J77" i="481"/>
  <c r="J78" i="481"/>
  <c r="J79" i="481"/>
  <c r="J80" i="481"/>
  <c r="J81" i="481"/>
  <c r="J82" i="481"/>
  <c r="J83" i="481"/>
  <c r="J84" i="481"/>
  <c r="J85" i="481"/>
  <c r="J86" i="481"/>
  <c r="J87" i="481"/>
  <c r="J88" i="481"/>
  <c r="J89" i="481"/>
  <c r="J90" i="481"/>
  <c r="J91" i="481"/>
  <c r="J92" i="481"/>
  <c r="J93" i="481"/>
  <c r="J94" i="481"/>
  <c r="J95" i="481"/>
  <c r="J96" i="481"/>
  <c r="J97" i="481"/>
  <c r="J98" i="481"/>
  <c r="J99" i="481"/>
  <c r="J100" i="481"/>
  <c r="J101" i="481"/>
  <c r="J102" i="481"/>
  <c r="J103" i="481"/>
  <c r="J104" i="481"/>
  <c r="J105" i="481"/>
  <c r="J106" i="481"/>
  <c r="J107" i="481"/>
  <c r="J108" i="481"/>
  <c r="J109" i="481"/>
  <c r="J110" i="481"/>
  <c r="J111" i="481"/>
  <c r="J112" i="481"/>
  <c r="J113" i="481"/>
  <c r="J114" i="481"/>
  <c r="J115" i="481"/>
  <c r="J116" i="481"/>
  <c r="J117" i="481"/>
  <c r="J118" i="481"/>
  <c r="J119" i="481"/>
  <c r="J120" i="481"/>
  <c r="J121" i="481"/>
  <c r="J122" i="481"/>
  <c r="J123" i="481"/>
  <c r="J124" i="481"/>
  <c r="J125" i="481"/>
  <c r="J126" i="481"/>
  <c r="J127" i="481"/>
  <c r="J128" i="481"/>
  <c r="J129" i="481"/>
  <c r="J130" i="481"/>
  <c r="J131" i="481"/>
  <c r="J132" i="481"/>
  <c r="J133" i="481"/>
  <c r="J134" i="481"/>
  <c r="J135" i="481"/>
  <c r="J136" i="481"/>
  <c r="J137" i="481"/>
  <c r="J138" i="481"/>
  <c r="J139" i="481"/>
  <c r="J140" i="481"/>
  <c r="J141" i="481"/>
  <c r="J142" i="481"/>
  <c r="J143" i="481"/>
  <c r="J144" i="481"/>
  <c r="J145" i="481"/>
  <c r="J146" i="481"/>
  <c r="J147" i="481"/>
  <c r="J148" i="481"/>
  <c r="J149" i="481"/>
  <c r="J150" i="481"/>
  <c r="J151" i="481"/>
  <c r="J152" i="481"/>
  <c r="J153" i="481"/>
  <c r="J154" i="481"/>
  <c r="J155" i="481"/>
  <c r="J156" i="481"/>
  <c r="J157" i="481"/>
  <c r="J158" i="481"/>
  <c r="J159" i="481"/>
  <c r="J160" i="481"/>
  <c r="J161" i="481"/>
  <c r="J162" i="481"/>
  <c r="J163" i="481"/>
  <c r="J164" i="481"/>
  <c r="J165" i="481"/>
  <c r="J166" i="481"/>
  <c r="J167" i="481"/>
  <c r="J168" i="481"/>
  <c r="J169" i="481"/>
  <c r="J170" i="481"/>
  <c r="J171" i="481"/>
  <c r="J172" i="481"/>
  <c r="J173" i="481"/>
  <c r="J174" i="481"/>
  <c r="J175" i="481"/>
  <c r="J176" i="481"/>
  <c r="J177" i="481"/>
  <c r="J178" i="481"/>
  <c r="J179" i="481"/>
  <c r="J180" i="481"/>
  <c r="J181" i="481"/>
  <c r="J182" i="481"/>
  <c r="J183" i="481"/>
  <c r="J184" i="481"/>
  <c r="J185" i="481"/>
  <c r="J186" i="481"/>
  <c r="J187" i="481"/>
  <c r="J188" i="481"/>
  <c r="J189" i="481"/>
  <c r="J190" i="481"/>
  <c r="J191" i="481"/>
  <c r="J192" i="481"/>
  <c r="J193" i="481"/>
  <c r="J194" i="481"/>
  <c r="J195" i="481"/>
  <c r="J196" i="481"/>
  <c r="J197" i="481"/>
  <c r="J198" i="481"/>
  <c r="J199" i="481"/>
  <c r="J200" i="481"/>
  <c r="J201" i="481"/>
  <c r="J202" i="481"/>
  <c r="J203" i="481"/>
  <c r="J204" i="481"/>
  <c r="J205" i="481"/>
  <c r="J206" i="481"/>
  <c r="J207" i="481"/>
  <c r="J208" i="481"/>
  <c r="J209" i="481"/>
  <c r="J210" i="481"/>
  <c r="J211" i="481"/>
  <c r="J212" i="481"/>
  <c r="J213" i="481"/>
  <c r="J214" i="481"/>
  <c r="J215" i="481"/>
  <c r="J216" i="481"/>
  <c r="J217" i="481"/>
  <c r="J218" i="481"/>
  <c r="J219" i="481"/>
  <c r="J220" i="481"/>
  <c r="J221" i="481"/>
  <c r="K247" i="481"/>
  <c r="K245" i="481"/>
  <c r="K243" i="481"/>
  <c r="K241" i="481"/>
  <c r="K239" i="481"/>
  <c r="K237" i="481"/>
  <c r="K248" i="481"/>
  <c r="J246" i="481"/>
  <c r="J244" i="481"/>
  <c r="J243" i="481"/>
  <c r="J242" i="481"/>
  <c r="J241" i="481"/>
  <c r="J240" i="481"/>
  <c r="J239" i="481"/>
  <c r="J238" i="481"/>
  <c r="J237" i="481"/>
  <c r="J236" i="481"/>
  <c r="J235" i="481"/>
  <c r="J234" i="481"/>
  <c r="J233" i="481"/>
  <c r="J232" i="481"/>
  <c r="J231" i="481"/>
  <c r="J230" i="481"/>
  <c r="J229" i="481"/>
  <c r="J228" i="481"/>
  <c r="J227" i="481"/>
  <c r="J226" i="481"/>
  <c r="J225" i="481"/>
  <c r="J224" i="481"/>
  <c r="J223" i="481"/>
  <c r="J222" i="481"/>
  <c r="I221" i="481"/>
  <c r="G220" i="481"/>
  <c r="I219" i="481"/>
  <c r="I217" i="481"/>
  <c r="I216" i="481"/>
  <c r="I215" i="481"/>
  <c r="I214" i="481"/>
  <c r="I213" i="481"/>
  <c r="I212" i="481"/>
  <c r="I211" i="481"/>
  <c r="I210" i="481"/>
  <c r="I209" i="481"/>
  <c r="I208" i="481"/>
  <c r="I207" i="481"/>
  <c r="I206" i="481"/>
  <c r="I205" i="481"/>
  <c r="I204" i="481"/>
  <c r="I203" i="481"/>
  <c r="I202" i="481"/>
  <c r="I201" i="481"/>
  <c r="I200" i="481"/>
  <c r="I198" i="481"/>
  <c r="K246" i="481"/>
  <c r="K244" i="481"/>
  <c r="K242" i="481"/>
  <c r="K240" i="481"/>
  <c r="K238" i="481"/>
  <c r="G2" i="481"/>
  <c r="G3" i="481"/>
  <c r="G4" i="481"/>
  <c r="G5" i="481"/>
  <c r="G6" i="481"/>
  <c r="G7" i="481"/>
  <c r="G8" i="481"/>
  <c r="G9" i="481"/>
  <c r="G10" i="481"/>
  <c r="G11" i="481"/>
  <c r="G12" i="481"/>
  <c r="G13" i="481"/>
  <c r="G14" i="481"/>
  <c r="G15" i="481"/>
  <c r="G16" i="481"/>
  <c r="G17" i="481"/>
  <c r="G18" i="481"/>
  <c r="G19" i="481"/>
  <c r="G20" i="481"/>
  <c r="G43" i="481"/>
  <c r="G21" i="481"/>
  <c r="G22" i="481"/>
  <c r="G23" i="481"/>
  <c r="G24" i="481"/>
  <c r="G25" i="481"/>
  <c r="G26" i="481"/>
  <c r="G27" i="481"/>
  <c r="G28" i="481"/>
  <c r="G29" i="481"/>
  <c r="G30" i="481"/>
  <c r="G31" i="481"/>
  <c r="G32" i="481"/>
  <c r="G33" i="481"/>
  <c r="G34" i="481"/>
  <c r="G35" i="481"/>
  <c r="G36" i="481"/>
  <c r="G37" i="481"/>
  <c r="G38" i="481"/>
  <c r="G39" i="481"/>
  <c r="G40" i="481"/>
  <c r="G41" i="481"/>
  <c r="G45" i="481"/>
  <c r="G46" i="481"/>
  <c r="G47" i="481"/>
  <c r="G48" i="481"/>
  <c r="G49" i="481"/>
  <c r="G50" i="481"/>
  <c r="G51" i="481"/>
  <c r="G52" i="481"/>
  <c r="G53" i="481"/>
  <c r="G54" i="481"/>
  <c r="G55" i="481"/>
  <c r="G56" i="481"/>
  <c r="G57" i="481"/>
  <c r="G58" i="481"/>
  <c r="G59" i="481"/>
  <c r="G60" i="481"/>
  <c r="G61" i="481"/>
  <c r="G71" i="481"/>
  <c r="G73" i="481"/>
  <c r="G75" i="481"/>
  <c r="G77" i="481"/>
  <c r="G79" i="481"/>
  <c r="G81" i="481"/>
  <c r="G83" i="481"/>
  <c r="G85" i="481"/>
  <c r="G44" i="481"/>
  <c r="G62" i="481"/>
  <c r="G63" i="481"/>
  <c r="G64" i="481"/>
  <c r="G65" i="481"/>
  <c r="G66" i="481"/>
  <c r="G67" i="481"/>
  <c r="G68" i="481"/>
  <c r="G69" i="481"/>
  <c r="G42" i="481"/>
  <c r="G70" i="481"/>
  <c r="G72" i="481"/>
  <c r="G74" i="481"/>
  <c r="G76" i="481"/>
  <c r="G78" i="481"/>
  <c r="G80" i="481"/>
  <c r="G82" i="481"/>
  <c r="G84" i="481"/>
  <c r="G86" i="481"/>
  <c r="G87" i="481"/>
  <c r="G88" i="481"/>
  <c r="G89" i="481"/>
  <c r="G90" i="481"/>
  <c r="G91" i="481"/>
  <c r="G92" i="481"/>
  <c r="G93" i="481"/>
  <c r="G104" i="481"/>
  <c r="G105" i="481"/>
  <c r="G106" i="481"/>
  <c r="G107" i="481"/>
  <c r="G108" i="481"/>
  <c r="G109" i="481"/>
  <c r="G110" i="481"/>
  <c r="G111" i="481"/>
  <c r="G112" i="481"/>
  <c r="G113" i="481"/>
  <c r="G114" i="481"/>
  <c r="G115" i="481"/>
  <c r="G116" i="481"/>
  <c r="G117" i="481"/>
  <c r="G118" i="481"/>
  <c r="G119" i="481"/>
  <c r="G120" i="481"/>
  <c r="G121" i="481"/>
  <c r="G122" i="481"/>
  <c r="G123" i="481"/>
  <c r="G124" i="481"/>
  <c r="G125" i="481"/>
  <c r="G94" i="481"/>
  <c r="G96" i="481"/>
  <c r="G95" i="481"/>
  <c r="G97" i="481"/>
  <c r="G98" i="481"/>
  <c r="G99" i="481"/>
  <c r="G100" i="481"/>
  <c r="G101" i="481"/>
  <c r="G102" i="481"/>
  <c r="G103" i="481"/>
  <c r="G126" i="481"/>
  <c r="G128" i="481"/>
  <c r="G130" i="481"/>
  <c r="G132" i="481"/>
  <c r="G134" i="481"/>
  <c r="G136" i="481"/>
  <c r="G143" i="481"/>
  <c r="G144" i="481"/>
  <c r="G145" i="481"/>
  <c r="G146" i="481"/>
  <c r="G147" i="481"/>
  <c r="G148" i="481"/>
  <c r="G149" i="481"/>
  <c r="G150" i="481"/>
  <c r="G151" i="481"/>
  <c r="G152" i="481"/>
  <c r="G153" i="481"/>
  <c r="G154" i="481"/>
  <c r="G155" i="481"/>
  <c r="G156" i="481"/>
  <c r="G157" i="481"/>
  <c r="G158" i="481"/>
  <c r="G159" i="481"/>
  <c r="G160" i="481"/>
  <c r="G161" i="481"/>
  <c r="G162" i="481"/>
  <c r="G163" i="481"/>
  <c r="G164" i="481"/>
  <c r="G165" i="481"/>
  <c r="G166" i="481"/>
  <c r="G167" i="481"/>
  <c r="G168" i="481"/>
  <c r="G169" i="481"/>
  <c r="G170" i="481"/>
  <c r="G171" i="481"/>
  <c r="G172" i="481"/>
  <c r="G173" i="481"/>
  <c r="G174" i="481"/>
  <c r="G175" i="481"/>
  <c r="G176" i="481"/>
  <c r="G177" i="481"/>
  <c r="G178" i="481"/>
  <c r="G179" i="481"/>
  <c r="G180" i="481"/>
  <c r="G181" i="481"/>
  <c r="G182" i="481"/>
  <c r="G183" i="481"/>
  <c r="G184" i="481"/>
  <c r="G185" i="481"/>
  <c r="G186" i="481"/>
  <c r="G187" i="481"/>
  <c r="G188" i="481"/>
  <c r="G189" i="481"/>
  <c r="G190" i="481"/>
  <c r="G191" i="481"/>
  <c r="G192" i="481"/>
  <c r="G193" i="481"/>
  <c r="G194" i="481"/>
  <c r="G195" i="481"/>
  <c r="G196" i="481"/>
  <c r="G197" i="481"/>
  <c r="G198" i="481"/>
  <c r="G199" i="481"/>
  <c r="G200" i="481"/>
  <c r="G138" i="481"/>
  <c r="G139" i="481"/>
  <c r="G140" i="481"/>
  <c r="G141" i="481"/>
  <c r="G142" i="481"/>
  <c r="G127" i="481"/>
  <c r="G129" i="481"/>
  <c r="G131" i="481"/>
  <c r="G133" i="481"/>
  <c r="G135" i="481"/>
  <c r="G137" i="481"/>
  <c r="J247" i="481"/>
  <c r="H248" i="481"/>
  <c r="I247" i="481"/>
  <c r="I245" i="481"/>
  <c r="I244" i="481"/>
  <c r="I243" i="481"/>
  <c r="I242" i="481"/>
  <c r="I241" i="481"/>
  <c r="I240" i="481"/>
  <c r="I239" i="481"/>
  <c r="I238" i="481"/>
  <c r="I237" i="481"/>
  <c r="I236" i="481"/>
  <c r="I235" i="481"/>
  <c r="I234" i="481"/>
  <c r="I233" i="481"/>
  <c r="I232" i="481"/>
  <c r="I231" i="481"/>
  <c r="I230" i="481"/>
  <c r="I229" i="481"/>
  <c r="I228" i="481"/>
  <c r="I227" i="481"/>
  <c r="I226" i="481"/>
  <c r="I225" i="481"/>
  <c r="I224" i="481"/>
  <c r="I223" i="481"/>
  <c r="I222" i="481"/>
  <c r="H221" i="481"/>
  <c r="K220" i="481"/>
  <c r="H219" i="481"/>
  <c r="K218" i="481"/>
  <c r="G217" i="481"/>
  <c r="G216" i="481"/>
  <c r="G215" i="481"/>
  <c r="G214" i="481"/>
  <c r="G213" i="481"/>
  <c r="G212" i="481"/>
  <c r="G211" i="481"/>
  <c r="G210" i="481"/>
  <c r="G209" i="481"/>
  <c r="G208" i="481"/>
  <c r="G207" i="481"/>
  <c r="G206" i="481"/>
  <c r="G205" i="481"/>
  <c r="G204" i="481"/>
  <c r="G203" i="481"/>
  <c r="G202" i="481"/>
  <c r="G201" i="481"/>
  <c r="G246" i="480"/>
  <c r="G245" i="480"/>
  <c r="G244" i="480"/>
  <c r="G243" i="480"/>
  <c r="G242" i="480"/>
  <c r="G241" i="480"/>
  <c r="G240" i="480"/>
  <c r="G239" i="480"/>
  <c r="G238" i="480"/>
  <c r="G237" i="480"/>
  <c r="K235" i="480"/>
  <c r="K233" i="480"/>
  <c r="K231" i="480"/>
  <c r="K229" i="480"/>
  <c r="K227" i="480"/>
  <c r="K225" i="480"/>
  <c r="K223" i="480"/>
  <c r="K221" i="480"/>
  <c r="K219" i="480"/>
  <c r="K2" i="480"/>
  <c r="K3" i="480"/>
  <c r="K4" i="480"/>
  <c r="K5" i="480"/>
  <c r="K6" i="480"/>
  <c r="K7" i="480"/>
  <c r="K8" i="480"/>
  <c r="K9" i="480"/>
  <c r="K10" i="480"/>
  <c r="K11" i="480"/>
  <c r="K12" i="480"/>
  <c r="K13" i="480"/>
  <c r="K14" i="480"/>
  <c r="K15" i="480"/>
  <c r="K16" i="480"/>
  <c r="K17" i="480"/>
  <c r="K18" i="480"/>
  <c r="K19" i="480"/>
  <c r="K20" i="480"/>
  <c r="K21" i="480"/>
  <c r="K22" i="480"/>
  <c r="K23" i="480"/>
  <c r="K25" i="480"/>
  <c r="K27" i="480"/>
  <c r="K29" i="480"/>
  <c r="K31" i="480"/>
  <c r="K33" i="480"/>
  <c r="K35" i="480"/>
  <c r="K37" i="480"/>
  <c r="K39" i="480"/>
  <c r="K41" i="480"/>
  <c r="K43" i="480"/>
  <c r="K45" i="480"/>
  <c r="K46" i="480"/>
  <c r="K47" i="480"/>
  <c r="K48" i="480"/>
  <c r="K49" i="480"/>
  <c r="K50" i="480"/>
  <c r="K51" i="480"/>
  <c r="K52" i="480"/>
  <c r="K53" i="480"/>
  <c r="K24" i="480"/>
  <c r="K26" i="480"/>
  <c r="K28" i="480"/>
  <c r="K30" i="480"/>
  <c r="K32" i="480"/>
  <c r="K34" i="480"/>
  <c r="K36" i="480"/>
  <c r="K38" i="480"/>
  <c r="K40" i="480"/>
  <c r="K42" i="480"/>
  <c r="K44" i="480"/>
  <c r="K54" i="480"/>
  <c r="K56" i="480"/>
  <c r="K58" i="480"/>
  <c r="K60" i="480"/>
  <c r="K62" i="480"/>
  <c r="K63" i="480"/>
  <c r="K64" i="480"/>
  <c r="K65" i="480"/>
  <c r="K55" i="480"/>
  <c r="K57" i="480"/>
  <c r="K59" i="480"/>
  <c r="K61" i="480"/>
  <c r="K66" i="480"/>
  <c r="K67" i="480"/>
  <c r="K68" i="480"/>
  <c r="K69" i="480"/>
  <c r="K70" i="480"/>
  <c r="K71" i="480"/>
  <c r="K72" i="480"/>
  <c r="K73" i="480"/>
  <c r="K74" i="480"/>
  <c r="K75" i="480"/>
  <c r="K76" i="480"/>
  <c r="K77" i="480"/>
  <c r="K78" i="480"/>
  <c r="K79" i="480"/>
  <c r="K80" i="480"/>
  <c r="K81" i="480"/>
  <c r="K82" i="480"/>
  <c r="K83" i="480"/>
  <c r="K84" i="480"/>
  <c r="K85" i="480"/>
  <c r="K86" i="480"/>
  <c r="K87" i="480"/>
  <c r="K88" i="480"/>
  <c r="K89" i="480"/>
  <c r="K90" i="480"/>
  <c r="K91" i="480"/>
  <c r="K93" i="480"/>
  <c r="K95" i="480"/>
  <c r="K97" i="480"/>
  <c r="K99" i="480"/>
  <c r="K101" i="480"/>
  <c r="K104" i="480"/>
  <c r="K105" i="480"/>
  <c r="K106" i="480"/>
  <c r="K107" i="480"/>
  <c r="K108" i="480"/>
  <c r="K109" i="480"/>
  <c r="K110" i="480"/>
  <c r="K111" i="480"/>
  <c r="K112" i="480"/>
  <c r="K113" i="480"/>
  <c r="K114" i="480"/>
  <c r="K115" i="480"/>
  <c r="K116" i="480"/>
  <c r="K117" i="480"/>
  <c r="K118" i="480"/>
  <c r="K119" i="480"/>
  <c r="K120" i="480"/>
  <c r="K121" i="480"/>
  <c r="K122" i="480"/>
  <c r="K123" i="480"/>
  <c r="K124" i="480"/>
  <c r="K125" i="480"/>
  <c r="K126" i="480"/>
  <c r="K127" i="480"/>
  <c r="K128" i="480"/>
  <c r="K129" i="480"/>
  <c r="K130" i="480"/>
  <c r="K131" i="480"/>
  <c r="K132" i="480"/>
  <c r="K133" i="480"/>
  <c r="K134" i="480"/>
  <c r="K135" i="480"/>
  <c r="K136" i="480"/>
  <c r="K137" i="480"/>
  <c r="K138" i="480"/>
  <c r="K139" i="480"/>
  <c r="K140" i="480"/>
  <c r="K141" i="480"/>
  <c r="K142" i="480"/>
  <c r="K92" i="480"/>
  <c r="K94" i="480"/>
  <c r="K96" i="480"/>
  <c r="K98" i="480"/>
  <c r="K100" i="480"/>
  <c r="K102" i="480"/>
  <c r="K103" i="480"/>
  <c r="K176" i="480"/>
  <c r="K177" i="480"/>
  <c r="K178" i="480"/>
  <c r="K179" i="480"/>
  <c r="K180" i="480"/>
  <c r="K181" i="480"/>
  <c r="K182" i="480"/>
  <c r="K183" i="480"/>
  <c r="K184" i="480"/>
  <c r="K185" i="480"/>
  <c r="K186" i="480"/>
  <c r="K187" i="480"/>
  <c r="K188" i="480"/>
  <c r="K189" i="480"/>
  <c r="K190" i="480"/>
  <c r="K191" i="480"/>
  <c r="K192" i="480"/>
  <c r="K193" i="480"/>
  <c r="K194" i="480"/>
  <c r="K195" i="480"/>
  <c r="K196" i="480"/>
  <c r="K197" i="480"/>
  <c r="K198" i="480"/>
  <c r="K199" i="480"/>
  <c r="K200" i="480"/>
  <c r="K201" i="480"/>
  <c r="K202" i="480"/>
  <c r="K203" i="480"/>
  <c r="K204" i="480"/>
  <c r="K205" i="480"/>
  <c r="K206" i="480"/>
  <c r="K207" i="480"/>
  <c r="K208" i="480"/>
  <c r="K209" i="480"/>
  <c r="K210" i="480"/>
  <c r="K211" i="480"/>
  <c r="K212" i="480"/>
  <c r="K213" i="480"/>
  <c r="K214" i="480"/>
  <c r="K143" i="480"/>
  <c r="K145" i="480"/>
  <c r="K147" i="480"/>
  <c r="K149" i="480"/>
  <c r="K151" i="480"/>
  <c r="K153" i="480"/>
  <c r="K155" i="480"/>
  <c r="K157" i="480"/>
  <c r="K159" i="480"/>
  <c r="K161" i="480"/>
  <c r="K163" i="480"/>
  <c r="K164" i="480"/>
  <c r="K165" i="480"/>
  <c r="K166" i="480"/>
  <c r="K167" i="480"/>
  <c r="K168" i="480"/>
  <c r="K169" i="480"/>
  <c r="K170" i="480"/>
  <c r="K171" i="480"/>
  <c r="K172" i="480"/>
  <c r="K173" i="480"/>
  <c r="K174" i="480"/>
  <c r="K175" i="480"/>
  <c r="K144" i="480"/>
  <c r="K146" i="480"/>
  <c r="K148" i="480"/>
  <c r="K150" i="480"/>
  <c r="K152" i="480"/>
  <c r="K154" i="480"/>
  <c r="K156" i="480"/>
  <c r="K158" i="480"/>
  <c r="K160" i="480"/>
  <c r="K162" i="480"/>
  <c r="K248" i="480"/>
  <c r="K215" i="480"/>
  <c r="J3" i="480"/>
  <c r="J4" i="480"/>
  <c r="J5" i="480"/>
  <c r="J6" i="480"/>
  <c r="J7" i="480"/>
  <c r="J8" i="480"/>
  <c r="J9" i="480"/>
  <c r="J10" i="480"/>
  <c r="J11" i="480"/>
  <c r="J12" i="480"/>
  <c r="J2" i="480"/>
  <c r="J45" i="480"/>
  <c r="J46" i="480"/>
  <c r="J47" i="480"/>
  <c r="J48" i="480"/>
  <c r="J49" i="480"/>
  <c r="J50" i="480"/>
  <c r="J51" i="480"/>
  <c r="J52" i="480"/>
  <c r="J53" i="480"/>
  <c r="J54" i="480"/>
  <c r="J55" i="480"/>
  <c r="J56" i="480"/>
  <c r="J57" i="480"/>
  <c r="J58" i="480"/>
  <c r="J59" i="480"/>
  <c r="J60" i="480"/>
  <c r="J61" i="480"/>
  <c r="J62" i="480"/>
  <c r="J13" i="480"/>
  <c r="J14" i="480"/>
  <c r="J15" i="480"/>
  <c r="J16" i="480"/>
  <c r="J17" i="480"/>
  <c r="J18" i="480"/>
  <c r="J19" i="480"/>
  <c r="J20" i="480"/>
  <c r="J21" i="480"/>
  <c r="J22" i="480"/>
  <c r="J23" i="480"/>
  <c r="J24" i="480"/>
  <c r="J26" i="480"/>
  <c r="J28" i="480"/>
  <c r="J30" i="480"/>
  <c r="J32" i="480"/>
  <c r="J34" i="480"/>
  <c r="J36" i="480"/>
  <c r="J38" i="480"/>
  <c r="J40" i="480"/>
  <c r="J42" i="480"/>
  <c r="J44" i="480"/>
  <c r="J25" i="480"/>
  <c r="J27" i="480"/>
  <c r="J29" i="480"/>
  <c r="J31" i="480"/>
  <c r="J33" i="480"/>
  <c r="J35" i="480"/>
  <c r="J37" i="480"/>
  <c r="J39" i="480"/>
  <c r="J41" i="480"/>
  <c r="J43" i="480"/>
  <c r="J63" i="480"/>
  <c r="J64" i="480"/>
  <c r="J65" i="480"/>
  <c r="J66" i="480"/>
  <c r="J67" i="480"/>
  <c r="J68" i="480"/>
  <c r="J69" i="480"/>
  <c r="J70" i="480"/>
  <c r="J71" i="480"/>
  <c r="J72" i="480"/>
  <c r="J73" i="480"/>
  <c r="J74" i="480"/>
  <c r="J75" i="480"/>
  <c r="J76" i="480"/>
  <c r="J77" i="480"/>
  <c r="J78" i="480"/>
  <c r="J79" i="480"/>
  <c r="J80" i="480"/>
  <c r="J81" i="480"/>
  <c r="J82" i="480"/>
  <c r="J83" i="480"/>
  <c r="J84" i="480"/>
  <c r="J85" i="480"/>
  <c r="J86" i="480"/>
  <c r="J87" i="480"/>
  <c r="J88" i="480"/>
  <c r="J89" i="480"/>
  <c r="J90" i="480"/>
  <c r="J91" i="480"/>
  <c r="J92" i="480"/>
  <c r="J93" i="480"/>
  <c r="J94" i="480"/>
  <c r="J95" i="480"/>
  <c r="J96" i="480"/>
  <c r="J97" i="480"/>
  <c r="J98" i="480"/>
  <c r="J99" i="480"/>
  <c r="J100" i="480"/>
  <c r="J101" i="480"/>
  <c r="J102" i="480"/>
  <c r="J103" i="480"/>
  <c r="J104" i="480"/>
  <c r="J105" i="480"/>
  <c r="J106" i="480"/>
  <c r="J107" i="480"/>
  <c r="J108" i="480"/>
  <c r="J109" i="480"/>
  <c r="J110" i="480"/>
  <c r="J111" i="480"/>
  <c r="J112" i="480"/>
  <c r="J113" i="480"/>
  <c r="J114" i="480"/>
  <c r="J115" i="480"/>
  <c r="J116" i="480"/>
  <c r="J117" i="480"/>
  <c r="J118" i="480"/>
  <c r="J119" i="480"/>
  <c r="J120" i="480"/>
  <c r="J121" i="480"/>
  <c r="J122" i="480"/>
  <c r="J123" i="480"/>
  <c r="J124" i="480"/>
  <c r="J125" i="480"/>
  <c r="J126" i="480"/>
  <c r="J127" i="480"/>
  <c r="J128" i="480"/>
  <c r="J129" i="480"/>
  <c r="J130" i="480"/>
  <c r="J131" i="480"/>
  <c r="J132" i="480"/>
  <c r="J133" i="480"/>
  <c r="J134" i="480"/>
  <c r="J135" i="480"/>
  <c r="J136" i="480"/>
  <c r="J137" i="480"/>
  <c r="J138" i="480"/>
  <c r="J139" i="480"/>
  <c r="J140" i="480"/>
  <c r="J141" i="480"/>
  <c r="J142" i="480"/>
  <c r="J143" i="480"/>
  <c r="J144" i="480"/>
  <c r="J145" i="480"/>
  <c r="J146" i="480"/>
  <c r="J147" i="480"/>
  <c r="J148" i="480"/>
  <c r="J149" i="480"/>
  <c r="J150" i="480"/>
  <c r="J151" i="480"/>
  <c r="J152" i="480"/>
  <c r="J153" i="480"/>
  <c r="J154" i="480"/>
  <c r="J155" i="480"/>
  <c r="J156" i="480"/>
  <c r="J157" i="480"/>
  <c r="J158" i="480"/>
  <c r="J159" i="480"/>
  <c r="J160" i="480"/>
  <c r="J161" i="480"/>
  <c r="J162" i="480"/>
  <c r="J163" i="480"/>
  <c r="J164" i="480"/>
  <c r="J165" i="480"/>
  <c r="J166" i="480"/>
  <c r="J167" i="480"/>
  <c r="J168" i="480"/>
  <c r="J169" i="480"/>
  <c r="J170" i="480"/>
  <c r="J171" i="480"/>
  <c r="J172" i="480"/>
  <c r="J173" i="480"/>
  <c r="J174" i="480"/>
  <c r="J175" i="480"/>
  <c r="J176" i="480"/>
  <c r="J177" i="480"/>
  <c r="J178" i="480"/>
  <c r="J179" i="480"/>
  <c r="J180" i="480"/>
  <c r="J181" i="480"/>
  <c r="J182" i="480"/>
  <c r="J183" i="480"/>
  <c r="J184" i="480"/>
  <c r="J185" i="480"/>
  <c r="J186" i="480"/>
  <c r="J187" i="480"/>
  <c r="J188" i="480"/>
  <c r="J189" i="480"/>
  <c r="J190" i="480"/>
  <c r="J191" i="480"/>
  <c r="J192" i="480"/>
  <c r="J193" i="480"/>
  <c r="J194" i="480"/>
  <c r="J195" i="480"/>
  <c r="J196" i="480"/>
  <c r="J197" i="480"/>
  <c r="J198" i="480"/>
  <c r="J199" i="480"/>
  <c r="J200" i="480"/>
  <c r="J201" i="480"/>
  <c r="J202" i="480"/>
  <c r="J203" i="480"/>
  <c r="J204" i="480"/>
  <c r="J205" i="480"/>
  <c r="J206" i="480"/>
  <c r="J207" i="480"/>
  <c r="J208" i="480"/>
  <c r="J209" i="480"/>
  <c r="J210" i="480"/>
  <c r="J211" i="480"/>
  <c r="J212" i="480"/>
  <c r="J213" i="480"/>
  <c r="J214" i="480"/>
  <c r="J215" i="480"/>
  <c r="J216" i="480"/>
  <c r="J217" i="480"/>
  <c r="J218" i="480"/>
  <c r="J219" i="480"/>
  <c r="J220" i="480"/>
  <c r="J221" i="480"/>
  <c r="J222" i="480"/>
  <c r="J223" i="480"/>
  <c r="J224" i="480"/>
  <c r="J225" i="480"/>
  <c r="J226" i="480"/>
  <c r="J227" i="480"/>
  <c r="J228" i="480"/>
  <c r="J229" i="480"/>
  <c r="J230" i="480"/>
  <c r="J231" i="480"/>
  <c r="J232" i="480"/>
  <c r="J233" i="480"/>
  <c r="J234" i="480"/>
  <c r="J235" i="480"/>
  <c r="J236" i="480"/>
  <c r="J237" i="480"/>
  <c r="J238" i="480"/>
  <c r="J239" i="480"/>
  <c r="J240" i="480"/>
  <c r="J241" i="480"/>
  <c r="J242" i="480"/>
  <c r="J243" i="480"/>
  <c r="J244" i="480"/>
  <c r="J245" i="480"/>
  <c r="J246" i="480"/>
  <c r="J247" i="480"/>
  <c r="G247" i="480"/>
  <c r="G235" i="480"/>
  <c r="G233" i="480"/>
  <c r="G231" i="480"/>
  <c r="G229" i="480"/>
  <c r="G227" i="480"/>
  <c r="G225" i="480"/>
  <c r="G223" i="480"/>
  <c r="G221" i="480"/>
  <c r="G219" i="480"/>
  <c r="G217" i="480"/>
  <c r="H2" i="480"/>
  <c r="H3" i="480"/>
  <c r="H4" i="480"/>
  <c r="H5" i="480"/>
  <c r="H6" i="480"/>
  <c r="H7" i="480"/>
  <c r="H8" i="480"/>
  <c r="H9" i="480"/>
  <c r="H10" i="480"/>
  <c r="H11" i="480"/>
  <c r="H12" i="480"/>
  <c r="H13" i="480"/>
  <c r="H14" i="480"/>
  <c r="H15" i="480"/>
  <c r="H16" i="480"/>
  <c r="H17" i="480"/>
  <c r="H18" i="480"/>
  <c r="H19" i="480"/>
  <c r="H20" i="480"/>
  <c r="H21" i="480"/>
  <c r="H22" i="480"/>
  <c r="H23" i="480"/>
  <c r="H24" i="480"/>
  <c r="H25" i="480"/>
  <c r="H26" i="480"/>
  <c r="H27" i="480"/>
  <c r="H28" i="480"/>
  <c r="H29" i="480"/>
  <c r="H30" i="480"/>
  <c r="H31" i="480"/>
  <c r="H32" i="480"/>
  <c r="H33" i="480"/>
  <c r="H34" i="480"/>
  <c r="H35" i="480"/>
  <c r="H36" i="480"/>
  <c r="H37" i="480"/>
  <c r="H38" i="480"/>
  <c r="H39" i="480"/>
  <c r="H40" i="480"/>
  <c r="H41" i="480"/>
  <c r="H42" i="480"/>
  <c r="H43" i="480"/>
  <c r="H44" i="480"/>
  <c r="H45" i="480"/>
  <c r="H46" i="480"/>
  <c r="H47" i="480"/>
  <c r="H48" i="480"/>
  <c r="H49" i="480"/>
  <c r="H50" i="480"/>
  <c r="H51" i="480"/>
  <c r="H52" i="480"/>
  <c r="H53" i="480"/>
  <c r="H54" i="480"/>
  <c r="H55" i="480"/>
  <c r="H56" i="480"/>
  <c r="H57" i="480"/>
  <c r="H58" i="480"/>
  <c r="H59" i="480"/>
  <c r="H60" i="480"/>
  <c r="H61" i="480"/>
  <c r="H62" i="480"/>
  <c r="H63" i="480"/>
  <c r="H64" i="480"/>
  <c r="H65" i="480"/>
  <c r="H66" i="480"/>
  <c r="H67" i="480"/>
  <c r="H68" i="480"/>
  <c r="H69" i="480"/>
  <c r="H70" i="480"/>
  <c r="H71" i="480"/>
  <c r="H72" i="480"/>
  <c r="H73" i="480"/>
  <c r="H74" i="480"/>
  <c r="H75" i="480"/>
  <c r="H76" i="480"/>
  <c r="H77" i="480"/>
  <c r="H78" i="480"/>
  <c r="H79" i="480"/>
  <c r="H80" i="480"/>
  <c r="H81" i="480"/>
  <c r="H82" i="480"/>
  <c r="H83" i="480"/>
  <c r="H84" i="480"/>
  <c r="H85" i="480"/>
  <c r="H86" i="480"/>
  <c r="H87" i="480"/>
  <c r="H88" i="480"/>
  <c r="H89" i="480"/>
  <c r="H90" i="480"/>
  <c r="H91" i="480"/>
  <c r="H92" i="480"/>
  <c r="H93" i="480"/>
  <c r="H94" i="480"/>
  <c r="H95" i="480"/>
  <c r="H96" i="480"/>
  <c r="H97" i="480"/>
  <c r="H98" i="480"/>
  <c r="H99" i="480"/>
  <c r="H100" i="480"/>
  <c r="H101" i="480"/>
  <c r="H102" i="480"/>
  <c r="H103" i="480"/>
  <c r="H105" i="480"/>
  <c r="H106" i="480"/>
  <c r="H107" i="480"/>
  <c r="H108" i="480"/>
  <c r="H109" i="480"/>
  <c r="H110" i="480"/>
  <c r="H111" i="480"/>
  <c r="H112" i="480"/>
  <c r="H113" i="480"/>
  <c r="H114" i="480"/>
  <c r="H115" i="480"/>
  <c r="H116" i="480"/>
  <c r="H117" i="480"/>
  <c r="H118" i="480"/>
  <c r="H119" i="480"/>
  <c r="H120" i="480"/>
  <c r="H121" i="480"/>
  <c r="H122" i="480"/>
  <c r="H123" i="480"/>
  <c r="H124" i="480"/>
  <c r="H125" i="480"/>
  <c r="H126" i="480"/>
  <c r="H127" i="480"/>
  <c r="H128" i="480"/>
  <c r="H129" i="480"/>
  <c r="H130" i="480"/>
  <c r="H131" i="480"/>
  <c r="H132" i="480"/>
  <c r="H133" i="480"/>
  <c r="H134" i="480"/>
  <c r="H135" i="480"/>
  <c r="H136" i="480"/>
  <c r="H137" i="480"/>
  <c r="H138" i="480"/>
  <c r="H139" i="480"/>
  <c r="H140" i="480"/>
  <c r="H141" i="480"/>
  <c r="H142" i="480"/>
  <c r="H143" i="480"/>
  <c r="H144" i="480"/>
  <c r="H145" i="480"/>
  <c r="H146" i="480"/>
  <c r="H147" i="480"/>
  <c r="H148" i="480"/>
  <c r="H149" i="480"/>
  <c r="H150" i="480"/>
  <c r="H151" i="480"/>
  <c r="H152" i="480"/>
  <c r="H153" i="480"/>
  <c r="H154" i="480"/>
  <c r="H155" i="480"/>
  <c r="H156" i="480"/>
  <c r="H157" i="480"/>
  <c r="H158" i="480"/>
  <c r="H159" i="480"/>
  <c r="H160" i="480"/>
  <c r="H161" i="480"/>
  <c r="H162" i="480"/>
  <c r="H163" i="480"/>
  <c r="H164" i="480"/>
  <c r="H165" i="480"/>
  <c r="H166" i="480"/>
  <c r="H167" i="480"/>
  <c r="H168" i="480"/>
  <c r="H169" i="480"/>
  <c r="H170" i="480"/>
  <c r="H171" i="480"/>
  <c r="H172" i="480"/>
  <c r="H173" i="480"/>
  <c r="H174" i="480"/>
  <c r="H175" i="480"/>
  <c r="H104" i="480"/>
  <c r="H177" i="480"/>
  <c r="H178" i="480"/>
  <c r="H179" i="480"/>
  <c r="H180" i="480"/>
  <c r="H181" i="480"/>
  <c r="H182" i="480"/>
  <c r="H183" i="480"/>
  <c r="H184" i="480"/>
  <c r="H185" i="480"/>
  <c r="H186" i="480"/>
  <c r="H187" i="480"/>
  <c r="H188" i="480"/>
  <c r="H189" i="480"/>
  <c r="H190" i="480"/>
  <c r="H191" i="480"/>
  <c r="H192" i="480"/>
  <c r="H193" i="480"/>
  <c r="H194" i="480"/>
  <c r="H195" i="480"/>
  <c r="H196" i="480"/>
  <c r="H197" i="480"/>
  <c r="H198" i="480"/>
  <c r="H199" i="480"/>
  <c r="H200" i="480"/>
  <c r="H201" i="480"/>
  <c r="H202" i="480"/>
  <c r="H203" i="480"/>
  <c r="H204" i="480"/>
  <c r="H205" i="480"/>
  <c r="H206" i="480"/>
  <c r="H207" i="480"/>
  <c r="H208" i="480"/>
  <c r="H209" i="480"/>
  <c r="H210" i="480"/>
  <c r="H211" i="480"/>
  <c r="H212" i="480"/>
  <c r="H213" i="480"/>
  <c r="H214" i="480"/>
  <c r="H215" i="480"/>
  <c r="H216" i="480"/>
  <c r="H217" i="480"/>
  <c r="H218" i="480"/>
  <c r="H219" i="480"/>
  <c r="H220" i="480"/>
  <c r="H221" i="480"/>
  <c r="H222" i="480"/>
  <c r="H223" i="480"/>
  <c r="H224" i="480"/>
  <c r="H225" i="480"/>
  <c r="H226" i="480"/>
  <c r="H227" i="480"/>
  <c r="H228" i="480"/>
  <c r="H229" i="480"/>
  <c r="H230" i="480"/>
  <c r="H231" i="480"/>
  <c r="H232" i="480"/>
  <c r="H233" i="480"/>
  <c r="H234" i="480"/>
  <c r="H235" i="480"/>
  <c r="H236" i="480"/>
  <c r="H237" i="480"/>
  <c r="H238" i="480"/>
  <c r="H239" i="480"/>
  <c r="H240" i="480"/>
  <c r="H241" i="480"/>
  <c r="H242" i="480"/>
  <c r="H243" i="480"/>
  <c r="H244" i="480"/>
  <c r="H245" i="480"/>
  <c r="H246" i="480"/>
  <c r="H247" i="480"/>
  <c r="H176" i="480"/>
  <c r="I236" i="480"/>
  <c r="J248" i="480"/>
  <c r="K247" i="480"/>
  <c r="K246" i="480"/>
  <c r="K245" i="480"/>
  <c r="K244" i="480"/>
  <c r="K243" i="480"/>
  <c r="K242" i="480"/>
  <c r="K241" i="480"/>
  <c r="K240" i="480"/>
  <c r="K239" i="480"/>
  <c r="K238" i="480"/>
  <c r="K237" i="480"/>
  <c r="K236" i="480"/>
  <c r="K234" i="480"/>
  <c r="K232" i="480"/>
  <c r="K230" i="480"/>
  <c r="K228" i="480"/>
  <c r="K226" i="480"/>
  <c r="K224" i="480"/>
  <c r="K222" i="480"/>
  <c r="K220" i="480"/>
  <c r="K218" i="480"/>
  <c r="K216" i="480"/>
  <c r="I238" i="480"/>
  <c r="G236" i="480"/>
  <c r="G234" i="480"/>
  <c r="G232" i="480"/>
  <c r="G230" i="480"/>
  <c r="G228" i="480"/>
  <c r="G226" i="480"/>
  <c r="G224" i="480"/>
  <c r="G222" i="480"/>
  <c r="G220" i="480"/>
  <c r="G218" i="480"/>
  <c r="G216" i="480"/>
  <c r="G2" i="480"/>
  <c r="G3" i="480"/>
  <c r="G4" i="480"/>
  <c r="G5" i="480"/>
  <c r="G6" i="480"/>
  <c r="G7" i="480"/>
  <c r="G8" i="480"/>
  <c r="G9" i="480"/>
  <c r="G10" i="480"/>
  <c r="G11" i="480"/>
  <c r="G12" i="480"/>
  <c r="G13" i="480"/>
  <c r="G14" i="480"/>
  <c r="G15" i="480"/>
  <c r="G16" i="480"/>
  <c r="G17" i="480"/>
  <c r="G18" i="480"/>
  <c r="G19" i="480"/>
  <c r="G20" i="480"/>
  <c r="G21" i="480"/>
  <c r="G22" i="480"/>
  <c r="G23" i="480"/>
  <c r="G24" i="480"/>
  <c r="G25" i="480"/>
  <c r="G27" i="480"/>
  <c r="G29" i="480"/>
  <c r="G31" i="480"/>
  <c r="G33" i="480"/>
  <c r="G35" i="480"/>
  <c r="G37" i="480"/>
  <c r="G39" i="480"/>
  <c r="G41" i="480"/>
  <c r="G43" i="480"/>
  <c r="G45" i="480"/>
  <c r="G46" i="480"/>
  <c r="G47" i="480"/>
  <c r="G48" i="480"/>
  <c r="G49" i="480"/>
  <c r="G50" i="480"/>
  <c r="G51" i="480"/>
  <c r="G52" i="480"/>
  <c r="G53" i="480"/>
  <c r="G26" i="480"/>
  <c r="G28" i="480"/>
  <c r="G30" i="480"/>
  <c r="G32" i="480"/>
  <c r="G34" i="480"/>
  <c r="G36" i="480"/>
  <c r="G38" i="480"/>
  <c r="G40" i="480"/>
  <c r="G42" i="480"/>
  <c r="G44" i="480"/>
  <c r="G54" i="480"/>
  <c r="G56" i="480"/>
  <c r="G58" i="480"/>
  <c r="G60" i="480"/>
  <c r="G62" i="480"/>
  <c r="G55" i="480"/>
  <c r="G57" i="480"/>
  <c r="G59" i="480"/>
  <c r="G61" i="480"/>
  <c r="G63" i="480"/>
  <c r="G64" i="480"/>
  <c r="G65" i="480"/>
  <c r="G66" i="480"/>
  <c r="G67" i="480"/>
  <c r="G68" i="480"/>
  <c r="G69" i="480"/>
  <c r="G70" i="480"/>
  <c r="G71" i="480"/>
  <c r="G72" i="480"/>
  <c r="G73" i="480"/>
  <c r="G74" i="480"/>
  <c r="G75" i="480"/>
  <c r="G76" i="480"/>
  <c r="G77" i="480"/>
  <c r="G78" i="480"/>
  <c r="G79" i="480"/>
  <c r="G80" i="480"/>
  <c r="G81" i="480"/>
  <c r="G82" i="480"/>
  <c r="G83" i="480"/>
  <c r="G84" i="480"/>
  <c r="G85" i="480"/>
  <c r="G86" i="480"/>
  <c r="G87" i="480"/>
  <c r="G88" i="480"/>
  <c r="G89" i="480"/>
  <c r="G90" i="480"/>
  <c r="G91" i="480"/>
  <c r="G103" i="480"/>
  <c r="G105" i="480"/>
  <c r="G106" i="480"/>
  <c r="G107" i="480"/>
  <c r="G108" i="480"/>
  <c r="G109" i="480"/>
  <c r="G110" i="480"/>
  <c r="G111" i="480"/>
  <c r="G112" i="480"/>
  <c r="G113" i="480"/>
  <c r="G114" i="480"/>
  <c r="G115" i="480"/>
  <c r="G116" i="480"/>
  <c r="G117" i="480"/>
  <c r="G118" i="480"/>
  <c r="G119" i="480"/>
  <c r="G120" i="480"/>
  <c r="G121" i="480"/>
  <c r="G122" i="480"/>
  <c r="G123" i="480"/>
  <c r="G124" i="480"/>
  <c r="G125" i="480"/>
  <c r="G126" i="480"/>
  <c r="G127" i="480"/>
  <c r="G128" i="480"/>
  <c r="G129" i="480"/>
  <c r="G130" i="480"/>
  <c r="G131" i="480"/>
  <c r="G132" i="480"/>
  <c r="G133" i="480"/>
  <c r="G134" i="480"/>
  <c r="G135" i="480"/>
  <c r="G136" i="480"/>
  <c r="G137" i="480"/>
  <c r="G138" i="480"/>
  <c r="G139" i="480"/>
  <c r="G140" i="480"/>
  <c r="G141" i="480"/>
  <c r="G142" i="480"/>
  <c r="G92" i="480"/>
  <c r="G94" i="480"/>
  <c r="G96" i="480"/>
  <c r="G98" i="480"/>
  <c r="G100" i="480"/>
  <c r="G102" i="480"/>
  <c r="G104" i="480"/>
  <c r="G93" i="480"/>
  <c r="G95" i="480"/>
  <c r="G97" i="480"/>
  <c r="G99" i="480"/>
  <c r="G101" i="480"/>
  <c r="I3" i="480"/>
  <c r="I4" i="480"/>
  <c r="I5" i="480"/>
  <c r="I6" i="480"/>
  <c r="I7" i="480"/>
  <c r="I8" i="480"/>
  <c r="I9" i="480"/>
  <c r="I10" i="480"/>
  <c r="I11" i="480"/>
  <c r="I2" i="480"/>
  <c r="I13" i="480"/>
  <c r="I14" i="480"/>
  <c r="I15" i="480"/>
  <c r="I16" i="480"/>
  <c r="I17" i="480"/>
  <c r="I18" i="480"/>
  <c r="I19" i="480"/>
  <c r="I20" i="480"/>
  <c r="I21" i="480"/>
  <c r="I22" i="480"/>
  <c r="I23" i="480"/>
  <c r="I24" i="480"/>
  <c r="I26" i="480"/>
  <c r="I28" i="480"/>
  <c r="I30" i="480"/>
  <c r="I32" i="480"/>
  <c r="I34" i="480"/>
  <c r="I36" i="480"/>
  <c r="I38" i="480"/>
  <c r="I40" i="480"/>
  <c r="I42" i="480"/>
  <c r="I44" i="480"/>
  <c r="I12" i="480"/>
  <c r="I25" i="480"/>
  <c r="I27" i="480"/>
  <c r="I29" i="480"/>
  <c r="I31" i="480"/>
  <c r="I33" i="480"/>
  <c r="I35" i="480"/>
  <c r="I37" i="480"/>
  <c r="I39" i="480"/>
  <c r="I41" i="480"/>
  <c r="I43" i="480"/>
  <c r="I45" i="480"/>
  <c r="I46" i="480"/>
  <c r="I47" i="480"/>
  <c r="I48" i="480"/>
  <c r="I49" i="480"/>
  <c r="I50" i="480"/>
  <c r="I51" i="480"/>
  <c r="I52" i="480"/>
  <c r="I53" i="480"/>
  <c r="I54" i="480"/>
  <c r="I55" i="480"/>
  <c r="I56" i="480"/>
  <c r="I57" i="480"/>
  <c r="I58" i="480"/>
  <c r="I59" i="480"/>
  <c r="I60" i="480"/>
  <c r="I61" i="480"/>
  <c r="I62" i="480"/>
  <c r="I63" i="480"/>
  <c r="I64" i="480"/>
  <c r="I65" i="480"/>
  <c r="I66" i="480"/>
  <c r="I67" i="480"/>
  <c r="I68" i="480"/>
  <c r="I69" i="480"/>
  <c r="I70" i="480"/>
  <c r="I71" i="480"/>
  <c r="I72" i="480"/>
  <c r="I73" i="480"/>
  <c r="I74" i="480"/>
  <c r="I75" i="480"/>
  <c r="I76" i="480"/>
  <c r="I77" i="480"/>
  <c r="I78" i="480"/>
  <c r="I79" i="480"/>
  <c r="I80" i="480"/>
  <c r="I81" i="480"/>
  <c r="I82" i="480"/>
  <c r="I83" i="480"/>
  <c r="I84" i="480"/>
  <c r="I85" i="480"/>
  <c r="I86" i="480"/>
  <c r="I87" i="480"/>
  <c r="I88" i="480"/>
  <c r="I89" i="480"/>
  <c r="I90" i="480"/>
  <c r="I91" i="480"/>
  <c r="I92" i="480"/>
  <c r="I93" i="480"/>
  <c r="I94" i="480"/>
  <c r="I95" i="480"/>
  <c r="I96" i="480"/>
  <c r="I97" i="480"/>
  <c r="I98" i="480"/>
  <c r="I99" i="480"/>
  <c r="I100" i="480"/>
  <c r="I101" i="480"/>
  <c r="I102" i="480"/>
  <c r="I103" i="480"/>
  <c r="I104" i="480"/>
  <c r="I105" i="480"/>
  <c r="I106" i="480"/>
  <c r="I107" i="480"/>
  <c r="I108" i="480"/>
  <c r="I109" i="480"/>
  <c r="I110" i="480"/>
  <c r="I111" i="480"/>
  <c r="I112" i="480"/>
  <c r="I113" i="480"/>
  <c r="I114" i="480"/>
  <c r="I115" i="480"/>
  <c r="I116" i="480"/>
  <c r="I117" i="480"/>
  <c r="I118" i="480"/>
  <c r="I119" i="480"/>
  <c r="I120" i="480"/>
  <c r="I121" i="480"/>
  <c r="I122" i="480"/>
  <c r="I123" i="480"/>
  <c r="I124" i="480"/>
  <c r="I125" i="480"/>
  <c r="I126" i="480"/>
  <c r="I127" i="480"/>
  <c r="I128" i="480"/>
  <c r="I129" i="480"/>
  <c r="I130" i="480"/>
  <c r="I131" i="480"/>
  <c r="I132" i="480"/>
  <c r="I133" i="480"/>
  <c r="I134" i="480"/>
  <c r="I135" i="480"/>
  <c r="I136" i="480"/>
  <c r="I137" i="480"/>
  <c r="I138" i="480"/>
  <c r="I139" i="480"/>
  <c r="I140" i="480"/>
  <c r="I141" i="480"/>
  <c r="I142" i="480"/>
  <c r="I143" i="480"/>
  <c r="I144" i="480"/>
  <c r="I145" i="480"/>
  <c r="I146" i="480"/>
  <c r="I147" i="480"/>
  <c r="I148" i="480"/>
  <c r="I149" i="480"/>
  <c r="I150" i="480"/>
  <c r="I151" i="480"/>
  <c r="I152" i="480"/>
  <c r="I153" i="480"/>
  <c r="I154" i="480"/>
  <c r="I155" i="480"/>
  <c r="I156" i="480"/>
  <c r="I157" i="480"/>
  <c r="I158" i="480"/>
  <c r="I159" i="480"/>
  <c r="I160" i="480"/>
  <c r="I161" i="480"/>
  <c r="I162" i="480"/>
  <c r="G248" i="480"/>
  <c r="I176" i="480"/>
  <c r="I235" i="480"/>
  <c r="I234" i="480"/>
  <c r="I233" i="480"/>
  <c r="I232" i="480"/>
  <c r="I231" i="480"/>
  <c r="I230" i="480"/>
  <c r="I229" i="480"/>
  <c r="I228" i="480"/>
  <c r="I227" i="480"/>
  <c r="I226" i="480"/>
  <c r="I225" i="480"/>
  <c r="I224" i="480"/>
  <c r="I223" i="480"/>
  <c r="I222" i="480"/>
  <c r="I221" i="480"/>
  <c r="I220" i="480"/>
  <c r="I219" i="480"/>
  <c r="I218" i="480"/>
  <c r="I217" i="480"/>
  <c r="I216" i="480"/>
  <c r="I215" i="480"/>
  <c r="I214" i="480"/>
  <c r="I213" i="480"/>
  <c r="I212" i="480"/>
  <c r="I211" i="480"/>
  <c r="I210" i="480"/>
  <c r="I209" i="480"/>
  <c r="I208" i="480"/>
  <c r="I207" i="480"/>
  <c r="I206" i="480"/>
  <c r="I205" i="480"/>
  <c r="I204" i="480"/>
  <c r="I203" i="480"/>
  <c r="I202" i="480"/>
  <c r="I201" i="480"/>
  <c r="I200" i="480"/>
  <c r="I199" i="480"/>
  <c r="I198" i="480"/>
  <c r="I197" i="480"/>
  <c r="I196" i="480"/>
  <c r="I195" i="480"/>
  <c r="I194" i="480"/>
  <c r="I193" i="480"/>
  <c r="I192" i="480"/>
  <c r="I191" i="480"/>
  <c r="I190" i="480"/>
  <c r="I189" i="480"/>
  <c r="I188" i="480"/>
  <c r="I187" i="480"/>
  <c r="I186" i="480"/>
  <c r="I185" i="480"/>
  <c r="I184" i="480"/>
  <c r="I183" i="480"/>
  <c r="I182" i="480"/>
  <c r="I181" i="480"/>
  <c r="I180" i="480"/>
  <c r="I179" i="480"/>
  <c r="I178" i="480"/>
  <c r="I177" i="480"/>
  <c r="G162" i="480"/>
  <c r="G160" i="480"/>
  <c r="G158" i="480"/>
  <c r="G156" i="480"/>
  <c r="G154" i="480"/>
  <c r="G152" i="480"/>
  <c r="G150" i="480"/>
  <c r="G148" i="480"/>
  <c r="G146" i="480"/>
  <c r="G144" i="480"/>
  <c r="I248" i="480"/>
  <c r="G176" i="480"/>
  <c r="I175" i="480"/>
  <c r="I174" i="480"/>
  <c r="I173" i="480"/>
  <c r="I172" i="480"/>
  <c r="I171" i="480"/>
  <c r="I170" i="480"/>
  <c r="I169" i="480"/>
  <c r="I168" i="480"/>
  <c r="I167" i="480"/>
  <c r="I166" i="480"/>
  <c r="I165" i="480"/>
  <c r="I164" i="480"/>
  <c r="I163" i="480"/>
  <c r="G214" i="480"/>
  <c r="G213" i="480"/>
  <c r="G212" i="480"/>
  <c r="G211" i="480"/>
  <c r="G210" i="480"/>
  <c r="G209" i="480"/>
  <c r="G208" i="480"/>
  <c r="G207" i="480"/>
  <c r="G206" i="480"/>
  <c r="G205" i="480"/>
  <c r="G204" i="480"/>
  <c r="G203" i="480"/>
  <c r="G202" i="480"/>
  <c r="G201" i="480"/>
  <c r="G200" i="480"/>
  <c r="G199" i="480"/>
  <c r="G198" i="480"/>
  <c r="G197" i="480"/>
  <c r="G196" i="480"/>
  <c r="G195" i="480"/>
  <c r="G194" i="480"/>
  <c r="G193" i="480"/>
  <c r="G192" i="480"/>
  <c r="G191" i="480"/>
  <c r="G190" i="480"/>
  <c r="G189" i="480"/>
  <c r="G188" i="480"/>
  <c r="G187" i="480"/>
  <c r="G186" i="480"/>
  <c r="G185" i="480"/>
  <c r="G184" i="480"/>
  <c r="G183" i="480"/>
  <c r="G182" i="480"/>
  <c r="G181" i="480"/>
  <c r="G180" i="480"/>
  <c r="G179" i="480"/>
  <c r="G178" i="480"/>
  <c r="G177" i="480"/>
  <c r="G175" i="480"/>
  <c r="G174" i="480"/>
  <c r="G173" i="480"/>
  <c r="G172" i="480"/>
  <c r="G171" i="480"/>
  <c r="G170" i="480"/>
  <c r="G169" i="480"/>
  <c r="G168" i="480"/>
  <c r="G167" i="480"/>
  <c r="G166" i="480"/>
  <c r="G165" i="480"/>
  <c r="G164" i="480"/>
  <c r="G163" i="480"/>
  <c r="G161" i="480"/>
  <c r="G159" i="480"/>
  <c r="G157" i="480"/>
  <c r="G155" i="480"/>
  <c r="G153" i="480"/>
  <c r="G151" i="480"/>
  <c r="G149" i="480"/>
  <c r="G147" i="480"/>
  <c r="G145" i="480"/>
  <c r="G143" i="480"/>
  <c r="G2" i="1"/>
  <c r="G3" i="1"/>
  <c r="G4" i="1"/>
  <c r="G5" i="1"/>
  <c r="G6" i="1"/>
  <c r="G7" i="1"/>
  <c r="G8" i="1"/>
  <c r="G9" i="1"/>
  <c r="G10" i="1"/>
  <c r="G11" i="1"/>
  <c r="F3" i="1"/>
  <c r="F4" i="1"/>
  <c r="F5" i="1"/>
  <c r="F6" i="1"/>
  <c r="F7" i="1"/>
  <c r="F8" i="1"/>
  <c r="F9" i="1"/>
  <c r="F10" i="1"/>
  <c r="F11" i="1"/>
  <c r="F2" i="1"/>
  <c r="L168" i="489" l="1"/>
  <c r="M168" i="489" s="1"/>
  <c r="N168" i="489" s="1"/>
  <c r="L164" i="489"/>
  <c r="M164" i="489" s="1"/>
  <c r="N164" i="489" s="1"/>
  <c r="L61" i="489"/>
  <c r="M61" i="489" s="1"/>
  <c r="N61" i="489" s="1"/>
  <c r="L176" i="489"/>
  <c r="M176" i="489" s="1"/>
  <c r="N176" i="489" s="1"/>
  <c r="L184" i="489"/>
  <c r="M184" i="489" s="1"/>
  <c r="N184" i="489" s="1"/>
  <c r="L192" i="489"/>
  <c r="M192" i="489" s="1"/>
  <c r="N192" i="489" s="1"/>
  <c r="L200" i="489"/>
  <c r="M200" i="489" s="1"/>
  <c r="N200" i="489" s="1"/>
  <c r="L208" i="489"/>
  <c r="M208" i="489" s="1"/>
  <c r="N208" i="489" s="1"/>
  <c r="L216" i="489"/>
  <c r="M216" i="489" s="1"/>
  <c r="N216" i="489" s="1"/>
  <c r="L224" i="489"/>
  <c r="M224" i="489" s="1"/>
  <c r="N224" i="489" s="1"/>
  <c r="L173" i="489"/>
  <c r="M173" i="489" s="1"/>
  <c r="N173" i="489" s="1"/>
  <c r="L165" i="489"/>
  <c r="M165" i="489" s="1"/>
  <c r="N165" i="489" s="1"/>
  <c r="L69" i="489"/>
  <c r="M69" i="489" s="1"/>
  <c r="N69" i="489" s="1"/>
  <c r="L51" i="489"/>
  <c r="M51" i="489" s="1"/>
  <c r="N51" i="489" s="1"/>
  <c r="L157" i="489"/>
  <c r="M157" i="489" s="1"/>
  <c r="N157" i="489" s="1"/>
  <c r="L153" i="489"/>
  <c r="M153" i="489" s="1"/>
  <c r="N153" i="489" s="1"/>
  <c r="L149" i="489"/>
  <c r="M149" i="489" s="1"/>
  <c r="N149" i="489" s="1"/>
  <c r="L145" i="489"/>
  <c r="M145" i="489" s="1"/>
  <c r="N145" i="489" s="1"/>
  <c r="L141" i="489"/>
  <c r="M141" i="489" s="1"/>
  <c r="N141" i="489" s="1"/>
  <c r="L137" i="489"/>
  <c r="M137" i="489" s="1"/>
  <c r="N137" i="489" s="1"/>
  <c r="L133" i="489"/>
  <c r="M133" i="489" s="1"/>
  <c r="N133" i="489" s="1"/>
  <c r="L129" i="489"/>
  <c r="M129" i="489" s="1"/>
  <c r="N129" i="489" s="1"/>
  <c r="L125" i="489"/>
  <c r="M125" i="489" s="1"/>
  <c r="N125" i="489" s="1"/>
  <c r="L121" i="489"/>
  <c r="M121" i="489" s="1"/>
  <c r="N121" i="489" s="1"/>
  <c r="L117" i="489"/>
  <c r="M117" i="489" s="1"/>
  <c r="N117" i="489" s="1"/>
  <c r="L113" i="489"/>
  <c r="M113" i="489" s="1"/>
  <c r="N113" i="489" s="1"/>
  <c r="L109" i="489"/>
  <c r="M109" i="489" s="1"/>
  <c r="N109" i="489" s="1"/>
  <c r="L105" i="489"/>
  <c r="M105" i="489" s="1"/>
  <c r="N105" i="489" s="1"/>
  <c r="L57" i="489"/>
  <c r="M57" i="489" s="1"/>
  <c r="N57" i="489" s="1"/>
  <c r="L101" i="489"/>
  <c r="M101" i="489" s="1"/>
  <c r="N101" i="489" s="1"/>
  <c r="L97" i="489"/>
  <c r="M97" i="489" s="1"/>
  <c r="N97" i="489" s="1"/>
  <c r="L93" i="489"/>
  <c r="M93" i="489" s="1"/>
  <c r="N93" i="489" s="1"/>
  <c r="L47" i="489"/>
  <c r="M47" i="489" s="1"/>
  <c r="N47" i="489" s="1"/>
  <c r="L34" i="489"/>
  <c r="M34" i="489" s="1"/>
  <c r="N34" i="489" s="1"/>
  <c r="L89" i="489"/>
  <c r="M89" i="489" s="1"/>
  <c r="N89" i="489" s="1"/>
  <c r="L85" i="489"/>
  <c r="M85" i="489" s="1"/>
  <c r="N85" i="489" s="1"/>
  <c r="L81" i="489"/>
  <c r="M81" i="489" s="1"/>
  <c r="N81" i="489" s="1"/>
  <c r="L77" i="489"/>
  <c r="M77" i="489" s="1"/>
  <c r="N77" i="489" s="1"/>
  <c r="L73" i="489"/>
  <c r="M73" i="489" s="1"/>
  <c r="N73" i="489" s="1"/>
  <c r="L66" i="489"/>
  <c r="M66" i="489" s="1"/>
  <c r="N66" i="489" s="1"/>
  <c r="L58" i="489"/>
  <c r="M58" i="489" s="1"/>
  <c r="N58" i="489" s="1"/>
  <c r="L50" i="489"/>
  <c r="M50" i="489" s="1"/>
  <c r="N50" i="489" s="1"/>
  <c r="L37" i="489"/>
  <c r="M37" i="489" s="1"/>
  <c r="N37" i="489" s="1"/>
  <c r="L36" i="489"/>
  <c r="M36" i="489" s="1"/>
  <c r="N36" i="489" s="1"/>
  <c r="L44" i="489"/>
  <c r="M44" i="489" s="1"/>
  <c r="N44" i="489" s="1"/>
  <c r="L25" i="489"/>
  <c r="M25" i="489" s="1"/>
  <c r="N25" i="489" s="1"/>
  <c r="L21" i="489"/>
  <c r="M21" i="489" s="1"/>
  <c r="N21" i="489" s="1"/>
  <c r="L17" i="489"/>
  <c r="M17" i="489" s="1"/>
  <c r="N17" i="489" s="1"/>
  <c r="L13" i="489"/>
  <c r="M13" i="489" s="1"/>
  <c r="N13" i="489" s="1"/>
  <c r="L9" i="489"/>
  <c r="M9" i="489" s="1"/>
  <c r="N9" i="489" s="1"/>
  <c r="L5" i="489"/>
  <c r="M5" i="489" s="1"/>
  <c r="N5" i="489" s="1"/>
  <c r="L226" i="489"/>
  <c r="M226" i="489" s="1"/>
  <c r="N226" i="489" s="1"/>
  <c r="L230" i="489"/>
  <c r="M230" i="489" s="1"/>
  <c r="N230" i="489" s="1"/>
  <c r="L232" i="489"/>
  <c r="M232" i="489" s="1"/>
  <c r="N232" i="489" s="1"/>
  <c r="L234" i="489"/>
  <c r="M234" i="489" s="1"/>
  <c r="N234" i="489" s="1"/>
  <c r="L236" i="489"/>
  <c r="M236" i="489" s="1"/>
  <c r="N236" i="489" s="1"/>
  <c r="L238" i="489"/>
  <c r="M238" i="489" s="1"/>
  <c r="N238" i="489" s="1"/>
  <c r="L179" i="489"/>
  <c r="M179" i="489" s="1"/>
  <c r="N179" i="489" s="1"/>
  <c r="L187" i="489"/>
  <c r="M187" i="489" s="1"/>
  <c r="N187" i="489" s="1"/>
  <c r="L195" i="489"/>
  <c r="M195" i="489" s="1"/>
  <c r="N195" i="489" s="1"/>
  <c r="L203" i="489"/>
  <c r="M203" i="489" s="1"/>
  <c r="N203" i="489" s="1"/>
  <c r="L211" i="489"/>
  <c r="M211" i="489" s="1"/>
  <c r="N211" i="489" s="1"/>
  <c r="L219" i="489"/>
  <c r="M219" i="489" s="1"/>
  <c r="N219" i="489" s="1"/>
  <c r="L240" i="489"/>
  <c r="M240" i="489" s="1"/>
  <c r="N240" i="489" s="1"/>
  <c r="L245" i="489"/>
  <c r="M245" i="489" s="1"/>
  <c r="N245" i="489" s="1"/>
  <c r="L166" i="489"/>
  <c r="M166" i="489" s="1"/>
  <c r="N166" i="489" s="1"/>
  <c r="L178" i="489"/>
  <c r="M178" i="489" s="1"/>
  <c r="N178" i="489" s="1"/>
  <c r="L186" i="489"/>
  <c r="M186" i="489" s="1"/>
  <c r="N186" i="489" s="1"/>
  <c r="L194" i="489"/>
  <c r="M194" i="489" s="1"/>
  <c r="N194" i="489" s="1"/>
  <c r="L202" i="489"/>
  <c r="M202" i="489" s="1"/>
  <c r="N202" i="489" s="1"/>
  <c r="L210" i="489"/>
  <c r="M210" i="489" s="1"/>
  <c r="N210" i="489" s="1"/>
  <c r="L218" i="489"/>
  <c r="M218" i="489" s="1"/>
  <c r="N218" i="489" s="1"/>
  <c r="L171" i="489"/>
  <c r="M171" i="489" s="1"/>
  <c r="N171" i="489" s="1"/>
  <c r="L163" i="489"/>
  <c r="M163" i="489" s="1"/>
  <c r="N163" i="489" s="1"/>
  <c r="L31" i="489"/>
  <c r="M31" i="489" s="1"/>
  <c r="N31" i="489" s="1"/>
  <c r="L160" i="489"/>
  <c r="M160" i="489" s="1"/>
  <c r="N160" i="489" s="1"/>
  <c r="L156" i="489"/>
  <c r="M156" i="489" s="1"/>
  <c r="N156" i="489" s="1"/>
  <c r="L152" i="489"/>
  <c r="M152" i="489" s="1"/>
  <c r="N152" i="489" s="1"/>
  <c r="L148" i="489"/>
  <c r="M148" i="489" s="1"/>
  <c r="N148" i="489" s="1"/>
  <c r="L144" i="489"/>
  <c r="M144" i="489" s="1"/>
  <c r="N144" i="489" s="1"/>
  <c r="L140" i="489"/>
  <c r="M140" i="489" s="1"/>
  <c r="N140" i="489" s="1"/>
  <c r="L136" i="489"/>
  <c r="M136" i="489" s="1"/>
  <c r="N136" i="489" s="1"/>
  <c r="L132" i="489"/>
  <c r="M132" i="489" s="1"/>
  <c r="N132" i="489" s="1"/>
  <c r="L128" i="489"/>
  <c r="M128" i="489" s="1"/>
  <c r="N128" i="489" s="1"/>
  <c r="L124" i="489"/>
  <c r="M124" i="489" s="1"/>
  <c r="N124" i="489" s="1"/>
  <c r="L120" i="489"/>
  <c r="M120" i="489" s="1"/>
  <c r="N120" i="489" s="1"/>
  <c r="L116" i="489"/>
  <c r="M116" i="489" s="1"/>
  <c r="N116" i="489" s="1"/>
  <c r="L112" i="489"/>
  <c r="M112" i="489" s="1"/>
  <c r="N112" i="489" s="1"/>
  <c r="L108" i="489"/>
  <c r="M108" i="489" s="1"/>
  <c r="N108" i="489" s="1"/>
  <c r="L104" i="489"/>
  <c r="M104" i="489" s="1"/>
  <c r="N104" i="489" s="1"/>
  <c r="L49" i="489"/>
  <c r="M49" i="489" s="1"/>
  <c r="N49" i="489" s="1"/>
  <c r="L100" i="489"/>
  <c r="M100" i="489" s="1"/>
  <c r="N100" i="489" s="1"/>
  <c r="L96" i="489"/>
  <c r="M96" i="489" s="1"/>
  <c r="N96" i="489" s="1"/>
  <c r="L92" i="489"/>
  <c r="M92" i="489" s="1"/>
  <c r="N92" i="489" s="1"/>
  <c r="L35" i="489"/>
  <c r="M35" i="489" s="1"/>
  <c r="N35" i="489" s="1"/>
  <c r="L30" i="489"/>
  <c r="M30" i="489" s="1"/>
  <c r="N30" i="489" s="1"/>
  <c r="L88" i="489"/>
  <c r="M88" i="489" s="1"/>
  <c r="N88" i="489" s="1"/>
  <c r="L84" i="489"/>
  <c r="M84" i="489" s="1"/>
  <c r="N84" i="489" s="1"/>
  <c r="L80" i="489"/>
  <c r="M80" i="489" s="1"/>
  <c r="N80" i="489" s="1"/>
  <c r="L76" i="489"/>
  <c r="M76" i="489" s="1"/>
  <c r="N76" i="489" s="1"/>
  <c r="L72" i="489"/>
  <c r="M72" i="489" s="1"/>
  <c r="N72" i="489" s="1"/>
  <c r="L64" i="489"/>
  <c r="M64" i="489" s="1"/>
  <c r="N64" i="489" s="1"/>
  <c r="L56" i="489"/>
  <c r="M56" i="489" s="1"/>
  <c r="N56" i="489" s="1"/>
  <c r="L48" i="489"/>
  <c r="M48" i="489" s="1"/>
  <c r="N48" i="489" s="1"/>
  <c r="L33" i="489"/>
  <c r="M33" i="489" s="1"/>
  <c r="N33" i="489" s="1"/>
  <c r="L32" i="489"/>
  <c r="M32" i="489" s="1"/>
  <c r="N32" i="489" s="1"/>
  <c r="L42" i="489"/>
  <c r="M42" i="489" s="1"/>
  <c r="N42" i="489" s="1"/>
  <c r="L24" i="489"/>
  <c r="M24" i="489" s="1"/>
  <c r="N24" i="489" s="1"/>
  <c r="L20" i="489"/>
  <c r="M20" i="489" s="1"/>
  <c r="N20" i="489" s="1"/>
  <c r="L16" i="489"/>
  <c r="M16" i="489" s="1"/>
  <c r="N16" i="489" s="1"/>
  <c r="L12" i="489"/>
  <c r="M12" i="489" s="1"/>
  <c r="N12" i="489" s="1"/>
  <c r="L8" i="489"/>
  <c r="M8" i="489" s="1"/>
  <c r="N8" i="489" s="1"/>
  <c r="L4" i="489"/>
  <c r="M4" i="489" s="1"/>
  <c r="N4" i="489" s="1"/>
  <c r="L172" i="489"/>
  <c r="M172" i="489" s="1"/>
  <c r="N172" i="489" s="1"/>
  <c r="L227" i="489"/>
  <c r="M227" i="489" s="1"/>
  <c r="N227" i="489" s="1"/>
  <c r="L170" i="489"/>
  <c r="M170" i="489" s="1"/>
  <c r="N170" i="489" s="1"/>
  <c r="L181" i="489"/>
  <c r="M181" i="489" s="1"/>
  <c r="N181" i="489" s="1"/>
  <c r="L189" i="489"/>
  <c r="M189" i="489" s="1"/>
  <c r="N189" i="489" s="1"/>
  <c r="L197" i="489"/>
  <c r="M197" i="489" s="1"/>
  <c r="N197" i="489" s="1"/>
  <c r="L205" i="489"/>
  <c r="M205" i="489" s="1"/>
  <c r="N205" i="489" s="1"/>
  <c r="L213" i="489"/>
  <c r="M213" i="489" s="1"/>
  <c r="N213" i="489" s="1"/>
  <c r="L221" i="489"/>
  <c r="M221" i="489" s="1"/>
  <c r="N221" i="489" s="1"/>
  <c r="L246" i="489"/>
  <c r="M246" i="489" s="1"/>
  <c r="N246" i="489" s="1"/>
  <c r="L243" i="489"/>
  <c r="M243" i="489" s="1"/>
  <c r="N243" i="489" s="1"/>
  <c r="L180" i="489"/>
  <c r="M180" i="489" s="1"/>
  <c r="N180" i="489" s="1"/>
  <c r="L188" i="489"/>
  <c r="M188" i="489" s="1"/>
  <c r="N188" i="489" s="1"/>
  <c r="L196" i="489"/>
  <c r="M196" i="489" s="1"/>
  <c r="N196" i="489" s="1"/>
  <c r="L204" i="489"/>
  <c r="M204" i="489" s="1"/>
  <c r="N204" i="489" s="1"/>
  <c r="L212" i="489"/>
  <c r="M212" i="489" s="1"/>
  <c r="N212" i="489" s="1"/>
  <c r="L220" i="489"/>
  <c r="M220" i="489" s="1"/>
  <c r="N220" i="489" s="1"/>
  <c r="L248" i="489"/>
  <c r="M248" i="489" s="1"/>
  <c r="N248" i="489" s="1"/>
  <c r="L169" i="489"/>
  <c r="M169" i="489" s="1"/>
  <c r="N169" i="489" s="1"/>
  <c r="L161" i="489"/>
  <c r="M161" i="489" s="1"/>
  <c r="N161" i="489" s="1"/>
  <c r="L67" i="489"/>
  <c r="M67" i="489" s="1"/>
  <c r="N67" i="489" s="1"/>
  <c r="L159" i="489"/>
  <c r="M159" i="489" s="1"/>
  <c r="N159" i="489" s="1"/>
  <c r="L155" i="489"/>
  <c r="M155" i="489" s="1"/>
  <c r="N155" i="489" s="1"/>
  <c r="L151" i="489"/>
  <c r="M151" i="489" s="1"/>
  <c r="N151" i="489" s="1"/>
  <c r="L147" i="489"/>
  <c r="M147" i="489" s="1"/>
  <c r="N147" i="489" s="1"/>
  <c r="L143" i="489"/>
  <c r="M143" i="489" s="1"/>
  <c r="N143" i="489" s="1"/>
  <c r="L139" i="489"/>
  <c r="M139" i="489" s="1"/>
  <c r="N139" i="489" s="1"/>
  <c r="L135" i="489"/>
  <c r="M135" i="489" s="1"/>
  <c r="N135" i="489" s="1"/>
  <c r="L131" i="489"/>
  <c r="M131" i="489" s="1"/>
  <c r="N131" i="489" s="1"/>
  <c r="L127" i="489"/>
  <c r="M127" i="489" s="1"/>
  <c r="N127" i="489" s="1"/>
  <c r="L123" i="489"/>
  <c r="M123" i="489" s="1"/>
  <c r="N123" i="489" s="1"/>
  <c r="L119" i="489"/>
  <c r="M119" i="489" s="1"/>
  <c r="N119" i="489" s="1"/>
  <c r="L115" i="489"/>
  <c r="M115" i="489" s="1"/>
  <c r="N115" i="489" s="1"/>
  <c r="L111" i="489"/>
  <c r="M111" i="489" s="1"/>
  <c r="N111" i="489" s="1"/>
  <c r="L107" i="489"/>
  <c r="M107" i="489" s="1"/>
  <c r="N107" i="489" s="1"/>
  <c r="L103" i="489"/>
  <c r="M103" i="489" s="1"/>
  <c r="N103" i="489" s="1"/>
  <c r="L39" i="489"/>
  <c r="M39" i="489" s="1"/>
  <c r="N39" i="489" s="1"/>
  <c r="L99" i="489"/>
  <c r="M99" i="489" s="1"/>
  <c r="N99" i="489" s="1"/>
  <c r="L95" i="489"/>
  <c r="M95" i="489" s="1"/>
  <c r="N95" i="489" s="1"/>
  <c r="L63" i="489"/>
  <c r="M63" i="489" s="1"/>
  <c r="N63" i="489" s="1"/>
  <c r="L71" i="489"/>
  <c r="M71" i="489" s="1"/>
  <c r="N71" i="489" s="1"/>
  <c r="L91" i="489"/>
  <c r="M91" i="489" s="1"/>
  <c r="N91" i="489" s="1"/>
  <c r="L87" i="489"/>
  <c r="M87" i="489" s="1"/>
  <c r="N87" i="489" s="1"/>
  <c r="L83" i="489"/>
  <c r="M83" i="489" s="1"/>
  <c r="N83" i="489" s="1"/>
  <c r="L79" i="489"/>
  <c r="M79" i="489" s="1"/>
  <c r="N79" i="489" s="1"/>
  <c r="L75" i="489"/>
  <c r="M75" i="489" s="1"/>
  <c r="N75" i="489" s="1"/>
  <c r="L70" i="489"/>
  <c r="M70" i="489" s="1"/>
  <c r="N70" i="489" s="1"/>
  <c r="L62" i="489"/>
  <c r="M62" i="489" s="1"/>
  <c r="N62" i="489" s="1"/>
  <c r="L54" i="489"/>
  <c r="M54" i="489" s="1"/>
  <c r="N54" i="489" s="1"/>
  <c r="L46" i="489"/>
  <c r="M46" i="489" s="1"/>
  <c r="N46" i="489" s="1"/>
  <c r="L29" i="489"/>
  <c r="M29" i="489" s="1"/>
  <c r="N29" i="489" s="1"/>
  <c r="L28" i="489"/>
  <c r="M28" i="489" s="1"/>
  <c r="N28" i="489" s="1"/>
  <c r="L27" i="489"/>
  <c r="M27" i="489" s="1"/>
  <c r="N27" i="489" s="1"/>
  <c r="L23" i="489"/>
  <c r="M23" i="489" s="1"/>
  <c r="N23" i="489" s="1"/>
  <c r="L19" i="489"/>
  <c r="M19" i="489" s="1"/>
  <c r="N19" i="489" s="1"/>
  <c r="L15" i="489"/>
  <c r="M15" i="489" s="1"/>
  <c r="N15" i="489" s="1"/>
  <c r="L11" i="489"/>
  <c r="M11" i="489" s="1"/>
  <c r="N11" i="489" s="1"/>
  <c r="L7" i="489"/>
  <c r="M7" i="489" s="1"/>
  <c r="N7" i="489" s="1"/>
  <c r="L3" i="489"/>
  <c r="M3" i="489" s="1"/>
  <c r="N3" i="489" s="1"/>
  <c r="L228" i="489"/>
  <c r="M228" i="489" s="1"/>
  <c r="N228" i="489" s="1"/>
  <c r="L231" i="489"/>
  <c r="M231" i="489" s="1"/>
  <c r="N231" i="489" s="1"/>
  <c r="L233" i="489"/>
  <c r="M233" i="489" s="1"/>
  <c r="N233" i="489" s="1"/>
  <c r="L235" i="489"/>
  <c r="M235" i="489" s="1"/>
  <c r="N235" i="489" s="1"/>
  <c r="L237" i="489"/>
  <c r="M237" i="489" s="1"/>
  <c r="N237" i="489" s="1"/>
  <c r="L239" i="489"/>
  <c r="M239" i="489" s="1"/>
  <c r="N239" i="489" s="1"/>
  <c r="L175" i="489"/>
  <c r="M175" i="489" s="1"/>
  <c r="N175" i="489" s="1"/>
  <c r="L183" i="489"/>
  <c r="M183" i="489" s="1"/>
  <c r="N183" i="489" s="1"/>
  <c r="L191" i="489"/>
  <c r="M191" i="489" s="1"/>
  <c r="N191" i="489" s="1"/>
  <c r="L199" i="489"/>
  <c r="M199" i="489" s="1"/>
  <c r="N199" i="489" s="1"/>
  <c r="L207" i="489"/>
  <c r="M207" i="489" s="1"/>
  <c r="N207" i="489" s="1"/>
  <c r="L215" i="489"/>
  <c r="M215" i="489" s="1"/>
  <c r="N215" i="489" s="1"/>
  <c r="L223" i="489"/>
  <c r="M223" i="489" s="1"/>
  <c r="N223" i="489" s="1"/>
  <c r="L247" i="489"/>
  <c r="M247" i="489" s="1"/>
  <c r="N247" i="489" s="1"/>
  <c r="L244" i="489"/>
  <c r="M244" i="489" s="1"/>
  <c r="N244" i="489" s="1"/>
  <c r="L174" i="489"/>
  <c r="M174" i="489" s="1"/>
  <c r="N174" i="489" s="1"/>
  <c r="L182" i="489"/>
  <c r="M182" i="489" s="1"/>
  <c r="N182" i="489" s="1"/>
  <c r="L190" i="489"/>
  <c r="M190" i="489" s="1"/>
  <c r="N190" i="489" s="1"/>
  <c r="L198" i="489"/>
  <c r="M198" i="489" s="1"/>
  <c r="N198" i="489" s="1"/>
  <c r="L206" i="489"/>
  <c r="M206" i="489" s="1"/>
  <c r="N206" i="489" s="1"/>
  <c r="L214" i="489"/>
  <c r="M214" i="489" s="1"/>
  <c r="N214" i="489" s="1"/>
  <c r="L222" i="489"/>
  <c r="M222" i="489" s="1"/>
  <c r="N222" i="489" s="1"/>
  <c r="L53" i="489"/>
  <c r="M53" i="489" s="1"/>
  <c r="N53" i="489" s="1"/>
  <c r="L167" i="489"/>
  <c r="M167" i="489" s="1"/>
  <c r="N167" i="489" s="1"/>
  <c r="L45" i="489"/>
  <c r="M45" i="489" s="1"/>
  <c r="N45" i="489" s="1"/>
  <c r="L59" i="489"/>
  <c r="M59" i="489" s="1"/>
  <c r="N59" i="489" s="1"/>
  <c r="L158" i="489"/>
  <c r="M158" i="489" s="1"/>
  <c r="N158" i="489" s="1"/>
  <c r="L154" i="489"/>
  <c r="M154" i="489" s="1"/>
  <c r="N154" i="489" s="1"/>
  <c r="L150" i="489"/>
  <c r="M150" i="489" s="1"/>
  <c r="N150" i="489" s="1"/>
  <c r="L146" i="489"/>
  <c r="M146" i="489" s="1"/>
  <c r="N146" i="489" s="1"/>
  <c r="L142" i="489"/>
  <c r="M142" i="489" s="1"/>
  <c r="N142" i="489" s="1"/>
  <c r="L138" i="489"/>
  <c r="M138" i="489" s="1"/>
  <c r="N138" i="489" s="1"/>
  <c r="L134" i="489"/>
  <c r="M134" i="489" s="1"/>
  <c r="N134" i="489" s="1"/>
  <c r="L130" i="489"/>
  <c r="M130" i="489" s="1"/>
  <c r="N130" i="489" s="1"/>
  <c r="L126" i="489"/>
  <c r="M126" i="489" s="1"/>
  <c r="N126" i="489" s="1"/>
  <c r="L122" i="489"/>
  <c r="M122" i="489" s="1"/>
  <c r="N122" i="489" s="1"/>
  <c r="L118" i="489"/>
  <c r="M118" i="489" s="1"/>
  <c r="N118" i="489" s="1"/>
  <c r="L114" i="489"/>
  <c r="M114" i="489" s="1"/>
  <c r="N114" i="489" s="1"/>
  <c r="L110" i="489"/>
  <c r="M110" i="489" s="1"/>
  <c r="N110" i="489" s="1"/>
  <c r="L106" i="489"/>
  <c r="M106" i="489" s="1"/>
  <c r="N106" i="489" s="1"/>
  <c r="L65" i="489"/>
  <c r="M65" i="489" s="1"/>
  <c r="N65" i="489" s="1"/>
  <c r="L102" i="489"/>
  <c r="M102" i="489" s="1"/>
  <c r="N102" i="489" s="1"/>
  <c r="L98" i="489"/>
  <c r="M98" i="489" s="1"/>
  <c r="N98" i="489" s="1"/>
  <c r="L94" i="489"/>
  <c r="M94" i="489" s="1"/>
  <c r="N94" i="489" s="1"/>
  <c r="L55" i="489"/>
  <c r="M55" i="489" s="1"/>
  <c r="N55" i="489" s="1"/>
  <c r="L38" i="489"/>
  <c r="M38" i="489" s="1"/>
  <c r="N38" i="489" s="1"/>
  <c r="L90" i="489"/>
  <c r="M90" i="489" s="1"/>
  <c r="N90" i="489" s="1"/>
  <c r="L86" i="489"/>
  <c r="M86" i="489" s="1"/>
  <c r="N86" i="489" s="1"/>
  <c r="L82" i="489"/>
  <c r="M82" i="489" s="1"/>
  <c r="N82" i="489" s="1"/>
  <c r="L78" i="489"/>
  <c r="M78" i="489" s="1"/>
  <c r="N78" i="489" s="1"/>
  <c r="L74" i="489"/>
  <c r="M74" i="489" s="1"/>
  <c r="N74" i="489" s="1"/>
  <c r="L68" i="489"/>
  <c r="M68" i="489" s="1"/>
  <c r="N68" i="489" s="1"/>
  <c r="L60" i="489"/>
  <c r="M60" i="489" s="1"/>
  <c r="N60" i="489" s="1"/>
  <c r="L52" i="489"/>
  <c r="M52" i="489" s="1"/>
  <c r="N52" i="489" s="1"/>
  <c r="L41" i="489"/>
  <c r="M41" i="489" s="1"/>
  <c r="N41" i="489" s="1"/>
  <c r="L40" i="489"/>
  <c r="M40" i="489" s="1"/>
  <c r="N40" i="489" s="1"/>
  <c r="L43" i="489"/>
  <c r="M43" i="489" s="1"/>
  <c r="N43" i="489" s="1"/>
  <c r="L26" i="489"/>
  <c r="M26" i="489" s="1"/>
  <c r="N26" i="489" s="1"/>
  <c r="L22" i="489"/>
  <c r="M22" i="489" s="1"/>
  <c r="N22" i="489" s="1"/>
  <c r="L18" i="489"/>
  <c r="M18" i="489" s="1"/>
  <c r="N18" i="489" s="1"/>
  <c r="L14" i="489"/>
  <c r="M14" i="489" s="1"/>
  <c r="N14" i="489" s="1"/>
  <c r="L10" i="489"/>
  <c r="M10" i="489" s="1"/>
  <c r="N10" i="489" s="1"/>
  <c r="L6" i="489"/>
  <c r="M6" i="489" s="1"/>
  <c r="N6" i="489" s="1"/>
  <c r="L2" i="489"/>
  <c r="L229" i="489"/>
  <c r="M229" i="489" s="1"/>
  <c r="N229" i="489" s="1"/>
  <c r="L162" i="489"/>
  <c r="M162" i="489" s="1"/>
  <c r="N162" i="489" s="1"/>
  <c r="L177" i="489"/>
  <c r="M177" i="489" s="1"/>
  <c r="N177" i="489" s="1"/>
  <c r="L185" i="489"/>
  <c r="M185" i="489" s="1"/>
  <c r="N185" i="489" s="1"/>
  <c r="L193" i="489"/>
  <c r="M193" i="489" s="1"/>
  <c r="N193" i="489" s="1"/>
  <c r="L201" i="489"/>
  <c r="M201" i="489" s="1"/>
  <c r="N201" i="489" s="1"/>
  <c r="L209" i="489"/>
  <c r="M209" i="489" s="1"/>
  <c r="N209" i="489" s="1"/>
  <c r="L217" i="489"/>
  <c r="M217" i="489" s="1"/>
  <c r="N217" i="489" s="1"/>
  <c r="L225" i="489"/>
  <c r="M225" i="489" s="1"/>
  <c r="N225" i="489" s="1"/>
  <c r="L241" i="489"/>
  <c r="M241" i="489" s="1"/>
  <c r="N241" i="489" s="1"/>
  <c r="L242" i="489"/>
  <c r="M242" i="489" s="1"/>
  <c r="N242" i="489" s="1"/>
  <c r="L224" i="488"/>
  <c r="M224" i="488" s="1"/>
  <c r="N224" i="488" s="1"/>
  <c r="L227" i="488"/>
  <c r="M227" i="488" s="1"/>
  <c r="N227" i="488" s="1"/>
  <c r="L234" i="488"/>
  <c r="M234" i="488" s="1"/>
  <c r="N234" i="488" s="1"/>
  <c r="L243" i="488"/>
  <c r="M243" i="488" s="1"/>
  <c r="N243" i="488" s="1"/>
  <c r="L194" i="488"/>
  <c r="M194" i="488" s="1"/>
  <c r="N194" i="488" s="1"/>
  <c r="L214" i="488"/>
  <c r="M214" i="488" s="1"/>
  <c r="N214" i="488" s="1"/>
  <c r="L202" i="488"/>
  <c r="M202" i="488" s="1"/>
  <c r="N202" i="488" s="1"/>
  <c r="L218" i="488"/>
  <c r="M218" i="488" s="1"/>
  <c r="N218" i="488" s="1"/>
  <c r="L182" i="488"/>
  <c r="M182" i="488" s="1"/>
  <c r="N182" i="488" s="1"/>
  <c r="L168" i="488"/>
  <c r="M168" i="488" s="1"/>
  <c r="N168" i="488" s="1"/>
  <c r="L176" i="488"/>
  <c r="M176" i="488" s="1"/>
  <c r="N176" i="488" s="1"/>
  <c r="L107" i="488"/>
  <c r="M107" i="488" s="1"/>
  <c r="N107" i="488" s="1"/>
  <c r="L103" i="488"/>
  <c r="M103" i="488" s="1"/>
  <c r="N103" i="488" s="1"/>
  <c r="L99" i="488"/>
  <c r="M99" i="488" s="1"/>
  <c r="N99" i="488" s="1"/>
  <c r="L94" i="488"/>
  <c r="M94" i="488" s="1"/>
  <c r="N94" i="488" s="1"/>
  <c r="L86" i="488"/>
  <c r="M86" i="488" s="1"/>
  <c r="N86" i="488" s="1"/>
  <c r="L78" i="488"/>
  <c r="M78" i="488" s="1"/>
  <c r="N78" i="488" s="1"/>
  <c r="L70" i="488"/>
  <c r="M70" i="488" s="1"/>
  <c r="N70" i="488" s="1"/>
  <c r="L64" i="488"/>
  <c r="M64" i="488" s="1"/>
  <c r="N64" i="488" s="1"/>
  <c r="L44" i="488"/>
  <c r="M44" i="488" s="1"/>
  <c r="N44" i="488" s="1"/>
  <c r="L28" i="488"/>
  <c r="M28" i="488" s="1"/>
  <c r="N28" i="488" s="1"/>
  <c r="L55" i="488"/>
  <c r="M55" i="488" s="1"/>
  <c r="N55" i="488" s="1"/>
  <c r="L51" i="488"/>
  <c r="M51" i="488" s="1"/>
  <c r="N51" i="488" s="1"/>
  <c r="L47" i="488"/>
  <c r="M47" i="488" s="1"/>
  <c r="N47" i="488" s="1"/>
  <c r="L41" i="488"/>
  <c r="M41" i="488" s="1"/>
  <c r="N41" i="488" s="1"/>
  <c r="L33" i="488"/>
  <c r="M33" i="488" s="1"/>
  <c r="N33" i="488" s="1"/>
  <c r="L26" i="488"/>
  <c r="M26" i="488" s="1"/>
  <c r="N26" i="488" s="1"/>
  <c r="L22" i="488"/>
  <c r="M22" i="488" s="1"/>
  <c r="N22" i="488" s="1"/>
  <c r="L14" i="488"/>
  <c r="M14" i="488" s="1"/>
  <c r="N14" i="488" s="1"/>
  <c r="L10" i="488"/>
  <c r="M10" i="488" s="1"/>
  <c r="N10" i="488" s="1"/>
  <c r="L2" i="488"/>
  <c r="L247" i="488"/>
  <c r="M247" i="488" s="1"/>
  <c r="N247" i="488" s="1"/>
  <c r="L222" i="488"/>
  <c r="M222" i="488" s="1"/>
  <c r="N222" i="488" s="1"/>
  <c r="L170" i="488"/>
  <c r="M170" i="488" s="1"/>
  <c r="N170" i="488" s="1"/>
  <c r="L83" i="488"/>
  <c r="M83" i="488" s="1"/>
  <c r="N83" i="488" s="1"/>
  <c r="L75" i="488"/>
  <c r="M75" i="488" s="1"/>
  <c r="N75" i="488" s="1"/>
  <c r="L85" i="488"/>
  <c r="M85" i="488" s="1"/>
  <c r="N85" i="488" s="1"/>
  <c r="L144" i="488"/>
  <c r="M144" i="488" s="1"/>
  <c r="N144" i="488" s="1"/>
  <c r="L132" i="488"/>
  <c r="M132" i="488" s="1"/>
  <c r="N132" i="488" s="1"/>
  <c r="L36" i="488"/>
  <c r="M36" i="488" s="1"/>
  <c r="N36" i="488" s="1"/>
  <c r="L160" i="488"/>
  <c r="M160" i="488" s="1"/>
  <c r="N160" i="488" s="1"/>
  <c r="L233" i="488"/>
  <c r="M233" i="488" s="1"/>
  <c r="N233" i="488" s="1"/>
  <c r="L240" i="488"/>
  <c r="M240" i="488" s="1"/>
  <c r="N240" i="488" s="1"/>
  <c r="L216" i="488"/>
  <c r="M216" i="488" s="1"/>
  <c r="N216" i="488" s="1"/>
  <c r="L206" i="488"/>
  <c r="M206" i="488" s="1"/>
  <c r="N206" i="488" s="1"/>
  <c r="L181" i="488"/>
  <c r="M181" i="488" s="1"/>
  <c r="N181" i="488" s="1"/>
  <c r="L189" i="488"/>
  <c r="M189" i="488" s="1"/>
  <c r="N189" i="488" s="1"/>
  <c r="L177" i="488"/>
  <c r="M177" i="488" s="1"/>
  <c r="N177" i="488" s="1"/>
  <c r="L205" i="488"/>
  <c r="M205" i="488" s="1"/>
  <c r="N205" i="488" s="1"/>
  <c r="L193" i="488"/>
  <c r="M193" i="488" s="1"/>
  <c r="N193" i="488" s="1"/>
  <c r="L69" i="488"/>
  <c r="M69" i="488" s="1"/>
  <c r="N69" i="488" s="1"/>
  <c r="L136" i="488"/>
  <c r="M136" i="488" s="1"/>
  <c r="N136" i="488" s="1"/>
  <c r="L120" i="488"/>
  <c r="M120" i="488" s="1"/>
  <c r="N120" i="488" s="1"/>
  <c r="L152" i="488"/>
  <c r="M152" i="488" s="1"/>
  <c r="N152" i="488" s="1"/>
  <c r="L91" i="488"/>
  <c r="M91" i="488" s="1"/>
  <c r="N91" i="488" s="1"/>
  <c r="L61" i="488"/>
  <c r="M61" i="488" s="1"/>
  <c r="N61" i="488" s="1"/>
  <c r="L147" i="488"/>
  <c r="M147" i="488" s="1"/>
  <c r="N147" i="488" s="1"/>
  <c r="L143" i="488"/>
  <c r="M143" i="488" s="1"/>
  <c r="N143" i="488" s="1"/>
  <c r="L139" i="488"/>
  <c r="M139" i="488" s="1"/>
  <c r="N139" i="488" s="1"/>
  <c r="L135" i="488"/>
  <c r="M135" i="488" s="1"/>
  <c r="N135" i="488" s="1"/>
  <c r="L131" i="488"/>
  <c r="M131" i="488" s="1"/>
  <c r="N131" i="488" s="1"/>
  <c r="L127" i="488"/>
  <c r="M127" i="488" s="1"/>
  <c r="N127" i="488" s="1"/>
  <c r="L123" i="488"/>
  <c r="M123" i="488" s="1"/>
  <c r="N123" i="488" s="1"/>
  <c r="L119" i="488"/>
  <c r="M119" i="488" s="1"/>
  <c r="N119" i="488" s="1"/>
  <c r="L115" i="488"/>
  <c r="M115" i="488" s="1"/>
  <c r="N115" i="488" s="1"/>
  <c r="L111" i="488"/>
  <c r="M111" i="488" s="1"/>
  <c r="N111" i="488" s="1"/>
  <c r="L106" i="488"/>
  <c r="M106" i="488" s="1"/>
  <c r="N106" i="488" s="1"/>
  <c r="L102" i="488"/>
  <c r="M102" i="488" s="1"/>
  <c r="N102" i="488" s="1"/>
  <c r="L98" i="488"/>
  <c r="M98" i="488" s="1"/>
  <c r="N98" i="488" s="1"/>
  <c r="L92" i="488"/>
  <c r="M92" i="488" s="1"/>
  <c r="N92" i="488" s="1"/>
  <c r="L84" i="488"/>
  <c r="M84" i="488" s="1"/>
  <c r="N84" i="488" s="1"/>
  <c r="L76" i="488"/>
  <c r="M76" i="488" s="1"/>
  <c r="N76" i="488" s="1"/>
  <c r="L68" i="488"/>
  <c r="M68" i="488" s="1"/>
  <c r="N68" i="488" s="1"/>
  <c r="L67" i="488"/>
  <c r="M67" i="488" s="1"/>
  <c r="N67" i="488" s="1"/>
  <c r="L42" i="488"/>
  <c r="M42" i="488" s="1"/>
  <c r="N42" i="488" s="1"/>
  <c r="L34" i="488"/>
  <c r="M34" i="488" s="1"/>
  <c r="N34" i="488" s="1"/>
  <c r="L58" i="488"/>
  <c r="M58" i="488" s="1"/>
  <c r="N58" i="488" s="1"/>
  <c r="L54" i="488"/>
  <c r="M54" i="488" s="1"/>
  <c r="N54" i="488" s="1"/>
  <c r="L50" i="488"/>
  <c r="M50" i="488" s="1"/>
  <c r="N50" i="488" s="1"/>
  <c r="L46" i="488"/>
  <c r="M46" i="488" s="1"/>
  <c r="N46" i="488" s="1"/>
  <c r="L39" i="488"/>
  <c r="M39" i="488" s="1"/>
  <c r="N39" i="488" s="1"/>
  <c r="L31" i="488"/>
  <c r="M31" i="488" s="1"/>
  <c r="N31" i="488" s="1"/>
  <c r="L25" i="488"/>
  <c r="M25" i="488" s="1"/>
  <c r="N25" i="488" s="1"/>
  <c r="L21" i="488"/>
  <c r="M21" i="488" s="1"/>
  <c r="N21" i="488" s="1"/>
  <c r="L17" i="488"/>
  <c r="M17" i="488" s="1"/>
  <c r="N17" i="488" s="1"/>
  <c r="L13" i="488"/>
  <c r="M13" i="488" s="1"/>
  <c r="N13" i="488" s="1"/>
  <c r="L9" i="488"/>
  <c r="M9" i="488" s="1"/>
  <c r="N9" i="488" s="1"/>
  <c r="L5" i="488"/>
  <c r="M5" i="488" s="1"/>
  <c r="N5" i="488" s="1"/>
  <c r="L153" i="488"/>
  <c r="M153" i="488" s="1"/>
  <c r="N153" i="488" s="1"/>
  <c r="L157" i="488"/>
  <c r="M157" i="488" s="1"/>
  <c r="N157" i="488" s="1"/>
  <c r="L161" i="488"/>
  <c r="M161" i="488" s="1"/>
  <c r="N161" i="488" s="1"/>
  <c r="L149" i="488"/>
  <c r="M149" i="488" s="1"/>
  <c r="N149" i="488" s="1"/>
  <c r="L235" i="488"/>
  <c r="M235" i="488" s="1"/>
  <c r="N235" i="488" s="1"/>
  <c r="L242" i="488"/>
  <c r="M242" i="488" s="1"/>
  <c r="N242" i="488" s="1"/>
  <c r="L228" i="488"/>
  <c r="M228" i="488" s="1"/>
  <c r="N228" i="488" s="1"/>
  <c r="L236" i="488"/>
  <c r="M236" i="488" s="1"/>
  <c r="N236" i="488" s="1"/>
  <c r="L246" i="488"/>
  <c r="M246" i="488" s="1"/>
  <c r="N246" i="488" s="1"/>
  <c r="L213" i="488"/>
  <c r="M213" i="488" s="1"/>
  <c r="N213" i="488" s="1"/>
  <c r="L203" i="488"/>
  <c r="M203" i="488" s="1"/>
  <c r="N203" i="488" s="1"/>
  <c r="L191" i="488"/>
  <c r="M191" i="488" s="1"/>
  <c r="N191" i="488" s="1"/>
  <c r="L178" i="488"/>
  <c r="M178" i="488" s="1"/>
  <c r="N178" i="488" s="1"/>
  <c r="L211" i="488"/>
  <c r="M211" i="488" s="1"/>
  <c r="N211" i="488" s="1"/>
  <c r="L199" i="488"/>
  <c r="M199" i="488" s="1"/>
  <c r="N199" i="488" s="1"/>
  <c r="L187" i="488"/>
  <c r="M187" i="488" s="1"/>
  <c r="N187" i="488" s="1"/>
  <c r="L173" i="488"/>
  <c r="M173" i="488" s="1"/>
  <c r="N173" i="488" s="1"/>
  <c r="L215" i="488"/>
  <c r="M215" i="488" s="1"/>
  <c r="N215" i="488" s="1"/>
  <c r="L201" i="488"/>
  <c r="M201" i="488" s="1"/>
  <c r="N201" i="488" s="1"/>
  <c r="L190" i="488"/>
  <c r="M190" i="488" s="1"/>
  <c r="N190" i="488" s="1"/>
  <c r="L179" i="488"/>
  <c r="M179" i="488" s="1"/>
  <c r="N179" i="488" s="1"/>
  <c r="L77" i="488"/>
  <c r="M77" i="488" s="1"/>
  <c r="N77" i="488" s="1"/>
  <c r="L140" i="488"/>
  <c r="M140" i="488" s="1"/>
  <c r="N140" i="488" s="1"/>
  <c r="L124" i="488"/>
  <c r="M124" i="488" s="1"/>
  <c r="N124" i="488" s="1"/>
  <c r="L112" i="488"/>
  <c r="M112" i="488" s="1"/>
  <c r="N112" i="488" s="1"/>
  <c r="L156" i="488"/>
  <c r="M156" i="488" s="1"/>
  <c r="N156" i="488" s="1"/>
  <c r="L62" i="488"/>
  <c r="M62" i="488" s="1"/>
  <c r="N62" i="488" s="1"/>
  <c r="L172" i="488"/>
  <c r="M172" i="488" s="1"/>
  <c r="N172" i="488" s="1"/>
  <c r="L89" i="488"/>
  <c r="M89" i="488" s="1"/>
  <c r="N89" i="488" s="1"/>
  <c r="L81" i="488"/>
  <c r="M81" i="488" s="1"/>
  <c r="N81" i="488" s="1"/>
  <c r="L73" i="488"/>
  <c r="M73" i="488" s="1"/>
  <c r="N73" i="488" s="1"/>
  <c r="L109" i="488"/>
  <c r="M109" i="488" s="1"/>
  <c r="N109" i="488" s="1"/>
  <c r="L146" i="488"/>
  <c r="M146" i="488" s="1"/>
  <c r="N146" i="488" s="1"/>
  <c r="L142" i="488"/>
  <c r="M142" i="488" s="1"/>
  <c r="N142" i="488" s="1"/>
  <c r="L138" i="488"/>
  <c r="M138" i="488" s="1"/>
  <c r="N138" i="488" s="1"/>
  <c r="L134" i="488"/>
  <c r="M134" i="488" s="1"/>
  <c r="N134" i="488" s="1"/>
  <c r="L130" i="488"/>
  <c r="M130" i="488" s="1"/>
  <c r="N130" i="488" s="1"/>
  <c r="L126" i="488"/>
  <c r="M126" i="488" s="1"/>
  <c r="N126" i="488" s="1"/>
  <c r="L122" i="488"/>
  <c r="M122" i="488" s="1"/>
  <c r="N122" i="488" s="1"/>
  <c r="L118" i="488"/>
  <c r="M118" i="488" s="1"/>
  <c r="N118" i="488" s="1"/>
  <c r="L114" i="488"/>
  <c r="M114" i="488" s="1"/>
  <c r="N114" i="488" s="1"/>
  <c r="L110" i="488"/>
  <c r="M110" i="488" s="1"/>
  <c r="N110" i="488" s="1"/>
  <c r="L105" i="488"/>
  <c r="M105" i="488" s="1"/>
  <c r="N105" i="488" s="1"/>
  <c r="L101" i="488"/>
  <c r="M101" i="488" s="1"/>
  <c r="N101" i="488" s="1"/>
  <c r="L97" i="488"/>
  <c r="M97" i="488" s="1"/>
  <c r="N97" i="488" s="1"/>
  <c r="L90" i="488"/>
  <c r="M90" i="488" s="1"/>
  <c r="N90" i="488" s="1"/>
  <c r="L82" i="488"/>
  <c r="M82" i="488" s="1"/>
  <c r="N82" i="488" s="1"/>
  <c r="L74" i="488"/>
  <c r="M74" i="488" s="1"/>
  <c r="N74" i="488" s="1"/>
  <c r="L59" i="488"/>
  <c r="M59" i="488" s="1"/>
  <c r="N59" i="488" s="1"/>
  <c r="L65" i="488"/>
  <c r="M65" i="488" s="1"/>
  <c r="N65" i="488" s="1"/>
  <c r="L40" i="488"/>
  <c r="M40" i="488" s="1"/>
  <c r="N40" i="488" s="1"/>
  <c r="L32" i="488"/>
  <c r="M32" i="488" s="1"/>
  <c r="N32" i="488" s="1"/>
  <c r="L57" i="488"/>
  <c r="M57" i="488" s="1"/>
  <c r="N57" i="488" s="1"/>
  <c r="L53" i="488"/>
  <c r="M53" i="488" s="1"/>
  <c r="N53" i="488" s="1"/>
  <c r="L49" i="488"/>
  <c r="M49" i="488" s="1"/>
  <c r="N49" i="488" s="1"/>
  <c r="L45" i="488"/>
  <c r="M45" i="488" s="1"/>
  <c r="N45" i="488" s="1"/>
  <c r="L37" i="488"/>
  <c r="M37" i="488" s="1"/>
  <c r="N37" i="488" s="1"/>
  <c r="L29" i="488"/>
  <c r="M29" i="488" s="1"/>
  <c r="N29" i="488" s="1"/>
  <c r="L24" i="488"/>
  <c r="M24" i="488" s="1"/>
  <c r="N24" i="488" s="1"/>
  <c r="L20" i="488"/>
  <c r="M20" i="488" s="1"/>
  <c r="N20" i="488" s="1"/>
  <c r="L16" i="488"/>
  <c r="M16" i="488" s="1"/>
  <c r="N16" i="488" s="1"/>
  <c r="L12" i="488"/>
  <c r="M12" i="488" s="1"/>
  <c r="N12" i="488" s="1"/>
  <c r="L8" i="488"/>
  <c r="M8" i="488" s="1"/>
  <c r="N8" i="488" s="1"/>
  <c r="L4" i="488"/>
  <c r="M4" i="488" s="1"/>
  <c r="N4" i="488" s="1"/>
  <c r="L150" i="488"/>
  <c r="M150" i="488" s="1"/>
  <c r="N150" i="488" s="1"/>
  <c r="L154" i="488"/>
  <c r="M154" i="488" s="1"/>
  <c r="N154" i="488" s="1"/>
  <c r="L158" i="488"/>
  <c r="M158" i="488" s="1"/>
  <c r="N158" i="488" s="1"/>
  <c r="L162" i="488"/>
  <c r="M162" i="488" s="1"/>
  <c r="N162" i="488" s="1"/>
  <c r="L221" i="488"/>
  <c r="M221" i="488" s="1"/>
  <c r="N221" i="488" s="1"/>
  <c r="L229" i="488"/>
  <c r="M229" i="488" s="1"/>
  <c r="N229" i="488" s="1"/>
  <c r="L237" i="488"/>
  <c r="M237" i="488" s="1"/>
  <c r="N237" i="488" s="1"/>
  <c r="L244" i="488"/>
  <c r="M244" i="488" s="1"/>
  <c r="N244" i="488" s="1"/>
  <c r="L225" i="488"/>
  <c r="M225" i="488" s="1"/>
  <c r="N225" i="488" s="1"/>
  <c r="L230" i="488"/>
  <c r="M230" i="488" s="1"/>
  <c r="N230" i="488" s="1"/>
  <c r="L239" i="488"/>
  <c r="M239" i="488" s="1"/>
  <c r="N239" i="488" s="1"/>
  <c r="L220" i="488"/>
  <c r="M220" i="488" s="1"/>
  <c r="N220" i="488" s="1"/>
  <c r="L210" i="488"/>
  <c r="M210" i="488" s="1"/>
  <c r="N210" i="488" s="1"/>
  <c r="L200" i="488"/>
  <c r="M200" i="488" s="1"/>
  <c r="N200" i="488" s="1"/>
  <c r="L188" i="488"/>
  <c r="M188" i="488" s="1"/>
  <c r="N188" i="488" s="1"/>
  <c r="L171" i="488"/>
  <c r="M171" i="488" s="1"/>
  <c r="N171" i="488" s="1"/>
  <c r="L209" i="488"/>
  <c r="M209" i="488" s="1"/>
  <c r="N209" i="488" s="1"/>
  <c r="L196" i="488"/>
  <c r="M196" i="488" s="1"/>
  <c r="N196" i="488" s="1"/>
  <c r="L185" i="488"/>
  <c r="M185" i="488" s="1"/>
  <c r="N185" i="488" s="1"/>
  <c r="L169" i="488"/>
  <c r="M169" i="488" s="1"/>
  <c r="N169" i="488" s="1"/>
  <c r="L212" i="488"/>
  <c r="M212" i="488" s="1"/>
  <c r="N212" i="488" s="1"/>
  <c r="L198" i="488"/>
  <c r="M198" i="488" s="1"/>
  <c r="N198" i="488" s="1"/>
  <c r="L186" i="488"/>
  <c r="M186" i="488" s="1"/>
  <c r="N186" i="488" s="1"/>
  <c r="L175" i="488"/>
  <c r="M175" i="488" s="1"/>
  <c r="N175" i="488" s="1"/>
  <c r="L93" i="488"/>
  <c r="M93" i="488" s="1"/>
  <c r="N93" i="488" s="1"/>
  <c r="L148" i="488"/>
  <c r="M148" i="488" s="1"/>
  <c r="N148" i="488" s="1"/>
  <c r="L128" i="488"/>
  <c r="M128" i="488" s="1"/>
  <c r="N128" i="488" s="1"/>
  <c r="L116" i="488"/>
  <c r="M116" i="488" s="1"/>
  <c r="N116" i="488" s="1"/>
  <c r="L18" i="488"/>
  <c r="M18" i="488" s="1"/>
  <c r="N18" i="488" s="1"/>
  <c r="L6" i="488"/>
  <c r="M6" i="488" s="1"/>
  <c r="N6" i="488" s="1"/>
  <c r="L164" i="488"/>
  <c r="M164" i="488" s="1"/>
  <c r="N164" i="488" s="1"/>
  <c r="L166" i="488"/>
  <c r="M166" i="488" s="1"/>
  <c r="N166" i="488" s="1"/>
  <c r="L174" i="488"/>
  <c r="M174" i="488" s="1"/>
  <c r="N174" i="488" s="1"/>
  <c r="L95" i="488"/>
  <c r="M95" i="488" s="1"/>
  <c r="N95" i="488" s="1"/>
  <c r="L87" i="488"/>
  <c r="M87" i="488" s="1"/>
  <c r="N87" i="488" s="1"/>
  <c r="L79" i="488"/>
  <c r="M79" i="488" s="1"/>
  <c r="N79" i="488" s="1"/>
  <c r="L71" i="488"/>
  <c r="M71" i="488" s="1"/>
  <c r="N71" i="488" s="1"/>
  <c r="L60" i="488"/>
  <c r="M60" i="488" s="1"/>
  <c r="N60" i="488" s="1"/>
  <c r="L145" i="488"/>
  <c r="M145" i="488" s="1"/>
  <c r="N145" i="488" s="1"/>
  <c r="L141" i="488"/>
  <c r="M141" i="488" s="1"/>
  <c r="N141" i="488" s="1"/>
  <c r="L137" i="488"/>
  <c r="M137" i="488" s="1"/>
  <c r="N137" i="488" s="1"/>
  <c r="L133" i="488"/>
  <c r="M133" i="488" s="1"/>
  <c r="N133" i="488" s="1"/>
  <c r="L129" i="488"/>
  <c r="M129" i="488" s="1"/>
  <c r="N129" i="488" s="1"/>
  <c r="L125" i="488"/>
  <c r="M125" i="488" s="1"/>
  <c r="N125" i="488" s="1"/>
  <c r="L121" i="488"/>
  <c r="M121" i="488" s="1"/>
  <c r="N121" i="488" s="1"/>
  <c r="L117" i="488"/>
  <c r="M117" i="488" s="1"/>
  <c r="N117" i="488" s="1"/>
  <c r="L113" i="488"/>
  <c r="M113" i="488" s="1"/>
  <c r="N113" i="488" s="1"/>
  <c r="L108" i="488"/>
  <c r="M108" i="488" s="1"/>
  <c r="N108" i="488" s="1"/>
  <c r="L104" i="488"/>
  <c r="M104" i="488" s="1"/>
  <c r="N104" i="488" s="1"/>
  <c r="L100" i="488"/>
  <c r="M100" i="488" s="1"/>
  <c r="N100" i="488" s="1"/>
  <c r="L96" i="488"/>
  <c r="M96" i="488" s="1"/>
  <c r="N96" i="488" s="1"/>
  <c r="L88" i="488"/>
  <c r="M88" i="488" s="1"/>
  <c r="N88" i="488" s="1"/>
  <c r="L80" i="488"/>
  <c r="M80" i="488" s="1"/>
  <c r="N80" i="488" s="1"/>
  <c r="L72" i="488"/>
  <c r="M72" i="488" s="1"/>
  <c r="N72" i="488" s="1"/>
  <c r="L66" i="488"/>
  <c r="M66" i="488" s="1"/>
  <c r="N66" i="488" s="1"/>
  <c r="L63" i="488"/>
  <c r="M63" i="488" s="1"/>
  <c r="N63" i="488" s="1"/>
  <c r="L38" i="488"/>
  <c r="M38" i="488" s="1"/>
  <c r="N38" i="488" s="1"/>
  <c r="L30" i="488"/>
  <c r="M30" i="488" s="1"/>
  <c r="N30" i="488" s="1"/>
  <c r="L56" i="488"/>
  <c r="M56" i="488" s="1"/>
  <c r="N56" i="488" s="1"/>
  <c r="L52" i="488"/>
  <c r="M52" i="488" s="1"/>
  <c r="N52" i="488" s="1"/>
  <c r="L48" i="488"/>
  <c r="M48" i="488" s="1"/>
  <c r="N48" i="488" s="1"/>
  <c r="L43" i="488"/>
  <c r="M43" i="488" s="1"/>
  <c r="N43" i="488" s="1"/>
  <c r="L35" i="488"/>
  <c r="M35" i="488" s="1"/>
  <c r="N35" i="488" s="1"/>
  <c r="L27" i="488"/>
  <c r="M27" i="488" s="1"/>
  <c r="N27" i="488" s="1"/>
  <c r="L23" i="488"/>
  <c r="M23" i="488" s="1"/>
  <c r="N23" i="488" s="1"/>
  <c r="L19" i="488"/>
  <c r="M19" i="488" s="1"/>
  <c r="N19" i="488" s="1"/>
  <c r="L15" i="488"/>
  <c r="M15" i="488" s="1"/>
  <c r="N15" i="488" s="1"/>
  <c r="L11" i="488"/>
  <c r="M11" i="488" s="1"/>
  <c r="N11" i="488" s="1"/>
  <c r="L7" i="488"/>
  <c r="M7" i="488" s="1"/>
  <c r="N7" i="488" s="1"/>
  <c r="L3" i="488"/>
  <c r="M3" i="488" s="1"/>
  <c r="N3" i="488" s="1"/>
  <c r="L151" i="488"/>
  <c r="M151" i="488" s="1"/>
  <c r="N151" i="488" s="1"/>
  <c r="L155" i="488"/>
  <c r="M155" i="488" s="1"/>
  <c r="N155" i="488" s="1"/>
  <c r="L159" i="488"/>
  <c r="M159" i="488" s="1"/>
  <c r="N159" i="488" s="1"/>
  <c r="L163" i="488"/>
  <c r="M163" i="488" s="1"/>
  <c r="N163" i="488" s="1"/>
  <c r="L248" i="488"/>
  <c r="M248" i="488" s="1"/>
  <c r="N248" i="488" s="1"/>
  <c r="L223" i="488"/>
  <c r="M223" i="488" s="1"/>
  <c r="N223" i="488" s="1"/>
  <c r="L231" i="488"/>
  <c r="M231" i="488" s="1"/>
  <c r="N231" i="488" s="1"/>
  <c r="L238" i="488"/>
  <c r="M238" i="488" s="1"/>
  <c r="N238" i="488" s="1"/>
  <c r="L245" i="488"/>
  <c r="M245" i="488" s="1"/>
  <c r="N245" i="488" s="1"/>
  <c r="L226" i="488"/>
  <c r="M226" i="488" s="1"/>
  <c r="N226" i="488" s="1"/>
  <c r="L232" i="488"/>
  <c r="M232" i="488" s="1"/>
  <c r="N232" i="488" s="1"/>
  <c r="L241" i="488"/>
  <c r="M241" i="488" s="1"/>
  <c r="N241" i="488" s="1"/>
  <c r="L217" i="488"/>
  <c r="M217" i="488" s="1"/>
  <c r="N217" i="488" s="1"/>
  <c r="L207" i="488"/>
  <c r="M207" i="488" s="1"/>
  <c r="N207" i="488" s="1"/>
  <c r="L195" i="488"/>
  <c r="M195" i="488" s="1"/>
  <c r="N195" i="488" s="1"/>
  <c r="L184" i="488"/>
  <c r="M184" i="488" s="1"/>
  <c r="N184" i="488" s="1"/>
  <c r="L165" i="488"/>
  <c r="M165" i="488" s="1"/>
  <c r="N165" i="488" s="1"/>
  <c r="L204" i="488"/>
  <c r="M204" i="488" s="1"/>
  <c r="N204" i="488" s="1"/>
  <c r="L192" i="488"/>
  <c r="M192" i="488" s="1"/>
  <c r="N192" i="488" s="1"/>
  <c r="L180" i="488"/>
  <c r="M180" i="488" s="1"/>
  <c r="N180" i="488" s="1"/>
  <c r="L219" i="488"/>
  <c r="M219" i="488" s="1"/>
  <c r="N219" i="488" s="1"/>
  <c r="L208" i="488"/>
  <c r="M208" i="488" s="1"/>
  <c r="N208" i="488" s="1"/>
  <c r="L197" i="488"/>
  <c r="M197" i="488" s="1"/>
  <c r="N197" i="488" s="1"/>
  <c r="L183" i="488"/>
  <c r="M183" i="488" s="1"/>
  <c r="N183" i="488" s="1"/>
  <c r="L167" i="488"/>
  <c r="M167" i="488" s="1"/>
  <c r="N167" i="488" s="1"/>
  <c r="L236" i="487"/>
  <c r="M236" i="487" s="1"/>
  <c r="N236" i="487" s="1"/>
  <c r="L223" i="487"/>
  <c r="M223" i="487" s="1"/>
  <c r="N223" i="487" s="1"/>
  <c r="L215" i="487"/>
  <c r="M215" i="487" s="1"/>
  <c r="N215" i="487" s="1"/>
  <c r="L238" i="487"/>
  <c r="M238" i="487" s="1"/>
  <c r="N238" i="487" s="1"/>
  <c r="L230" i="487"/>
  <c r="M230" i="487" s="1"/>
  <c r="N230" i="487" s="1"/>
  <c r="L232" i="487"/>
  <c r="M232" i="487" s="1"/>
  <c r="N232" i="487" s="1"/>
  <c r="L234" i="487"/>
  <c r="M234" i="487" s="1"/>
  <c r="N234" i="487" s="1"/>
  <c r="L225" i="487"/>
  <c r="M225" i="487" s="1"/>
  <c r="N225" i="487" s="1"/>
  <c r="L221" i="487"/>
  <c r="M221" i="487" s="1"/>
  <c r="N221" i="487" s="1"/>
  <c r="L217" i="487"/>
  <c r="M217" i="487" s="1"/>
  <c r="N217" i="487" s="1"/>
  <c r="L213" i="487"/>
  <c r="M213" i="487" s="1"/>
  <c r="N213" i="487" s="1"/>
  <c r="L239" i="487"/>
  <c r="M239" i="487" s="1"/>
  <c r="N239" i="487" s="1"/>
  <c r="L227" i="487"/>
  <c r="M227" i="487" s="1"/>
  <c r="N227" i="487" s="1"/>
  <c r="L219" i="487"/>
  <c r="M219" i="487" s="1"/>
  <c r="N219" i="487" s="1"/>
  <c r="L229" i="487"/>
  <c r="M229" i="487" s="1"/>
  <c r="N229" i="487" s="1"/>
  <c r="L233" i="487"/>
  <c r="M233" i="487" s="1"/>
  <c r="N233" i="487" s="1"/>
  <c r="L214" i="487"/>
  <c r="M214" i="487" s="1"/>
  <c r="N214" i="487" s="1"/>
  <c r="L222" i="487"/>
  <c r="M222" i="487" s="1"/>
  <c r="N222" i="487" s="1"/>
  <c r="L237" i="487"/>
  <c r="M237" i="487" s="1"/>
  <c r="N237" i="487" s="1"/>
  <c r="L208" i="487"/>
  <c r="M208" i="487" s="1"/>
  <c r="N208" i="487" s="1"/>
  <c r="L204" i="487"/>
  <c r="M204" i="487" s="1"/>
  <c r="N204" i="487" s="1"/>
  <c r="L200" i="487"/>
  <c r="M200" i="487" s="1"/>
  <c r="N200" i="487" s="1"/>
  <c r="L196" i="487"/>
  <c r="M196" i="487" s="1"/>
  <c r="N196" i="487" s="1"/>
  <c r="L192" i="487"/>
  <c r="M192" i="487" s="1"/>
  <c r="N192" i="487" s="1"/>
  <c r="L188" i="487"/>
  <c r="M188" i="487" s="1"/>
  <c r="N188" i="487" s="1"/>
  <c r="L184" i="487"/>
  <c r="M184" i="487" s="1"/>
  <c r="N184" i="487" s="1"/>
  <c r="L180" i="487"/>
  <c r="M180" i="487" s="1"/>
  <c r="N180" i="487" s="1"/>
  <c r="L176" i="487"/>
  <c r="M176" i="487" s="1"/>
  <c r="N176" i="487" s="1"/>
  <c r="L172" i="487"/>
  <c r="M172" i="487" s="1"/>
  <c r="N172" i="487" s="1"/>
  <c r="L168" i="487"/>
  <c r="M168" i="487" s="1"/>
  <c r="N168" i="487" s="1"/>
  <c r="L164" i="487"/>
  <c r="M164" i="487" s="1"/>
  <c r="N164" i="487" s="1"/>
  <c r="L160" i="487"/>
  <c r="M160" i="487" s="1"/>
  <c r="N160" i="487" s="1"/>
  <c r="L150" i="487"/>
  <c r="M150" i="487" s="1"/>
  <c r="N150" i="487" s="1"/>
  <c r="L158" i="487"/>
  <c r="M158" i="487" s="1"/>
  <c r="N158" i="487" s="1"/>
  <c r="L153" i="487"/>
  <c r="M153" i="487" s="1"/>
  <c r="N153" i="487" s="1"/>
  <c r="L145" i="487"/>
  <c r="M145" i="487" s="1"/>
  <c r="N145" i="487" s="1"/>
  <c r="L140" i="487"/>
  <c r="M140" i="487" s="1"/>
  <c r="N140" i="487" s="1"/>
  <c r="L136" i="487"/>
  <c r="M136" i="487" s="1"/>
  <c r="N136" i="487" s="1"/>
  <c r="L132" i="487"/>
  <c r="M132" i="487" s="1"/>
  <c r="N132" i="487" s="1"/>
  <c r="L128" i="487"/>
  <c r="M128" i="487" s="1"/>
  <c r="N128" i="487" s="1"/>
  <c r="L124" i="487"/>
  <c r="M124" i="487" s="1"/>
  <c r="N124" i="487" s="1"/>
  <c r="L120" i="487"/>
  <c r="M120" i="487" s="1"/>
  <c r="N120" i="487" s="1"/>
  <c r="L116" i="487"/>
  <c r="M116" i="487" s="1"/>
  <c r="N116" i="487" s="1"/>
  <c r="L112" i="487"/>
  <c r="M112" i="487" s="1"/>
  <c r="N112" i="487" s="1"/>
  <c r="L108" i="487"/>
  <c r="M108" i="487" s="1"/>
  <c r="N108" i="487" s="1"/>
  <c r="L104" i="487"/>
  <c r="M104" i="487" s="1"/>
  <c r="N104" i="487" s="1"/>
  <c r="L97" i="487"/>
  <c r="M97" i="487" s="1"/>
  <c r="N97" i="487" s="1"/>
  <c r="L100" i="487"/>
  <c r="M100" i="487" s="1"/>
  <c r="N100" i="487" s="1"/>
  <c r="L92" i="487"/>
  <c r="M92" i="487" s="1"/>
  <c r="N92" i="487" s="1"/>
  <c r="L65" i="487"/>
  <c r="M65" i="487" s="1"/>
  <c r="N65" i="487" s="1"/>
  <c r="L56" i="487"/>
  <c r="M56" i="487" s="1"/>
  <c r="N56" i="487" s="1"/>
  <c r="L91" i="487"/>
  <c r="M91" i="487" s="1"/>
  <c r="N91" i="487" s="1"/>
  <c r="L87" i="487"/>
  <c r="M87" i="487" s="1"/>
  <c r="N87" i="487" s="1"/>
  <c r="L83" i="487"/>
  <c r="M83" i="487" s="1"/>
  <c r="N83" i="487" s="1"/>
  <c r="L79" i="487"/>
  <c r="M79" i="487" s="1"/>
  <c r="N79" i="487" s="1"/>
  <c r="L75" i="487"/>
  <c r="M75" i="487" s="1"/>
  <c r="N75" i="487" s="1"/>
  <c r="L70" i="487"/>
  <c r="M70" i="487" s="1"/>
  <c r="N70" i="487" s="1"/>
  <c r="L59" i="487"/>
  <c r="M59" i="487" s="1"/>
  <c r="N59" i="487" s="1"/>
  <c r="L52" i="487"/>
  <c r="M52" i="487" s="1"/>
  <c r="N52" i="487" s="1"/>
  <c r="L48" i="487"/>
  <c r="M48" i="487" s="1"/>
  <c r="N48" i="487" s="1"/>
  <c r="L43" i="487"/>
  <c r="M43" i="487" s="1"/>
  <c r="N43" i="487" s="1"/>
  <c r="L39" i="487"/>
  <c r="M39" i="487" s="1"/>
  <c r="N39" i="487" s="1"/>
  <c r="L35" i="487"/>
  <c r="M35" i="487" s="1"/>
  <c r="N35" i="487" s="1"/>
  <c r="L31" i="487"/>
  <c r="M31" i="487" s="1"/>
  <c r="N31" i="487" s="1"/>
  <c r="L44" i="487"/>
  <c r="M44" i="487" s="1"/>
  <c r="N44" i="487" s="1"/>
  <c r="L24" i="487"/>
  <c r="M24" i="487" s="1"/>
  <c r="N24" i="487" s="1"/>
  <c r="L20" i="487"/>
  <c r="M20" i="487" s="1"/>
  <c r="N20" i="487" s="1"/>
  <c r="L16" i="487"/>
  <c r="M16" i="487" s="1"/>
  <c r="N16" i="487" s="1"/>
  <c r="L12" i="487"/>
  <c r="M12" i="487" s="1"/>
  <c r="N12" i="487" s="1"/>
  <c r="L8" i="487"/>
  <c r="M8" i="487" s="1"/>
  <c r="N8" i="487" s="1"/>
  <c r="L4" i="487"/>
  <c r="M4" i="487" s="1"/>
  <c r="N4" i="487" s="1"/>
  <c r="L240" i="487"/>
  <c r="M240" i="487" s="1"/>
  <c r="N240" i="487" s="1"/>
  <c r="L242" i="487"/>
  <c r="M242" i="487" s="1"/>
  <c r="N242" i="487" s="1"/>
  <c r="L244" i="487"/>
  <c r="M244" i="487" s="1"/>
  <c r="N244" i="487" s="1"/>
  <c r="L246" i="487"/>
  <c r="M246" i="487" s="1"/>
  <c r="N246" i="487" s="1"/>
  <c r="L216" i="487"/>
  <c r="M216" i="487" s="1"/>
  <c r="N216" i="487" s="1"/>
  <c r="L224" i="487"/>
  <c r="M224" i="487" s="1"/>
  <c r="N224" i="487" s="1"/>
  <c r="L211" i="487"/>
  <c r="M211" i="487" s="1"/>
  <c r="N211" i="487" s="1"/>
  <c r="L207" i="487"/>
  <c r="M207" i="487" s="1"/>
  <c r="N207" i="487" s="1"/>
  <c r="L203" i="487"/>
  <c r="M203" i="487" s="1"/>
  <c r="N203" i="487" s="1"/>
  <c r="L199" i="487"/>
  <c r="M199" i="487" s="1"/>
  <c r="N199" i="487" s="1"/>
  <c r="L195" i="487"/>
  <c r="M195" i="487" s="1"/>
  <c r="N195" i="487" s="1"/>
  <c r="L191" i="487"/>
  <c r="M191" i="487" s="1"/>
  <c r="N191" i="487" s="1"/>
  <c r="L187" i="487"/>
  <c r="M187" i="487" s="1"/>
  <c r="N187" i="487" s="1"/>
  <c r="L183" i="487"/>
  <c r="M183" i="487" s="1"/>
  <c r="N183" i="487" s="1"/>
  <c r="L179" i="487"/>
  <c r="M179" i="487" s="1"/>
  <c r="N179" i="487" s="1"/>
  <c r="L175" i="487"/>
  <c r="M175" i="487" s="1"/>
  <c r="N175" i="487" s="1"/>
  <c r="L171" i="487"/>
  <c r="M171" i="487" s="1"/>
  <c r="N171" i="487" s="1"/>
  <c r="L167" i="487"/>
  <c r="M167" i="487" s="1"/>
  <c r="N167" i="487" s="1"/>
  <c r="L163" i="487"/>
  <c r="M163" i="487" s="1"/>
  <c r="N163" i="487" s="1"/>
  <c r="L159" i="487"/>
  <c r="M159" i="487" s="1"/>
  <c r="N159" i="487" s="1"/>
  <c r="L148" i="487"/>
  <c r="M148" i="487" s="1"/>
  <c r="N148" i="487" s="1"/>
  <c r="L157" i="487"/>
  <c r="M157" i="487" s="1"/>
  <c r="N157" i="487" s="1"/>
  <c r="L151" i="487"/>
  <c r="M151" i="487" s="1"/>
  <c r="N151" i="487" s="1"/>
  <c r="L143" i="487"/>
  <c r="M143" i="487" s="1"/>
  <c r="N143" i="487" s="1"/>
  <c r="L139" i="487"/>
  <c r="M139" i="487" s="1"/>
  <c r="N139" i="487" s="1"/>
  <c r="L135" i="487"/>
  <c r="M135" i="487" s="1"/>
  <c r="N135" i="487" s="1"/>
  <c r="L131" i="487"/>
  <c r="M131" i="487" s="1"/>
  <c r="N131" i="487" s="1"/>
  <c r="L127" i="487"/>
  <c r="M127" i="487" s="1"/>
  <c r="N127" i="487" s="1"/>
  <c r="L123" i="487"/>
  <c r="M123" i="487" s="1"/>
  <c r="N123" i="487" s="1"/>
  <c r="L119" i="487"/>
  <c r="M119" i="487" s="1"/>
  <c r="N119" i="487" s="1"/>
  <c r="L115" i="487"/>
  <c r="M115" i="487" s="1"/>
  <c r="N115" i="487" s="1"/>
  <c r="L111" i="487"/>
  <c r="M111" i="487" s="1"/>
  <c r="N111" i="487" s="1"/>
  <c r="L107" i="487"/>
  <c r="M107" i="487" s="1"/>
  <c r="N107" i="487" s="1"/>
  <c r="L102" i="487"/>
  <c r="M102" i="487" s="1"/>
  <c r="N102" i="487" s="1"/>
  <c r="L95" i="487"/>
  <c r="M95" i="487" s="1"/>
  <c r="N95" i="487" s="1"/>
  <c r="L98" i="487"/>
  <c r="M98" i="487" s="1"/>
  <c r="N98" i="487" s="1"/>
  <c r="L71" i="487"/>
  <c r="M71" i="487" s="1"/>
  <c r="N71" i="487" s="1"/>
  <c r="L63" i="487"/>
  <c r="M63" i="487" s="1"/>
  <c r="N63" i="487" s="1"/>
  <c r="L54" i="487"/>
  <c r="M54" i="487" s="1"/>
  <c r="N54" i="487" s="1"/>
  <c r="L90" i="487"/>
  <c r="M90" i="487" s="1"/>
  <c r="N90" i="487" s="1"/>
  <c r="L86" i="487"/>
  <c r="M86" i="487" s="1"/>
  <c r="N86" i="487" s="1"/>
  <c r="L82" i="487"/>
  <c r="M82" i="487" s="1"/>
  <c r="N82" i="487" s="1"/>
  <c r="L78" i="487"/>
  <c r="M78" i="487" s="1"/>
  <c r="N78" i="487" s="1"/>
  <c r="L74" i="487"/>
  <c r="M74" i="487" s="1"/>
  <c r="N74" i="487" s="1"/>
  <c r="L68" i="487"/>
  <c r="M68" i="487" s="1"/>
  <c r="N68" i="487" s="1"/>
  <c r="L57" i="487"/>
  <c r="M57" i="487" s="1"/>
  <c r="N57" i="487" s="1"/>
  <c r="L51" i="487"/>
  <c r="M51" i="487" s="1"/>
  <c r="N51" i="487" s="1"/>
  <c r="L47" i="487"/>
  <c r="M47" i="487" s="1"/>
  <c r="N47" i="487" s="1"/>
  <c r="L42" i="487"/>
  <c r="M42" i="487" s="1"/>
  <c r="N42" i="487" s="1"/>
  <c r="L38" i="487"/>
  <c r="M38" i="487" s="1"/>
  <c r="N38" i="487" s="1"/>
  <c r="L34" i="487"/>
  <c r="M34" i="487" s="1"/>
  <c r="N34" i="487" s="1"/>
  <c r="L30" i="487"/>
  <c r="M30" i="487" s="1"/>
  <c r="N30" i="487" s="1"/>
  <c r="L27" i="487"/>
  <c r="M27" i="487" s="1"/>
  <c r="N27" i="487" s="1"/>
  <c r="L23" i="487"/>
  <c r="M23" i="487" s="1"/>
  <c r="N23" i="487" s="1"/>
  <c r="L19" i="487"/>
  <c r="M19" i="487" s="1"/>
  <c r="N19" i="487" s="1"/>
  <c r="L15" i="487"/>
  <c r="M15" i="487" s="1"/>
  <c r="N15" i="487" s="1"/>
  <c r="L11" i="487"/>
  <c r="M11" i="487" s="1"/>
  <c r="N11" i="487" s="1"/>
  <c r="L7" i="487"/>
  <c r="M7" i="487" s="1"/>
  <c r="N7" i="487" s="1"/>
  <c r="L3" i="487"/>
  <c r="M3" i="487" s="1"/>
  <c r="N3" i="487" s="1"/>
  <c r="L231" i="487"/>
  <c r="M231" i="487" s="1"/>
  <c r="N231" i="487" s="1"/>
  <c r="L218" i="487"/>
  <c r="M218" i="487" s="1"/>
  <c r="N218" i="487" s="1"/>
  <c r="L226" i="487"/>
  <c r="M226" i="487" s="1"/>
  <c r="N226" i="487" s="1"/>
  <c r="L235" i="487"/>
  <c r="M235" i="487" s="1"/>
  <c r="N235" i="487" s="1"/>
  <c r="L210" i="487"/>
  <c r="M210" i="487" s="1"/>
  <c r="N210" i="487" s="1"/>
  <c r="L206" i="487"/>
  <c r="M206" i="487" s="1"/>
  <c r="N206" i="487" s="1"/>
  <c r="L202" i="487"/>
  <c r="M202" i="487" s="1"/>
  <c r="N202" i="487" s="1"/>
  <c r="L198" i="487"/>
  <c r="M198" i="487" s="1"/>
  <c r="N198" i="487" s="1"/>
  <c r="L194" i="487"/>
  <c r="M194" i="487" s="1"/>
  <c r="N194" i="487" s="1"/>
  <c r="L190" i="487"/>
  <c r="M190" i="487" s="1"/>
  <c r="N190" i="487" s="1"/>
  <c r="L186" i="487"/>
  <c r="M186" i="487" s="1"/>
  <c r="N186" i="487" s="1"/>
  <c r="L182" i="487"/>
  <c r="M182" i="487" s="1"/>
  <c r="N182" i="487" s="1"/>
  <c r="L178" i="487"/>
  <c r="M178" i="487" s="1"/>
  <c r="N178" i="487" s="1"/>
  <c r="L174" i="487"/>
  <c r="M174" i="487" s="1"/>
  <c r="N174" i="487" s="1"/>
  <c r="L170" i="487"/>
  <c r="M170" i="487" s="1"/>
  <c r="N170" i="487" s="1"/>
  <c r="L166" i="487"/>
  <c r="M166" i="487" s="1"/>
  <c r="N166" i="487" s="1"/>
  <c r="L162" i="487"/>
  <c r="M162" i="487" s="1"/>
  <c r="N162" i="487" s="1"/>
  <c r="L154" i="487"/>
  <c r="M154" i="487" s="1"/>
  <c r="N154" i="487" s="1"/>
  <c r="L146" i="487"/>
  <c r="M146" i="487" s="1"/>
  <c r="N146" i="487" s="1"/>
  <c r="L156" i="487"/>
  <c r="M156" i="487" s="1"/>
  <c r="N156" i="487" s="1"/>
  <c r="L149" i="487"/>
  <c r="M149" i="487" s="1"/>
  <c r="N149" i="487" s="1"/>
  <c r="L142" i="487"/>
  <c r="M142" i="487" s="1"/>
  <c r="N142" i="487" s="1"/>
  <c r="L138" i="487"/>
  <c r="M138" i="487" s="1"/>
  <c r="N138" i="487" s="1"/>
  <c r="L134" i="487"/>
  <c r="M134" i="487" s="1"/>
  <c r="N134" i="487" s="1"/>
  <c r="L130" i="487"/>
  <c r="M130" i="487" s="1"/>
  <c r="N130" i="487" s="1"/>
  <c r="L126" i="487"/>
  <c r="M126" i="487" s="1"/>
  <c r="N126" i="487" s="1"/>
  <c r="L122" i="487"/>
  <c r="M122" i="487" s="1"/>
  <c r="N122" i="487" s="1"/>
  <c r="L118" i="487"/>
  <c r="M118" i="487" s="1"/>
  <c r="N118" i="487" s="1"/>
  <c r="L114" i="487"/>
  <c r="M114" i="487" s="1"/>
  <c r="N114" i="487" s="1"/>
  <c r="L110" i="487"/>
  <c r="M110" i="487" s="1"/>
  <c r="N110" i="487" s="1"/>
  <c r="L106" i="487"/>
  <c r="M106" i="487" s="1"/>
  <c r="N106" i="487" s="1"/>
  <c r="L101" i="487"/>
  <c r="M101" i="487" s="1"/>
  <c r="N101" i="487" s="1"/>
  <c r="L93" i="487"/>
  <c r="M93" i="487" s="1"/>
  <c r="N93" i="487" s="1"/>
  <c r="L96" i="487"/>
  <c r="M96" i="487" s="1"/>
  <c r="N96" i="487" s="1"/>
  <c r="L69" i="487"/>
  <c r="M69" i="487" s="1"/>
  <c r="N69" i="487" s="1"/>
  <c r="L60" i="487"/>
  <c r="M60" i="487" s="1"/>
  <c r="N60" i="487" s="1"/>
  <c r="L62" i="487"/>
  <c r="M62" i="487" s="1"/>
  <c r="N62" i="487" s="1"/>
  <c r="L89" i="487"/>
  <c r="M89" i="487" s="1"/>
  <c r="N89" i="487" s="1"/>
  <c r="L85" i="487"/>
  <c r="M85" i="487" s="1"/>
  <c r="N85" i="487" s="1"/>
  <c r="L81" i="487"/>
  <c r="M81" i="487" s="1"/>
  <c r="N81" i="487" s="1"/>
  <c r="L77" i="487"/>
  <c r="M77" i="487" s="1"/>
  <c r="N77" i="487" s="1"/>
  <c r="L73" i="487"/>
  <c r="M73" i="487" s="1"/>
  <c r="N73" i="487" s="1"/>
  <c r="L66" i="487"/>
  <c r="M66" i="487" s="1"/>
  <c r="N66" i="487" s="1"/>
  <c r="L55" i="487"/>
  <c r="M55" i="487" s="1"/>
  <c r="N55" i="487" s="1"/>
  <c r="L50" i="487"/>
  <c r="M50" i="487" s="1"/>
  <c r="N50" i="487" s="1"/>
  <c r="L46" i="487"/>
  <c r="M46" i="487" s="1"/>
  <c r="N46" i="487" s="1"/>
  <c r="L41" i="487"/>
  <c r="M41" i="487" s="1"/>
  <c r="N41" i="487" s="1"/>
  <c r="L37" i="487"/>
  <c r="M37" i="487" s="1"/>
  <c r="N37" i="487" s="1"/>
  <c r="L33" i="487"/>
  <c r="M33" i="487" s="1"/>
  <c r="N33" i="487" s="1"/>
  <c r="L29" i="487"/>
  <c r="M29" i="487" s="1"/>
  <c r="N29" i="487" s="1"/>
  <c r="L26" i="487"/>
  <c r="M26" i="487" s="1"/>
  <c r="N26" i="487" s="1"/>
  <c r="L22" i="487"/>
  <c r="M22" i="487" s="1"/>
  <c r="N22" i="487" s="1"/>
  <c r="L18" i="487"/>
  <c r="M18" i="487" s="1"/>
  <c r="N18" i="487" s="1"/>
  <c r="L14" i="487"/>
  <c r="M14" i="487" s="1"/>
  <c r="N14" i="487" s="1"/>
  <c r="L10" i="487"/>
  <c r="M10" i="487" s="1"/>
  <c r="N10" i="487" s="1"/>
  <c r="L6" i="487"/>
  <c r="M6" i="487" s="1"/>
  <c r="N6" i="487" s="1"/>
  <c r="L2" i="487"/>
  <c r="L241" i="487"/>
  <c r="M241" i="487" s="1"/>
  <c r="N241" i="487" s="1"/>
  <c r="L243" i="487"/>
  <c r="M243" i="487" s="1"/>
  <c r="N243" i="487" s="1"/>
  <c r="L245" i="487"/>
  <c r="M245" i="487" s="1"/>
  <c r="N245" i="487" s="1"/>
  <c r="L247" i="487"/>
  <c r="M247" i="487" s="1"/>
  <c r="N247" i="487" s="1"/>
  <c r="L212" i="487"/>
  <c r="M212" i="487" s="1"/>
  <c r="N212" i="487" s="1"/>
  <c r="L220" i="487"/>
  <c r="M220" i="487" s="1"/>
  <c r="N220" i="487" s="1"/>
  <c r="L228" i="487"/>
  <c r="M228" i="487" s="1"/>
  <c r="N228" i="487" s="1"/>
  <c r="L248" i="487"/>
  <c r="M248" i="487" s="1"/>
  <c r="N248" i="487" s="1"/>
  <c r="L209" i="487"/>
  <c r="M209" i="487" s="1"/>
  <c r="N209" i="487" s="1"/>
  <c r="L205" i="487"/>
  <c r="M205" i="487" s="1"/>
  <c r="N205" i="487" s="1"/>
  <c r="L201" i="487"/>
  <c r="M201" i="487" s="1"/>
  <c r="N201" i="487" s="1"/>
  <c r="L197" i="487"/>
  <c r="M197" i="487" s="1"/>
  <c r="N197" i="487" s="1"/>
  <c r="L193" i="487"/>
  <c r="M193" i="487" s="1"/>
  <c r="N193" i="487" s="1"/>
  <c r="L189" i="487"/>
  <c r="M189" i="487" s="1"/>
  <c r="N189" i="487" s="1"/>
  <c r="L185" i="487"/>
  <c r="M185" i="487" s="1"/>
  <c r="N185" i="487" s="1"/>
  <c r="L181" i="487"/>
  <c r="M181" i="487" s="1"/>
  <c r="N181" i="487" s="1"/>
  <c r="L177" i="487"/>
  <c r="M177" i="487" s="1"/>
  <c r="N177" i="487" s="1"/>
  <c r="L173" i="487"/>
  <c r="M173" i="487" s="1"/>
  <c r="N173" i="487" s="1"/>
  <c r="L169" i="487"/>
  <c r="M169" i="487" s="1"/>
  <c r="N169" i="487" s="1"/>
  <c r="L165" i="487"/>
  <c r="M165" i="487" s="1"/>
  <c r="N165" i="487" s="1"/>
  <c r="L161" i="487"/>
  <c r="M161" i="487" s="1"/>
  <c r="N161" i="487" s="1"/>
  <c r="L152" i="487"/>
  <c r="M152" i="487" s="1"/>
  <c r="N152" i="487" s="1"/>
  <c r="L144" i="487"/>
  <c r="M144" i="487" s="1"/>
  <c r="N144" i="487" s="1"/>
  <c r="L155" i="487"/>
  <c r="M155" i="487" s="1"/>
  <c r="N155" i="487" s="1"/>
  <c r="L147" i="487"/>
  <c r="M147" i="487" s="1"/>
  <c r="N147" i="487" s="1"/>
  <c r="L141" i="487"/>
  <c r="M141" i="487" s="1"/>
  <c r="N141" i="487" s="1"/>
  <c r="L137" i="487"/>
  <c r="M137" i="487" s="1"/>
  <c r="N137" i="487" s="1"/>
  <c r="L133" i="487"/>
  <c r="M133" i="487" s="1"/>
  <c r="N133" i="487" s="1"/>
  <c r="L129" i="487"/>
  <c r="M129" i="487" s="1"/>
  <c r="N129" i="487" s="1"/>
  <c r="L125" i="487"/>
  <c r="M125" i="487" s="1"/>
  <c r="N125" i="487" s="1"/>
  <c r="L121" i="487"/>
  <c r="M121" i="487" s="1"/>
  <c r="N121" i="487" s="1"/>
  <c r="L117" i="487"/>
  <c r="M117" i="487" s="1"/>
  <c r="N117" i="487" s="1"/>
  <c r="L113" i="487"/>
  <c r="M113" i="487" s="1"/>
  <c r="N113" i="487" s="1"/>
  <c r="L109" i="487"/>
  <c r="M109" i="487" s="1"/>
  <c r="N109" i="487" s="1"/>
  <c r="L105" i="487"/>
  <c r="M105" i="487" s="1"/>
  <c r="N105" i="487" s="1"/>
  <c r="L99" i="487"/>
  <c r="M99" i="487" s="1"/>
  <c r="N99" i="487" s="1"/>
  <c r="L103" i="487"/>
  <c r="M103" i="487" s="1"/>
  <c r="N103" i="487" s="1"/>
  <c r="L94" i="487"/>
  <c r="M94" i="487" s="1"/>
  <c r="N94" i="487" s="1"/>
  <c r="L67" i="487"/>
  <c r="M67" i="487" s="1"/>
  <c r="N67" i="487" s="1"/>
  <c r="L58" i="487"/>
  <c r="M58" i="487" s="1"/>
  <c r="N58" i="487" s="1"/>
  <c r="L61" i="487"/>
  <c r="M61" i="487" s="1"/>
  <c r="N61" i="487" s="1"/>
  <c r="L88" i="487"/>
  <c r="M88" i="487" s="1"/>
  <c r="N88" i="487" s="1"/>
  <c r="L84" i="487"/>
  <c r="M84" i="487" s="1"/>
  <c r="N84" i="487" s="1"/>
  <c r="L80" i="487"/>
  <c r="M80" i="487" s="1"/>
  <c r="N80" i="487" s="1"/>
  <c r="L76" i="487"/>
  <c r="M76" i="487" s="1"/>
  <c r="N76" i="487" s="1"/>
  <c r="L72" i="487"/>
  <c r="M72" i="487" s="1"/>
  <c r="N72" i="487" s="1"/>
  <c r="L64" i="487"/>
  <c r="M64" i="487" s="1"/>
  <c r="N64" i="487" s="1"/>
  <c r="L53" i="487"/>
  <c r="M53" i="487" s="1"/>
  <c r="N53" i="487" s="1"/>
  <c r="L49" i="487"/>
  <c r="M49" i="487" s="1"/>
  <c r="N49" i="487" s="1"/>
  <c r="L45" i="487"/>
  <c r="M45" i="487" s="1"/>
  <c r="N45" i="487" s="1"/>
  <c r="L40" i="487"/>
  <c r="M40" i="487" s="1"/>
  <c r="N40" i="487" s="1"/>
  <c r="L36" i="487"/>
  <c r="M36" i="487" s="1"/>
  <c r="N36" i="487" s="1"/>
  <c r="L32" i="487"/>
  <c r="M32" i="487" s="1"/>
  <c r="N32" i="487" s="1"/>
  <c r="L28" i="487"/>
  <c r="M28" i="487" s="1"/>
  <c r="N28" i="487" s="1"/>
  <c r="L25" i="487"/>
  <c r="M25" i="487" s="1"/>
  <c r="N25" i="487" s="1"/>
  <c r="L21" i="487"/>
  <c r="M21" i="487" s="1"/>
  <c r="N21" i="487" s="1"/>
  <c r="L17" i="487"/>
  <c r="M17" i="487" s="1"/>
  <c r="N17" i="487" s="1"/>
  <c r="L13" i="487"/>
  <c r="M13" i="487" s="1"/>
  <c r="N13" i="487" s="1"/>
  <c r="L9" i="487"/>
  <c r="M9" i="487" s="1"/>
  <c r="N9" i="487" s="1"/>
  <c r="L5" i="487"/>
  <c r="M5" i="487" s="1"/>
  <c r="N5" i="487" s="1"/>
  <c r="L145" i="486"/>
  <c r="M145" i="486" s="1"/>
  <c r="N145" i="486" s="1"/>
  <c r="L206" i="486"/>
  <c r="M206" i="486" s="1"/>
  <c r="N206" i="486" s="1"/>
  <c r="L217" i="486"/>
  <c r="M217" i="486" s="1"/>
  <c r="N217" i="486" s="1"/>
  <c r="L204" i="486"/>
  <c r="M204" i="486" s="1"/>
  <c r="N204" i="486" s="1"/>
  <c r="L221" i="486"/>
  <c r="M221" i="486" s="1"/>
  <c r="N221" i="486" s="1"/>
  <c r="L151" i="486"/>
  <c r="M151" i="486" s="1"/>
  <c r="N151" i="486" s="1"/>
  <c r="L216" i="486"/>
  <c r="M216" i="486" s="1"/>
  <c r="N216" i="486" s="1"/>
  <c r="L205" i="486"/>
  <c r="M205" i="486" s="1"/>
  <c r="N205" i="486" s="1"/>
  <c r="L247" i="486"/>
  <c r="M247" i="486" s="1"/>
  <c r="N247" i="486" s="1"/>
  <c r="L243" i="486"/>
  <c r="M243" i="486" s="1"/>
  <c r="N243" i="486" s="1"/>
  <c r="L239" i="486"/>
  <c r="M239" i="486" s="1"/>
  <c r="N239" i="486" s="1"/>
  <c r="L235" i="486"/>
  <c r="M235" i="486" s="1"/>
  <c r="N235" i="486" s="1"/>
  <c r="L231" i="486"/>
  <c r="M231" i="486" s="1"/>
  <c r="N231" i="486" s="1"/>
  <c r="L227" i="486"/>
  <c r="M227" i="486" s="1"/>
  <c r="N227" i="486" s="1"/>
  <c r="L162" i="486"/>
  <c r="M162" i="486" s="1"/>
  <c r="N162" i="486" s="1"/>
  <c r="L146" i="486"/>
  <c r="M146" i="486" s="1"/>
  <c r="N146" i="486" s="1"/>
  <c r="L200" i="486"/>
  <c r="M200" i="486" s="1"/>
  <c r="N200" i="486" s="1"/>
  <c r="L196" i="486"/>
  <c r="M196" i="486" s="1"/>
  <c r="N196" i="486" s="1"/>
  <c r="L192" i="486"/>
  <c r="M192" i="486" s="1"/>
  <c r="N192" i="486" s="1"/>
  <c r="L188" i="486"/>
  <c r="M188" i="486" s="1"/>
  <c r="N188" i="486" s="1"/>
  <c r="L184" i="486"/>
  <c r="M184" i="486" s="1"/>
  <c r="N184" i="486" s="1"/>
  <c r="L180" i="486"/>
  <c r="M180" i="486" s="1"/>
  <c r="N180" i="486" s="1"/>
  <c r="L176" i="486"/>
  <c r="M176" i="486" s="1"/>
  <c r="N176" i="486" s="1"/>
  <c r="L172" i="486"/>
  <c r="M172" i="486" s="1"/>
  <c r="N172" i="486" s="1"/>
  <c r="L168" i="486"/>
  <c r="M168" i="486" s="1"/>
  <c r="N168" i="486" s="1"/>
  <c r="L100" i="486"/>
  <c r="M100" i="486" s="1"/>
  <c r="N100" i="486" s="1"/>
  <c r="L92" i="486"/>
  <c r="M92" i="486" s="1"/>
  <c r="N92" i="486" s="1"/>
  <c r="L43" i="486"/>
  <c r="M43" i="486" s="1"/>
  <c r="N43" i="486" s="1"/>
  <c r="L141" i="486"/>
  <c r="M141" i="486" s="1"/>
  <c r="N141" i="486" s="1"/>
  <c r="L137" i="486"/>
  <c r="M137" i="486" s="1"/>
  <c r="N137" i="486" s="1"/>
  <c r="L133" i="486"/>
  <c r="M133" i="486" s="1"/>
  <c r="N133" i="486" s="1"/>
  <c r="L129" i="486"/>
  <c r="M129" i="486" s="1"/>
  <c r="N129" i="486" s="1"/>
  <c r="L125" i="486"/>
  <c r="M125" i="486" s="1"/>
  <c r="N125" i="486" s="1"/>
  <c r="L121" i="486"/>
  <c r="M121" i="486" s="1"/>
  <c r="N121" i="486" s="1"/>
  <c r="L117" i="486"/>
  <c r="M117" i="486" s="1"/>
  <c r="N117" i="486" s="1"/>
  <c r="L113" i="486"/>
  <c r="M113" i="486" s="1"/>
  <c r="N113" i="486" s="1"/>
  <c r="L109" i="486"/>
  <c r="M109" i="486" s="1"/>
  <c r="N109" i="486" s="1"/>
  <c r="L105" i="486"/>
  <c r="M105" i="486" s="1"/>
  <c r="N105" i="486" s="1"/>
  <c r="L101" i="486"/>
  <c r="M101" i="486" s="1"/>
  <c r="N101" i="486" s="1"/>
  <c r="L82" i="486"/>
  <c r="M82" i="486" s="1"/>
  <c r="N82" i="486" s="1"/>
  <c r="L97" i="486"/>
  <c r="M97" i="486" s="1"/>
  <c r="N97" i="486" s="1"/>
  <c r="L89" i="486"/>
  <c r="M89" i="486" s="1"/>
  <c r="N89" i="486" s="1"/>
  <c r="L78" i="486"/>
  <c r="M78" i="486" s="1"/>
  <c r="N78" i="486" s="1"/>
  <c r="L74" i="486"/>
  <c r="M74" i="486" s="1"/>
  <c r="N74" i="486" s="1"/>
  <c r="L69" i="486"/>
  <c r="M69" i="486" s="1"/>
  <c r="N69" i="486" s="1"/>
  <c r="L65" i="486"/>
  <c r="M65" i="486" s="1"/>
  <c r="N65" i="486" s="1"/>
  <c r="L61" i="486"/>
  <c r="M61" i="486" s="1"/>
  <c r="N61" i="486" s="1"/>
  <c r="L42" i="486"/>
  <c r="M42" i="486" s="1"/>
  <c r="N42" i="486" s="1"/>
  <c r="L38" i="486"/>
  <c r="M38" i="486" s="1"/>
  <c r="N38" i="486" s="1"/>
  <c r="L34" i="486"/>
  <c r="M34" i="486" s="1"/>
  <c r="N34" i="486" s="1"/>
  <c r="L30" i="486"/>
  <c r="M30" i="486" s="1"/>
  <c r="N30" i="486" s="1"/>
  <c r="L56" i="486"/>
  <c r="M56" i="486" s="1"/>
  <c r="N56" i="486" s="1"/>
  <c r="L52" i="486"/>
  <c r="M52" i="486" s="1"/>
  <c r="N52" i="486" s="1"/>
  <c r="L48" i="486"/>
  <c r="M48" i="486" s="1"/>
  <c r="N48" i="486" s="1"/>
  <c r="L28" i="486"/>
  <c r="M28" i="486" s="1"/>
  <c r="N28" i="486" s="1"/>
  <c r="L24" i="486"/>
  <c r="M24" i="486" s="1"/>
  <c r="N24" i="486" s="1"/>
  <c r="L20" i="486"/>
  <c r="M20" i="486" s="1"/>
  <c r="N20" i="486" s="1"/>
  <c r="L16" i="486"/>
  <c r="M16" i="486" s="1"/>
  <c r="N16" i="486" s="1"/>
  <c r="L12" i="486"/>
  <c r="M12" i="486" s="1"/>
  <c r="N12" i="486" s="1"/>
  <c r="L8" i="486"/>
  <c r="M8" i="486" s="1"/>
  <c r="N8" i="486" s="1"/>
  <c r="L4" i="486"/>
  <c r="M4" i="486" s="1"/>
  <c r="N4" i="486" s="1"/>
  <c r="L222" i="486"/>
  <c r="M222" i="486" s="1"/>
  <c r="N222" i="486" s="1"/>
  <c r="L215" i="486"/>
  <c r="M215" i="486" s="1"/>
  <c r="N215" i="486" s="1"/>
  <c r="L220" i="486"/>
  <c r="M220" i="486" s="1"/>
  <c r="N220" i="486" s="1"/>
  <c r="L214" i="486"/>
  <c r="M214" i="486" s="1"/>
  <c r="N214" i="486" s="1"/>
  <c r="L156" i="486"/>
  <c r="M156" i="486" s="1"/>
  <c r="N156" i="486" s="1"/>
  <c r="L219" i="486"/>
  <c r="M219" i="486" s="1"/>
  <c r="N219" i="486" s="1"/>
  <c r="L147" i="486"/>
  <c r="M147" i="486" s="1"/>
  <c r="N147" i="486" s="1"/>
  <c r="L213" i="486"/>
  <c r="M213" i="486" s="1"/>
  <c r="N213" i="486" s="1"/>
  <c r="L166" i="486"/>
  <c r="M166" i="486" s="1"/>
  <c r="N166" i="486" s="1"/>
  <c r="L246" i="486"/>
  <c r="M246" i="486" s="1"/>
  <c r="N246" i="486" s="1"/>
  <c r="L242" i="486"/>
  <c r="M242" i="486" s="1"/>
  <c r="N242" i="486" s="1"/>
  <c r="L238" i="486"/>
  <c r="M238" i="486" s="1"/>
  <c r="N238" i="486" s="1"/>
  <c r="L234" i="486"/>
  <c r="M234" i="486" s="1"/>
  <c r="N234" i="486" s="1"/>
  <c r="L230" i="486"/>
  <c r="M230" i="486" s="1"/>
  <c r="N230" i="486" s="1"/>
  <c r="L226" i="486"/>
  <c r="M226" i="486" s="1"/>
  <c r="N226" i="486" s="1"/>
  <c r="L158" i="486"/>
  <c r="M158" i="486" s="1"/>
  <c r="N158" i="486" s="1"/>
  <c r="L203" i="486"/>
  <c r="M203" i="486" s="1"/>
  <c r="N203" i="486" s="1"/>
  <c r="L199" i="486"/>
  <c r="M199" i="486" s="1"/>
  <c r="N199" i="486" s="1"/>
  <c r="L195" i="486"/>
  <c r="M195" i="486" s="1"/>
  <c r="N195" i="486" s="1"/>
  <c r="L191" i="486"/>
  <c r="M191" i="486" s="1"/>
  <c r="N191" i="486" s="1"/>
  <c r="L187" i="486"/>
  <c r="M187" i="486" s="1"/>
  <c r="N187" i="486" s="1"/>
  <c r="L183" i="486"/>
  <c r="M183" i="486" s="1"/>
  <c r="N183" i="486" s="1"/>
  <c r="L179" i="486"/>
  <c r="M179" i="486" s="1"/>
  <c r="N179" i="486" s="1"/>
  <c r="L175" i="486"/>
  <c r="M175" i="486" s="1"/>
  <c r="N175" i="486" s="1"/>
  <c r="L171" i="486"/>
  <c r="M171" i="486" s="1"/>
  <c r="N171" i="486" s="1"/>
  <c r="L167" i="486"/>
  <c r="M167" i="486" s="1"/>
  <c r="N167" i="486" s="1"/>
  <c r="L98" i="486"/>
  <c r="M98" i="486" s="1"/>
  <c r="N98" i="486" s="1"/>
  <c r="L90" i="486"/>
  <c r="M90" i="486" s="1"/>
  <c r="N90" i="486" s="1"/>
  <c r="L144" i="486"/>
  <c r="M144" i="486" s="1"/>
  <c r="N144" i="486" s="1"/>
  <c r="L140" i="486"/>
  <c r="M140" i="486" s="1"/>
  <c r="N140" i="486" s="1"/>
  <c r="L136" i="486"/>
  <c r="M136" i="486" s="1"/>
  <c r="N136" i="486" s="1"/>
  <c r="L132" i="486"/>
  <c r="M132" i="486" s="1"/>
  <c r="N132" i="486" s="1"/>
  <c r="L128" i="486"/>
  <c r="M128" i="486" s="1"/>
  <c r="N128" i="486" s="1"/>
  <c r="L124" i="486"/>
  <c r="M124" i="486" s="1"/>
  <c r="N124" i="486" s="1"/>
  <c r="L120" i="486"/>
  <c r="M120" i="486" s="1"/>
  <c r="N120" i="486" s="1"/>
  <c r="L116" i="486"/>
  <c r="M116" i="486" s="1"/>
  <c r="N116" i="486" s="1"/>
  <c r="L112" i="486"/>
  <c r="M112" i="486" s="1"/>
  <c r="N112" i="486" s="1"/>
  <c r="L108" i="486"/>
  <c r="M108" i="486" s="1"/>
  <c r="N108" i="486" s="1"/>
  <c r="L104" i="486"/>
  <c r="M104" i="486" s="1"/>
  <c r="N104" i="486" s="1"/>
  <c r="L85" i="486"/>
  <c r="M85" i="486" s="1"/>
  <c r="N85" i="486" s="1"/>
  <c r="L81" i="486"/>
  <c r="M81" i="486" s="1"/>
  <c r="N81" i="486" s="1"/>
  <c r="L95" i="486"/>
  <c r="M95" i="486" s="1"/>
  <c r="N95" i="486" s="1"/>
  <c r="L87" i="486"/>
  <c r="M87" i="486" s="1"/>
  <c r="N87" i="486" s="1"/>
  <c r="L77" i="486"/>
  <c r="M77" i="486" s="1"/>
  <c r="N77" i="486" s="1"/>
  <c r="L72" i="486"/>
  <c r="M72" i="486" s="1"/>
  <c r="N72" i="486" s="1"/>
  <c r="L68" i="486"/>
  <c r="M68" i="486" s="1"/>
  <c r="N68" i="486" s="1"/>
  <c r="L64" i="486"/>
  <c r="M64" i="486" s="1"/>
  <c r="N64" i="486" s="1"/>
  <c r="L60" i="486"/>
  <c r="M60" i="486" s="1"/>
  <c r="N60" i="486" s="1"/>
  <c r="L41" i="486"/>
  <c r="M41" i="486" s="1"/>
  <c r="N41" i="486" s="1"/>
  <c r="L37" i="486"/>
  <c r="M37" i="486" s="1"/>
  <c r="N37" i="486" s="1"/>
  <c r="L33" i="486"/>
  <c r="M33" i="486" s="1"/>
  <c r="N33" i="486" s="1"/>
  <c r="L29" i="486"/>
  <c r="M29" i="486" s="1"/>
  <c r="N29" i="486" s="1"/>
  <c r="L55" i="486"/>
  <c r="M55" i="486" s="1"/>
  <c r="N55" i="486" s="1"/>
  <c r="L51" i="486"/>
  <c r="M51" i="486" s="1"/>
  <c r="N51" i="486" s="1"/>
  <c r="L47" i="486"/>
  <c r="M47" i="486" s="1"/>
  <c r="N47" i="486" s="1"/>
  <c r="L27" i="486"/>
  <c r="M27" i="486" s="1"/>
  <c r="N27" i="486" s="1"/>
  <c r="L23" i="486"/>
  <c r="M23" i="486" s="1"/>
  <c r="N23" i="486" s="1"/>
  <c r="L19" i="486"/>
  <c r="M19" i="486" s="1"/>
  <c r="N19" i="486" s="1"/>
  <c r="L15" i="486"/>
  <c r="M15" i="486" s="1"/>
  <c r="N15" i="486" s="1"/>
  <c r="L11" i="486"/>
  <c r="M11" i="486" s="1"/>
  <c r="N11" i="486" s="1"/>
  <c r="L7" i="486"/>
  <c r="M7" i="486" s="1"/>
  <c r="N7" i="486" s="1"/>
  <c r="L3" i="486"/>
  <c r="M3" i="486" s="1"/>
  <c r="N3" i="486" s="1"/>
  <c r="L218" i="486"/>
  <c r="M218" i="486" s="1"/>
  <c r="N218" i="486" s="1"/>
  <c r="L212" i="486"/>
  <c r="M212" i="486" s="1"/>
  <c r="N212" i="486" s="1"/>
  <c r="L164" i="486"/>
  <c r="M164" i="486" s="1"/>
  <c r="N164" i="486" s="1"/>
  <c r="L210" i="486"/>
  <c r="M210" i="486" s="1"/>
  <c r="N210" i="486" s="1"/>
  <c r="L148" i="486"/>
  <c r="M148" i="486" s="1"/>
  <c r="N148" i="486" s="1"/>
  <c r="L159" i="486"/>
  <c r="M159" i="486" s="1"/>
  <c r="N159" i="486" s="1"/>
  <c r="L157" i="486"/>
  <c r="M157" i="486" s="1"/>
  <c r="N157" i="486" s="1"/>
  <c r="L211" i="486"/>
  <c r="M211" i="486" s="1"/>
  <c r="N211" i="486" s="1"/>
  <c r="L160" i="486"/>
  <c r="M160" i="486" s="1"/>
  <c r="N160" i="486" s="1"/>
  <c r="L245" i="486"/>
  <c r="M245" i="486" s="1"/>
  <c r="N245" i="486" s="1"/>
  <c r="L241" i="486"/>
  <c r="M241" i="486" s="1"/>
  <c r="N241" i="486" s="1"/>
  <c r="L237" i="486"/>
  <c r="M237" i="486" s="1"/>
  <c r="N237" i="486" s="1"/>
  <c r="L233" i="486"/>
  <c r="M233" i="486" s="1"/>
  <c r="N233" i="486" s="1"/>
  <c r="L229" i="486"/>
  <c r="M229" i="486" s="1"/>
  <c r="N229" i="486" s="1"/>
  <c r="L225" i="486"/>
  <c r="M225" i="486" s="1"/>
  <c r="N225" i="486" s="1"/>
  <c r="L154" i="486"/>
  <c r="M154" i="486" s="1"/>
  <c r="N154" i="486" s="1"/>
  <c r="L202" i="486"/>
  <c r="M202" i="486" s="1"/>
  <c r="N202" i="486" s="1"/>
  <c r="L198" i="486"/>
  <c r="M198" i="486" s="1"/>
  <c r="N198" i="486" s="1"/>
  <c r="L194" i="486"/>
  <c r="M194" i="486" s="1"/>
  <c r="N194" i="486" s="1"/>
  <c r="L190" i="486"/>
  <c r="M190" i="486" s="1"/>
  <c r="N190" i="486" s="1"/>
  <c r="L186" i="486"/>
  <c r="M186" i="486" s="1"/>
  <c r="N186" i="486" s="1"/>
  <c r="L182" i="486"/>
  <c r="M182" i="486" s="1"/>
  <c r="N182" i="486" s="1"/>
  <c r="L178" i="486"/>
  <c r="M178" i="486" s="1"/>
  <c r="N178" i="486" s="1"/>
  <c r="L174" i="486"/>
  <c r="M174" i="486" s="1"/>
  <c r="N174" i="486" s="1"/>
  <c r="L170" i="486"/>
  <c r="M170" i="486" s="1"/>
  <c r="N170" i="486" s="1"/>
  <c r="L165" i="486"/>
  <c r="M165" i="486" s="1"/>
  <c r="N165" i="486" s="1"/>
  <c r="L96" i="486"/>
  <c r="M96" i="486" s="1"/>
  <c r="N96" i="486" s="1"/>
  <c r="L88" i="486"/>
  <c r="M88" i="486" s="1"/>
  <c r="N88" i="486" s="1"/>
  <c r="L143" i="486"/>
  <c r="M143" i="486" s="1"/>
  <c r="N143" i="486" s="1"/>
  <c r="L139" i="486"/>
  <c r="M139" i="486" s="1"/>
  <c r="N139" i="486" s="1"/>
  <c r="L135" i="486"/>
  <c r="M135" i="486" s="1"/>
  <c r="N135" i="486" s="1"/>
  <c r="L131" i="486"/>
  <c r="M131" i="486" s="1"/>
  <c r="N131" i="486" s="1"/>
  <c r="L127" i="486"/>
  <c r="M127" i="486" s="1"/>
  <c r="N127" i="486" s="1"/>
  <c r="L123" i="486"/>
  <c r="M123" i="486" s="1"/>
  <c r="N123" i="486" s="1"/>
  <c r="L119" i="486"/>
  <c r="M119" i="486" s="1"/>
  <c r="N119" i="486" s="1"/>
  <c r="L115" i="486"/>
  <c r="M115" i="486" s="1"/>
  <c r="N115" i="486" s="1"/>
  <c r="L111" i="486"/>
  <c r="M111" i="486" s="1"/>
  <c r="N111" i="486" s="1"/>
  <c r="L107" i="486"/>
  <c r="M107" i="486" s="1"/>
  <c r="N107" i="486" s="1"/>
  <c r="L103" i="486"/>
  <c r="M103" i="486" s="1"/>
  <c r="N103" i="486" s="1"/>
  <c r="L84" i="486"/>
  <c r="M84" i="486" s="1"/>
  <c r="N84" i="486" s="1"/>
  <c r="L73" i="486"/>
  <c r="M73" i="486" s="1"/>
  <c r="N73" i="486" s="1"/>
  <c r="L93" i="486"/>
  <c r="M93" i="486" s="1"/>
  <c r="N93" i="486" s="1"/>
  <c r="L80" i="486"/>
  <c r="M80" i="486" s="1"/>
  <c r="N80" i="486" s="1"/>
  <c r="L76" i="486"/>
  <c r="M76" i="486" s="1"/>
  <c r="N76" i="486" s="1"/>
  <c r="L71" i="486"/>
  <c r="M71" i="486" s="1"/>
  <c r="N71" i="486" s="1"/>
  <c r="L67" i="486"/>
  <c r="M67" i="486" s="1"/>
  <c r="N67" i="486" s="1"/>
  <c r="L63" i="486"/>
  <c r="M63" i="486" s="1"/>
  <c r="N63" i="486" s="1"/>
  <c r="L59" i="486"/>
  <c r="M59" i="486" s="1"/>
  <c r="N59" i="486" s="1"/>
  <c r="L40" i="486"/>
  <c r="M40" i="486" s="1"/>
  <c r="N40" i="486" s="1"/>
  <c r="L36" i="486"/>
  <c r="M36" i="486" s="1"/>
  <c r="N36" i="486" s="1"/>
  <c r="L32" i="486"/>
  <c r="M32" i="486" s="1"/>
  <c r="N32" i="486" s="1"/>
  <c r="L44" i="486"/>
  <c r="M44" i="486" s="1"/>
  <c r="N44" i="486" s="1"/>
  <c r="L54" i="486"/>
  <c r="M54" i="486" s="1"/>
  <c r="N54" i="486" s="1"/>
  <c r="L50" i="486"/>
  <c r="M50" i="486" s="1"/>
  <c r="N50" i="486" s="1"/>
  <c r="L46" i="486"/>
  <c r="M46" i="486" s="1"/>
  <c r="N46" i="486" s="1"/>
  <c r="L26" i="486"/>
  <c r="M26" i="486" s="1"/>
  <c r="N26" i="486" s="1"/>
  <c r="L22" i="486"/>
  <c r="M22" i="486" s="1"/>
  <c r="N22" i="486" s="1"/>
  <c r="L18" i="486"/>
  <c r="M18" i="486" s="1"/>
  <c r="N18" i="486" s="1"/>
  <c r="L14" i="486"/>
  <c r="M14" i="486" s="1"/>
  <c r="N14" i="486" s="1"/>
  <c r="L10" i="486"/>
  <c r="M10" i="486" s="1"/>
  <c r="N10" i="486" s="1"/>
  <c r="L6" i="486"/>
  <c r="M6" i="486" s="1"/>
  <c r="N6" i="486" s="1"/>
  <c r="L2" i="486"/>
  <c r="L248" i="486"/>
  <c r="M248" i="486" s="1"/>
  <c r="N248" i="486" s="1"/>
  <c r="L161" i="486"/>
  <c r="M161" i="486" s="1"/>
  <c r="N161" i="486" s="1"/>
  <c r="L209" i="486"/>
  <c r="M209" i="486" s="1"/>
  <c r="N209" i="486" s="1"/>
  <c r="L153" i="486"/>
  <c r="M153" i="486" s="1"/>
  <c r="N153" i="486" s="1"/>
  <c r="L207" i="486"/>
  <c r="M207" i="486" s="1"/>
  <c r="N207" i="486" s="1"/>
  <c r="L223" i="486"/>
  <c r="M223" i="486" s="1"/>
  <c r="N223" i="486" s="1"/>
  <c r="L155" i="486"/>
  <c r="M155" i="486" s="1"/>
  <c r="N155" i="486" s="1"/>
  <c r="L149" i="486"/>
  <c r="M149" i="486" s="1"/>
  <c r="N149" i="486" s="1"/>
  <c r="L208" i="486"/>
  <c r="M208" i="486" s="1"/>
  <c r="N208" i="486" s="1"/>
  <c r="L152" i="486"/>
  <c r="M152" i="486" s="1"/>
  <c r="N152" i="486" s="1"/>
  <c r="L244" i="486"/>
  <c r="M244" i="486" s="1"/>
  <c r="N244" i="486" s="1"/>
  <c r="L240" i="486"/>
  <c r="M240" i="486" s="1"/>
  <c r="N240" i="486" s="1"/>
  <c r="L236" i="486"/>
  <c r="M236" i="486" s="1"/>
  <c r="N236" i="486" s="1"/>
  <c r="L232" i="486"/>
  <c r="M232" i="486" s="1"/>
  <c r="N232" i="486" s="1"/>
  <c r="L228" i="486"/>
  <c r="M228" i="486" s="1"/>
  <c r="N228" i="486" s="1"/>
  <c r="L224" i="486"/>
  <c r="M224" i="486" s="1"/>
  <c r="N224" i="486" s="1"/>
  <c r="L150" i="486"/>
  <c r="M150" i="486" s="1"/>
  <c r="N150" i="486" s="1"/>
  <c r="L201" i="486"/>
  <c r="M201" i="486" s="1"/>
  <c r="N201" i="486" s="1"/>
  <c r="L197" i="486"/>
  <c r="M197" i="486" s="1"/>
  <c r="N197" i="486" s="1"/>
  <c r="L193" i="486"/>
  <c r="M193" i="486" s="1"/>
  <c r="N193" i="486" s="1"/>
  <c r="L189" i="486"/>
  <c r="M189" i="486" s="1"/>
  <c r="N189" i="486" s="1"/>
  <c r="L185" i="486"/>
  <c r="M185" i="486" s="1"/>
  <c r="N185" i="486" s="1"/>
  <c r="L181" i="486"/>
  <c r="M181" i="486" s="1"/>
  <c r="N181" i="486" s="1"/>
  <c r="L177" i="486"/>
  <c r="M177" i="486" s="1"/>
  <c r="N177" i="486" s="1"/>
  <c r="L173" i="486"/>
  <c r="M173" i="486" s="1"/>
  <c r="N173" i="486" s="1"/>
  <c r="L169" i="486"/>
  <c r="M169" i="486" s="1"/>
  <c r="N169" i="486" s="1"/>
  <c r="L163" i="486"/>
  <c r="M163" i="486" s="1"/>
  <c r="N163" i="486" s="1"/>
  <c r="L94" i="486"/>
  <c r="M94" i="486" s="1"/>
  <c r="N94" i="486" s="1"/>
  <c r="L86" i="486"/>
  <c r="M86" i="486" s="1"/>
  <c r="N86" i="486" s="1"/>
  <c r="L142" i="486"/>
  <c r="M142" i="486" s="1"/>
  <c r="N142" i="486" s="1"/>
  <c r="L138" i="486"/>
  <c r="M138" i="486" s="1"/>
  <c r="N138" i="486" s="1"/>
  <c r="L134" i="486"/>
  <c r="M134" i="486" s="1"/>
  <c r="N134" i="486" s="1"/>
  <c r="L130" i="486"/>
  <c r="M130" i="486" s="1"/>
  <c r="N130" i="486" s="1"/>
  <c r="L126" i="486"/>
  <c r="M126" i="486" s="1"/>
  <c r="N126" i="486" s="1"/>
  <c r="L122" i="486"/>
  <c r="M122" i="486" s="1"/>
  <c r="N122" i="486" s="1"/>
  <c r="L118" i="486"/>
  <c r="M118" i="486" s="1"/>
  <c r="N118" i="486" s="1"/>
  <c r="L114" i="486"/>
  <c r="M114" i="486" s="1"/>
  <c r="N114" i="486" s="1"/>
  <c r="L110" i="486"/>
  <c r="M110" i="486" s="1"/>
  <c r="N110" i="486" s="1"/>
  <c r="L106" i="486"/>
  <c r="M106" i="486" s="1"/>
  <c r="N106" i="486" s="1"/>
  <c r="L102" i="486"/>
  <c r="M102" i="486" s="1"/>
  <c r="N102" i="486" s="1"/>
  <c r="L83" i="486"/>
  <c r="M83" i="486" s="1"/>
  <c r="N83" i="486" s="1"/>
  <c r="L99" i="486"/>
  <c r="M99" i="486" s="1"/>
  <c r="N99" i="486" s="1"/>
  <c r="L91" i="486"/>
  <c r="M91" i="486" s="1"/>
  <c r="N91" i="486" s="1"/>
  <c r="L79" i="486"/>
  <c r="M79" i="486" s="1"/>
  <c r="N79" i="486" s="1"/>
  <c r="L75" i="486"/>
  <c r="M75" i="486" s="1"/>
  <c r="N75" i="486" s="1"/>
  <c r="L70" i="486"/>
  <c r="M70" i="486" s="1"/>
  <c r="N70" i="486" s="1"/>
  <c r="L66" i="486"/>
  <c r="M66" i="486" s="1"/>
  <c r="N66" i="486" s="1"/>
  <c r="L62" i="486"/>
  <c r="M62" i="486" s="1"/>
  <c r="N62" i="486" s="1"/>
  <c r="L58" i="486"/>
  <c r="M58" i="486" s="1"/>
  <c r="N58" i="486" s="1"/>
  <c r="L39" i="486"/>
  <c r="M39" i="486" s="1"/>
  <c r="N39" i="486" s="1"/>
  <c r="L35" i="486"/>
  <c r="M35" i="486" s="1"/>
  <c r="N35" i="486" s="1"/>
  <c r="L31" i="486"/>
  <c r="M31" i="486" s="1"/>
  <c r="N31" i="486" s="1"/>
  <c r="L57" i="486"/>
  <c r="M57" i="486" s="1"/>
  <c r="N57" i="486" s="1"/>
  <c r="L53" i="486"/>
  <c r="M53" i="486" s="1"/>
  <c r="N53" i="486" s="1"/>
  <c r="L49" i="486"/>
  <c r="M49" i="486" s="1"/>
  <c r="N49" i="486" s="1"/>
  <c r="L45" i="486"/>
  <c r="M45" i="486" s="1"/>
  <c r="N45" i="486" s="1"/>
  <c r="L25" i="486"/>
  <c r="M25" i="486" s="1"/>
  <c r="N25" i="486" s="1"/>
  <c r="L21" i="486"/>
  <c r="M21" i="486" s="1"/>
  <c r="N21" i="486" s="1"/>
  <c r="L17" i="486"/>
  <c r="M17" i="486" s="1"/>
  <c r="N17" i="486" s="1"/>
  <c r="L13" i="486"/>
  <c r="M13" i="486" s="1"/>
  <c r="N13" i="486" s="1"/>
  <c r="L9" i="486"/>
  <c r="M9" i="486" s="1"/>
  <c r="N9" i="486" s="1"/>
  <c r="L5" i="486"/>
  <c r="M5" i="486" s="1"/>
  <c r="N5" i="486" s="1"/>
  <c r="L231" i="485"/>
  <c r="M231" i="485" s="1"/>
  <c r="N231" i="485" s="1"/>
  <c r="L247" i="485"/>
  <c r="M247" i="485" s="1"/>
  <c r="N247" i="485" s="1"/>
  <c r="L92" i="485"/>
  <c r="M92" i="485" s="1"/>
  <c r="N92" i="485" s="1"/>
  <c r="L87" i="485"/>
  <c r="M87" i="485" s="1"/>
  <c r="N87" i="485" s="1"/>
  <c r="L227" i="485"/>
  <c r="M227" i="485" s="1"/>
  <c r="N227" i="485" s="1"/>
  <c r="L223" i="485"/>
  <c r="M223" i="485" s="1"/>
  <c r="N223" i="485" s="1"/>
  <c r="L219" i="485"/>
  <c r="M219" i="485" s="1"/>
  <c r="N219" i="485" s="1"/>
  <c r="L215" i="485"/>
  <c r="M215" i="485" s="1"/>
  <c r="N215" i="485" s="1"/>
  <c r="L211" i="485"/>
  <c r="M211" i="485" s="1"/>
  <c r="N211" i="485" s="1"/>
  <c r="L207" i="485"/>
  <c r="M207" i="485" s="1"/>
  <c r="N207" i="485" s="1"/>
  <c r="L203" i="485"/>
  <c r="M203" i="485" s="1"/>
  <c r="N203" i="485" s="1"/>
  <c r="L199" i="485"/>
  <c r="M199" i="485" s="1"/>
  <c r="N199" i="485" s="1"/>
  <c r="L195" i="485"/>
  <c r="M195" i="485" s="1"/>
  <c r="N195" i="485" s="1"/>
  <c r="L191" i="485"/>
  <c r="M191" i="485" s="1"/>
  <c r="N191" i="485" s="1"/>
  <c r="L187" i="485"/>
  <c r="M187" i="485" s="1"/>
  <c r="N187" i="485" s="1"/>
  <c r="L183" i="485"/>
  <c r="M183" i="485" s="1"/>
  <c r="N183" i="485" s="1"/>
  <c r="L179" i="485"/>
  <c r="M179" i="485" s="1"/>
  <c r="N179" i="485" s="1"/>
  <c r="L175" i="485"/>
  <c r="M175" i="485" s="1"/>
  <c r="N175" i="485" s="1"/>
  <c r="L171" i="485"/>
  <c r="M171" i="485" s="1"/>
  <c r="N171" i="485" s="1"/>
  <c r="L94" i="485"/>
  <c r="M94" i="485" s="1"/>
  <c r="N94" i="485" s="1"/>
  <c r="L167" i="485"/>
  <c r="M167" i="485" s="1"/>
  <c r="N167" i="485" s="1"/>
  <c r="L163" i="485"/>
  <c r="M163" i="485" s="1"/>
  <c r="N163" i="485" s="1"/>
  <c r="L159" i="485"/>
  <c r="M159" i="485" s="1"/>
  <c r="N159" i="485" s="1"/>
  <c r="L155" i="485"/>
  <c r="M155" i="485" s="1"/>
  <c r="N155" i="485" s="1"/>
  <c r="L151" i="485"/>
  <c r="M151" i="485" s="1"/>
  <c r="N151" i="485" s="1"/>
  <c r="L147" i="485"/>
  <c r="M147" i="485" s="1"/>
  <c r="N147" i="485" s="1"/>
  <c r="L143" i="485"/>
  <c r="M143" i="485" s="1"/>
  <c r="N143" i="485" s="1"/>
  <c r="L139" i="485"/>
  <c r="M139" i="485" s="1"/>
  <c r="N139" i="485" s="1"/>
  <c r="L85" i="485"/>
  <c r="M85" i="485" s="1"/>
  <c r="N85" i="485" s="1"/>
  <c r="L136" i="485"/>
  <c r="M136" i="485" s="1"/>
  <c r="N136" i="485" s="1"/>
  <c r="L132" i="485"/>
  <c r="M132" i="485" s="1"/>
  <c r="N132" i="485" s="1"/>
  <c r="L128" i="485"/>
  <c r="M128" i="485" s="1"/>
  <c r="N128" i="485" s="1"/>
  <c r="L124" i="485"/>
  <c r="M124" i="485" s="1"/>
  <c r="N124" i="485" s="1"/>
  <c r="L120" i="485"/>
  <c r="M120" i="485" s="1"/>
  <c r="N120" i="485" s="1"/>
  <c r="L116" i="485"/>
  <c r="M116" i="485" s="1"/>
  <c r="N116" i="485" s="1"/>
  <c r="L112" i="485"/>
  <c r="M112" i="485" s="1"/>
  <c r="N112" i="485" s="1"/>
  <c r="L108" i="485"/>
  <c r="M108" i="485" s="1"/>
  <c r="N108" i="485" s="1"/>
  <c r="L104" i="485"/>
  <c r="M104" i="485" s="1"/>
  <c r="N104" i="485" s="1"/>
  <c r="L100" i="485"/>
  <c r="M100" i="485" s="1"/>
  <c r="N100" i="485" s="1"/>
  <c r="L79" i="485"/>
  <c r="M79" i="485" s="1"/>
  <c r="N79" i="485" s="1"/>
  <c r="L75" i="485"/>
  <c r="M75" i="485" s="1"/>
  <c r="N75" i="485" s="1"/>
  <c r="L71" i="485"/>
  <c r="M71" i="485" s="1"/>
  <c r="N71" i="485" s="1"/>
  <c r="L65" i="485"/>
  <c r="M65" i="485" s="1"/>
  <c r="N65" i="485" s="1"/>
  <c r="L56" i="485"/>
  <c r="M56" i="485" s="1"/>
  <c r="N56" i="485" s="1"/>
  <c r="L48" i="485"/>
  <c r="M48" i="485" s="1"/>
  <c r="N48" i="485" s="1"/>
  <c r="L68" i="485"/>
  <c r="M68" i="485" s="1"/>
  <c r="N68" i="485" s="1"/>
  <c r="L57" i="485"/>
  <c r="M57" i="485" s="1"/>
  <c r="N57" i="485" s="1"/>
  <c r="L49" i="485"/>
  <c r="M49" i="485" s="1"/>
  <c r="N49" i="485" s="1"/>
  <c r="L41" i="485"/>
  <c r="M41" i="485" s="1"/>
  <c r="N41" i="485" s="1"/>
  <c r="L33" i="485"/>
  <c r="M33" i="485" s="1"/>
  <c r="N33" i="485" s="1"/>
  <c r="L40" i="485"/>
  <c r="M40" i="485" s="1"/>
  <c r="N40" i="485" s="1"/>
  <c r="L32" i="485"/>
  <c r="M32" i="485" s="1"/>
  <c r="N32" i="485" s="1"/>
  <c r="L27" i="485"/>
  <c r="M27" i="485" s="1"/>
  <c r="N27" i="485" s="1"/>
  <c r="L23" i="485"/>
  <c r="M23" i="485" s="1"/>
  <c r="N23" i="485" s="1"/>
  <c r="L19" i="485"/>
  <c r="M19" i="485" s="1"/>
  <c r="N19" i="485" s="1"/>
  <c r="L15" i="485"/>
  <c r="M15" i="485" s="1"/>
  <c r="N15" i="485" s="1"/>
  <c r="L11" i="485"/>
  <c r="M11" i="485" s="1"/>
  <c r="N11" i="485" s="1"/>
  <c r="L7" i="485"/>
  <c r="M7" i="485" s="1"/>
  <c r="N7" i="485" s="1"/>
  <c r="L3" i="485"/>
  <c r="M3" i="485" s="1"/>
  <c r="N3" i="485" s="1"/>
  <c r="L235" i="485"/>
  <c r="M235" i="485" s="1"/>
  <c r="N235" i="485" s="1"/>
  <c r="L243" i="485"/>
  <c r="M243" i="485" s="1"/>
  <c r="N243" i="485" s="1"/>
  <c r="L84" i="485"/>
  <c r="M84" i="485" s="1"/>
  <c r="N84" i="485" s="1"/>
  <c r="L232" i="485"/>
  <c r="M232" i="485" s="1"/>
  <c r="N232" i="485" s="1"/>
  <c r="L240" i="485"/>
  <c r="M240" i="485" s="1"/>
  <c r="N240" i="485" s="1"/>
  <c r="L248" i="485"/>
  <c r="M248" i="485" s="1"/>
  <c r="N248" i="485" s="1"/>
  <c r="L83" i="485"/>
  <c r="M83" i="485" s="1"/>
  <c r="N83" i="485" s="1"/>
  <c r="L226" i="485"/>
  <c r="M226" i="485" s="1"/>
  <c r="N226" i="485" s="1"/>
  <c r="L222" i="485"/>
  <c r="M222" i="485" s="1"/>
  <c r="N222" i="485" s="1"/>
  <c r="L218" i="485"/>
  <c r="M218" i="485" s="1"/>
  <c r="N218" i="485" s="1"/>
  <c r="L214" i="485"/>
  <c r="M214" i="485" s="1"/>
  <c r="N214" i="485" s="1"/>
  <c r="L210" i="485"/>
  <c r="M210" i="485" s="1"/>
  <c r="N210" i="485" s="1"/>
  <c r="L206" i="485"/>
  <c r="M206" i="485" s="1"/>
  <c r="N206" i="485" s="1"/>
  <c r="L202" i="485"/>
  <c r="M202" i="485" s="1"/>
  <c r="N202" i="485" s="1"/>
  <c r="L198" i="485"/>
  <c r="M198" i="485" s="1"/>
  <c r="N198" i="485" s="1"/>
  <c r="L194" i="485"/>
  <c r="M194" i="485" s="1"/>
  <c r="N194" i="485" s="1"/>
  <c r="L190" i="485"/>
  <c r="M190" i="485" s="1"/>
  <c r="N190" i="485" s="1"/>
  <c r="L186" i="485"/>
  <c r="M186" i="485" s="1"/>
  <c r="N186" i="485" s="1"/>
  <c r="L182" i="485"/>
  <c r="M182" i="485" s="1"/>
  <c r="N182" i="485" s="1"/>
  <c r="L178" i="485"/>
  <c r="M178" i="485" s="1"/>
  <c r="N178" i="485" s="1"/>
  <c r="L174" i="485"/>
  <c r="M174" i="485" s="1"/>
  <c r="N174" i="485" s="1"/>
  <c r="L170" i="485"/>
  <c r="M170" i="485" s="1"/>
  <c r="N170" i="485" s="1"/>
  <c r="L90" i="485"/>
  <c r="M90" i="485" s="1"/>
  <c r="N90" i="485" s="1"/>
  <c r="L166" i="485"/>
  <c r="M166" i="485" s="1"/>
  <c r="N166" i="485" s="1"/>
  <c r="L162" i="485"/>
  <c r="M162" i="485" s="1"/>
  <c r="N162" i="485" s="1"/>
  <c r="L158" i="485"/>
  <c r="M158" i="485" s="1"/>
  <c r="N158" i="485" s="1"/>
  <c r="L154" i="485"/>
  <c r="M154" i="485" s="1"/>
  <c r="N154" i="485" s="1"/>
  <c r="L150" i="485"/>
  <c r="M150" i="485" s="1"/>
  <c r="N150" i="485" s="1"/>
  <c r="L146" i="485"/>
  <c r="M146" i="485" s="1"/>
  <c r="N146" i="485" s="1"/>
  <c r="L142" i="485"/>
  <c r="M142" i="485" s="1"/>
  <c r="N142" i="485" s="1"/>
  <c r="L97" i="485"/>
  <c r="M97" i="485" s="1"/>
  <c r="N97" i="485" s="1"/>
  <c r="L81" i="485"/>
  <c r="M81" i="485" s="1"/>
  <c r="N81" i="485" s="1"/>
  <c r="L135" i="485"/>
  <c r="M135" i="485" s="1"/>
  <c r="N135" i="485" s="1"/>
  <c r="L131" i="485"/>
  <c r="M131" i="485" s="1"/>
  <c r="N131" i="485" s="1"/>
  <c r="L127" i="485"/>
  <c r="M127" i="485" s="1"/>
  <c r="N127" i="485" s="1"/>
  <c r="L123" i="485"/>
  <c r="M123" i="485" s="1"/>
  <c r="N123" i="485" s="1"/>
  <c r="L119" i="485"/>
  <c r="M119" i="485" s="1"/>
  <c r="N119" i="485" s="1"/>
  <c r="L115" i="485"/>
  <c r="M115" i="485" s="1"/>
  <c r="N115" i="485" s="1"/>
  <c r="L111" i="485"/>
  <c r="M111" i="485" s="1"/>
  <c r="N111" i="485" s="1"/>
  <c r="L107" i="485"/>
  <c r="M107" i="485" s="1"/>
  <c r="N107" i="485" s="1"/>
  <c r="L103" i="485"/>
  <c r="M103" i="485" s="1"/>
  <c r="N103" i="485" s="1"/>
  <c r="L99" i="485"/>
  <c r="M99" i="485" s="1"/>
  <c r="N99" i="485" s="1"/>
  <c r="L78" i="485"/>
  <c r="M78" i="485" s="1"/>
  <c r="N78" i="485" s="1"/>
  <c r="L74" i="485"/>
  <c r="M74" i="485" s="1"/>
  <c r="N74" i="485" s="1"/>
  <c r="L70" i="485"/>
  <c r="M70" i="485" s="1"/>
  <c r="N70" i="485" s="1"/>
  <c r="L62" i="485"/>
  <c r="M62" i="485" s="1"/>
  <c r="N62" i="485" s="1"/>
  <c r="L54" i="485"/>
  <c r="M54" i="485" s="1"/>
  <c r="N54" i="485" s="1"/>
  <c r="L46" i="485"/>
  <c r="M46" i="485" s="1"/>
  <c r="N46" i="485" s="1"/>
  <c r="L66" i="485"/>
  <c r="M66" i="485" s="1"/>
  <c r="N66" i="485" s="1"/>
  <c r="L55" i="485"/>
  <c r="M55" i="485" s="1"/>
  <c r="N55" i="485" s="1"/>
  <c r="L47" i="485"/>
  <c r="M47" i="485" s="1"/>
  <c r="N47" i="485" s="1"/>
  <c r="L39" i="485"/>
  <c r="M39" i="485" s="1"/>
  <c r="N39" i="485" s="1"/>
  <c r="L31" i="485"/>
  <c r="M31" i="485" s="1"/>
  <c r="N31" i="485" s="1"/>
  <c r="L38" i="485"/>
  <c r="M38" i="485" s="1"/>
  <c r="N38" i="485" s="1"/>
  <c r="L30" i="485"/>
  <c r="M30" i="485" s="1"/>
  <c r="N30" i="485" s="1"/>
  <c r="L26" i="485"/>
  <c r="M26" i="485" s="1"/>
  <c r="N26" i="485" s="1"/>
  <c r="L22" i="485"/>
  <c r="M22" i="485" s="1"/>
  <c r="N22" i="485" s="1"/>
  <c r="L18" i="485"/>
  <c r="M18" i="485" s="1"/>
  <c r="N18" i="485" s="1"/>
  <c r="L14" i="485"/>
  <c r="M14" i="485" s="1"/>
  <c r="N14" i="485" s="1"/>
  <c r="L10" i="485"/>
  <c r="M10" i="485" s="1"/>
  <c r="N10" i="485" s="1"/>
  <c r="L6" i="485"/>
  <c r="M6" i="485" s="1"/>
  <c r="N6" i="485" s="1"/>
  <c r="L2" i="485"/>
  <c r="L242" i="485"/>
  <c r="M242" i="485" s="1"/>
  <c r="N242" i="485" s="1"/>
  <c r="L237" i="485"/>
  <c r="M237" i="485" s="1"/>
  <c r="N237" i="485" s="1"/>
  <c r="L234" i="485"/>
  <c r="M234" i="485" s="1"/>
  <c r="N234" i="485" s="1"/>
  <c r="L88" i="485"/>
  <c r="M88" i="485" s="1"/>
  <c r="N88" i="485" s="1"/>
  <c r="L95" i="485"/>
  <c r="M95" i="485" s="1"/>
  <c r="N95" i="485" s="1"/>
  <c r="L229" i="485"/>
  <c r="M229" i="485" s="1"/>
  <c r="N229" i="485" s="1"/>
  <c r="L225" i="485"/>
  <c r="M225" i="485" s="1"/>
  <c r="N225" i="485" s="1"/>
  <c r="L221" i="485"/>
  <c r="M221" i="485" s="1"/>
  <c r="N221" i="485" s="1"/>
  <c r="L217" i="485"/>
  <c r="M217" i="485" s="1"/>
  <c r="N217" i="485" s="1"/>
  <c r="L213" i="485"/>
  <c r="M213" i="485" s="1"/>
  <c r="N213" i="485" s="1"/>
  <c r="L209" i="485"/>
  <c r="M209" i="485" s="1"/>
  <c r="N209" i="485" s="1"/>
  <c r="L205" i="485"/>
  <c r="M205" i="485" s="1"/>
  <c r="N205" i="485" s="1"/>
  <c r="L201" i="485"/>
  <c r="M201" i="485" s="1"/>
  <c r="N201" i="485" s="1"/>
  <c r="L197" i="485"/>
  <c r="M197" i="485" s="1"/>
  <c r="N197" i="485" s="1"/>
  <c r="L193" i="485"/>
  <c r="M193" i="485" s="1"/>
  <c r="N193" i="485" s="1"/>
  <c r="L189" i="485"/>
  <c r="M189" i="485" s="1"/>
  <c r="N189" i="485" s="1"/>
  <c r="L185" i="485"/>
  <c r="M185" i="485" s="1"/>
  <c r="N185" i="485" s="1"/>
  <c r="L181" i="485"/>
  <c r="M181" i="485" s="1"/>
  <c r="N181" i="485" s="1"/>
  <c r="L177" i="485"/>
  <c r="M177" i="485" s="1"/>
  <c r="N177" i="485" s="1"/>
  <c r="L173" i="485"/>
  <c r="M173" i="485" s="1"/>
  <c r="N173" i="485" s="1"/>
  <c r="L169" i="485"/>
  <c r="M169" i="485" s="1"/>
  <c r="N169" i="485" s="1"/>
  <c r="L86" i="485"/>
  <c r="M86" i="485" s="1"/>
  <c r="N86" i="485" s="1"/>
  <c r="L165" i="485"/>
  <c r="M165" i="485" s="1"/>
  <c r="N165" i="485" s="1"/>
  <c r="L161" i="485"/>
  <c r="M161" i="485" s="1"/>
  <c r="N161" i="485" s="1"/>
  <c r="L157" i="485"/>
  <c r="M157" i="485" s="1"/>
  <c r="N157" i="485" s="1"/>
  <c r="L153" i="485"/>
  <c r="M153" i="485" s="1"/>
  <c r="N153" i="485" s="1"/>
  <c r="L149" i="485"/>
  <c r="M149" i="485" s="1"/>
  <c r="N149" i="485" s="1"/>
  <c r="L145" i="485"/>
  <c r="M145" i="485" s="1"/>
  <c r="N145" i="485" s="1"/>
  <c r="L141" i="485"/>
  <c r="M141" i="485" s="1"/>
  <c r="N141" i="485" s="1"/>
  <c r="L93" i="485"/>
  <c r="M93" i="485" s="1"/>
  <c r="N93" i="485" s="1"/>
  <c r="L138" i="485"/>
  <c r="M138" i="485" s="1"/>
  <c r="N138" i="485" s="1"/>
  <c r="L134" i="485"/>
  <c r="M134" i="485" s="1"/>
  <c r="N134" i="485" s="1"/>
  <c r="L130" i="485"/>
  <c r="M130" i="485" s="1"/>
  <c r="N130" i="485" s="1"/>
  <c r="L126" i="485"/>
  <c r="M126" i="485" s="1"/>
  <c r="N126" i="485" s="1"/>
  <c r="L122" i="485"/>
  <c r="M122" i="485" s="1"/>
  <c r="N122" i="485" s="1"/>
  <c r="L118" i="485"/>
  <c r="M118" i="485" s="1"/>
  <c r="N118" i="485" s="1"/>
  <c r="L114" i="485"/>
  <c r="M114" i="485" s="1"/>
  <c r="N114" i="485" s="1"/>
  <c r="L110" i="485"/>
  <c r="M110" i="485" s="1"/>
  <c r="N110" i="485" s="1"/>
  <c r="L106" i="485"/>
  <c r="M106" i="485" s="1"/>
  <c r="N106" i="485" s="1"/>
  <c r="L102" i="485"/>
  <c r="M102" i="485" s="1"/>
  <c r="N102" i="485" s="1"/>
  <c r="L98" i="485"/>
  <c r="M98" i="485" s="1"/>
  <c r="N98" i="485" s="1"/>
  <c r="L77" i="485"/>
  <c r="M77" i="485" s="1"/>
  <c r="N77" i="485" s="1"/>
  <c r="L73" i="485"/>
  <c r="M73" i="485" s="1"/>
  <c r="N73" i="485" s="1"/>
  <c r="L69" i="485"/>
  <c r="M69" i="485" s="1"/>
  <c r="N69" i="485" s="1"/>
  <c r="L60" i="485"/>
  <c r="M60" i="485" s="1"/>
  <c r="N60" i="485" s="1"/>
  <c r="L52" i="485"/>
  <c r="M52" i="485" s="1"/>
  <c r="N52" i="485" s="1"/>
  <c r="L64" i="485"/>
  <c r="M64" i="485" s="1"/>
  <c r="N64" i="485" s="1"/>
  <c r="L61" i="485"/>
  <c r="M61" i="485" s="1"/>
  <c r="N61" i="485" s="1"/>
  <c r="L53" i="485"/>
  <c r="M53" i="485" s="1"/>
  <c r="N53" i="485" s="1"/>
  <c r="L45" i="485"/>
  <c r="M45" i="485" s="1"/>
  <c r="N45" i="485" s="1"/>
  <c r="L37" i="485"/>
  <c r="M37" i="485" s="1"/>
  <c r="N37" i="485" s="1"/>
  <c r="L44" i="485"/>
  <c r="M44" i="485" s="1"/>
  <c r="N44" i="485" s="1"/>
  <c r="L36" i="485"/>
  <c r="M36" i="485" s="1"/>
  <c r="N36" i="485" s="1"/>
  <c r="L29" i="485"/>
  <c r="M29" i="485" s="1"/>
  <c r="N29" i="485" s="1"/>
  <c r="L25" i="485"/>
  <c r="M25" i="485" s="1"/>
  <c r="N25" i="485" s="1"/>
  <c r="L21" i="485"/>
  <c r="M21" i="485" s="1"/>
  <c r="N21" i="485" s="1"/>
  <c r="L17" i="485"/>
  <c r="M17" i="485" s="1"/>
  <c r="N17" i="485" s="1"/>
  <c r="L13" i="485"/>
  <c r="M13" i="485" s="1"/>
  <c r="N13" i="485" s="1"/>
  <c r="L9" i="485"/>
  <c r="M9" i="485" s="1"/>
  <c r="N9" i="485" s="1"/>
  <c r="L5" i="485"/>
  <c r="M5" i="485" s="1"/>
  <c r="N5" i="485" s="1"/>
  <c r="L244" i="485"/>
  <c r="M244" i="485" s="1"/>
  <c r="N244" i="485" s="1"/>
  <c r="L239" i="485"/>
  <c r="M239" i="485" s="1"/>
  <c r="N239" i="485" s="1"/>
  <c r="L96" i="485"/>
  <c r="M96" i="485" s="1"/>
  <c r="N96" i="485" s="1"/>
  <c r="L236" i="485"/>
  <c r="M236" i="485" s="1"/>
  <c r="N236" i="485" s="1"/>
  <c r="L91" i="485"/>
  <c r="M91" i="485" s="1"/>
  <c r="N91" i="485" s="1"/>
  <c r="L228" i="485"/>
  <c r="M228" i="485" s="1"/>
  <c r="N228" i="485" s="1"/>
  <c r="L224" i="485"/>
  <c r="M224" i="485" s="1"/>
  <c r="N224" i="485" s="1"/>
  <c r="L220" i="485"/>
  <c r="M220" i="485" s="1"/>
  <c r="N220" i="485" s="1"/>
  <c r="L216" i="485"/>
  <c r="M216" i="485" s="1"/>
  <c r="N216" i="485" s="1"/>
  <c r="L212" i="485"/>
  <c r="M212" i="485" s="1"/>
  <c r="N212" i="485" s="1"/>
  <c r="L208" i="485"/>
  <c r="M208" i="485" s="1"/>
  <c r="N208" i="485" s="1"/>
  <c r="L204" i="485"/>
  <c r="M204" i="485" s="1"/>
  <c r="N204" i="485" s="1"/>
  <c r="L200" i="485"/>
  <c r="M200" i="485" s="1"/>
  <c r="N200" i="485" s="1"/>
  <c r="L196" i="485"/>
  <c r="M196" i="485" s="1"/>
  <c r="N196" i="485" s="1"/>
  <c r="L192" i="485"/>
  <c r="M192" i="485" s="1"/>
  <c r="N192" i="485" s="1"/>
  <c r="L188" i="485"/>
  <c r="M188" i="485" s="1"/>
  <c r="N188" i="485" s="1"/>
  <c r="L184" i="485"/>
  <c r="M184" i="485" s="1"/>
  <c r="N184" i="485" s="1"/>
  <c r="L180" i="485"/>
  <c r="M180" i="485" s="1"/>
  <c r="N180" i="485" s="1"/>
  <c r="L176" i="485"/>
  <c r="M176" i="485" s="1"/>
  <c r="N176" i="485" s="1"/>
  <c r="L172" i="485"/>
  <c r="M172" i="485" s="1"/>
  <c r="N172" i="485" s="1"/>
  <c r="L168" i="485"/>
  <c r="M168" i="485" s="1"/>
  <c r="N168" i="485" s="1"/>
  <c r="L82" i="485"/>
  <c r="M82" i="485" s="1"/>
  <c r="N82" i="485" s="1"/>
  <c r="L164" i="485"/>
  <c r="M164" i="485" s="1"/>
  <c r="N164" i="485" s="1"/>
  <c r="L160" i="485"/>
  <c r="M160" i="485" s="1"/>
  <c r="N160" i="485" s="1"/>
  <c r="L156" i="485"/>
  <c r="M156" i="485" s="1"/>
  <c r="N156" i="485" s="1"/>
  <c r="L152" i="485"/>
  <c r="M152" i="485" s="1"/>
  <c r="N152" i="485" s="1"/>
  <c r="L148" i="485"/>
  <c r="M148" i="485" s="1"/>
  <c r="N148" i="485" s="1"/>
  <c r="L144" i="485"/>
  <c r="M144" i="485" s="1"/>
  <c r="N144" i="485" s="1"/>
  <c r="L140" i="485"/>
  <c r="M140" i="485" s="1"/>
  <c r="N140" i="485" s="1"/>
  <c r="L89" i="485"/>
  <c r="M89" i="485" s="1"/>
  <c r="N89" i="485" s="1"/>
  <c r="L137" i="485"/>
  <c r="M137" i="485" s="1"/>
  <c r="N137" i="485" s="1"/>
  <c r="L133" i="485"/>
  <c r="M133" i="485" s="1"/>
  <c r="N133" i="485" s="1"/>
  <c r="L129" i="485"/>
  <c r="M129" i="485" s="1"/>
  <c r="N129" i="485" s="1"/>
  <c r="L125" i="485"/>
  <c r="M125" i="485" s="1"/>
  <c r="N125" i="485" s="1"/>
  <c r="L121" i="485"/>
  <c r="M121" i="485" s="1"/>
  <c r="N121" i="485" s="1"/>
  <c r="L117" i="485"/>
  <c r="M117" i="485" s="1"/>
  <c r="N117" i="485" s="1"/>
  <c r="L113" i="485"/>
  <c r="M113" i="485" s="1"/>
  <c r="N113" i="485" s="1"/>
  <c r="L109" i="485"/>
  <c r="M109" i="485" s="1"/>
  <c r="N109" i="485" s="1"/>
  <c r="L105" i="485"/>
  <c r="M105" i="485" s="1"/>
  <c r="N105" i="485" s="1"/>
  <c r="L101" i="485"/>
  <c r="M101" i="485" s="1"/>
  <c r="N101" i="485" s="1"/>
  <c r="L80" i="485"/>
  <c r="M80" i="485" s="1"/>
  <c r="N80" i="485" s="1"/>
  <c r="L76" i="485"/>
  <c r="M76" i="485" s="1"/>
  <c r="N76" i="485" s="1"/>
  <c r="L72" i="485"/>
  <c r="M72" i="485" s="1"/>
  <c r="N72" i="485" s="1"/>
  <c r="L67" i="485"/>
  <c r="M67" i="485" s="1"/>
  <c r="N67" i="485" s="1"/>
  <c r="L58" i="485"/>
  <c r="M58" i="485" s="1"/>
  <c r="N58" i="485" s="1"/>
  <c r="L50" i="485"/>
  <c r="M50" i="485" s="1"/>
  <c r="N50" i="485" s="1"/>
  <c r="L63" i="485"/>
  <c r="M63" i="485" s="1"/>
  <c r="N63" i="485" s="1"/>
  <c r="L59" i="485"/>
  <c r="M59" i="485" s="1"/>
  <c r="N59" i="485" s="1"/>
  <c r="L51" i="485"/>
  <c r="M51" i="485" s="1"/>
  <c r="N51" i="485" s="1"/>
  <c r="L43" i="485"/>
  <c r="M43" i="485" s="1"/>
  <c r="N43" i="485" s="1"/>
  <c r="L35" i="485"/>
  <c r="M35" i="485" s="1"/>
  <c r="N35" i="485" s="1"/>
  <c r="L42" i="485"/>
  <c r="M42" i="485" s="1"/>
  <c r="N42" i="485" s="1"/>
  <c r="L34" i="485"/>
  <c r="M34" i="485" s="1"/>
  <c r="N34" i="485" s="1"/>
  <c r="L28" i="485"/>
  <c r="M28" i="485" s="1"/>
  <c r="N28" i="485" s="1"/>
  <c r="L24" i="485"/>
  <c r="M24" i="485" s="1"/>
  <c r="N24" i="485" s="1"/>
  <c r="L20" i="485"/>
  <c r="M20" i="485" s="1"/>
  <c r="N20" i="485" s="1"/>
  <c r="L16" i="485"/>
  <c r="M16" i="485" s="1"/>
  <c r="N16" i="485" s="1"/>
  <c r="L12" i="485"/>
  <c r="M12" i="485" s="1"/>
  <c r="N12" i="485" s="1"/>
  <c r="L8" i="485"/>
  <c r="M8" i="485" s="1"/>
  <c r="N8" i="485" s="1"/>
  <c r="L4" i="485"/>
  <c r="M4" i="485" s="1"/>
  <c r="N4" i="485" s="1"/>
  <c r="L246" i="485"/>
  <c r="M246" i="485" s="1"/>
  <c r="N246" i="485" s="1"/>
  <c r="L233" i="485"/>
  <c r="M233" i="485" s="1"/>
  <c r="N233" i="485" s="1"/>
  <c r="L241" i="485"/>
  <c r="M241" i="485" s="1"/>
  <c r="N241" i="485" s="1"/>
  <c r="L230" i="485"/>
  <c r="M230" i="485" s="1"/>
  <c r="N230" i="485" s="1"/>
  <c r="L238" i="485"/>
  <c r="M238" i="485" s="1"/>
  <c r="N238" i="485" s="1"/>
  <c r="L245" i="485"/>
  <c r="M245" i="485" s="1"/>
  <c r="N245" i="485" s="1"/>
  <c r="L244" i="484"/>
  <c r="M244" i="484" s="1"/>
  <c r="N244" i="484" s="1"/>
  <c r="L246" i="484"/>
  <c r="M246" i="484" s="1"/>
  <c r="N246" i="484" s="1"/>
  <c r="L247" i="484"/>
  <c r="M247" i="484" s="1"/>
  <c r="N247" i="484" s="1"/>
  <c r="L210" i="484"/>
  <c r="M210" i="484" s="1"/>
  <c r="N210" i="484" s="1"/>
  <c r="L211" i="484"/>
  <c r="M211" i="484" s="1"/>
  <c r="N211" i="484" s="1"/>
  <c r="L196" i="484"/>
  <c r="M196" i="484" s="1"/>
  <c r="N196" i="484" s="1"/>
  <c r="L114" i="484"/>
  <c r="M114" i="484" s="1"/>
  <c r="N114" i="484" s="1"/>
  <c r="L195" i="484"/>
  <c r="M195" i="484" s="1"/>
  <c r="N195" i="484" s="1"/>
  <c r="L208" i="484"/>
  <c r="M208" i="484" s="1"/>
  <c r="N208" i="484" s="1"/>
  <c r="L204" i="484"/>
  <c r="M204" i="484" s="1"/>
  <c r="N204" i="484" s="1"/>
  <c r="L189" i="484"/>
  <c r="M189" i="484" s="1"/>
  <c r="N189" i="484" s="1"/>
  <c r="L185" i="484"/>
  <c r="M185" i="484" s="1"/>
  <c r="N185" i="484" s="1"/>
  <c r="L181" i="484"/>
  <c r="M181" i="484" s="1"/>
  <c r="N181" i="484" s="1"/>
  <c r="L177" i="484"/>
  <c r="M177" i="484" s="1"/>
  <c r="N177" i="484" s="1"/>
  <c r="L173" i="484"/>
  <c r="M173" i="484" s="1"/>
  <c r="N173" i="484" s="1"/>
  <c r="L169" i="484"/>
  <c r="M169" i="484" s="1"/>
  <c r="N169" i="484" s="1"/>
  <c r="L166" i="484"/>
  <c r="M166" i="484" s="1"/>
  <c r="N166" i="484" s="1"/>
  <c r="L162" i="484"/>
  <c r="M162" i="484" s="1"/>
  <c r="N162" i="484" s="1"/>
  <c r="L158" i="484"/>
  <c r="M158" i="484" s="1"/>
  <c r="N158" i="484" s="1"/>
  <c r="L154" i="484"/>
  <c r="M154" i="484" s="1"/>
  <c r="N154" i="484" s="1"/>
  <c r="L150" i="484"/>
  <c r="M150" i="484" s="1"/>
  <c r="N150" i="484" s="1"/>
  <c r="L146" i="484"/>
  <c r="M146" i="484" s="1"/>
  <c r="N146" i="484" s="1"/>
  <c r="L142" i="484"/>
  <c r="M142" i="484" s="1"/>
  <c r="N142" i="484" s="1"/>
  <c r="L138" i="484"/>
  <c r="M138" i="484" s="1"/>
  <c r="N138" i="484" s="1"/>
  <c r="L134" i="484"/>
  <c r="M134" i="484" s="1"/>
  <c r="N134" i="484" s="1"/>
  <c r="L130" i="484"/>
  <c r="M130" i="484" s="1"/>
  <c r="N130" i="484" s="1"/>
  <c r="L126" i="484"/>
  <c r="M126" i="484" s="1"/>
  <c r="N126" i="484" s="1"/>
  <c r="L122" i="484"/>
  <c r="M122" i="484" s="1"/>
  <c r="N122" i="484" s="1"/>
  <c r="L118" i="484"/>
  <c r="M118" i="484" s="1"/>
  <c r="N118" i="484" s="1"/>
  <c r="L111" i="484"/>
  <c r="M111" i="484" s="1"/>
  <c r="N111" i="484" s="1"/>
  <c r="L76" i="484"/>
  <c r="M76" i="484" s="1"/>
  <c r="N76" i="484" s="1"/>
  <c r="L108" i="484"/>
  <c r="M108" i="484" s="1"/>
  <c r="N108" i="484" s="1"/>
  <c r="L104" i="484"/>
  <c r="M104" i="484" s="1"/>
  <c r="N104" i="484" s="1"/>
  <c r="L100" i="484"/>
  <c r="M100" i="484" s="1"/>
  <c r="N100" i="484" s="1"/>
  <c r="L96" i="484"/>
  <c r="M96" i="484" s="1"/>
  <c r="N96" i="484" s="1"/>
  <c r="L92" i="484"/>
  <c r="M92" i="484" s="1"/>
  <c r="N92" i="484" s="1"/>
  <c r="L88" i="484"/>
  <c r="M88" i="484" s="1"/>
  <c r="N88" i="484" s="1"/>
  <c r="L84" i="484"/>
  <c r="M84" i="484" s="1"/>
  <c r="N84" i="484" s="1"/>
  <c r="L79" i="484"/>
  <c r="M79" i="484" s="1"/>
  <c r="N79" i="484" s="1"/>
  <c r="L71" i="484"/>
  <c r="M71" i="484" s="1"/>
  <c r="N71" i="484" s="1"/>
  <c r="L36" i="484"/>
  <c r="M36" i="484" s="1"/>
  <c r="N36" i="484" s="1"/>
  <c r="L28" i="484"/>
  <c r="M28" i="484" s="1"/>
  <c r="N28" i="484" s="1"/>
  <c r="L65" i="484"/>
  <c r="M65" i="484" s="1"/>
  <c r="N65" i="484" s="1"/>
  <c r="L61" i="484"/>
  <c r="M61" i="484" s="1"/>
  <c r="N61" i="484" s="1"/>
  <c r="L57" i="484"/>
  <c r="M57" i="484" s="1"/>
  <c r="N57" i="484" s="1"/>
  <c r="L53" i="484"/>
  <c r="M53" i="484" s="1"/>
  <c r="N53" i="484" s="1"/>
  <c r="L49" i="484"/>
  <c r="M49" i="484" s="1"/>
  <c r="N49" i="484" s="1"/>
  <c r="L45" i="484"/>
  <c r="M45" i="484" s="1"/>
  <c r="N45" i="484" s="1"/>
  <c r="L35" i="484"/>
  <c r="M35" i="484" s="1"/>
  <c r="N35" i="484" s="1"/>
  <c r="L27" i="484"/>
  <c r="M27" i="484" s="1"/>
  <c r="N27" i="484" s="1"/>
  <c r="L26" i="484"/>
  <c r="M26" i="484" s="1"/>
  <c r="N26" i="484" s="1"/>
  <c r="L22" i="484"/>
  <c r="M22" i="484" s="1"/>
  <c r="N22" i="484" s="1"/>
  <c r="L18" i="484"/>
  <c r="M18" i="484" s="1"/>
  <c r="N18" i="484" s="1"/>
  <c r="L14" i="484"/>
  <c r="M14" i="484" s="1"/>
  <c r="N14" i="484" s="1"/>
  <c r="L10" i="484"/>
  <c r="M10" i="484" s="1"/>
  <c r="N10" i="484" s="1"/>
  <c r="L6" i="484"/>
  <c r="M6" i="484" s="1"/>
  <c r="N6" i="484" s="1"/>
  <c r="L2" i="484"/>
  <c r="L212" i="484"/>
  <c r="M212" i="484" s="1"/>
  <c r="N212" i="484" s="1"/>
  <c r="L216" i="484"/>
  <c r="M216" i="484" s="1"/>
  <c r="N216" i="484" s="1"/>
  <c r="L220" i="484"/>
  <c r="M220" i="484" s="1"/>
  <c r="N220" i="484" s="1"/>
  <c r="L224" i="484"/>
  <c r="M224" i="484" s="1"/>
  <c r="N224" i="484" s="1"/>
  <c r="L228" i="484"/>
  <c r="M228" i="484" s="1"/>
  <c r="N228" i="484" s="1"/>
  <c r="L234" i="484"/>
  <c r="M234" i="484" s="1"/>
  <c r="N234" i="484" s="1"/>
  <c r="L240" i="484"/>
  <c r="M240" i="484" s="1"/>
  <c r="N240" i="484" s="1"/>
  <c r="L237" i="484"/>
  <c r="M237" i="484" s="1"/>
  <c r="N237" i="484" s="1"/>
  <c r="L248" i="484"/>
  <c r="M248" i="484" s="1"/>
  <c r="N248" i="484" s="1"/>
  <c r="L194" i="484"/>
  <c r="M194" i="484" s="1"/>
  <c r="N194" i="484" s="1"/>
  <c r="L201" i="484"/>
  <c r="M201" i="484" s="1"/>
  <c r="N201" i="484" s="1"/>
  <c r="L193" i="484"/>
  <c r="M193" i="484" s="1"/>
  <c r="N193" i="484" s="1"/>
  <c r="L207" i="484"/>
  <c r="M207" i="484" s="1"/>
  <c r="N207" i="484" s="1"/>
  <c r="L203" i="484"/>
  <c r="M203" i="484" s="1"/>
  <c r="N203" i="484" s="1"/>
  <c r="L188" i="484"/>
  <c r="M188" i="484" s="1"/>
  <c r="N188" i="484" s="1"/>
  <c r="L184" i="484"/>
  <c r="M184" i="484" s="1"/>
  <c r="N184" i="484" s="1"/>
  <c r="L180" i="484"/>
  <c r="M180" i="484" s="1"/>
  <c r="N180" i="484" s="1"/>
  <c r="L176" i="484"/>
  <c r="M176" i="484" s="1"/>
  <c r="N176" i="484" s="1"/>
  <c r="L172" i="484"/>
  <c r="M172" i="484" s="1"/>
  <c r="N172" i="484" s="1"/>
  <c r="L110" i="484"/>
  <c r="M110" i="484" s="1"/>
  <c r="N110" i="484" s="1"/>
  <c r="L165" i="484"/>
  <c r="M165" i="484" s="1"/>
  <c r="N165" i="484" s="1"/>
  <c r="L161" i="484"/>
  <c r="M161" i="484" s="1"/>
  <c r="N161" i="484" s="1"/>
  <c r="L157" i="484"/>
  <c r="M157" i="484" s="1"/>
  <c r="N157" i="484" s="1"/>
  <c r="L153" i="484"/>
  <c r="M153" i="484" s="1"/>
  <c r="N153" i="484" s="1"/>
  <c r="L149" i="484"/>
  <c r="M149" i="484" s="1"/>
  <c r="N149" i="484" s="1"/>
  <c r="L145" i="484"/>
  <c r="M145" i="484" s="1"/>
  <c r="N145" i="484" s="1"/>
  <c r="L141" i="484"/>
  <c r="M141" i="484" s="1"/>
  <c r="N141" i="484" s="1"/>
  <c r="L137" i="484"/>
  <c r="M137" i="484" s="1"/>
  <c r="N137" i="484" s="1"/>
  <c r="L133" i="484"/>
  <c r="M133" i="484" s="1"/>
  <c r="N133" i="484" s="1"/>
  <c r="L129" i="484"/>
  <c r="M129" i="484" s="1"/>
  <c r="N129" i="484" s="1"/>
  <c r="L125" i="484"/>
  <c r="M125" i="484" s="1"/>
  <c r="N125" i="484" s="1"/>
  <c r="L121" i="484"/>
  <c r="M121" i="484" s="1"/>
  <c r="N121" i="484" s="1"/>
  <c r="L117" i="484"/>
  <c r="M117" i="484" s="1"/>
  <c r="N117" i="484" s="1"/>
  <c r="L109" i="484"/>
  <c r="M109" i="484" s="1"/>
  <c r="N109" i="484" s="1"/>
  <c r="L74" i="484"/>
  <c r="M74" i="484" s="1"/>
  <c r="N74" i="484" s="1"/>
  <c r="L107" i="484"/>
  <c r="M107" i="484" s="1"/>
  <c r="N107" i="484" s="1"/>
  <c r="L103" i="484"/>
  <c r="M103" i="484" s="1"/>
  <c r="N103" i="484" s="1"/>
  <c r="L99" i="484"/>
  <c r="M99" i="484" s="1"/>
  <c r="N99" i="484" s="1"/>
  <c r="L95" i="484"/>
  <c r="M95" i="484" s="1"/>
  <c r="N95" i="484" s="1"/>
  <c r="L91" i="484"/>
  <c r="M91" i="484" s="1"/>
  <c r="N91" i="484" s="1"/>
  <c r="L87" i="484"/>
  <c r="M87" i="484" s="1"/>
  <c r="N87" i="484" s="1"/>
  <c r="L83" i="484"/>
  <c r="M83" i="484" s="1"/>
  <c r="N83" i="484" s="1"/>
  <c r="L77" i="484"/>
  <c r="M77" i="484" s="1"/>
  <c r="N77" i="484" s="1"/>
  <c r="L69" i="484"/>
  <c r="M69" i="484" s="1"/>
  <c r="N69" i="484" s="1"/>
  <c r="L34" i="484"/>
  <c r="M34" i="484" s="1"/>
  <c r="N34" i="484" s="1"/>
  <c r="L68" i="484"/>
  <c r="M68" i="484" s="1"/>
  <c r="N68" i="484" s="1"/>
  <c r="L64" i="484"/>
  <c r="M64" i="484" s="1"/>
  <c r="N64" i="484" s="1"/>
  <c r="L60" i="484"/>
  <c r="M60" i="484" s="1"/>
  <c r="N60" i="484" s="1"/>
  <c r="L56" i="484"/>
  <c r="M56" i="484" s="1"/>
  <c r="N56" i="484" s="1"/>
  <c r="L52" i="484"/>
  <c r="M52" i="484" s="1"/>
  <c r="N52" i="484" s="1"/>
  <c r="L48" i="484"/>
  <c r="M48" i="484" s="1"/>
  <c r="N48" i="484" s="1"/>
  <c r="L41" i="484"/>
  <c r="M41" i="484" s="1"/>
  <c r="N41" i="484" s="1"/>
  <c r="L33" i="484"/>
  <c r="M33" i="484" s="1"/>
  <c r="N33" i="484" s="1"/>
  <c r="L44" i="484"/>
  <c r="M44" i="484" s="1"/>
  <c r="N44" i="484" s="1"/>
  <c r="L25" i="484"/>
  <c r="M25" i="484" s="1"/>
  <c r="N25" i="484" s="1"/>
  <c r="L21" i="484"/>
  <c r="M21" i="484" s="1"/>
  <c r="N21" i="484" s="1"/>
  <c r="L17" i="484"/>
  <c r="M17" i="484" s="1"/>
  <c r="N17" i="484" s="1"/>
  <c r="L13" i="484"/>
  <c r="M13" i="484" s="1"/>
  <c r="N13" i="484" s="1"/>
  <c r="L9" i="484"/>
  <c r="M9" i="484" s="1"/>
  <c r="N9" i="484" s="1"/>
  <c r="L5" i="484"/>
  <c r="M5" i="484" s="1"/>
  <c r="N5" i="484" s="1"/>
  <c r="L213" i="484"/>
  <c r="M213" i="484" s="1"/>
  <c r="N213" i="484" s="1"/>
  <c r="L217" i="484"/>
  <c r="M217" i="484" s="1"/>
  <c r="N217" i="484" s="1"/>
  <c r="L221" i="484"/>
  <c r="M221" i="484" s="1"/>
  <c r="N221" i="484" s="1"/>
  <c r="L225" i="484"/>
  <c r="M225" i="484" s="1"/>
  <c r="N225" i="484" s="1"/>
  <c r="L229" i="484"/>
  <c r="M229" i="484" s="1"/>
  <c r="N229" i="484" s="1"/>
  <c r="L236" i="484"/>
  <c r="M236" i="484" s="1"/>
  <c r="N236" i="484" s="1"/>
  <c r="L241" i="484"/>
  <c r="M241" i="484" s="1"/>
  <c r="N241" i="484" s="1"/>
  <c r="L245" i="484"/>
  <c r="M245" i="484" s="1"/>
  <c r="N245" i="484" s="1"/>
  <c r="L235" i="484"/>
  <c r="M235" i="484" s="1"/>
  <c r="N235" i="484" s="1"/>
  <c r="L242" i="484"/>
  <c r="M242" i="484" s="1"/>
  <c r="N242" i="484" s="1"/>
  <c r="L231" i="484"/>
  <c r="M231" i="484" s="1"/>
  <c r="N231" i="484" s="1"/>
  <c r="L200" i="484"/>
  <c r="M200" i="484" s="1"/>
  <c r="N200" i="484" s="1"/>
  <c r="L192" i="484"/>
  <c r="M192" i="484" s="1"/>
  <c r="N192" i="484" s="1"/>
  <c r="L199" i="484"/>
  <c r="M199" i="484" s="1"/>
  <c r="N199" i="484" s="1"/>
  <c r="L191" i="484"/>
  <c r="M191" i="484" s="1"/>
  <c r="N191" i="484" s="1"/>
  <c r="L206" i="484"/>
  <c r="M206" i="484" s="1"/>
  <c r="N206" i="484" s="1"/>
  <c r="L202" i="484"/>
  <c r="M202" i="484" s="1"/>
  <c r="N202" i="484" s="1"/>
  <c r="L187" i="484"/>
  <c r="M187" i="484" s="1"/>
  <c r="N187" i="484" s="1"/>
  <c r="L183" i="484"/>
  <c r="M183" i="484" s="1"/>
  <c r="N183" i="484" s="1"/>
  <c r="L179" i="484"/>
  <c r="M179" i="484" s="1"/>
  <c r="N179" i="484" s="1"/>
  <c r="L175" i="484"/>
  <c r="M175" i="484" s="1"/>
  <c r="N175" i="484" s="1"/>
  <c r="L171" i="484"/>
  <c r="M171" i="484" s="1"/>
  <c r="N171" i="484" s="1"/>
  <c r="L168" i="484"/>
  <c r="M168" i="484" s="1"/>
  <c r="N168" i="484" s="1"/>
  <c r="L164" i="484"/>
  <c r="M164" i="484" s="1"/>
  <c r="N164" i="484" s="1"/>
  <c r="L160" i="484"/>
  <c r="M160" i="484" s="1"/>
  <c r="N160" i="484" s="1"/>
  <c r="L156" i="484"/>
  <c r="M156" i="484" s="1"/>
  <c r="N156" i="484" s="1"/>
  <c r="L152" i="484"/>
  <c r="M152" i="484" s="1"/>
  <c r="N152" i="484" s="1"/>
  <c r="L148" i="484"/>
  <c r="M148" i="484" s="1"/>
  <c r="N148" i="484" s="1"/>
  <c r="L144" i="484"/>
  <c r="M144" i="484" s="1"/>
  <c r="N144" i="484" s="1"/>
  <c r="L140" i="484"/>
  <c r="M140" i="484" s="1"/>
  <c r="N140" i="484" s="1"/>
  <c r="L136" i="484"/>
  <c r="M136" i="484" s="1"/>
  <c r="N136" i="484" s="1"/>
  <c r="L132" i="484"/>
  <c r="M132" i="484" s="1"/>
  <c r="N132" i="484" s="1"/>
  <c r="L128" i="484"/>
  <c r="M128" i="484" s="1"/>
  <c r="N128" i="484" s="1"/>
  <c r="L124" i="484"/>
  <c r="M124" i="484" s="1"/>
  <c r="N124" i="484" s="1"/>
  <c r="L120" i="484"/>
  <c r="M120" i="484" s="1"/>
  <c r="N120" i="484" s="1"/>
  <c r="L115" i="484"/>
  <c r="M115" i="484" s="1"/>
  <c r="N115" i="484" s="1"/>
  <c r="L80" i="484"/>
  <c r="M80" i="484" s="1"/>
  <c r="N80" i="484" s="1"/>
  <c r="L72" i="484"/>
  <c r="M72" i="484" s="1"/>
  <c r="N72" i="484" s="1"/>
  <c r="L106" i="484"/>
  <c r="M106" i="484" s="1"/>
  <c r="N106" i="484" s="1"/>
  <c r="L102" i="484"/>
  <c r="M102" i="484" s="1"/>
  <c r="N102" i="484" s="1"/>
  <c r="L98" i="484"/>
  <c r="M98" i="484" s="1"/>
  <c r="N98" i="484" s="1"/>
  <c r="L94" i="484"/>
  <c r="M94" i="484" s="1"/>
  <c r="N94" i="484" s="1"/>
  <c r="L90" i="484"/>
  <c r="M90" i="484" s="1"/>
  <c r="N90" i="484" s="1"/>
  <c r="L86" i="484"/>
  <c r="M86" i="484" s="1"/>
  <c r="N86" i="484" s="1"/>
  <c r="L82" i="484"/>
  <c r="M82" i="484" s="1"/>
  <c r="N82" i="484" s="1"/>
  <c r="L75" i="484"/>
  <c r="M75" i="484" s="1"/>
  <c r="N75" i="484" s="1"/>
  <c r="L40" i="484"/>
  <c r="M40" i="484" s="1"/>
  <c r="N40" i="484" s="1"/>
  <c r="L32" i="484"/>
  <c r="M32" i="484" s="1"/>
  <c r="N32" i="484" s="1"/>
  <c r="L67" i="484"/>
  <c r="M67" i="484" s="1"/>
  <c r="N67" i="484" s="1"/>
  <c r="L63" i="484"/>
  <c r="M63" i="484" s="1"/>
  <c r="N63" i="484" s="1"/>
  <c r="L59" i="484"/>
  <c r="M59" i="484" s="1"/>
  <c r="N59" i="484" s="1"/>
  <c r="L55" i="484"/>
  <c r="M55" i="484" s="1"/>
  <c r="N55" i="484" s="1"/>
  <c r="L51" i="484"/>
  <c r="M51" i="484" s="1"/>
  <c r="N51" i="484" s="1"/>
  <c r="L47" i="484"/>
  <c r="M47" i="484" s="1"/>
  <c r="N47" i="484" s="1"/>
  <c r="L39" i="484"/>
  <c r="M39" i="484" s="1"/>
  <c r="N39" i="484" s="1"/>
  <c r="L31" i="484"/>
  <c r="M31" i="484" s="1"/>
  <c r="N31" i="484" s="1"/>
  <c r="L43" i="484"/>
  <c r="M43" i="484" s="1"/>
  <c r="N43" i="484" s="1"/>
  <c r="L24" i="484"/>
  <c r="M24" i="484" s="1"/>
  <c r="N24" i="484" s="1"/>
  <c r="L20" i="484"/>
  <c r="M20" i="484" s="1"/>
  <c r="N20" i="484" s="1"/>
  <c r="L16" i="484"/>
  <c r="M16" i="484" s="1"/>
  <c r="N16" i="484" s="1"/>
  <c r="L12" i="484"/>
  <c r="M12" i="484" s="1"/>
  <c r="N12" i="484" s="1"/>
  <c r="L8" i="484"/>
  <c r="M8" i="484" s="1"/>
  <c r="N8" i="484" s="1"/>
  <c r="L4" i="484"/>
  <c r="M4" i="484" s="1"/>
  <c r="N4" i="484" s="1"/>
  <c r="L214" i="484"/>
  <c r="M214" i="484" s="1"/>
  <c r="N214" i="484" s="1"/>
  <c r="L218" i="484"/>
  <c r="M218" i="484" s="1"/>
  <c r="N218" i="484" s="1"/>
  <c r="L222" i="484"/>
  <c r="M222" i="484" s="1"/>
  <c r="N222" i="484" s="1"/>
  <c r="L226" i="484"/>
  <c r="M226" i="484" s="1"/>
  <c r="N226" i="484" s="1"/>
  <c r="L230" i="484"/>
  <c r="M230" i="484" s="1"/>
  <c r="N230" i="484" s="1"/>
  <c r="L238" i="484"/>
  <c r="M238" i="484" s="1"/>
  <c r="N238" i="484" s="1"/>
  <c r="L209" i="484"/>
  <c r="M209" i="484" s="1"/>
  <c r="N209" i="484" s="1"/>
  <c r="L233" i="484"/>
  <c r="M233" i="484" s="1"/>
  <c r="N233" i="484" s="1"/>
  <c r="L198" i="484"/>
  <c r="M198" i="484" s="1"/>
  <c r="N198" i="484" s="1"/>
  <c r="L116" i="484"/>
  <c r="M116" i="484" s="1"/>
  <c r="N116" i="484" s="1"/>
  <c r="L197" i="484"/>
  <c r="M197" i="484" s="1"/>
  <c r="N197" i="484" s="1"/>
  <c r="L112" i="484"/>
  <c r="M112" i="484" s="1"/>
  <c r="N112" i="484" s="1"/>
  <c r="L205" i="484"/>
  <c r="M205" i="484" s="1"/>
  <c r="N205" i="484" s="1"/>
  <c r="L190" i="484"/>
  <c r="M190" i="484" s="1"/>
  <c r="N190" i="484" s="1"/>
  <c r="L186" i="484"/>
  <c r="M186" i="484" s="1"/>
  <c r="N186" i="484" s="1"/>
  <c r="L182" i="484"/>
  <c r="M182" i="484" s="1"/>
  <c r="N182" i="484" s="1"/>
  <c r="L178" i="484"/>
  <c r="M178" i="484" s="1"/>
  <c r="N178" i="484" s="1"/>
  <c r="L174" i="484"/>
  <c r="M174" i="484" s="1"/>
  <c r="N174" i="484" s="1"/>
  <c r="L170" i="484"/>
  <c r="M170" i="484" s="1"/>
  <c r="N170" i="484" s="1"/>
  <c r="L167" i="484"/>
  <c r="M167" i="484" s="1"/>
  <c r="N167" i="484" s="1"/>
  <c r="L163" i="484"/>
  <c r="M163" i="484" s="1"/>
  <c r="N163" i="484" s="1"/>
  <c r="L159" i="484"/>
  <c r="M159" i="484" s="1"/>
  <c r="N159" i="484" s="1"/>
  <c r="L155" i="484"/>
  <c r="M155" i="484" s="1"/>
  <c r="N155" i="484" s="1"/>
  <c r="L151" i="484"/>
  <c r="M151" i="484" s="1"/>
  <c r="N151" i="484" s="1"/>
  <c r="L147" i="484"/>
  <c r="M147" i="484" s="1"/>
  <c r="N147" i="484" s="1"/>
  <c r="L143" i="484"/>
  <c r="M143" i="484" s="1"/>
  <c r="N143" i="484" s="1"/>
  <c r="L139" i="484"/>
  <c r="M139" i="484" s="1"/>
  <c r="N139" i="484" s="1"/>
  <c r="L135" i="484"/>
  <c r="M135" i="484" s="1"/>
  <c r="N135" i="484" s="1"/>
  <c r="L131" i="484"/>
  <c r="M131" i="484" s="1"/>
  <c r="N131" i="484" s="1"/>
  <c r="L127" i="484"/>
  <c r="M127" i="484" s="1"/>
  <c r="N127" i="484" s="1"/>
  <c r="L123" i="484"/>
  <c r="M123" i="484" s="1"/>
  <c r="N123" i="484" s="1"/>
  <c r="L119" i="484"/>
  <c r="M119" i="484" s="1"/>
  <c r="N119" i="484" s="1"/>
  <c r="L113" i="484"/>
  <c r="M113" i="484" s="1"/>
  <c r="N113" i="484" s="1"/>
  <c r="L78" i="484"/>
  <c r="M78" i="484" s="1"/>
  <c r="N78" i="484" s="1"/>
  <c r="L70" i="484"/>
  <c r="M70" i="484" s="1"/>
  <c r="N70" i="484" s="1"/>
  <c r="L105" i="484"/>
  <c r="M105" i="484" s="1"/>
  <c r="N105" i="484" s="1"/>
  <c r="L101" i="484"/>
  <c r="M101" i="484" s="1"/>
  <c r="N101" i="484" s="1"/>
  <c r="L97" i="484"/>
  <c r="M97" i="484" s="1"/>
  <c r="N97" i="484" s="1"/>
  <c r="L93" i="484"/>
  <c r="M93" i="484" s="1"/>
  <c r="N93" i="484" s="1"/>
  <c r="L89" i="484"/>
  <c r="M89" i="484" s="1"/>
  <c r="N89" i="484" s="1"/>
  <c r="L85" i="484"/>
  <c r="M85" i="484" s="1"/>
  <c r="N85" i="484" s="1"/>
  <c r="L81" i="484"/>
  <c r="M81" i="484" s="1"/>
  <c r="N81" i="484" s="1"/>
  <c r="L73" i="484"/>
  <c r="M73" i="484" s="1"/>
  <c r="N73" i="484" s="1"/>
  <c r="L38" i="484"/>
  <c r="M38" i="484" s="1"/>
  <c r="N38" i="484" s="1"/>
  <c r="L30" i="484"/>
  <c r="M30" i="484" s="1"/>
  <c r="N30" i="484" s="1"/>
  <c r="L66" i="484"/>
  <c r="M66" i="484" s="1"/>
  <c r="N66" i="484" s="1"/>
  <c r="L62" i="484"/>
  <c r="M62" i="484" s="1"/>
  <c r="N62" i="484" s="1"/>
  <c r="L58" i="484"/>
  <c r="M58" i="484" s="1"/>
  <c r="N58" i="484" s="1"/>
  <c r="L54" i="484"/>
  <c r="M54" i="484" s="1"/>
  <c r="N54" i="484" s="1"/>
  <c r="L50" i="484"/>
  <c r="M50" i="484" s="1"/>
  <c r="N50" i="484" s="1"/>
  <c r="L46" i="484"/>
  <c r="M46" i="484" s="1"/>
  <c r="N46" i="484" s="1"/>
  <c r="L37" i="484"/>
  <c r="M37" i="484" s="1"/>
  <c r="N37" i="484" s="1"/>
  <c r="L29" i="484"/>
  <c r="M29" i="484" s="1"/>
  <c r="N29" i="484" s="1"/>
  <c r="L42" i="484"/>
  <c r="M42" i="484" s="1"/>
  <c r="N42" i="484" s="1"/>
  <c r="L23" i="484"/>
  <c r="M23" i="484" s="1"/>
  <c r="N23" i="484" s="1"/>
  <c r="L19" i="484"/>
  <c r="M19" i="484" s="1"/>
  <c r="N19" i="484" s="1"/>
  <c r="L15" i="484"/>
  <c r="M15" i="484" s="1"/>
  <c r="N15" i="484" s="1"/>
  <c r="L11" i="484"/>
  <c r="M11" i="484" s="1"/>
  <c r="N11" i="484" s="1"/>
  <c r="L7" i="484"/>
  <c r="M7" i="484" s="1"/>
  <c r="N7" i="484" s="1"/>
  <c r="L3" i="484"/>
  <c r="M3" i="484" s="1"/>
  <c r="N3" i="484" s="1"/>
  <c r="L215" i="484"/>
  <c r="M215" i="484" s="1"/>
  <c r="N215" i="484" s="1"/>
  <c r="L219" i="484"/>
  <c r="M219" i="484" s="1"/>
  <c r="N219" i="484" s="1"/>
  <c r="L223" i="484"/>
  <c r="M223" i="484" s="1"/>
  <c r="N223" i="484" s="1"/>
  <c r="L227" i="484"/>
  <c r="M227" i="484" s="1"/>
  <c r="N227" i="484" s="1"/>
  <c r="L232" i="484"/>
  <c r="M232" i="484" s="1"/>
  <c r="N232" i="484" s="1"/>
  <c r="L239" i="484"/>
  <c r="M239" i="484" s="1"/>
  <c r="N239" i="484" s="1"/>
  <c r="L243" i="484"/>
  <c r="M243" i="484" s="1"/>
  <c r="N243" i="484" s="1"/>
  <c r="L247" i="483"/>
  <c r="M247" i="483" s="1"/>
  <c r="N247" i="483" s="1"/>
  <c r="L217" i="483"/>
  <c r="M217" i="483" s="1"/>
  <c r="N217" i="483" s="1"/>
  <c r="L194" i="483"/>
  <c r="M194" i="483" s="1"/>
  <c r="N194" i="483" s="1"/>
  <c r="L198" i="483"/>
  <c r="M198" i="483" s="1"/>
  <c r="N198" i="483" s="1"/>
  <c r="L202" i="483"/>
  <c r="M202" i="483" s="1"/>
  <c r="N202" i="483" s="1"/>
  <c r="L206" i="483"/>
  <c r="M206" i="483" s="1"/>
  <c r="N206" i="483" s="1"/>
  <c r="L210" i="483"/>
  <c r="M210" i="483" s="1"/>
  <c r="N210" i="483" s="1"/>
  <c r="L214" i="483"/>
  <c r="M214" i="483" s="1"/>
  <c r="N214" i="483" s="1"/>
  <c r="L190" i="483"/>
  <c r="M190" i="483" s="1"/>
  <c r="N190" i="483" s="1"/>
  <c r="L196" i="483"/>
  <c r="M196" i="483" s="1"/>
  <c r="N196" i="483" s="1"/>
  <c r="L200" i="483"/>
  <c r="M200" i="483" s="1"/>
  <c r="N200" i="483" s="1"/>
  <c r="L204" i="483"/>
  <c r="M204" i="483" s="1"/>
  <c r="N204" i="483" s="1"/>
  <c r="L208" i="483"/>
  <c r="M208" i="483" s="1"/>
  <c r="N208" i="483" s="1"/>
  <c r="L212" i="483"/>
  <c r="M212" i="483" s="1"/>
  <c r="N212" i="483" s="1"/>
  <c r="L216" i="483"/>
  <c r="M216" i="483" s="1"/>
  <c r="N216" i="483" s="1"/>
  <c r="L195" i="483"/>
  <c r="M195" i="483" s="1"/>
  <c r="N195" i="483" s="1"/>
  <c r="L199" i="483"/>
  <c r="M199" i="483" s="1"/>
  <c r="N199" i="483" s="1"/>
  <c r="L203" i="483"/>
  <c r="M203" i="483" s="1"/>
  <c r="N203" i="483" s="1"/>
  <c r="L207" i="483"/>
  <c r="M207" i="483" s="1"/>
  <c r="N207" i="483" s="1"/>
  <c r="L211" i="483"/>
  <c r="M211" i="483" s="1"/>
  <c r="N211" i="483" s="1"/>
  <c r="L215" i="483"/>
  <c r="M215" i="483" s="1"/>
  <c r="N215" i="483" s="1"/>
  <c r="L102" i="483"/>
  <c r="M102" i="483" s="1"/>
  <c r="N102" i="483" s="1"/>
  <c r="L186" i="483"/>
  <c r="M186" i="483" s="1"/>
  <c r="N186" i="483" s="1"/>
  <c r="L182" i="483"/>
  <c r="M182" i="483" s="1"/>
  <c r="N182" i="483" s="1"/>
  <c r="L178" i="483"/>
  <c r="M178" i="483" s="1"/>
  <c r="N178" i="483" s="1"/>
  <c r="L174" i="483"/>
  <c r="M174" i="483" s="1"/>
  <c r="N174" i="483" s="1"/>
  <c r="L167" i="483"/>
  <c r="M167" i="483" s="1"/>
  <c r="N167" i="483" s="1"/>
  <c r="L115" i="483"/>
  <c r="M115" i="483" s="1"/>
  <c r="N115" i="483" s="1"/>
  <c r="L109" i="483"/>
  <c r="M109" i="483" s="1"/>
  <c r="N109" i="483" s="1"/>
  <c r="L168" i="483"/>
  <c r="M168" i="483" s="1"/>
  <c r="N168" i="483" s="1"/>
  <c r="L119" i="483"/>
  <c r="M119" i="483" s="1"/>
  <c r="N119" i="483" s="1"/>
  <c r="L98" i="483"/>
  <c r="M98" i="483" s="1"/>
  <c r="N98" i="483" s="1"/>
  <c r="L94" i="483"/>
  <c r="M94" i="483" s="1"/>
  <c r="N94" i="483" s="1"/>
  <c r="L90" i="483"/>
  <c r="M90" i="483" s="1"/>
  <c r="N90" i="483" s="1"/>
  <c r="L86" i="483"/>
  <c r="M86" i="483" s="1"/>
  <c r="N86" i="483" s="1"/>
  <c r="L161" i="483"/>
  <c r="M161" i="483" s="1"/>
  <c r="N161" i="483" s="1"/>
  <c r="L157" i="483"/>
  <c r="M157" i="483" s="1"/>
  <c r="N157" i="483" s="1"/>
  <c r="L153" i="483"/>
  <c r="M153" i="483" s="1"/>
  <c r="N153" i="483" s="1"/>
  <c r="L149" i="483"/>
  <c r="M149" i="483" s="1"/>
  <c r="N149" i="483" s="1"/>
  <c r="L145" i="483"/>
  <c r="M145" i="483" s="1"/>
  <c r="N145" i="483" s="1"/>
  <c r="L141" i="483"/>
  <c r="M141" i="483" s="1"/>
  <c r="N141" i="483" s="1"/>
  <c r="L137" i="483"/>
  <c r="M137" i="483" s="1"/>
  <c r="N137" i="483" s="1"/>
  <c r="L133" i="483"/>
  <c r="M133" i="483" s="1"/>
  <c r="N133" i="483" s="1"/>
  <c r="L129" i="483"/>
  <c r="M129" i="483" s="1"/>
  <c r="N129" i="483" s="1"/>
  <c r="L125" i="483"/>
  <c r="M125" i="483" s="1"/>
  <c r="N125" i="483" s="1"/>
  <c r="L122" i="483"/>
  <c r="M122" i="483" s="1"/>
  <c r="N122" i="483" s="1"/>
  <c r="L114" i="483"/>
  <c r="M114" i="483" s="1"/>
  <c r="N114" i="483" s="1"/>
  <c r="L106" i="483"/>
  <c r="M106" i="483" s="1"/>
  <c r="N106" i="483" s="1"/>
  <c r="L46" i="483"/>
  <c r="M46" i="483" s="1"/>
  <c r="N46" i="483" s="1"/>
  <c r="L42" i="483"/>
  <c r="M42" i="483" s="1"/>
  <c r="N42" i="483" s="1"/>
  <c r="L82" i="483"/>
  <c r="M82" i="483" s="1"/>
  <c r="N82" i="483" s="1"/>
  <c r="L78" i="483"/>
  <c r="M78" i="483" s="1"/>
  <c r="N78" i="483" s="1"/>
  <c r="L74" i="483"/>
  <c r="M74" i="483" s="1"/>
  <c r="N74" i="483" s="1"/>
  <c r="L70" i="483"/>
  <c r="M70" i="483" s="1"/>
  <c r="N70" i="483" s="1"/>
  <c r="L66" i="483"/>
  <c r="M66" i="483" s="1"/>
  <c r="N66" i="483" s="1"/>
  <c r="L63" i="483"/>
  <c r="M63" i="483" s="1"/>
  <c r="N63" i="483" s="1"/>
  <c r="L55" i="483"/>
  <c r="M55" i="483" s="1"/>
  <c r="N55" i="483" s="1"/>
  <c r="L47" i="483"/>
  <c r="M47" i="483" s="1"/>
  <c r="N47" i="483" s="1"/>
  <c r="L36" i="483"/>
  <c r="M36" i="483" s="1"/>
  <c r="N36" i="483" s="1"/>
  <c r="L32" i="483"/>
  <c r="M32" i="483" s="1"/>
  <c r="N32" i="483" s="1"/>
  <c r="L28" i="483"/>
  <c r="M28" i="483" s="1"/>
  <c r="N28" i="483" s="1"/>
  <c r="L24" i="483"/>
  <c r="M24" i="483" s="1"/>
  <c r="N24" i="483" s="1"/>
  <c r="L20" i="483"/>
  <c r="M20" i="483" s="1"/>
  <c r="N20" i="483" s="1"/>
  <c r="L16" i="483"/>
  <c r="M16" i="483" s="1"/>
  <c r="N16" i="483" s="1"/>
  <c r="L12" i="483"/>
  <c r="M12" i="483" s="1"/>
  <c r="N12" i="483" s="1"/>
  <c r="L8" i="483"/>
  <c r="M8" i="483" s="1"/>
  <c r="N8" i="483" s="1"/>
  <c r="L4" i="483"/>
  <c r="M4" i="483" s="1"/>
  <c r="N4" i="483" s="1"/>
  <c r="L2" i="483"/>
  <c r="L218" i="483"/>
  <c r="M218" i="483" s="1"/>
  <c r="N218" i="483" s="1"/>
  <c r="L220" i="483"/>
  <c r="M220" i="483" s="1"/>
  <c r="N220" i="483" s="1"/>
  <c r="L222" i="483"/>
  <c r="M222" i="483" s="1"/>
  <c r="N222" i="483" s="1"/>
  <c r="L224" i="483"/>
  <c r="M224" i="483" s="1"/>
  <c r="N224" i="483" s="1"/>
  <c r="L226" i="483"/>
  <c r="M226" i="483" s="1"/>
  <c r="N226" i="483" s="1"/>
  <c r="L228" i="483"/>
  <c r="M228" i="483" s="1"/>
  <c r="N228" i="483" s="1"/>
  <c r="L230" i="483"/>
  <c r="M230" i="483" s="1"/>
  <c r="N230" i="483" s="1"/>
  <c r="L232" i="483"/>
  <c r="M232" i="483" s="1"/>
  <c r="N232" i="483" s="1"/>
  <c r="L234" i="483"/>
  <c r="M234" i="483" s="1"/>
  <c r="N234" i="483" s="1"/>
  <c r="L236" i="483"/>
  <c r="M236" i="483" s="1"/>
  <c r="N236" i="483" s="1"/>
  <c r="L238" i="483"/>
  <c r="M238" i="483" s="1"/>
  <c r="N238" i="483" s="1"/>
  <c r="L240" i="483"/>
  <c r="M240" i="483" s="1"/>
  <c r="N240" i="483" s="1"/>
  <c r="L242" i="483"/>
  <c r="M242" i="483" s="1"/>
  <c r="N242" i="483" s="1"/>
  <c r="L244" i="483"/>
  <c r="M244" i="483" s="1"/>
  <c r="N244" i="483" s="1"/>
  <c r="L246" i="483"/>
  <c r="M246" i="483" s="1"/>
  <c r="N246" i="483" s="1"/>
  <c r="L191" i="483"/>
  <c r="M191" i="483" s="1"/>
  <c r="N191" i="483" s="1"/>
  <c r="L248" i="483"/>
  <c r="M248" i="483" s="1"/>
  <c r="N248" i="483" s="1"/>
  <c r="L121" i="483"/>
  <c r="M121" i="483" s="1"/>
  <c r="N121" i="483" s="1"/>
  <c r="L189" i="483"/>
  <c r="M189" i="483" s="1"/>
  <c r="N189" i="483" s="1"/>
  <c r="L185" i="483"/>
  <c r="M185" i="483" s="1"/>
  <c r="N185" i="483" s="1"/>
  <c r="L181" i="483"/>
  <c r="M181" i="483" s="1"/>
  <c r="N181" i="483" s="1"/>
  <c r="L177" i="483"/>
  <c r="M177" i="483" s="1"/>
  <c r="N177" i="483" s="1"/>
  <c r="L173" i="483"/>
  <c r="M173" i="483" s="1"/>
  <c r="N173" i="483" s="1"/>
  <c r="L165" i="483"/>
  <c r="M165" i="483" s="1"/>
  <c r="N165" i="483" s="1"/>
  <c r="L107" i="483"/>
  <c r="M107" i="483" s="1"/>
  <c r="N107" i="483" s="1"/>
  <c r="L100" i="483"/>
  <c r="M100" i="483" s="1"/>
  <c r="N100" i="483" s="1"/>
  <c r="L166" i="483"/>
  <c r="M166" i="483" s="1"/>
  <c r="N166" i="483" s="1"/>
  <c r="L111" i="483"/>
  <c r="M111" i="483" s="1"/>
  <c r="N111" i="483" s="1"/>
  <c r="L97" i="483"/>
  <c r="M97" i="483" s="1"/>
  <c r="N97" i="483" s="1"/>
  <c r="L93" i="483"/>
  <c r="M93" i="483" s="1"/>
  <c r="N93" i="483" s="1"/>
  <c r="L89" i="483"/>
  <c r="M89" i="483" s="1"/>
  <c r="N89" i="483" s="1"/>
  <c r="L85" i="483"/>
  <c r="M85" i="483" s="1"/>
  <c r="N85" i="483" s="1"/>
  <c r="L160" i="483"/>
  <c r="M160" i="483" s="1"/>
  <c r="N160" i="483" s="1"/>
  <c r="L156" i="483"/>
  <c r="M156" i="483" s="1"/>
  <c r="N156" i="483" s="1"/>
  <c r="L152" i="483"/>
  <c r="M152" i="483" s="1"/>
  <c r="N152" i="483" s="1"/>
  <c r="L148" i="483"/>
  <c r="M148" i="483" s="1"/>
  <c r="N148" i="483" s="1"/>
  <c r="L144" i="483"/>
  <c r="M144" i="483" s="1"/>
  <c r="N144" i="483" s="1"/>
  <c r="L140" i="483"/>
  <c r="M140" i="483" s="1"/>
  <c r="N140" i="483" s="1"/>
  <c r="L136" i="483"/>
  <c r="M136" i="483" s="1"/>
  <c r="N136" i="483" s="1"/>
  <c r="L132" i="483"/>
  <c r="M132" i="483" s="1"/>
  <c r="N132" i="483" s="1"/>
  <c r="L128" i="483"/>
  <c r="M128" i="483" s="1"/>
  <c r="N128" i="483" s="1"/>
  <c r="L124" i="483"/>
  <c r="M124" i="483" s="1"/>
  <c r="N124" i="483" s="1"/>
  <c r="L120" i="483"/>
  <c r="M120" i="483" s="1"/>
  <c r="N120" i="483" s="1"/>
  <c r="L112" i="483"/>
  <c r="M112" i="483" s="1"/>
  <c r="N112" i="483" s="1"/>
  <c r="L104" i="483"/>
  <c r="M104" i="483" s="1"/>
  <c r="N104" i="483" s="1"/>
  <c r="L64" i="483"/>
  <c r="M64" i="483" s="1"/>
  <c r="N64" i="483" s="1"/>
  <c r="L38" i="483"/>
  <c r="M38" i="483" s="1"/>
  <c r="N38" i="483" s="1"/>
  <c r="L81" i="483"/>
  <c r="M81" i="483" s="1"/>
  <c r="N81" i="483" s="1"/>
  <c r="L77" i="483"/>
  <c r="M77" i="483" s="1"/>
  <c r="N77" i="483" s="1"/>
  <c r="L73" i="483"/>
  <c r="M73" i="483" s="1"/>
  <c r="N73" i="483" s="1"/>
  <c r="L69" i="483"/>
  <c r="M69" i="483" s="1"/>
  <c r="N69" i="483" s="1"/>
  <c r="L65" i="483"/>
  <c r="M65" i="483" s="1"/>
  <c r="N65" i="483" s="1"/>
  <c r="L61" i="483"/>
  <c r="M61" i="483" s="1"/>
  <c r="N61" i="483" s="1"/>
  <c r="L53" i="483"/>
  <c r="M53" i="483" s="1"/>
  <c r="N53" i="483" s="1"/>
  <c r="L45" i="483"/>
  <c r="M45" i="483" s="1"/>
  <c r="N45" i="483" s="1"/>
  <c r="L35" i="483"/>
  <c r="M35" i="483" s="1"/>
  <c r="N35" i="483" s="1"/>
  <c r="L31" i="483"/>
  <c r="M31" i="483" s="1"/>
  <c r="N31" i="483" s="1"/>
  <c r="L27" i="483"/>
  <c r="M27" i="483" s="1"/>
  <c r="N27" i="483" s="1"/>
  <c r="L23" i="483"/>
  <c r="M23" i="483" s="1"/>
  <c r="N23" i="483" s="1"/>
  <c r="L19" i="483"/>
  <c r="M19" i="483" s="1"/>
  <c r="N19" i="483" s="1"/>
  <c r="L15" i="483"/>
  <c r="M15" i="483" s="1"/>
  <c r="N15" i="483" s="1"/>
  <c r="L11" i="483"/>
  <c r="M11" i="483" s="1"/>
  <c r="N11" i="483" s="1"/>
  <c r="L7" i="483"/>
  <c r="M7" i="483" s="1"/>
  <c r="N7" i="483" s="1"/>
  <c r="L3" i="483"/>
  <c r="M3" i="483" s="1"/>
  <c r="N3" i="483" s="1"/>
  <c r="L192" i="483"/>
  <c r="M192" i="483" s="1"/>
  <c r="N192" i="483" s="1"/>
  <c r="L193" i="483"/>
  <c r="M193" i="483" s="1"/>
  <c r="N193" i="483" s="1"/>
  <c r="L197" i="483"/>
  <c r="M197" i="483" s="1"/>
  <c r="N197" i="483" s="1"/>
  <c r="L201" i="483"/>
  <c r="M201" i="483" s="1"/>
  <c r="N201" i="483" s="1"/>
  <c r="L205" i="483"/>
  <c r="M205" i="483" s="1"/>
  <c r="N205" i="483" s="1"/>
  <c r="L209" i="483"/>
  <c r="M209" i="483" s="1"/>
  <c r="N209" i="483" s="1"/>
  <c r="L213" i="483"/>
  <c r="M213" i="483" s="1"/>
  <c r="N213" i="483" s="1"/>
  <c r="L113" i="483"/>
  <c r="M113" i="483" s="1"/>
  <c r="N113" i="483" s="1"/>
  <c r="L188" i="483"/>
  <c r="M188" i="483" s="1"/>
  <c r="N188" i="483" s="1"/>
  <c r="L184" i="483"/>
  <c r="M184" i="483" s="1"/>
  <c r="N184" i="483" s="1"/>
  <c r="L180" i="483"/>
  <c r="M180" i="483" s="1"/>
  <c r="N180" i="483" s="1"/>
  <c r="L176" i="483"/>
  <c r="M176" i="483" s="1"/>
  <c r="N176" i="483" s="1"/>
  <c r="L171" i="483"/>
  <c r="M171" i="483" s="1"/>
  <c r="N171" i="483" s="1"/>
  <c r="L163" i="483"/>
  <c r="M163" i="483" s="1"/>
  <c r="N163" i="483" s="1"/>
  <c r="L101" i="483"/>
  <c r="M101" i="483" s="1"/>
  <c r="N101" i="483" s="1"/>
  <c r="L172" i="483"/>
  <c r="M172" i="483" s="1"/>
  <c r="N172" i="483" s="1"/>
  <c r="L164" i="483"/>
  <c r="M164" i="483" s="1"/>
  <c r="N164" i="483" s="1"/>
  <c r="L103" i="483"/>
  <c r="M103" i="483" s="1"/>
  <c r="N103" i="483" s="1"/>
  <c r="L96" i="483"/>
  <c r="M96" i="483" s="1"/>
  <c r="N96" i="483" s="1"/>
  <c r="L92" i="483"/>
  <c r="M92" i="483" s="1"/>
  <c r="N92" i="483" s="1"/>
  <c r="L88" i="483"/>
  <c r="M88" i="483" s="1"/>
  <c r="N88" i="483" s="1"/>
  <c r="L58" i="483"/>
  <c r="M58" i="483" s="1"/>
  <c r="N58" i="483" s="1"/>
  <c r="L159" i="483"/>
  <c r="M159" i="483" s="1"/>
  <c r="N159" i="483" s="1"/>
  <c r="L155" i="483"/>
  <c r="M155" i="483" s="1"/>
  <c r="N155" i="483" s="1"/>
  <c r="L151" i="483"/>
  <c r="M151" i="483" s="1"/>
  <c r="N151" i="483" s="1"/>
  <c r="L147" i="483"/>
  <c r="M147" i="483" s="1"/>
  <c r="N147" i="483" s="1"/>
  <c r="L143" i="483"/>
  <c r="M143" i="483" s="1"/>
  <c r="N143" i="483" s="1"/>
  <c r="L139" i="483"/>
  <c r="M139" i="483" s="1"/>
  <c r="N139" i="483" s="1"/>
  <c r="L135" i="483"/>
  <c r="M135" i="483" s="1"/>
  <c r="N135" i="483" s="1"/>
  <c r="L131" i="483"/>
  <c r="M131" i="483" s="1"/>
  <c r="N131" i="483" s="1"/>
  <c r="L127" i="483"/>
  <c r="M127" i="483" s="1"/>
  <c r="N127" i="483" s="1"/>
  <c r="L60" i="483"/>
  <c r="M60" i="483" s="1"/>
  <c r="N60" i="483" s="1"/>
  <c r="L118" i="483"/>
  <c r="M118" i="483" s="1"/>
  <c r="N118" i="483" s="1"/>
  <c r="L110" i="483"/>
  <c r="M110" i="483" s="1"/>
  <c r="N110" i="483" s="1"/>
  <c r="L62" i="483"/>
  <c r="M62" i="483" s="1"/>
  <c r="N62" i="483" s="1"/>
  <c r="L56" i="483"/>
  <c r="M56" i="483" s="1"/>
  <c r="N56" i="483" s="1"/>
  <c r="L84" i="483"/>
  <c r="M84" i="483" s="1"/>
  <c r="N84" i="483" s="1"/>
  <c r="L80" i="483"/>
  <c r="M80" i="483" s="1"/>
  <c r="N80" i="483" s="1"/>
  <c r="L76" i="483"/>
  <c r="M76" i="483" s="1"/>
  <c r="N76" i="483" s="1"/>
  <c r="L72" i="483"/>
  <c r="M72" i="483" s="1"/>
  <c r="N72" i="483" s="1"/>
  <c r="L68" i="483"/>
  <c r="M68" i="483" s="1"/>
  <c r="N68" i="483" s="1"/>
  <c r="L40" i="483"/>
  <c r="M40" i="483" s="1"/>
  <c r="N40" i="483" s="1"/>
  <c r="L59" i="483"/>
  <c r="M59" i="483" s="1"/>
  <c r="N59" i="483" s="1"/>
  <c r="L51" i="483"/>
  <c r="M51" i="483" s="1"/>
  <c r="N51" i="483" s="1"/>
  <c r="L44" i="483"/>
  <c r="M44" i="483" s="1"/>
  <c r="N44" i="483" s="1"/>
  <c r="L34" i="483"/>
  <c r="M34" i="483" s="1"/>
  <c r="N34" i="483" s="1"/>
  <c r="L30" i="483"/>
  <c r="M30" i="483" s="1"/>
  <c r="N30" i="483" s="1"/>
  <c r="L26" i="483"/>
  <c r="M26" i="483" s="1"/>
  <c r="N26" i="483" s="1"/>
  <c r="L22" i="483"/>
  <c r="M22" i="483" s="1"/>
  <c r="N22" i="483" s="1"/>
  <c r="L18" i="483"/>
  <c r="M18" i="483" s="1"/>
  <c r="N18" i="483" s="1"/>
  <c r="L14" i="483"/>
  <c r="M14" i="483" s="1"/>
  <c r="N14" i="483" s="1"/>
  <c r="L10" i="483"/>
  <c r="M10" i="483" s="1"/>
  <c r="N10" i="483" s="1"/>
  <c r="L6" i="483"/>
  <c r="M6" i="483" s="1"/>
  <c r="N6" i="483" s="1"/>
  <c r="L43" i="483"/>
  <c r="M43" i="483" s="1"/>
  <c r="N43" i="483" s="1"/>
  <c r="L219" i="483"/>
  <c r="M219" i="483" s="1"/>
  <c r="N219" i="483" s="1"/>
  <c r="L221" i="483"/>
  <c r="M221" i="483" s="1"/>
  <c r="N221" i="483" s="1"/>
  <c r="L223" i="483"/>
  <c r="M223" i="483" s="1"/>
  <c r="N223" i="483" s="1"/>
  <c r="L225" i="483"/>
  <c r="M225" i="483" s="1"/>
  <c r="N225" i="483" s="1"/>
  <c r="L227" i="483"/>
  <c r="M227" i="483" s="1"/>
  <c r="N227" i="483" s="1"/>
  <c r="L229" i="483"/>
  <c r="M229" i="483" s="1"/>
  <c r="N229" i="483" s="1"/>
  <c r="L231" i="483"/>
  <c r="M231" i="483" s="1"/>
  <c r="N231" i="483" s="1"/>
  <c r="L233" i="483"/>
  <c r="M233" i="483" s="1"/>
  <c r="N233" i="483" s="1"/>
  <c r="L235" i="483"/>
  <c r="M235" i="483" s="1"/>
  <c r="N235" i="483" s="1"/>
  <c r="L237" i="483"/>
  <c r="M237" i="483" s="1"/>
  <c r="N237" i="483" s="1"/>
  <c r="L239" i="483"/>
  <c r="M239" i="483" s="1"/>
  <c r="N239" i="483" s="1"/>
  <c r="L241" i="483"/>
  <c r="M241" i="483" s="1"/>
  <c r="N241" i="483" s="1"/>
  <c r="L243" i="483"/>
  <c r="M243" i="483" s="1"/>
  <c r="N243" i="483" s="1"/>
  <c r="L245" i="483"/>
  <c r="M245" i="483" s="1"/>
  <c r="N245" i="483" s="1"/>
  <c r="L105" i="483"/>
  <c r="M105" i="483" s="1"/>
  <c r="N105" i="483" s="1"/>
  <c r="L187" i="483"/>
  <c r="M187" i="483" s="1"/>
  <c r="N187" i="483" s="1"/>
  <c r="L183" i="483"/>
  <c r="M183" i="483" s="1"/>
  <c r="N183" i="483" s="1"/>
  <c r="L179" i="483"/>
  <c r="M179" i="483" s="1"/>
  <c r="N179" i="483" s="1"/>
  <c r="L175" i="483"/>
  <c r="M175" i="483" s="1"/>
  <c r="N175" i="483" s="1"/>
  <c r="L169" i="483"/>
  <c r="M169" i="483" s="1"/>
  <c r="N169" i="483" s="1"/>
  <c r="L123" i="483"/>
  <c r="M123" i="483" s="1"/>
  <c r="N123" i="483" s="1"/>
  <c r="L117" i="483"/>
  <c r="M117" i="483" s="1"/>
  <c r="N117" i="483" s="1"/>
  <c r="L170" i="483"/>
  <c r="M170" i="483" s="1"/>
  <c r="N170" i="483" s="1"/>
  <c r="L162" i="483"/>
  <c r="M162" i="483" s="1"/>
  <c r="N162" i="483" s="1"/>
  <c r="L99" i="483"/>
  <c r="M99" i="483" s="1"/>
  <c r="N99" i="483" s="1"/>
  <c r="L95" i="483"/>
  <c r="M95" i="483" s="1"/>
  <c r="N95" i="483" s="1"/>
  <c r="L91" i="483"/>
  <c r="M91" i="483" s="1"/>
  <c r="N91" i="483" s="1"/>
  <c r="L87" i="483"/>
  <c r="M87" i="483" s="1"/>
  <c r="N87" i="483" s="1"/>
  <c r="L50" i="483"/>
  <c r="M50" i="483" s="1"/>
  <c r="N50" i="483" s="1"/>
  <c r="L158" i="483"/>
  <c r="M158" i="483" s="1"/>
  <c r="N158" i="483" s="1"/>
  <c r="L154" i="483"/>
  <c r="M154" i="483" s="1"/>
  <c r="N154" i="483" s="1"/>
  <c r="L150" i="483"/>
  <c r="M150" i="483" s="1"/>
  <c r="N150" i="483" s="1"/>
  <c r="L146" i="483"/>
  <c r="M146" i="483" s="1"/>
  <c r="N146" i="483" s="1"/>
  <c r="L142" i="483"/>
  <c r="M142" i="483" s="1"/>
  <c r="N142" i="483" s="1"/>
  <c r="L138" i="483"/>
  <c r="M138" i="483" s="1"/>
  <c r="N138" i="483" s="1"/>
  <c r="L134" i="483"/>
  <c r="M134" i="483" s="1"/>
  <c r="N134" i="483" s="1"/>
  <c r="L130" i="483"/>
  <c r="M130" i="483" s="1"/>
  <c r="N130" i="483" s="1"/>
  <c r="L126" i="483"/>
  <c r="M126" i="483" s="1"/>
  <c r="N126" i="483" s="1"/>
  <c r="L52" i="483"/>
  <c r="M52" i="483" s="1"/>
  <c r="N52" i="483" s="1"/>
  <c r="L116" i="483"/>
  <c r="M116" i="483" s="1"/>
  <c r="N116" i="483" s="1"/>
  <c r="L108" i="483"/>
  <c r="M108" i="483" s="1"/>
  <c r="N108" i="483" s="1"/>
  <c r="L54" i="483"/>
  <c r="M54" i="483" s="1"/>
  <c r="N54" i="483" s="1"/>
  <c r="L48" i="483"/>
  <c r="M48" i="483" s="1"/>
  <c r="N48" i="483" s="1"/>
  <c r="L83" i="483"/>
  <c r="M83" i="483" s="1"/>
  <c r="N83" i="483" s="1"/>
  <c r="L79" i="483"/>
  <c r="M79" i="483" s="1"/>
  <c r="N79" i="483" s="1"/>
  <c r="L75" i="483"/>
  <c r="M75" i="483" s="1"/>
  <c r="N75" i="483" s="1"/>
  <c r="L71" i="483"/>
  <c r="M71" i="483" s="1"/>
  <c r="N71" i="483" s="1"/>
  <c r="L67" i="483"/>
  <c r="M67" i="483" s="1"/>
  <c r="N67" i="483" s="1"/>
  <c r="L39" i="483"/>
  <c r="M39" i="483" s="1"/>
  <c r="N39" i="483" s="1"/>
  <c r="L57" i="483"/>
  <c r="M57" i="483" s="1"/>
  <c r="N57" i="483" s="1"/>
  <c r="L49" i="483"/>
  <c r="M49" i="483" s="1"/>
  <c r="N49" i="483" s="1"/>
  <c r="L37" i="483"/>
  <c r="M37" i="483" s="1"/>
  <c r="N37" i="483" s="1"/>
  <c r="L33" i="483"/>
  <c r="M33" i="483" s="1"/>
  <c r="N33" i="483" s="1"/>
  <c r="L29" i="483"/>
  <c r="M29" i="483" s="1"/>
  <c r="N29" i="483" s="1"/>
  <c r="L25" i="483"/>
  <c r="M25" i="483" s="1"/>
  <c r="N25" i="483" s="1"/>
  <c r="L21" i="483"/>
  <c r="M21" i="483" s="1"/>
  <c r="N21" i="483" s="1"/>
  <c r="L17" i="483"/>
  <c r="M17" i="483" s="1"/>
  <c r="N17" i="483" s="1"/>
  <c r="L13" i="483"/>
  <c r="M13" i="483" s="1"/>
  <c r="N13" i="483" s="1"/>
  <c r="L9" i="483"/>
  <c r="M9" i="483" s="1"/>
  <c r="N9" i="483" s="1"/>
  <c r="L5" i="483"/>
  <c r="M5" i="483" s="1"/>
  <c r="N5" i="483" s="1"/>
  <c r="L41" i="483"/>
  <c r="M41" i="483" s="1"/>
  <c r="N41" i="483" s="1"/>
  <c r="L211" i="482"/>
  <c r="M211" i="482" s="1"/>
  <c r="N211" i="482" s="1"/>
  <c r="L214" i="482"/>
  <c r="M214" i="482" s="1"/>
  <c r="N214" i="482" s="1"/>
  <c r="L210" i="482"/>
  <c r="M210" i="482" s="1"/>
  <c r="N210" i="482" s="1"/>
  <c r="L237" i="482"/>
  <c r="M237" i="482" s="1"/>
  <c r="N237" i="482" s="1"/>
  <c r="L212" i="482"/>
  <c r="M212" i="482" s="1"/>
  <c r="N212" i="482" s="1"/>
  <c r="L219" i="482"/>
  <c r="M219" i="482" s="1"/>
  <c r="N219" i="482" s="1"/>
  <c r="L213" i="482"/>
  <c r="M213" i="482" s="1"/>
  <c r="N213" i="482" s="1"/>
  <c r="L193" i="482"/>
  <c r="M193" i="482" s="1"/>
  <c r="N193" i="482" s="1"/>
  <c r="L201" i="482"/>
  <c r="M201" i="482" s="1"/>
  <c r="N201" i="482" s="1"/>
  <c r="L209" i="482"/>
  <c r="M209" i="482" s="1"/>
  <c r="N209" i="482" s="1"/>
  <c r="L130" i="482"/>
  <c r="M130" i="482" s="1"/>
  <c r="N130" i="482" s="1"/>
  <c r="L141" i="482"/>
  <c r="M141" i="482" s="1"/>
  <c r="N141" i="482" s="1"/>
  <c r="L191" i="482"/>
  <c r="M191" i="482" s="1"/>
  <c r="N191" i="482" s="1"/>
  <c r="L187" i="482"/>
  <c r="M187" i="482" s="1"/>
  <c r="N187" i="482" s="1"/>
  <c r="L183" i="482"/>
  <c r="M183" i="482" s="1"/>
  <c r="N183" i="482" s="1"/>
  <c r="L179" i="482"/>
  <c r="M179" i="482" s="1"/>
  <c r="N179" i="482" s="1"/>
  <c r="L175" i="482"/>
  <c r="M175" i="482" s="1"/>
  <c r="N175" i="482" s="1"/>
  <c r="L171" i="482"/>
  <c r="M171" i="482" s="1"/>
  <c r="N171" i="482" s="1"/>
  <c r="L167" i="482"/>
  <c r="M167" i="482" s="1"/>
  <c r="N167" i="482" s="1"/>
  <c r="L163" i="482"/>
  <c r="M163" i="482" s="1"/>
  <c r="N163" i="482" s="1"/>
  <c r="L159" i="482"/>
  <c r="M159" i="482" s="1"/>
  <c r="N159" i="482" s="1"/>
  <c r="L155" i="482"/>
  <c r="M155" i="482" s="1"/>
  <c r="N155" i="482" s="1"/>
  <c r="L151" i="482"/>
  <c r="M151" i="482" s="1"/>
  <c r="N151" i="482" s="1"/>
  <c r="L147" i="482"/>
  <c r="M147" i="482" s="1"/>
  <c r="N147" i="482" s="1"/>
  <c r="L143" i="482"/>
  <c r="M143" i="482" s="1"/>
  <c r="N143" i="482" s="1"/>
  <c r="L129" i="482"/>
  <c r="M129" i="482" s="1"/>
  <c r="N129" i="482" s="1"/>
  <c r="L140" i="482"/>
  <c r="M140" i="482" s="1"/>
  <c r="N140" i="482" s="1"/>
  <c r="L121" i="482"/>
  <c r="M121" i="482" s="1"/>
  <c r="N121" i="482" s="1"/>
  <c r="L117" i="482"/>
  <c r="M117" i="482" s="1"/>
  <c r="N117" i="482" s="1"/>
  <c r="L113" i="482"/>
  <c r="M113" i="482" s="1"/>
  <c r="N113" i="482" s="1"/>
  <c r="L109" i="482"/>
  <c r="M109" i="482" s="1"/>
  <c r="N109" i="482" s="1"/>
  <c r="L105" i="482"/>
  <c r="M105" i="482" s="1"/>
  <c r="N105" i="482" s="1"/>
  <c r="L101" i="482"/>
  <c r="M101" i="482" s="1"/>
  <c r="N101" i="482" s="1"/>
  <c r="L97" i="482"/>
  <c r="M97" i="482" s="1"/>
  <c r="N97" i="482" s="1"/>
  <c r="L75" i="482"/>
  <c r="M75" i="482" s="1"/>
  <c r="N75" i="482" s="1"/>
  <c r="L71" i="482"/>
  <c r="M71" i="482" s="1"/>
  <c r="N71" i="482" s="1"/>
  <c r="L67" i="482"/>
  <c r="M67" i="482" s="1"/>
  <c r="N67" i="482" s="1"/>
  <c r="L76" i="482"/>
  <c r="M76" i="482" s="1"/>
  <c r="N76" i="482" s="1"/>
  <c r="L91" i="482"/>
  <c r="M91" i="482" s="1"/>
  <c r="N91" i="482" s="1"/>
  <c r="L87" i="482"/>
  <c r="M87" i="482" s="1"/>
  <c r="N87" i="482" s="1"/>
  <c r="L83" i="482"/>
  <c r="M83" i="482" s="1"/>
  <c r="N83" i="482" s="1"/>
  <c r="L79" i="482"/>
  <c r="M79" i="482" s="1"/>
  <c r="N79" i="482" s="1"/>
  <c r="L38" i="482"/>
  <c r="M38" i="482" s="1"/>
  <c r="N38" i="482" s="1"/>
  <c r="L30" i="482"/>
  <c r="M30" i="482" s="1"/>
  <c r="N30" i="482" s="1"/>
  <c r="L22" i="482"/>
  <c r="M22" i="482" s="1"/>
  <c r="N22" i="482" s="1"/>
  <c r="L14" i="482"/>
  <c r="M14" i="482" s="1"/>
  <c r="N14" i="482" s="1"/>
  <c r="L6" i="482"/>
  <c r="M6" i="482" s="1"/>
  <c r="N6" i="482" s="1"/>
  <c r="L63" i="482"/>
  <c r="M63" i="482" s="1"/>
  <c r="N63" i="482" s="1"/>
  <c r="L59" i="482"/>
  <c r="M59" i="482" s="1"/>
  <c r="N59" i="482" s="1"/>
  <c r="L55" i="482"/>
  <c r="M55" i="482" s="1"/>
  <c r="N55" i="482" s="1"/>
  <c r="L51" i="482"/>
  <c r="M51" i="482" s="1"/>
  <c r="N51" i="482" s="1"/>
  <c r="L47" i="482"/>
  <c r="M47" i="482" s="1"/>
  <c r="N47" i="482" s="1"/>
  <c r="L39" i="482"/>
  <c r="M39" i="482" s="1"/>
  <c r="N39" i="482" s="1"/>
  <c r="L31" i="482"/>
  <c r="M31" i="482" s="1"/>
  <c r="N31" i="482" s="1"/>
  <c r="L23" i="482"/>
  <c r="M23" i="482" s="1"/>
  <c r="N23" i="482" s="1"/>
  <c r="L15" i="482"/>
  <c r="M15" i="482" s="1"/>
  <c r="N15" i="482" s="1"/>
  <c r="L7" i="482"/>
  <c r="M7" i="482" s="1"/>
  <c r="N7" i="482" s="1"/>
  <c r="L246" i="482"/>
  <c r="M246" i="482" s="1"/>
  <c r="N246" i="482" s="1"/>
  <c r="L194" i="482"/>
  <c r="M194" i="482" s="1"/>
  <c r="N194" i="482" s="1"/>
  <c r="L202" i="482"/>
  <c r="M202" i="482" s="1"/>
  <c r="N202" i="482" s="1"/>
  <c r="L239" i="482"/>
  <c r="M239" i="482" s="1"/>
  <c r="N239" i="482" s="1"/>
  <c r="L247" i="482"/>
  <c r="M247" i="482" s="1"/>
  <c r="N247" i="482" s="1"/>
  <c r="L195" i="482"/>
  <c r="M195" i="482" s="1"/>
  <c r="N195" i="482" s="1"/>
  <c r="L203" i="482"/>
  <c r="M203" i="482" s="1"/>
  <c r="N203" i="482" s="1"/>
  <c r="L215" i="482"/>
  <c r="M215" i="482" s="1"/>
  <c r="N215" i="482" s="1"/>
  <c r="L135" i="482"/>
  <c r="M135" i="482" s="1"/>
  <c r="N135" i="482" s="1"/>
  <c r="L128" i="482"/>
  <c r="M128" i="482" s="1"/>
  <c r="N128" i="482" s="1"/>
  <c r="L139" i="482"/>
  <c r="M139" i="482" s="1"/>
  <c r="N139" i="482" s="1"/>
  <c r="L190" i="482"/>
  <c r="M190" i="482" s="1"/>
  <c r="N190" i="482" s="1"/>
  <c r="L186" i="482"/>
  <c r="M186" i="482" s="1"/>
  <c r="N186" i="482" s="1"/>
  <c r="L182" i="482"/>
  <c r="M182" i="482" s="1"/>
  <c r="N182" i="482" s="1"/>
  <c r="L178" i="482"/>
  <c r="M178" i="482" s="1"/>
  <c r="N178" i="482" s="1"/>
  <c r="L174" i="482"/>
  <c r="M174" i="482" s="1"/>
  <c r="N174" i="482" s="1"/>
  <c r="L170" i="482"/>
  <c r="M170" i="482" s="1"/>
  <c r="N170" i="482" s="1"/>
  <c r="L166" i="482"/>
  <c r="M166" i="482" s="1"/>
  <c r="N166" i="482" s="1"/>
  <c r="L162" i="482"/>
  <c r="M162" i="482" s="1"/>
  <c r="N162" i="482" s="1"/>
  <c r="L158" i="482"/>
  <c r="M158" i="482" s="1"/>
  <c r="N158" i="482" s="1"/>
  <c r="L154" i="482"/>
  <c r="M154" i="482" s="1"/>
  <c r="N154" i="482" s="1"/>
  <c r="L150" i="482"/>
  <c r="M150" i="482" s="1"/>
  <c r="N150" i="482" s="1"/>
  <c r="L146" i="482"/>
  <c r="M146" i="482" s="1"/>
  <c r="N146" i="482" s="1"/>
  <c r="L142" i="482"/>
  <c r="M142" i="482" s="1"/>
  <c r="N142" i="482" s="1"/>
  <c r="L127" i="482"/>
  <c r="M127" i="482" s="1"/>
  <c r="N127" i="482" s="1"/>
  <c r="L138" i="482"/>
  <c r="M138" i="482" s="1"/>
  <c r="N138" i="482" s="1"/>
  <c r="L120" i="482"/>
  <c r="M120" i="482" s="1"/>
  <c r="N120" i="482" s="1"/>
  <c r="L116" i="482"/>
  <c r="M116" i="482" s="1"/>
  <c r="N116" i="482" s="1"/>
  <c r="L112" i="482"/>
  <c r="M112" i="482" s="1"/>
  <c r="N112" i="482" s="1"/>
  <c r="L108" i="482"/>
  <c r="M108" i="482" s="1"/>
  <c r="N108" i="482" s="1"/>
  <c r="L104" i="482"/>
  <c r="M104" i="482" s="1"/>
  <c r="N104" i="482" s="1"/>
  <c r="L100" i="482"/>
  <c r="M100" i="482" s="1"/>
  <c r="N100" i="482" s="1"/>
  <c r="L96" i="482"/>
  <c r="M96" i="482" s="1"/>
  <c r="N96" i="482" s="1"/>
  <c r="L74" i="482"/>
  <c r="M74" i="482" s="1"/>
  <c r="N74" i="482" s="1"/>
  <c r="L70" i="482"/>
  <c r="M70" i="482" s="1"/>
  <c r="N70" i="482" s="1"/>
  <c r="L66" i="482"/>
  <c r="M66" i="482" s="1"/>
  <c r="N66" i="482" s="1"/>
  <c r="L94" i="482"/>
  <c r="M94" i="482" s="1"/>
  <c r="N94" i="482" s="1"/>
  <c r="L90" i="482"/>
  <c r="M90" i="482" s="1"/>
  <c r="N90" i="482" s="1"/>
  <c r="L86" i="482"/>
  <c r="M86" i="482" s="1"/>
  <c r="N86" i="482" s="1"/>
  <c r="L82" i="482"/>
  <c r="M82" i="482" s="1"/>
  <c r="N82" i="482" s="1"/>
  <c r="L44" i="482"/>
  <c r="M44" i="482" s="1"/>
  <c r="N44" i="482" s="1"/>
  <c r="L36" i="482"/>
  <c r="M36" i="482" s="1"/>
  <c r="N36" i="482" s="1"/>
  <c r="L28" i="482"/>
  <c r="M28" i="482" s="1"/>
  <c r="N28" i="482" s="1"/>
  <c r="L20" i="482"/>
  <c r="M20" i="482" s="1"/>
  <c r="N20" i="482" s="1"/>
  <c r="L12" i="482"/>
  <c r="M12" i="482" s="1"/>
  <c r="N12" i="482" s="1"/>
  <c r="L4" i="482"/>
  <c r="M4" i="482" s="1"/>
  <c r="N4" i="482" s="1"/>
  <c r="L62" i="482"/>
  <c r="M62" i="482" s="1"/>
  <c r="N62" i="482" s="1"/>
  <c r="L58" i="482"/>
  <c r="M58" i="482" s="1"/>
  <c r="N58" i="482" s="1"/>
  <c r="L54" i="482"/>
  <c r="M54" i="482" s="1"/>
  <c r="N54" i="482" s="1"/>
  <c r="L50" i="482"/>
  <c r="M50" i="482" s="1"/>
  <c r="N50" i="482" s="1"/>
  <c r="L46" i="482"/>
  <c r="M46" i="482" s="1"/>
  <c r="N46" i="482" s="1"/>
  <c r="L37" i="482"/>
  <c r="M37" i="482" s="1"/>
  <c r="N37" i="482" s="1"/>
  <c r="L29" i="482"/>
  <c r="M29" i="482" s="1"/>
  <c r="N29" i="482" s="1"/>
  <c r="L21" i="482"/>
  <c r="M21" i="482" s="1"/>
  <c r="N21" i="482" s="1"/>
  <c r="L13" i="482"/>
  <c r="M13" i="482" s="1"/>
  <c r="N13" i="482" s="1"/>
  <c r="L5" i="482"/>
  <c r="M5" i="482" s="1"/>
  <c r="N5" i="482" s="1"/>
  <c r="L240" i="482"/>
  <c r="M240" i="482" s="1"/>
  <c r="N240" i="482" s="1"/>
  <c r="L220" i="482"/>
  <c r="M220" i="482" s="1"/>
  <c r="N220" i="482" s="1"/>
  <c r="L222" i="482"/>
  <c r="M222" i="482" s="1"/>
  <c r="N222" i="482" s="1"/>
  <c r="L224" i="482"/>
  <c r="M224" i="482" s="1"/>
  <c r="N224" i="482" s="1"/>
  <c r="L226" i="482"/>
  <c r="M226" i="482" s="1"/>
  <c r="N226" i="482" s="1"/>
  <c r="L228" i="482"/>
  <c r="M228" i="482" s="1"/>
  <c r="N228" i="482" s="1"/>
  <c r="L230" i="482"/>
  <c r="M230" i="482" s="1"/>
  <c r="N230" i="482" s="1"/>
  <c r="L232" i="482"/>
  <c r="M232" i="482" s="1"/>
  <c r="N232" i="482" s="1"/>
  <c r="L234" i="482"/>
  <c r="M234" i="482" s="1"/>
  <c r="N234" i="482" s="1"/>
  <c r="L236" i="482"/>
  <c r="M236" i="482" s="1"/>
  <c r="N236" i="482" s="1"/>
  <c r="L196" i="482"/>
  <c r="M196" i="482" s="1"/>
  <c r="N196" i="482" s="1"/>
  <c r="L204" i="482"/>
  <c r="M204" i="482" s="1"/>
  <c r="N204" i="482" s="1"/>
  <c r="L216" i="482"/>
  <c r="M216" i="482" s="1"/>
  <c r="N216" i="482" s="1"/>
  <c r="L241" i="482"/>
  <c r="M241" i="482" s="1"/>
  <c r="N241" i="482" s="1"/>
  <c r="L197" i="482"/>
  <c r="M197" i="482" s="1"/>
  <c r="N197" i="482" s="1"/>
  <c r="L205" i="482"/>
  <c r="M205" i="482" s="1"/>
  <c r="N205" i="482" s="1"/>
  <c r="L134" i="482"/>
  <c r="M134" i="482" s="1"/>
  <c r="N134" i="482" s="1"/>
  <c r="L126" i="482"/>
  <c r="M126" i="482" s="1"/>
  <c r="N126" i="482" s="1"/>
  <c r="L137" i="482"/>
  <c r="M137" i="482" s="1"/>
  <c r="N137" i="482" s="1"/>
  <c r="L189" i="482"/>
  <c r="M189" i="482" s="1"/>
  <c r="N189" i="482" s="1"/>
  <c r="L185" i="482"/>
  <c r="M185" i="482" s="1"/>
  <c r="N185" i="482" s="1"/>
  <c r="L181" i="482"/>
  <c r="M181" i="482" s="1"/>
  <c r="N181" i="482" s="1"/>
  <c r="L177" i="482"/>
  <c r="M177" i="482" s="1"/>
  <c r="N177" i="482" s="1"/>
  <c r="L173" i="482"/>
  <c r="M173" i="482" s="1"/>
  <c r="N173" i="482" s="1"/>
  <c r="L169" i="482"/>
  <c r="M169" i="482" s="1"/>
  <c r="N169" i="482" s="1"/>
  <c r="L165" i="482"/>
  <c r="M165" i="482" s="1"/>
  <c r="N165" i="482" s="1"/>
  <c r="L161" i="482"/>
  <c r="M161" i="482" s="1"/>
  <c r="N161" i="482" s="1"/>
  <c r="L157" i="482"/>
  <c r="M157" i="482" s="1"/>
  <c r="N157" i="482" s="1"/>
  <c r="L153" i="482"/>
  <c r="M153" i="482" s="1"/>
  <c r="N153" i="482" s="1"/>
  <c r="L149" i="482"/>
  <c r="M149" i="482" s="1"/>
  <c r="N149" i="482" s="1"/>
  <c r="L145" i="482"/>
  <c r="M145" i="482" s="1"/>
  <c r="N145" i="482" s="1"/>
  <c r="L133" i="482"/>
  <c r="M133" i="482" s="1"/>
  <c r="N133" i="482" s="1"/>
  <c r="L125" i="482"/>
  <c r="M125" i="482" s="1"/>
  <c r="N125" i="482" s="1"/>
  <c r="L136" i="482"/>
  <c r="M136" i="482" s="1"/>
  <c r="N136" i="482" s="1"/>
  <c r="L119" i="482"/>
  <c r="M119" i="482" s="1"/>
  <c r="N119" i="482" s="1"/>
  <c r="L115" i="482"/>
  <c r="M115" i="482" s="1"/>
  <c r="N115" i="482" s="1"/>
  <c r="L111" i="482"/>
  <c r="M111" i="482" s="1"/>
  <c r="N111" i="482" s="1"/>
  <c r="L107" i="482"/>
  <c r="M107" i="482" s="1"/>
  <c r="N107" i="482" s="1"/>
  <c r="L103" i="482"/>
  <c r="M103" i="482" s="1"/>
  <c r="N103" i="482" s="1"/>
  <c r="L99" i="482"/>
  <c r="M99" i="482" s="1"/>
  <c r="N99" i="482" s="1"/>
  <c r="L95" i="482"/>
  <c r="M95" i="482" s="1"/>
  <c r="N95" i="482" s="1"/>
  <c r="L73" i="482"/>
  <c r="M73" i="482" s="1"/>
  <c r="N73" i="482" s="1"/>
  <c r="L69" i="482"/>
  <c r="M69" i="482" s="1"/>
  <c r="N69" i="482" s="1"/>
  <c r="L65" i="482"/>
  <c r="M65" i="482" s="1"/>
  <c r="N65" i="482" s="1"/>
  <c r="L93" i="482"/>
  <c r="M93" i="482" s="1"/>
  <c r="N93" i="482" s="1"/>
  <c r="L89" i="482"/>
  <c r="M89" i="482" s="1"/>
  <c r="N89" i="482" s="1"/>
  <c r="L85" i="482"/>
  <c r="M85" i="482" s="1"/>
  <c r="N85" i="482" s="1"/>
  <c r="L81" i="482"/>
  <c r="M81" i="482" s="1"/>
  <c r="N81" i="482" s="1"/>
  <c r="L42" i="482"/>
  <c r="M42" i="482" s="1"/>
  <c r="N42" i="482" s="1"/>
  <c r="L34" i="482"/>
  <c r="M34" i="482" s="1"/>
  <c r="N34" i="482" s="1"/>
  <c r="L26" i="482"/>
  <c r="M26" i="482" s="1"/>
  <c r="N26" i="482" s="1"/>
  <c r="L18" i="482"/>
  <c r="M18" i="482" s="1"/>
  <c r="N18" i="482" s="1"/>
  <c r="L10" i="482"/>
  <c r="M10" i="482" s="1"/>
  <c r="N10" i="482" s="1"/>
  <c r="L41" i="482"/>
  <c r="M41" i="482" s="1"/>
  <c r="N41" i="482" s="1"/>
  <c r="L61" i="482"/>
  <c r="M61" i="482" s="1"/>
  <c r="N61" i="482" s="1"/>
  <c r="L57" i="482"/>
  <c r="M57" i="482" s="1"/>
  <c r="N57" i="482" s="1"/>
  <c r="L53" i="482"/>
  <c r="M53" i="482" s="1"/>
  <c r="N53" i="482" s="1"/>
  <c r="L49" i="482"/>
  <c r="M49" i="482" s="1"/>
  <c r="N49" i="482" s="1"/>
  <c r="L45" i="482"/>
  <c r="M45" i="482" s="1"/>
  <c r="N45" i="482" s="1"/>
  <c r="L35" i="482"/>
  <c r="M35" i="482" s="1"/>
  <c r="N35" i="482" s="1"/>
  <c r="L27" i="482"/>
  <c r="M27" i="482" s="1"/>
  <c r="N27" i="482" s="1"/>
  <c r="L19" i="482"/>
  <c r="M19" i="482" s="1"/>
  <c r="N19" i="482" s="1"/>
  <c r="L11" i="482"/>
  <c r="M11" i="482" s="1"/>
  <c r="N11" i="482" s="1"/>
  <c r="L3" i="482"/>
  <c r="M3" i="482" s="1"/>
  <c r="N3" i="482" s="1"/>
  <c r="L242" i="482"/>
  <c r="M242" i="482" s="1"/>
  <c r="N242" i="482" s="1"/>
  <c r="L198" i="482"/>
  <c r="M198" i="482" s="1"/>
  <c r="N198" i="482" s="1"/>
  <c r="L206" i="482"/>
  <c r="M206" i="482" s="1"/>
  <c r="N206" i="482" s="1"/>
  <c r="L243" i="482"/>
  <c r="M243" i="482" s="1"/>
  <c r="N243" i="482" s="1"/>
  <c r="L199" i="482"/>
  <c r="M199" i="482" s="1"/>
  <c r="N199" i="482" s="1"/>
  <c r="L207" i="482"/>
  <c r="M207" i="482" s="1"/>
  <c r="N207" i="482" s="1"/>
  <c r="L217" i="482"/>
  <c r="M217" i="482" s="1"/>
  <c r="N217" i="482" s="1"/>
  <c r="L248" i="482"/>
  <c r="M248" i="482" s="1"/>
  <c r="N248" i="482" s="1"/>
  <c r="L132" i="482"/>
  <c r="M132" i="482" s="1"/>
  <c r="N132" i="482" s="1"/>
  <c r="L124" i="482"/>
  <c r="M124" i="482" s="1"/>
  <c r="N124" i="482" s="1"/>
  <c r="L192" i="482"/>
  <c r="M192" i="482" s="1"/>
  <c r="N192" i="482" s="1"/>
  <c r="L188" i="482"/>
  <c r="M188" i="482" s="1"/>
  <c r="N188" i="482" s="1"/>
  <c r="L184" i="482"/>
  <c r="M184" i="482" s="1"/>
  <c r="N184" i="482" s="1"/>
  <c r="L180" i="482"/>
  <c r="M180" i="482" s="1"/>
  <c r="N180" i="482" s="1"/>
  <c r="L176" i="482"/>
  <c r="M176" i="482" s="1"/>
  <c r="N176" i="482" s="1"/>
  <c r="L172" i="482"/>
  <c r="M172" i="482" s="1"/>
  <c r="N172" i="482" s="1"/>
  <c r="L168" i="482"/>
  <c r="M168" i="482" s="1"/>
  <c r="N168" i="482" s="1"/>
  <c r="L164" i="482"/>
  <c r="M164" i="482" s="1"/>
  <c r="N164" i="482" s="1"/>
  <c r="L160" i="482"/>
  <c r="M160" i="482" s="1"/>
  <c r="N160" i="482" s="1"/>
  <c r="L156" i="482"/>
  <c r="M156" i="482" s="1"/>
  <c r="N156" i="482" s="1"/>
  <c r="L152" i="482"/>
  <c r="M152" i="482" s="1"/>
  <c r="N152" i="482" s="1"/>
  <c r="L148" i="482"/>
  <c r="M148" i="482" s="1"/>
  <c r="N148" i="482" s="1"/>
  <c r="L144" i="482"/>
  <c r="M144" i="482" s="1"/>
  <c r="N144" i="482" s="1"/>
  <c r="L131" i="482"/>
  <c r="M131" i="482" s="1"/>
  <c r="N131" i="482" s="1"/>
  <c r="L123" i="482"/>
  <c r="M123" i="482" s="1"/>
  <c r="N123" i="482" s="1"/>
  <c r="L122" i="482"/>
  <c r="M122" i="482" s="1"/>
  <c r="N122" i="482" s="1"/>
  <c r="L118" i="482"/>
  <c r="M118" i="482" s="1"/>
  <c r="N118" i="482" s="1"/>
  <c r="L114" i="482"/>
  <c r="M114" i="482" s="1"/>
  <c r="N114" i="482" s="1"/>
  <c r="L110" i="482"/>
  <c r="M110" i="482" s="1"/>
  <c r="N110" i="482" s="1"/>
  <c r="L106" i="482"/>
  <c r="M106" i="482" s="1"/>
  <c r="N106" i="482" s="1"/>
  <c r="L102" i="482"/>
  <c r="M102" i="482" s="1"/>
  <c r="N102" i="482" s="1"/>
  <c r="L98" i="482"/>
  <c r="M98" i="482" s="1"/>
  <c r="N98" i="482" s="1"/>
  <c r="L77" i="482"/>
  <c r="M77" i="482" s="1"/>
  <c r="N77" i="482" s="1"/>
  <c r="L72" i="482"/>
  <c r="M72" i="482" s="1"/>
  <c r="N72" i="482" s="1"/>
  <c r="L68" i="482"/>
  <c r="M68" i="482" s="1"/>
  <c r="N68" i="482" s="1"/>
  <c r="L78" i="482"/>
  <c r="M78" i="482" s="1"/>
  <c r="N78" i="482" s="1"/>
  <c r="L92" i="482"/>
  <c r="M92" i="482" s="1"/>
  <c r="N92" i="482" s="1"/>
  <c r="L88" i="482"/>
  <c r="M88" i="482" s="1"/>
  <c r="N88" i="482" s="1"/>
  <c r="L84" i="482"/>
  <c r="M84" i="482" s="1"/>
  <c r="N84" i="482" s="1"/>
  <c r="L80" i="482"/>
  <c r="M80" i="482" s="1"/>
  <c r="N80" i="482" s="1"/>
  <c r="L40" i="482"/>
  <c r="M40" i="482" s="1"/>
  <c r="N40" i="482" s="1"/>
  <c r="L32" i="482"/>
  <c r="M32" i="482" s="1"/>
  <c r="N32" i="482" s="1"/>
  <c r="L24" i="482"/>
  <c r="M24" i="482" s="1"/>
  <c r="N24" i="482" s="1"/>
  <c r="L16" i="482"/>
  <c r="M16" i="482" s="1"/>
  <c r="N16" i="482" s="1"/>
  <c r="L8" i="482"/>
  <c r="M8" i="482" s="1"/>
  <c r="N8" i="482" s="1"/>
  <c r="L64" i="482"/>
  <c r="M64" i="482" s="1"/>
  <c r="N64" i="482" s="1"/>
  <c r="L60" i="482"/>
  <c r="M60" i="482" s="1"/>
  <c r="N60" i="482" s="1"/>
  <c r="L56" i="482"/>
  <c r="M56" i="482" s="1"/>
  <c r="N56" i="482" s="1"/>
  <c r="L52" i="482"/>
  <c r="M52" i="482" s="1"/>
  <c r="N52" i="482" s="1"/>
  <c r="L48" i="482"/>
  <c r="M48" i="482" s="1"/>
  <c r="N48" i="482" s="1"/>
  <c r="L43" i="482"/>
  <c r="M43" i="482" s="1"/>
  <c r="N43" i="482" s="1"/>
  <c r="L33" i="482"/>
  <c r="M33" i="482" s="1"/>
  <c r="N33" i="482" s="1"/>
  <c r="L25" i="482"/>
  <c r="M25" i="482" s="1"/>
  <c r="N25" i="482" s="1"/>
  <c r="L17" i="482"/>
  <c r="M17" i="482" s="1"/>
  <c r="N17" i="482" s="1"/>
  <c r="L9" i="482"/>
  <c r="M9" i="482" s="1"/>
  <c r="N9" i="482" s="1"/>
  <c r="L2" i="482"/>
  <c r="L244" i="482"/>
  <c r="M244" i="482" s="1"/>
  <c r="N244" i="482" s="1"/>
  <c r="L221" i="482"/>
  <c r="M221" i="482" s="1"/>
  <c r="N221" i="482" s="1"/>
  <c r="L223" i="482"/>
  <c r="M223" i="482" s="1"/>
  <c r="N223" i="482" s="1"/>
  <c r="L225" i="482"/>
  <c r="M225" i="482" s="1"/>
  <c r="N225" i="482" s="1"/>
  <c r="L227" i="482"/>
  <c r="M227" i="482" s="1"/>
  <c r="N227" i="482" s="1"/>
  <c r="L229" i="482"/>
  <c r="M229" i="482" s="1"/>
  <c r="N229" i="482" s="1"/>
  <c r="L231" i="482"/>
  <c r="M231" i="482" s="1"/>
  <c r="N231" i="482" s="1"/>
  <c r="L233" i="482"/>
  <c r="M233" i="482" s="1"/>
  <c r="N233" i="482" s="1"/>
  <c r="L235" i="482"/>
  <c r="M235" i="482" s="1"/>
  <c r="N235" i="482" s="1"/>
  <c r="L200" i="482"/>
  <c r="M200" i="482" s="1"/>
  <c r="N200" i="482" s="1"/>
  <c r="L208" i="482"/>
  <c r="M208" i="482" s="1"/>
  <c r="N208" i="482" s="1"/>
  <c r="L218" i="482"/>
  <c r="M218" i="482" s="1"/>
  <c r="N218" i="482" s="1"/>
  <c r="L238" i="482"/>
  <c r="M238" i="482" s="1"/>
  <c r="N238" i="482" s="1"/>
  <c r="L245" i="482"/>
  <c r="M245" i="482" s="1"/>
  <c r="N245" i="482" s="1"/>
  <c r="L36" i="481"/>
  <c r="M36" i="481" s="1"/>
  <c r="N36" i="481" s="1"/>
  <c r="L33" i="481"/>
  <c r="M33" i="481" s="1"/>
  <c r="N33" i="481" s="1"/>
  <c r="L28" i="481"/>
  <c r="M28" i="481" s="1"/>
  <c r="N28" i="481" s="1"/>
  <c r="L32" i="481"/>
  <c r="M32" i="481" s="1"/>
  <c r="N32" i="481" s="1"/>
  <c r="L40" i="481"/>
  <c r="M40" i="481" s="1"/>
  <c r="N40" i="481" s="1"/>
  <c r="L24" i="481"/>
  <c r="M24" i="481" s="1"/>
  <c r="N24" i="481" s="1"/>
  <c r="L59" i="481"/>
  <c r="M59" i="481" s="1"/>
  <c r="N59" i="481" s="1"/>
  <c r="L55" i="481"/>
  <c r="M55" i="481" s="1"/>
  <c r="N55" i="481" s="1"/>
  <c r="L51" i="481"/>
  <c r="M51" i="481" s="1"/>
  <c r="N51" i="481" s="1"/>
  <c r="L47" i="481"/>
  <c r="M47" i="481" s="1"/>
  <c r="N47" i="481" s="1"/>
  <c r="L17" i="481"/>
  <c r="M17" i="481" s="1"/>
  <c r="N17" i="481" s="1"/>
  <c r="L13" i="481"/>
  <c r="M13" i="481" s="1"/>
  <c r="N13" i="481" s="1"/>
  <c r="L9" i="481"/>
  <c r="M9" i="481" s="1"/>
  <c r="N9" i="481" s="1"/>
  <c r="L5" i="481"/>
  <c r="M5" i="481" s="1"/>
  <c r="N5" i="481" s="1"/>
  <c r="L131" i="481"/>
  <c r="M131" i="481" s="1"/>
  <c r="N131" i="481" s="1"/>
  <c r="L37" i="481"/>
  <c r="M37" i="481" s="1"/>
  <c r="N37" i="481" s="1"/>
  <c r="L21" i="481"/>
  <c r="M21" i="481" s="1"/>
  <c r="N21" i="481" s="1"/>
  <c r="L141" i="481"/>
  <c r="M141" i="481" s="1"/>
  <c r="N141" i="481" s="1"/>
  <c r="L93" i="481"/>
  <c r="M93" i="481" s="1"/>
  <c r="N93" i="481" s="1"/>
  <c r="L89" i="481"/>
  <c r="M89" i="481" s="1"/>
  <c r="N89" i="481" s="1"/>
  <c r="L42" i="481"/>
  <c r="M42" i="481" s="1"/>
  <c r="N42" i="481" s="1"/>
  <c r="L81" i="481"/>
  <c r="M81" i="481" s="1"/>
  <c r="N81" i="481" s="1"/>
  <c r="L73" i="481"/>
  <c r="M73" i="481" s="1"/>
  <c r="N73" i="481" s="1"/>
  <c r="L103" i="481"/>
  <c r="M103" i="481" s="1"/>
  <c r="N103" i="481" s="1"/>
  <c r="L99" i="481"/>
  <c r="M99" i="481" s="1"/>
  <c r="N99" i="481" s="1"/>
  <c r="L123" i="481"/>
  <c r="M123" i="481" s="1"/>
  <c r="N123" i="481" s="1"/>
  <c r="L119" i="481"/>
  <c r="M119" i="481" s="1"/>
  <c r="N119" i="481" s="1"/>
  <c r="L115" i="481"/>
  <c r="M115" i="481" s="1"/>
  <c r="N115" i="481" s="1"/>
  <c r="L111" i="481"/>
  <c r="M111" i="481" s="1"/>
  <c r="N111" i="481" s="1"/>
  <c r="L107" i="481"/>
  <c r="M107" i="481" s="1"/>
  <c r="N107" i="481" s="1"/>
  <c r="L66" i="481"/>
  <c r="M66" i="481" s="1"/>
  <c r="N66" i="481" s="1"/>
  <c r="L62" i="481"/>
  <c r="M62" i="481" s="1"/>
  <c r="N62" i="481" s="1"/>
  <c r="L43" i="481"/>
  <c r="M43" i="481" s="1"/>
  <c r="N43" i="481" s="1"/>
  <c r="L58" i="481"/>
  <c r="M58" i="481" s="1"/>
  <c r="N58" i="481" s="1"/>
  <c r="L50" i="481"/>
  <c r="M50" i="481" s="1"/>
  <c r="N50" i="481" s="1"/>
  <c r="L188" i="481"/>
  <c r="M188" i="481" s="1"/>
  <c r="N188" i="481" s="1"/>
  <c r="L180" i="481"/>
  <c r="M180" i="481" s="1"/>
  <c r="N180" i="481" s="1"/>
  <c r="L172" i="481"/>
  <c r="M172" i="481" s="1"/>
  <c r="N172" i="481" s="1"/>
  <c r="L164" i="481"/>
  <c r="M164" i="481" s="1"/>
  <c r="N164" i="481" s="1"/>
  <c r="L156" i="481"/>
  <c r="M156" i="481" s="1"/>
  <c r="N156" i="481" s="1"/>
  <c r="L152" i="481"/>
  <c r="M152" i="481" s="1"/>
  <c r="N152" i="481" s="1"/>
  <c r="L148" i="481"/>
  <c r="M148" i="481" s="1"/>
  <c r="N148" i="481" s="1"/>
  <c r="L144" i="481"/>
  <c r="M144" i="481" s="1"/>
  <c r="N144" i="481" s="1"/>
  <c r="L132" i="481"/>
  <c r="M132" i="481" s="1"/>
  <c r="N132" i="481" s="1"/>
  <c r="L96" i="481"/>
  <c r="M96" i="481" s="1"/>
  <c r="N96" i="481" s="1"/>
  <c r="L84" i="481"/>
  <c r="M84" i="481" s="1"/>
  <c r="N84" i="481" s="1"/>
  <c r="L76" i="481"/>
  <c r="M76" i="481" s="1"/>
  <c r="N76" i="481" s="1"/>
  <c r="L204" i="481"/>
  <c r="M204" i="481" s="1"/>
  <c r="N204" i="481" s="1"/>
  <c r="L184" i="481"/>
  <c r="M184" i="481" s="1"/>
  <c r="N184" i="481" s="1"/>
  <c r="L176" i="481"/>
  <c r="M176" i="481" s="1"/>
  <c r="N176" i="481" s="1"/>
  <c r="L168" i="481"/>
  <c r="M168" i="481" s="1"/>
  <c r="N168" i="481" s="1"/>
  <c r="L160" i="481"/>
  <c r="M160" i="481" s="1"/>
  <c r="N160" i="481" s="1"/>
  <c r="L38" i="481"/>
  <c r="M38" i="481" s="1"/>
  <c r="N38" i="481" s="1"/>
  <c r="L34" i="481"/>
  <c r="M34" i="481" s="1"/>
  <c r="N34" i="481" s="1"/>
  <c r="L22" i="481"/>
  <c r="M22" i="481" s="1"/>
  <c r="N22" i="481" s="1"/>
  <c r="L14" i="481"/>
  <c r="M14" i="481" s="1"/>
  <c r="N14" i="481" s="1"/>
  <c r="L2" i="481"/>
  <c r="L200" i="481"/>
  <c r="M200" i="481" s="1"/>
  <c r="N200" i="481" s="1"/>
  <c r="L208" i="481"/>
  <c r="M208" i="481" s="1"/>
  <c r="N208" i="481" s="1"/>
  <c r="L212" i="481"/>
  <c r="M212" i="481" s="1"/>
  <c r="N212" i="481" s="1"/>
  <c r="L216" i="481"/>
  <c r="M216" i="481" s="1"/>
  <c r="N216" i="481" s="1"/>
  <c r="L196" i="481"/>
  <c r="M196" i="481" s="1"/>
  <c r="N196" i="481" s="1"/>
  <c r="L192" i="481"/>
  <c r="M192" i="481" s="1"/>
  <c r="N192" i="481" s="1"/>
  <c r="L140" i="481"/>
  <c r="M140" i="481" s="1"/>
  <c r="N140" i="481" s="1"/>
  <c r="L218" i="481"/>
  <c r="M218" i="481" s="1"/>
  <c r="N218" i="481" s="1"/>
  <c r="L136" i="481"/>
  <c r="M136" i="481" s="1"/>
  <c r="N136" i="481" s="1"/>
  <c r="L128" i="481"/>
  <c r="M128" i="481" s="1"/>
  <c r="N128" i="481" s="1"/>
  <c r="L85" i="481"/>
  <c r="M85" i="481" s="1"/>
  <c r="N85" i="481" s="1"/>
  <c r="L77" i="481"/>
  <c r="M77" i="481" s="1"/>
  <c r="N77" i="481" s="1"/>
  <c r="L26" i="481"/>
  <c r="M26" i="481" s="1"/>
  <c r="N26" i="481" s="1"/>
  <c r="L124" i="481"/>
  <c r="M124" i="481" s="1"/>
  <c r="N124" i="481" s="1"/>
  <c r="L120" i="481"/>
  <c r="M120" i="481" s="1"/>
  <c r="N120" i="481" s="1"/>
  <c r="L116" i="481"/>
  <c r="M116" i="481" s="1"/>
  <c r="N116" i="481" s="1"/>
  <c r="L112" i="481"/>
  <c r="M112" i="481" s="1"/>
  <c r="N112" i="481" s="1"/>
  <c r="L108" i="481"/>
  <c r="M108" i="481" s="1"/>
  <c r="N108" i="481" s="1"/>
  <c r="L104" i="481"/>
  <c r="M104" i="481" s="1"/>
  <c r="N104" i="481" s="1"/>
  <c r="L41" i="481"/>
  <c r="M41" i="481" s="1"/>
  <c r="N41" i="481" s="1"/>
  <c r="L25" i="481"/>
  <c r="M25" i="481" s="1"/>
  <c r="N25" i="481" s="1"/>
  <c r="L10" i="481"/>
  <c r="M10" i="481" s="1"/>
  <c r="N10" i="481" s="1"/>
  <c r="L209" i="481"/>
  <c r="M209" i="481" s="1"/>
  <c r="N209" i="481" s="1"/>
  <c r="L137" i="481"/>
  <c r="M137" i="481" s="1"/>
  <c r="N137" i="481" s="1"/>
  <c r="L129" i="481"/>
  <c r="M129" i="481" s="1"/>
  <c r="N129" i="481" s="1"/>
  <c r="L199" i="481"/>
  <c r="M199" i="481" s="1"/>
  <c r="N199" i="481" s="1"/>
  <c r="L195" i="481"/>
  <c r="M195" i="481" s="1"/>
  <c r="N195" i="481" s="1"/>
  <c r="L191" i="481"/>
  <c r="M191" i="481" s="1"/>
  <c r="N191" i="481" s="1"/>
  <c r="L187" i="481"/>
  <c r="M187" i="481" s="1"/>
  <c r="N187" i="481" s="1"/>
  <c r="L183" i="481"/>
  <c r="M183" i="481" s="1"/>
  <c r="N183" i="481" s="1"/>
  <c r="L179" i="481"/>
  <c r="M179" i="481" s="1"/>
  <c r="N179" i="481" s="1"/>
  <c r="L175" i="481"/>
  <c r="M175" i="481" s="1"/>
  <c r="N175" i="481" s="1"/>
  <c r="L171" i="481"/>
  <c r="M171" i="481" s="1"/>
  <c r="N171" i="481" s="1"/>
  <c r="L167" i="481"/>
  <c r="M167" i="481" s="1"/>
  <c r="N167" i="481" s="1"/>
  <c r="L163" i="481"/>
  <c r="M163" i="481" s="1"/>
  <c r="N163" i="481" s="1"/>
  <c r="L159" i="481"/>
  <c r="M159" i="481" s="1"/>
  <c r="N159" i="481" s="1"/>
  <c r="L155" i="481"/>
  <c r="M155" i="481" s="1"/>
  <c r="N155" i="481" s="1"/>
  <c r="L151" i="481"/>
  <c r="M151" i="481" s="1"/>
  <c r="N151" i="481" s="1"/>
  <c r="L147" i="481"/>
  <c r="M147" i="481" s="1"/>
  <c r="N147" i="481" s="1"/>
  <c r="L143" i="481"/>
  <c r="M143" i="481" s="1"/>
  <c r="N143" i="481" s="1"/>
  <c r="L130" i="481"/>
  <c r="M130" i="481" s="1"/>
  <c r="N130" i="481" s="1"/>
  <c r="L102" i="481"/>
  <c r="M102" i="481" s="1"/>
  <c r="N102" i="481" s="1"/>
  <c r="L98" i="481"/>
  <c r="M98" i="481" s="1"/>
  <c r="N98" i="481" s="1"/>
  <c r="L94" i="481"/>
  <c r="M94" i="481" s="1"/>
  <c r="N94" i="481" s="1"/>
  <c r="L122" i="481"/>
  <c r="M122" i="481" s="1"/>
  <c r="N122" i="481" s="1"/>
  <c r="L118" i="481"/>
  <c r="M118" i="481" s="1"/>
  <c r="N118" i="481" s="1"/>
  <c r="L114" i="481"/>
  <c r="M114" i="481" s="1"/>
  <c r="N114" i="481" s="1"/>
  <c r="L110" i="481"/>
  <c r="M110" i="481" s="1"/>
  <c r="N110" i="481" s="1"/>
  <c r="L106" i="481"/>
  <c r="M106" i="481" s="1"/>
  <c r="N106" i="481" s="1"/>
  <c r="L92" i="481"/>
  <c r="M92" i="481" s="1"/>
  <c r="N92" i="481" s="1"/>
  <c r="L88" i="481"/>
  <c r="M88" i="481" s="1"/>
  <c r="N88" i="481" s="1"/>
  <c r="L82" i="481"/>
  <c r="M82" i="481" s="1"/>
  <c r="N82" i="481" s="1"/>
  <c r="L74" i="481"/>
  <c r="M74" i="481" s="1"/>
  <c r="N74" i="481" s="1"/>
  <c r="L69" i="481"/>
  <c r="M69" i="481" s="1"/>
  <c r="N69" i="481" s="1"/>
  <c r="L65" i="481"/>
  <c r="M65" i="481" s="1"/>
  <c r="N65" i="481" s="1"/>
  <c r="L44" i="481"/>
  <c r="M44" i="481" s="1"/>
  <c r="N44" i="481" s="1"/>
  <c r="L79" i="481"/>
  <c r="M79" i="481" s="1"/>
  <c r="N79" i="481" s="1"/>
  <c r="L71" i="481"/>
  <c r="M71" i="481" s="1"/>
  <c r="N71" i="481" s="1"/>
  <c r="L54" i="481"/>
  <c r="M54" i="481" s="1"/>
  <c r="N54" i="481" s="1"/>
  <c r="L46" i="481"/>
  <c r="M46" i="481" s="1"/>
  <c r="N46" i="481" s="1"/>
  <c r="L39" i="481"/>
  <c r="M39" i="481" s="1"/>
  <c r="N39" i="481" s="1"/>
  <c r="L35" i="481"/>
  <c r="M35" i="481" s="1"/>
  <c r="N35" i="481" s="1"/>
  <c r="L31" i="481"/>
  <c r="M31" i="481" s="1"/>
  <c r="N31" i="481" s="1"/>
  <c r="L27" i="481"/>
  <c r="M27" i="481" s="1"/>
  <c r="N27" i="481" s="1"/>
  <c r="L23" i="481"/>
  <c r="M23" i="481" s="1"/>
  <c r="N23" i="481" s="1"/>
  <c r="L20" i="481"/>
  <c r="M20" i="481" s="1"/>
  <c r="N20" i="481" s="1"/>
  <c r="L16" i="481"/>
  <c r="M16" i="481" s="1"/>
  <c r="N16" i="481" s="1"/>
  <c r="L12" i="481"/>
  <c r="M12" i="481" s="1"/>
  <c r="N12" i="481" s="1"/>
  <c r="L8" i="481"/>
  <c r="M8" i="481" s="1"/>
  <c r="N8" i="481" s="1"/>
  <c r="L4" i="481"/>
  <c r="M4" i="481" s="1"/>
  <c r="N4" i="481" s="1"/>
  <c r="L237" i="481"/>
  <c r="M237" i="481" s="1"/>
  <c r="N237" i="481" s="1"/>
  <c r="L205" i="481"/>
  <c r="M205" i="481" s="1"/>
  <c r="N205" i="481" s="1"/>
  <c r="L217" i="481"/>
  <c r="M217" i="481" s="1"/>
  <c r="N217" i="481" s="1"/>
  <c r="L202" i="481"/>
  <c r="M202" i="481" s="1"/>
  <c r="N202" i="481" s="1"/>
  <c r="L206" i="481"/>
  <c r="M206" i="481" s="1"/>
  <c r="N206" i="481" s="1"/>
  <c r="L210" i="481"/>
  <c r="M210" i="481" s="1"/>
  <c r="N210" i="481" s="1"/>
  <c r="L214" i="481"/>
  <c r="M214" i="481" s="1"/>
  <c r="N214" i="481" s="1"/>
  <c r="L135" i="481"/>
  <c r="M135" i="481" s="1"/>
  <c r="N135" i="481" s="1"/>
  <c r="L127" i="481"/>
  <c r="M127" i="481" s="1"/>
  <c r="N127" i="481" s="1"/>
  <c r="L139" i="481"/>
  <c r="M139" i="481" s="1"/>
  <c r="N139" i="481" s="1"/>
  <c r="L198" i="481"/>
  <c r="M198" i="481" s="1"/>
  <c r="N198" i="481" s="1"/>
  <c r="L194" i="481"/>
  <c r="M194" i="481" s="1"/>
  <c r="N194" i="481" s="1"/>
  <c r="L190" i="481"/>
  <c r="M190" i="481" s="1"/>
  <c r="N190" i="481" s="1"/>
  <c r="L186" i="481"/>
  <c r="M186" i="481" s="1"/>
  <c r="N186" i="481" s="1"/>
  <c r="L182" i="481"/>
  <c r="M182" i="481" s="1"/>
  <c r="N182" i="481" s="1"/>
  <c r="L178" i="481"/>
  <c r="M178" i="481" s="1"/>
  <c r="N178" i="481" s="1"/>
  <c r="L174" i="481"/>
  <c r="M174" i="481" s="1"/>
  <c r="N174" i="481" s="1"/>
  <c r="L170" i="481"/>
  <c r="M170" i="481" s="1"/>
  <c r="N170" i="481" s="1"/>
  <c r="L166" i="481"/>
  <c r="M166" i="481" s="1"/>
  <c r="N166" i="481" s="1"/>
  <c r="L162" i="481"/>
  <c r="M162" i="481" s="1"/>
  <c r="N162" i="481" s="1"/>
  <c r="L158" i="481"/>
  <c r="M158" i="481" s="1"/>
  <c r="N158" i="481" s="1"/>
  <c r="L154" i="481"/>
  <c r="M154" i="481" s="1"/>
  <c r="N154" i="481" s="1"/>
  <c r="L150" i="481"/>
  <c r="M150" i="481" s="1"/>
  <c r="N150" i="481" s="1"/>
  <c r="L146" i="481"/>
  <c r="M146" i="481" s="1"/>
  <c r="N146" i="481" s="1"/>
  <c r="L101" i="481"/>
  <c r="M101" i="481" s="1"/>
  <c r="N101" i="481" s="1"/>
  <c r="L97" i="481"/>
  <c r="M97" i="481" s="1"/>
  <c r="N97" i="481" s="1"/>
  <c r="L125" i="481"/>
  <c r="M125" i="481" s="1"/>
  <c r="N125" i="481" s="1"/>
  <c r="L121" i="481"/>
  <c r="M121" i="481" s="1"/>
  <c r="N121" i="481" s="1"/>
  <c r="L117" i="481"/>
  <c r="M117" i="481" s="1"/>
  <c r="N117" i="481" s="1"/>
  <c r="L113" i="481"/>
  <c r="M113" i="481" s="1"/>
  <c r="N113" i="481" s="1"/>
  <c r="L109" i="481"/>
  <c r="M109" i="481" s="1"/>
  <c r="N109" i="481" s="1"/>
  <c r="L105" i="481"/>
  <c r="M105" i="481" s="1"/>
  <c r="N105" i="481" s="1"/>
  <c r="L91" i="481"/>
  <c r="M91" i="481" s="1"/>
  <c r="N91" i="481" s="1"/>
  <c r="L87" i="481"/>
  <c r="M87" i="481" s="1"/>
  <c r="N87" i="481" s="1"/>
  <c r="L80" i="481"/>
  <c r="M80" i="481" s="1"/>
  <c r="N80" i="481" s="1"/>
  <c r="L72" i="481"/>
  <c r="M72" i="481" s="1"/>
  <c r="N72" i="481" s="1"/>
  <c r="L68" i="481"/>
  <c r="M68" i="481" s="1"/>
  <c r="N68" i="481" s="1"/>
  <c r="L64" i="481"/>
  <c r="M64" i="481" s="1"/>
  <c r="N64" i="481" s="1"/>
  <c r="L61" i="481"/>
  <c r="M61" i="481" s="1"/>
  <c r="N61" i="481" s="1"/>
  <c r="L57" i="481"/>
  <c r="M57" i="481" s="1"/>
  <c r="N57" i="481" s="1"/>
  <c r="L53" i="481"/>
  <c r="M53" i="481" s="1"/>
  <c r="N53" i="481" s="1"/>
  <c r="L49" i="481"/>
  <c r="M49" i="481" s="1"/>
  <c r="N49" i="481" s="1"/>
  <c r="L45" i="481"/>
  <c r="M45" i="481" s="1"/>
  <c r="N45" i="481" s="1"/>
  <c r="L30" i="481"/>
  <c r="M30" i="481" s="1"/>
  <c r="N30" i="481" s="1"/>
  <c r="L19" i="481"/>
  <c r="M19" i="481" s="1"/>
  <c r="N19" i="481" s="1"/>
  <c r="L15" i="481"/>
  <c r="M15" i="481" s="1"/>
  <c r="N15" i="481" s="1"/>
  <c r="L11" i="481"/>
  <c r="M11" i="481" s="1"/>
  <c r="N11" i="481" s="1"/>
  <c r="L7" i="481"/>
  <c r="M7" i="481" s="1"/>
  <c r="N7" i="481" s="1"/>
  <c r="L3" i="481"/>
  <c r="M3" i="481" s="1"/>
  <c r="N3" i="481" s="1"/>
  <c r="L201" i="481"/>
  <c r="M201" i="481" s="1"/>
  <c r="N201" i="481" s="1"/>
  <c r="L213" i="481"/>
  <c r="M213" i="481" s="1"/>
  <c r="N213" i="481" s="1"/>
  <c r="L203" i="481"/>
  <c r="M203" i="481" s="1"/>
  <c r="N203" i="481" s="1"/>
  <c r="L207" i="481"/>
  <c r="M207" i="481" s="1"/>
  <c r="N207" i="481" s="1"/>
  <c r="L211" i="481"/>
  <c r="M211" i="481" s="1"/>
  <c r="N211" i="481" s="1"/>
  <c r="L215" i="481"/>
  <c r="M215" i="481" s="1"/>
  <c r="N215" i="481" s="1"/>
  <c r="L133" i="481"/>
  <c r="M133" i="481" s="1"/>
  <c r="N133" i="481" s="1"/>
  <c r="L142" i="481"/>
  <c r="M142" i="481" s="1"/>
  <c r="N142" i="481" s="1"/>
  <c r="L138" i="481"/>
  <c r="M138" i="481" s="1"/>
  <c r="N138" i="481" s="1"/>
  <c r="L197" i="481"/>
  <c r="M197" i="481" s="1"/>
  <c r="N197" i="481" s="1"/>
  <c r="L193" i="481"/>
  <c r="M193" i="481" s="1"/>
  <c r="N193" i="481" s="1"/>
  <c r="L189" i="481"/>
  <c r="M189" i="481" s="1"/>
  <c r="N189" i="481" s="1"/>
  <c r="L185" i="481"/>
  <c r="M185" i="481" s="1"/>
  <c r="N185" i="481" s="1"/>
  <c r="L181" i="481"/>
  <c r="M181" i="481" s="1"/>
  <c r="N181" i="481" s="1"/>
  <c r="L177" i="481"/>
  <c r="M177" i="481" s="1"/>
  <c r="N177" i="481" s="1"/>
  <c r="L173" i="481"/>
  <c r="M173" i="481" s="1"/>
  <c r="N173" i="481" s="1"/>
  <c r="L169" i="481"/>
  <c r="M169" i="481" s="1"/>
  <c r="N169" i="481" s="1"/>
  <c r="L165" i="481"/>
  <c r="M165" i="481" s="1"/>
  <c r="N165" i="481" s="1"/>
  <c r="L161" i="481"/>
  <c r="M161" i="481" s="1"/>
  <c r="N161" i="481" s="1"/>
  <c r="L157" i="481"/>
  <c r="M157" i="481" s="1"/>
  <c r="N157" i="481" s="1"/>
  <c r="L153" i="481"/>
  <c r="M153" i="481" s="1"/>
  <c r="N153" i="481" s="1"/>
  <c r="L149" i="481"/>
  <c r="M149" i="481" s="1"/>
  <c r="N149" i="481" s="1"/>
  <c r="L145" i="481"/>
  <c r="M145" i="481" s="1"/>
  <c r="N145" i="481" s="1"/>
  <c r="L134" i="481"/>
  <c r="M134" i="481" s="1"/>
  <c r="N134" i="481" s="1"/>
  <c r="L126" i="481"/>
  <c r="M126" i="481" s="1"/>
  <c r="N126" i="481" s="1"/>
  <c r="L100" i="481"/>
  <c r="M100" i="481" s="1"/>
  <c r="N100" i="481" s="1"/>
  <c r="L95" i="481"/>
  <c r="M95" i="481" s="1"/>
  <c r="N95" i="481" s="1"/>
  <c r="L90" i="481"/>
  <c r="M90" i="481" s="1"/>
  <c r="N90" i="481" s="1"/>
  <c r="L86" i="481"/>
  <c r="M86" i="481" s="1"/>
  <c r="N86" i="481" s="1"/>
  <c r="L78" i="481"/>
  <c r="M78" i="481" s="1"/>
  <c r="N78" i="481" s="1"/>
  <c r="L70" i="481"/>
  <c r="M70" i="481" s="1"/>
  <c r="N70" i="481" s="1"/>
  <c r="L67" i="481"/>
  <c r="M67" i="481" s="1"/>
  <c r="N67" i="481" s="1"/>
  <c r="L63" i="481"/>
  <c r="M63" i="481" s="1"/>
  <c r="N63" i="481" s="1"/>
  <c r="L83" i="481"/>
  <c r="M83" i="481" s="1"/>
  <c r="N83" i="481" s="1"/>
  <c r="L75" i="481"/>
  <c r="M75" i="481" s="1"/>
  <c r="N75" i="481" s="1"/>
  <c r="L60" i="481"/>
  <c r="M60" i="481" s="1"/>
  <c r="N60" i="481" s="1"/>
  <c r="L56" i="481"/>
  <c r="M56" i="481" s="1"/>
  <c r="N56" i="481" s="1"/>
  <c r="L52" i="481"/>
  <c r="M52" i="481" s="1"/>
  <c r="N52" i="481" s="1"/>
  <c r="L48" i="481"/>
  <c r="M48" i="481" s="1"/>
  <c r="N48" i="481" s="1"/>
  <c r="L29" i="481"/>
  <c r="M29" i="481" s="1"/>
  <c r="N29" i="481" s="1"/>
  <c r="L18" i="481"/>
  <c r="M18" i="481" s="1"/>
  <c r="N18" i="481" s="1"/>
  <c r="L6" i="481"/>
  <c r="M6" i="481" s="1"/>
  <c r="N6" i="481" s="1"/>
  <c r="L223" i="481"/>
  <c r="M223" i="481" s="1"/>
  <c r="N223" i="481" s="1"/>
  <c r="L225" i="481"/>
  <c r="M225" i="481" s="1"/>
  <c r="N225" i="481" s="1"/>
  <c r="L227" i="481"/>
  <c r="M227" i="481" s="1"/>
  <c r="N227" i="481" s="1"/>
  <c r="L229" i="481"/>
  <c r="M229" i="481" s="1"/>
  <c r="N229" i="481" s="1"/>
  <c r="L231" i="481"/>
  <c r="M231" i="481" s="1"/>
  <c r="N231" i="481" s="1"/>
  <c r="L233" i="481"/>
  <c r="M233" i="481" s="1"/>
  <c r="N233" i="481" s="1"/>
  <c r="L235" i="481"/>
  <c r="M235" i="481" s="1"/>
  <c r="N235" i="481" s="1"/>
  <c r="L243" i="481"/>
  <c r="M243" i="481" s="1"/>
  <c r="N243" i="481" s="1"/>
  <c r="L238" i="481"/>
  <c r="M238" i="481" s="1"/>
  <c r="N238" i="481" s="1"/>
  <c r="L246" i="481"/>
  <c r="M246" i="481" s="1"/>
  <c r="N246" i="481" s="1"/>
  <c r="L245" i="481"/>
  <c r="M245" i="481" s="1"/>
  <c r="N245" i="481" s="1"/>
  <c r="L219" i="481"/>
  <c r="M219" i="481" s="1"/>
  <c r="N219" i="481" s="1"/>
  <c r="L240" i="481"/>
  <c r="M240" i="481" s="1"/>
  <c r="N240" i="481" s="1"/>
  <c r="L222" i="481"/>
  <c r="M222" i="481" s="1"/>
  <c r="N222" i="481" s="1"/>
  <c r="L224" i="481"/>
  <c r="M224" i="481" s="1"/>
  <c r="N224" i="481" s="1"/>
  <c r="L226" i="481"/>
  <c r="M226" i="481" s="1"/>
  <c r="N226" i="481" s="1"/>
  <c r="L228" i="481"/>
  <c r="M228" i="481" s="1"/>
  <c r="N228" i="481" s="1"/>
  <c r="L230" i="481"/>
  <c r="M230" i="481" s="1"/>
  <c r="N230" i="481" s="1"/>
  <c r="L232" i="481"/>
  <c r="M232" i="481" s="1"/>
  <c r="N232" i="481" s="1"/>
  <c r="L234" i="481"/>
  <c r="M234" i="481" s="1"/>
  <c r="N234" i="481" s="1"/>
  <c r="L239" i="481"/>
  <c r="M239" i="481" s="1"/>
  <c r="N239" i="481" s="1"/>
  <c r="L247" i="481"/>
  <c r="M247" i="481" s="1"/>
  <c r="N247" i="481" s="1"/>
  <c r="L248" i="481"/>
  <c r="M248" i="481" s="1"/>
  <c r="N248" i="481" s="1"/>
  <c r="L242" i="481"/>
  <c r="M242" i="481" s="1"/>
  <c r="N242" i="481" s="1"/>
  <c r="L220" i="481"/>
  <c r="M220" i="481" s="1"/>
  <c r="N220" i="481" s="1"/>
  <c r="L241" i="481"/>
  <c r="M241" i="481" s="1"/>
  <c r="N241" i="481" s="1"/>
  <c r="L221" i="481"/>
  <c r="M221" i="481" s="1"/>
  <c r="N221" i="481" s="1"/>
  <c r="L236" i="481"/>
  <c r="M236" i="481" s="1"/>
  <c r="N236" i="481" s="1"/>
  <c r="L244" i="481"/>
  <c r="M244" i="481" s="1"/>
  <c r="N244" i="481" s="1"/>
  <c r="L147" i="480"/>
  <c r="M147" i="480" s="1"/>
  <c r="N147" i="480" s="1"/>
  <c r="L155" i="480"/>
  <c r="M155" i="480" s="1"/>
  <c r="N155" i="480" s="1"/>
  <c r="L145" i="480"/>
  <c r="M145" i="480" s="1"/>
  <c r="N145" i="480" s="1"/>
  <c r="L153" i="480"/>
  <c r="M153" i="480" s="1"/>
  <c r="N153" i="480" s="1"/>
  <c r="L161" i="480"/>
  <c r="M161" i="480" s="1"/>
  <c r="N161" i="480" s="1"/>
  <c r="L146" i="480"/>
  <c r="M146" i="480" s="1"/>
  <c r="N146" i="480" s="1"/>
  <c r="L154" i="480"/>
  <c r="M154" i="480" s="1"/>
  <c r="N154" i="480" s="1"/>
  <c r="L162" i="480"/>
  <c r="M162" i="480" s="1"/>
  <c r="N162" i="480" s="1"/>
  <c r="L174" i="480"/>
  <c r="M174" i="480" s="1"/>
  <c r="N174" i="480" s="1"/>
  <c r="L166" i="480"/>
  <c r="M166" i="480" s="1"/>
  <c r="N166" i="480" s="1"/>
  <c r="L170" i="480"/>
  <c r="M170" i="480" s="1"/>
  <c r="N170" i="480" s="1"/>
  <c r="L149" i="480"/>
  <c r="M149" i="480" s="1"/>
  <c r="N149" i="480" s="1"/>
  <c r="L157" i="480"/>
  <c r="M157" i="480" s="1"/>
  <c r="N157" i="480" s="1"/>
  <c r="L150" i="480"/>
  <c r="M150" i="480" s="1"/>
  <c r="N150" i="480" s="1"/>
  <c r="L158" i="480"/>
  <c r="M158" i="480" s="1"/>
  <c r="N158" i="480" s="1"/>
  <c r="L168" i="480"/>
  <c r="M168" i="480" s="1"/>
  <c r="N168" i="480" s="1"/>
  <c r="L177" i="480"/>
  <c r="M177" i="480" s="1"/>
  <c r="N177" i="480" s="1"/>
  <c r="L185" i="480"/>
  <c r="M185" i="480" s="1"/>
  <c r="N185" i="480" s="1"/>
  <c r="L193" i="480"/>
  <c r="M193" i="480" s="1"/>
  <c r="N193" i="480" s="1"/>
  <c r="L201" i="480"/>
  <c r="M201" i="480" s="1"/>
  <c r="N201" i="480" s="1"/>
  <c r="L209" i="480"/>
  <c r="M209" i="480" s="1"/>
  <c r="N209" i="480" s="1"/>
  <c r="L164" i="480"/>
  <c r="M164" i="480" s="1"/>
  <c r="N164" i="480" s="1"/>
  <c r="L172" i="480"/>
  <c r="M172" i="480" s="1"/>
  <c r="N172" i="480" s="1"/>
  <c r="L181" i="480"/>
  <c r="M181" i="480" s="1"/>
  <c r="N181" i="480" s="1"/>
  <c r="L189" i="480"/>
  <c r="M189" i="480" s="1"/>
  <c r="N189" i="480" s="1"/>
  <c r="L197" i="480"/>
  <c r="M197" i="480" s="1"/>
  <c r="N197" i="480" s="1"/>
  <c r="L205" i="480"/>
  <c r="M205" i="480" s="1"/>
  <c r="N205" i="480" s="1"/>
  <c r="L213" i="480"/>
  <c r="M213" i="480" s="1"/>
  <c r="N213" i="480" s="1"/>
  <c r="L143" i="480"/>
  <c r="M143" i="480" s="1"/>
  <c r="N143" i="480" s="1"/>
  <c r="L151" i="480"/>
  <c r="M151" i="480" s="1"/>
  <c r="N151" i="480" s="1"/>
  <c r="L159" i="480"/>
  <c r="M159" i="480" s="1"/>
  <c r="N159" i="480" s="1"/>
  <c r="L179" i="480"/>
  <c r="M179" i="480" s="1"/>
  <c r="N179" i="480" s="1"/>
  <c r="L183" i="480"/>
  <c r="M183" i="480" s="1"/>
  <c r="N183" i="480" s="1"/>
  <c r="L187" i="480"/>
  <c r="M187" i="480" s="1"/>
  <c r="N187" i="480" s="1"/>
  <c r="L191" i="480"/>
  <c r="M191" i="480" s="1"/>
  <c r="N191" i="480" s="1"/>
  <c r="L195" i="480"/>
  <c r="M195" i="480" s="1"/>
  <c r="N195" i="480" s="1"/>
  <c r="L199" i="480"/>
  <c r="M199" i="480" s="1"/>
  <c r="N199" i="480" s="1"/>
  <c r="L203" i="480"/>
  <c r="M203" i="480" s="1"/>
  <c r="N203" i="480" s="1"/>
  <c r="L207" i="480"/>
  <c r="M207" i="480" s="1"/>
  <c r="N207" i="480" s="1"/>
  <c r="L211" i="480"/>
  <c r="M211" i="480" s="1"/>
  <c r="N211" i="480" s="1"/>
  <c r="L236" i="480"/>
  <c r="M236" i="480" s="1"/>
  <c r="N236" i="480" s="1"/>
  <c r="L163" i="480"/>
  <c r="M163" i="480" s="1"/>
  <c r="N163" i="480" s="1"/>
  <c r="L167" i="480"/>
  <c r="M167" i="480" s="1"/>
  <c r="N167" i="480" s="1"/>
  <c r="L171" i="480"/>
  <c r="M171" i="480" s="1"/>
  <c r="N171" i="480" s="1"/>
  <c r="L175" i="480"/>
  <c r="M175" i="480" s="1"/>
  <c r="N175" i="480" s="1"/>
  <c r="L180" i="480"/>
  <c r="M180" i="480" s="1"/>
  <c r="N180" i="480" s="1"/>
  <c r="L184" i="480"/>
  <c r="M184" i="480" s="1"/>
  <c r="N184" i="480" s="1"/>
  <c r="L188" i="480"/>
  <c r="M188" i="480" s="1"/>
  <c r="N188" i="480" s="1"/>
  <c r="L192" i="480"/>
  <c r="M192" i="480" s="1"/>
  <c r="N192" i="480" s="1"/>
  <c r="L196" i="480"/>
  <c r="M196" i="480" s="1"/>
  <c r="N196" i="480" s="1"/>
  <c r="L200" i="480"/>
  <c r="M200" i="480" s="1"/>
  <c r="N200" i="480" s="1"/>
  <c r="L204" i="480"/>
  <c r="M204" i="480" s="1"/>
  <c r="N204" i="480" s="1"/>
  <c r="L208" i="480"/>
  <c r="M208" i="480" s="1"/>
  <c r="N208" i="480" s="1"/>
  <c r="L212" i="480"/>
  <c r="M212" i="480" s="1"/>
  <c r="N212" i="480" s="1"/>
  <c r="L176" i="480"/>
  <c r="M176" i="480" s="1"/>
  <c r="N176" i="480" s="1"/>
  <c r="L148" i="480"/>
  <c r="M148" i="480" s="1"/>
  <c r="N148" i="480" s="1"/>
  <c r="L156" i="480"/>
  <c r="M156" i="480" s="1"/>
  <c r="N156" i="480" s="1"/>
  <c r="L215" i="480"/>
  <c r="M215" i="480" s="1"/>
  <c r="N215" i="480" s="1"/>
  <c r="L165" i="480"/>
  <c r="M165" i="480" s="1"/>
  <c r="N165" i="480" s="1"/>
  <c r="L169" i="480"/>
  <c r="M169" i="480" s="1"/>
  <c r="N169" i="480" s="1"/>
  <c r="L173" i="480"/>
  <c r="M173" i="480" s="1"/>
  <c r="N173" i="480" s="1"/>
  <c r="L178" i="480"/>
  <c r="M178" i="480" s="1"/>
  <c r="N178" i="480" s="1"/>
  <c r="L182" i="480"/>
  <c r="M182" i="480" s="1"/>
  <c r="N182" i="480" s="1"/>
  <c r="L186" i="480"/>
  <c r="M186" i="480" s="1"/>
  <c r="N186" i="480" s="1"/>
  <c r="L190" i="480"/>
  <c r="M190" i="480" s="1"/>
  <c r="N190" i="480" s="1"/>
  <c r="L194" i="480"/>
  <c r="M194" i="480" s="1"/>
  <c r="N194" i="480" s="1"/>
  <c r="L198" i="480"/>
  <c r="M198" i="480" s="1"/>
  <c r="N198" i="480" s="1"/>
  <c r="L202" i="480"/>
  <c r="M202" i="480" s="1"/>
  <c r="N202" i="480" s="1"/>
  <c r="L206" i="480"/>
  <c r="M206" i="480" s="1"/>
  <c r="N206" i="480" s="1"/>
  <c r="L210" i="480"/>
  <c r="M210" i="480" s="1"/>
  <c r="N210" i="480" s="1"/>
  <c r="L214" i="480"/>
  <c r="M214" i="480" s="1"/>
  <c r="N214" i="480" s="1"/>
  <c r="L144" i="480"/>
  <c r="M144" i="480" s="1"/>
  <c r="N144" i="480" s="1"/>
  <c r="L152" i="480"/>
  <c r="M152" i="480" s="1"/>
  <c r="N152" i="480" s="1"/>
  <c r="L160" i="480"/>
  <c r="M160" i="480" s="1"/>
  <c r="N160" i="480" s="1"/>
  <c r="L95" i="480"/>
  <c r="M95" i="480" s="1"/>
  <c r="N95" i="480" s="1"/>
  <c r="L100" i="480"/>
  <c r="M100" i="480" s="1"/>
  <c r="N100" i="480" s="1"/>
  <c r="L92" i="480"/>
  <c r="M92" i="480" s="1"/>
  <c r="N92" i="480" s="1"/>
  <c r="L139" i="480"/>
  <c r="M139" i="480" s="1"/>
  <c r="N139" i="480" s="1"/>
  <c r="L135" i="480"/>
  <c r="M135" i="480" s="1"/>
  <c r="N135" i="480" s="1"/>
  <c r="L131" i="480"/>
  <c r="M131" i="480" s="1"/>
  <c r="N131" i="480" s="1"/>
  <c r="L127" i="480"/>
  <c r="M127" i="480" s="1"/>
  <c r="N127" i="480" s="1"/>
  <c r="L123" i="480"/>
  <c r="M123" i="480" s="1"/>
  <c r="N123" i="480" s="1"/>
  <c r="L119" i="480"/>
  <c r="M119" i="480" s="1"/>
  <c r="N119" i="480" s="1"/>
  <c r="L115" i="480"/>
  <c r="M115" i="480" s="1"/>
  <c r="N115" i="480" s="1"/>
  <c r="L111" i="480"/>
  <c r="M111" i="480" s="1"/>
  <c r="N111" i="480" s="1"/>
  <c r="L107" i="480"/>
  <c r="M107" i="480" s="1"/>
  <c r="N107" i="480" s="1"/>
  <c r="L91" i="480"/>
  <c r="M91" i="480" s="1"/>
  <c r="N91" i="480" s="1"/>
  <c r="L87" i="480"/>
  <c r="M87" i="480" s="1"/>
  <c r="N87" i="480" s="1"/>
  <c r="L83" i="480"/>
  <c r="M83" i="480" s="1"/>
  <c r="N83" i="480" s="1"/>
  <c r="L79" i="480"/>
  <c r="M79" i="480" s="1"/>
  <c r="N79" i="480" s="1"/>
  <c r="L75" i="480"/>
  <c r="M75" i="480" s="1"/>
  <c r="N75" i="480" s="1"/>
  <c r="L71" i="480"/>
  <c r="M71" i="480" s="1"/>
  <c r="N71" i="480" s="1"/>
  <c r="L67" i="480"/>
  <c r="M67" i="480" s="1"/>
  <c r="N67" i="480" s="1"/>
  <c r="L63" i="480"/>
  <c r="M63" i="480" s="1"/>
  <c r="N63" i="480" s="1"/>
  <c r="L55" i="480"/>
  <c r="M55" i="480" s="1"/>
  <c r="N55" i="480" s="1"/>
  <c r="L56" i="480"/>
  <c r="M56" i="480" s="1"/>
  <c r="N56" i="480" s="1"/>
  <c r="L40" i="480"/>
  <c r="M40" i="480" s="1"/>
  <c r="N40" i="480" s="1"/>
  <c r="L32" i="480"/>
  <c r="M32" i="480" s="1"/>
  <c r="N32" i="480" s="1"/>
  <c r="L53" i="480"/>
  <c r="M53" i="480" s="1"/>
  <c r="N53" i="480" s="1"/>
  <c r="L49" i="480"/>
  <c r="M49" i="480" s="1"/>
  <c r="N49" i="480" s="1"/>
  <c r="L45" i="480"/>
  <c r="M45" i="480" s="1"/>
  <c r="N45" i="480" s="1"/>
  <c r="L37" i="480"/>
  <c r="M37" i="480" s="1"/>
  <c r="N37" i="480" s="1"/>
  <c r="L29" i="480"/>
  <c r="M29" i="480" s="1"/>
  <c r="N29" i="480" s="1"/>
  <c r="L23" i="480"/>
  <c r="M23" i="480" s="1"/>
  <c r="N23" i="480" s="1"/>
  <c r="L19" i="480"/>
  <c r="M19" i="480" s="1"/>
  <c r="N19" i="480" s="1"/>
  <c r="L15" i="480"/>
  <c r="M15" i="480" s="1"/>
  <c r="N15" i="480" s="1"/>
  <c r="L11" i="480"/>
  <c r="M11" i="480" s="1"/>
  <c r="N11" i="480" s="1"/>
  <c r="L7" i="480"/>
  <c r="M7" i="480" s="1"/>
  <c r="N7" i="480" s="1"/>
  <c r="L3" i="480"/>
  <c r="M3" i="480" s="1"/>
  <c r="N3" i="480" s="1"/>
  <c r="L220" i="480"/>
  <c r="M220" i="480" s="1"/>
  <c r="N220" i="480" s="1"/>
  <c r="L228" i="480"/>
  <c r="M228" i="480" s="1"/>
  <c r="N228" i="480" s="1"/>
  <c r="L217" i="480"/>
  <c r="M217" i="480" s="1"/>
  <c r="N217" i="480" s="1"/>
  <c r="L225" i="480"/>
  <c r="M225" i="480" s="1"/>
  <c r="N225" i="480" s="1"/>
  <c r="L233" i="480"/>
  <c r="M233" i="480" s="1"/>
  <c r="N233" i="480" s="1"/>
  <c r="L240" i="480"/>
  <c r="M240" i="480" s="1"/>
  <c r="N240" i="480" s="1"/>
  <c r="L244" i="480"/>
  <c r="M244" i="480" s="1"/>
  <c r="N244" i="480" s="1"/>
  <c r="L101" i="480"/>
  <c r="M101" i="480" s="1"/>
  <c r="N101" i="480" s="1"/>
  <c r="L93" i="480"/>
  <c r="M93" i="480" s="1"/>
  <c r="N93" i="480" s="1"/>
  <c r="L98" i="480"/>
  <c r="M98" i="480" s="1"/>
  <c r="N98" i="480" s="1"/>
  <c r="L142" i="480"/>
  <c r="M142" i="480" s="1"/>
  <c r="N142" i="480" s="1"/>
  <c r="L138" i="480"/>
  <c r="M138" i="480" s="1"/>
  <c r="N138" i="480" s="1"/>
  <c r="L134" i="480"/>
  <c r="M134" i="480" s="1"/>
  <c r="N134" i="480" s="1"/>
  <c r="L130" i="480"/>
  <c r="M130" i="480" s="1"/>
  <c r="N130" i="480" s="1"/>
  <c r="L126" i="480"/>
  <c r="M126" i="480" s="1"/>
  <c r="N126" i="480" s="1"/>
  <c r="L122" i="480"/>
  <c r="M122" i="480" s="1"/>
  <c r="N122" i="480" s="1"/>
  <c r="L118" i="480"/>
  <c r="M118" i="480" s="1"/>
  <c r="N118" i="480" s="1"/>
  <c r="L114" i="480"/>
  <c r="M114" i="480" s="1"/>
  <c r="N114" i="480" s="1"/>
  <c r="L110" i="480"/>
  <c r="M110" i="480" s="1"/>
  <c r="N110" i="480" s="1"/>
  <c r="L106" i="480"/>
  <c r="M106" i="480" s="1"/>
  <c r="N106" i="480" s="1"/>
  <c r="L90" i="480"/>
  <c r="M90" i="480" s="1"/>
  <c r="N90" i="480" s="1"/>
  <c r="L86" i="480"/>
  <c r="M86" i="480" s="1"/>
  <c r="N86" i="480" s="1"/>
  <c r="L82" i="480"/>
  <c r="M82" i="480" s="1"/>
  <c r="N82" i="480" s="1"/>
  <c r="L78" i="480"/>
  <c r="M78" i="480" s="1"/>
  <c r="N78" i="480" s="1"/>
  <c r="L74" i="480"/>
  <c r="M74" i="480" s="1"/>
  <c r="N74" i="480" s="1"/>
  <c r="L70" i="480"/>
  <c r="M70" i="480" s="1"/>
  <c r="N70" i="480" s="1"/>
  <c r="L66" i="480"/>
  <c r="M66" i="480" s="1"/>
  <c r="N66" i="480" s="1"/>
  <c r="L61" i="480"/>
  <c r="M61" i="480" s="1"/>
  <c r="N61" i="480" s="1"/>
  <c r="L62" i="480"/>
  <c r="M62" i="480" s="1"/>
  <c r="N62" i="480" s="1"/>
  <c r="L54" i="480"/>
  <c r="M54" i="480" s="1"/>
  <c r="N54" i="480" s="1"/>
  <c r="L38" i="480"/>
  <c r="M38" i="480" s="1"/>
  <c r="N38" i="480" s="1"/>
  <c r="L30" i="480"/>
  <c r="M30" i="480" s="1"/>
  <c r="N30" i="480" s="1"/>
  <c r="L52" i="480"/>
  <c r="M52" i="480" s="1"/>
  <c r="N52" i="480" s="1"/>
  <c r="L48" i="480"/>
  <c r="M48" i="480" s="1"/>
  <c r="N48" i="480" s="1"/>
  <c r="L43" i="480"/>
  <c r="M43" i="480" s="1"/>
  <c r="N43" i="480" s="1"/>
  <c r="L35" i="480"/>
  <c r="M35" i="480" s="1"/>
  <c r="N35" i="480" s="1"/>
  <c r="L27" i="480"/>
  <c r="M27" i="480" s="1"/>
  <c r="N27" i="480" s="1"/>
  <c r="L22" i="480"/>
  <c r="M22" i="480" s="1"/>
  <c r="N22" i="480" s="1"/>
  <c r="L18" i="480"/>
  <c r="M18" i="480" s="1"/>
  <c r="N18" i="480" s="1"/>
  <c r="L14" i="480"/>
  <c r="M14" i="480" s="1"/>
  <c r="N14" i="480" s="1"/>
  <c r="L10" i="480"/>
  <c r="M10" i="480" s="1"/>
  <c r="N10" i="480" s="1"/>
  <c r="L6" i="480"/>
  <c r="M6" i="480" s="1"/>
  <c r="N6" i="480" s="1"/>
  <c r="L2" i="480"/>
  <c r="L222" i="480"/>
  <c r="M222" i="480" s="1"/>
  <c r="N222" i="480" s="1"/>
  <c r="L230" i="480"/>
  <c r="M230" i="480" s="1"/>
  <c r="N230" i="480" s="1"/>
  <c r="L219" i="480"/>
  <c r="M219" i="480" s="1"/>
  <c r="N219" i="480" s="1"/>
  <c r="L227" i="480"/>
  <c r="M227" i="480" s="1"/>
  <c r="N227" i="480" s="1"/>
  <c r="L235" i="480"/>
  <c r="M235" i="480" s="1"/>
  <c r="N235" i="480" s="1"/>
  <c r="L237" i="480"/>
  <c r="M237" i="480" s="1"/>
  <c r="N237" i="480" s="1"/>
  <c r="L241" i="480"/>
  <c r="M241" i="480" s="1"/>
  <c r="N241" i="480" s="1"/>
  <c r="L245" i="480"/>
  <c r="M245" i="480" s="1"/>
  <c r="N245" i="480" s="1"/>
  <c r="L99" i="480"/>
  <c r="M99" i="480" s="1"/>
  <c r="N99" i="480" s="1"/>
  <c r="L104" i="480"/>
  <c r="M104" i="480" s="1"/>
  <c r="N104" i="480" s="1"/>
  <c r="L96" i="480"/>
  <c r="M96" i="480" s="1"/>
  <c r="N96" i="480" s="1"/>
  <c r="L141" i="480"/>
  <c r="M141" i="480" s="1"/>
  <c r="N141" i="480" s="1"/>
  <c r="L137" i="480"/>
  <c r="M137" i="480" s="1"/>
  <c r="N137" i="480" s="1"/>
  <c r="L133" i="480"/>
  <c r="M133" i="480" s="1"/>
  <c r="N133" i="480" s="1"/>
  <c r="L129" i="480"/>
  <c r="M129" i="480" s="1"/>
  <c r="N129" i="480" s="1"/>
  <c r="L125" i="480"/>
  <c r="M125" i="480" s="1"/>
  <c r="N125" i="480" s="1"/>
  <c r="L121" i="480"/>
  <c r="M121" i="480" s="1"/>
  <c r="N121" i="480" s="1"/>
  <c r="L117" i="480"/>
  <c r="M117" i="480" s="1"/>
  <c r="N117" i="480" s="1"/>
  <c r="L113" i="480"/>
  <c r="M113" i="480" s="1"/>
  <c r="N113" i="480" s="1"/>
  <c r="L109" i="480"/>
  <c r="M109" i="480" s="1"/>
  <c r="N109" i="480" s="1"/>
  <c r="L105" i="480"/>
  <c r="M105" i="480" s="1"/>
  <c r="N105" i="480" s="1"/>
  <c r="L89" i="480"/>
  <c r="M89" i="480" s="1"/>
  <c r="N89" i="480" s="1"/>
  <c r="L85" i="480"/>
  <c r="M85" i="480" s="1"/>
  <c r="N85" i="480" s="1"/>
  <c r="L81" i="480"/>
  <c r="M81" i="480" s="1"/>
  <c r="N81" i="480" s="1"/>
  <c r="L77" i="480"/>
  <c r="M77" i="480" s="1"/>
  <c r="N77" i="480" s="1"/>
  <c r="L73" i="480"/>
  <c r="M73" i="480" s="1"/>
  <c r="N73" i="480" s="1"/>
  <c r="L69" i="480"/>
  <c r="M69" i="480" s="1"/>
  <c r="N69" i="480" s="1"/>
  <c r="L65" i="480"/>
  <c r="M65" i="480" s="1"/>
  <c r="N65" i="480" s="1"/>
  <c r="L59" i="480"/>
  <c r="M59" i="480" s="1"/>
  <c r="N59" i="480" s="1"/>
  <c r="L60" i="480"/>
  <c r="M60" i="480" s="1"/>
  <c r="N60" i="480" s="1"/>
  <c r="L44" i="480"/>
  <c r="M44" i="480" s="1"/>
  <c r="N44" i="480" s="1"/>
  <c r="L36" i="480"/>
  <c r="M36" i="480" s="1"/>
  <c r="N36" i="480" s="1"/>
  <c r="L28" i="480"/>
  <c r="M28" i="480" s="1"/>
  <c r="N28" i="480" s="1"/>
  <c r="L51" i="480"/>
  <c r="M51" i="480" s="1"/>
  <c r="N51" i="480" s="1"/>
  <c r="L47" i="480"/>
  <c r="M47" i="480" s="1"/>
  <c r="N47" i="480" s="1"/>
  <c r="L41" i="480"/>
  <c r="M41" i="480" s="1"/>
  <c r="N41" i="480" s="1"/>
  <c r="L33" i="480"/>
  <c r="M33" i="480" s="1"/>
  <c r="N33" i="480" s="1"/>
  <c r="L25" i="480"/>
  <c r="M25" i="480" s="1"/>
  <c r="N25" i="480" s="1"/>
  <c r="L21" i="480"/>
  <c r="M21" i="480" s="1"/>
  <c r="N21" i="480" s="1"/>
  <c r="L17" i="480"/>
  <c r="M17" i="480" s="1"/>
  <c r="N17" i="480" s="1"/>
  <c r="L13" i="480"/>
  <c r="M13" i="480" s="1"/>
  <c r="N13" i="480" s="1"/>
  <c r="L9" i="480"/>
  <c r="M9" i="480" s="1"/>
  <c r="N9" i="480" s="1"/>
  <c r="L5" i="480"/>
  <c r="M5" i="480" s="1"/>
  <c r="N5" i="480" s="1"/>
  <c r="L216" i="480"/>
  <c r="M216" i="480" s="1"/>
  <c r="N216" i="480" s="1"/>
  <c r="L224" i="480"/>
  <c r="M224" i="480" s="1"/>
  <c r="N224" i="480" s="1"/>
  <c r="L232" i="480"/>
  <c r="M232" i="480" s="1"/>
  <c r="N232" i="480" s="1"/>
  <c r="L221" i="480"/>
  <c r="M221" i="480" s="1"/>
  <c r="N221" i="480" s="1"/>
  <c r="L229" i="480"/>
  <c r="M229" i="480" s="1"/>
  <c r="N229" i="480" s="1"/>
  <c r="L247" i="480"/>
  <c r="M247" i="480" s="1"/>
  <c r="N247" i="480" s="1"/>
  <c r="L238" i="480"/>
  <c r="M238" i="480" s="1"/>
  <c r="N238" i="480" s="1"/>
  <c r="L242" i="480"/>
  <c r="M242" i="480" s="1"/>
  <c r="N242" i="480" s="1"/>
  <c r="L246" i="480"/>
  <c r="M246" i="480" s="1"/>
  <c r="N246" i="480" s="1"/>
  <c r="L248" i="480"/>
  <c r="M248" i="480" s="1"/>
  <c r="N248" i="480" s="1"/>
  <c r="L97" i="480"/>
  <c r="M97" i="480" s="1"/>
  <c r="N97" i="480" s="1"/>
  <c r="L102" i="480"/>
  <c r="M102" i="480" s="1"/>
  <c r="N102" i="480" s="1"/>
  <c r="L94" i="480"/>
  <c r="M94" i="480" s="1"/>
  <c r="N94" i="480" s="1"/>
  <c r="L140" i="480"/>
  <c r="M140" i="480" s="1"/>
  <c r="N140" i="480" s="1"/>
  <c r="L136" i="480"/>
  <c r="M136" i="480" s="1"/>
  <c r="N136" i="480" s="1"/>
  <c r="L132" i="480"/>
  <c r="M132" i="480" s="1"/>
  <c r="N132" i="480" s="1"/>
  <c r="L128" i="480"/>
  <c r="M128" i="480" s="1"/>
  <c r="N128" i="480" s="1"/>
  <c r="L124" i="480"/>
  <c r="M124" i="480" s="1"/>
  <c r="N124" i="480" s="1"/>
  <c r="L120" i="480"/>
  <c r="M120" i="480" s="1"/>
  <c r="N120" i="480" s="1"/>
  <c r="L116" i="480"/>
  <c r="M116" i="480" s="1"/>
  <c r="N116" i="480" s="1"/>
  <c r="L112" i="480"/>
  <c r="M112" i="480" s="1"/>
  <c r="N112" i="480" s="1"/>
  <c r="L108" i="480"/>
  <c r="M108" i="480" s="1"/>
  <c r="N108" i="480" s="1"/>
  <c r="L103" i="480"/>
  <c r="M103" i="480" s="1"/>
  <c r="N103" i="480" s="1"/>
  <c r="L88" i="480"/>
  <c r="M88" i="480" s="1"/>
  <c r="N88" i="480" s="1"/>
  <c r="L84" i="480"/>
  <c r="M84" i="480" s="1"/>
  <c r="N84" i="480" s="1"/>
  <c r="L80" i="480"/>
  <c r="M80" i="480" s="1"/>
  <c r="N80" i="480" s="1"/>
  <c r="L76" i="480"/>
  <c r="M76" i="480" s="1"/>
  <c r="N76" i="480" s="1"/>
  <c r="L72" i="480"/>
  <c r="M72" i="480" s="1"/>
  <c r="N72" i="480" s="1"/>
  <c r="L68" i="480"/>
  <c r="M68" i="480" s="1"/>
  <c r="N68" i="480" s="1"/>
  <c r="L64" i="480"/>
  <c r="M64" i="480" s="1"/>
  <c r="N64" i="480" s="1"/>
  <c r="L57" i="480"/>
  <c r="M57" i="480" s="1"/>
  <c r="N57" i="480" s="1"/>
  <c r="L58" i="480"/>
  <c r="M58" i="480" s="1"/>
  <c r="N58" i="480" s="1"/>
  <c r="L42" i="480"/>
  <c r="M42" i="480" s="1"/>
  <c r="N42" i="480" s="1"/>
  <c r="L34" i="480"/>
  <c r="M34" i="480" s="1"/>
  <c r="N34" i="480" s="1"/>
  <c r="L26" i="480"/>
  <c r="M26" i="480" s="1"/>
  <c r="N26" i="480" s="1"/>
  <c r="L50" i="480"/>
  <c r="M50" i="480" s="1"/>
  <c r="N50" i="480" s="1"/>
  <c r="L46" i="480"/>
  <c r="M46" i="480" s="1"/>
  <c r="N46" i="480" s="1"/>
  <c r="L39" i="480"/>
  <c r="M39" i="480" s="1"/>
  <c r="N39" i="480" s="1"/>
  <c r="L31" i="480"/>
  <c r="M31" i="480" s="1"/>
  <c r="N31" i="480" s="1"/>
  <c r="L24" i="480"/>
  <c r="M24" i="480" s="1"/>
  <c r="N24" i="480" s="1"/>
  <c r="L20" i="480"/>
  <c r="M20" i="480" s="1"/>
  <c r="N20" i="480" s="1"/>
  <c r="L16" i="480"/>
  <c r="M16" i="480" s="1"/>
  <c r="N16" i="480" s="1"/>
  <c r="L12" i="480"/>
  <c r="M12" i="480" s="1"/>
  <c r="N12" i="480" s="1"/>
  <c r="L8" i="480"/>
  <c r="M8" i="480" s="1"/>
  <c r="N8" i="480" s="1"/>
  <c r="L4" i="480"/>
  <c r="M4" i="480" s="1"/>
  <c r="N4" i="480" s="1"/>
  <c r="L218" i="480"/>
  <c r="M218" i="480" s="1"/>
  <c r="N218" i="480" s="1"/>
  <c r="L226" i="480"/>
  <c r="M226" i="480" s="1"/>
  <c r="N226" i="480" s="1"/>
  <c r="L234" i="480"/>
  <c r="M234" i="480" s="1"/>
  <c r="N234" i="480" s="1"/>
  <c r="L223" i="480"/>
  <c r="M223" i="480" s="1"/>
  <c r="N223" i="480" s="1"/>
  <c r="L231" i="480"/>
  <c r="M231" i="480" s="1"/>
  <c r="N231" i="480" s="1"/>
  <c r="L239" i="480"/>
  <c r="M239" i="480" s="1"/>
  <c r="N239" i="480" s="1"/>
  <c r="L243" i="480"/>
  <c r="M243" i="480" s="1"/>
  <c r="N243" i="480" s="1"/>
  <c r="J3" i="1"/>
  <c r="J4" i="1"/>
  <c r="J5" i="1"/>
  <c r="J6" i="1"/>
  <c r="J7" i="1"/>
  <c r="J8" i="1"/>
  <c r="J9" i="1"/>
  <c r="J10" i="1"/>
  <c r="J11" i="1"/>
  <c r="J2" i="1"/>
  <c r="W3" i="489" l="1"/>
  <c r="W4" i="489"/>
  <c r="W4" i="488"/>
  <c r="W3" i="488"/>
  <c r="W4" i="487"/>
  <c r="W3" i="487"/>
  <c r="W4" i="486"/>
  <c r="W3" i="486"/>
  <c r="W3" i="485"/>
  <c r="W4" i="485"/>
  <c r="W4" i="484"/>
  <c r="W3" i="484"/>
  <c r="W3" i="483"/>
  <c r="W4" i="483"/>
  <c r="W4" i="482"/>
  <c r="W3" i="482"/>
  <c r="W3" i="481"/>
  <c r="W4" i="481"/>
  <c r="W3" i="480"/>
  <c r="W4" i="480"/>
  <c r="I3" i="1"/>
  <c r="I4" i="1"/>
  <c r="I5" i="1"/>
  <c r="I6" i="1"/>
  <c r="I7" i="1"/>
  <c r="I8" i="1"/>
  <c r="I9" i="1"/>
  <c r="I10" i="1"/>
  <c r="I11" i="1"/>
  <c r="I2" i="1"/>
  <c r="I12" i="1" l="1"/>
  <c r="J12" i="1" l="1"/>
</calcChain>
</file>

<file path=xl/sharedStrings.xml><?xml version="1.0" encoding="utf-8"?>
<sst xmlns="http://schemas.openxmlformats.org/spreadsheetml/2006/main" count="264" uniqueCount="56">
  <si>
    <t>Stock Symbol</t>
  </si>
  <si>
    <t>Min %</t>
  </si>
  <si>
    <t>Max %</t>
  </si>
  <si>
    <t>Date</t>
  </si>
  <si>
    <t>Open</t>
  </si>
  <si>
    <t>Close</t>
  </si>
  <si>
    <t>Current</t>
  </si>
  <si>
    <t>Budget*Min%</t>
  </si>
  <si>
    <t>Budget*Max%</t>
  </si>
  <si>
    <t># Shares Purchased</t>
  </si>
  <si>
    <t>Profit</t>
  </si>
  <si>
    <t>Budget:</t>
  </si>
  <si>
    <t>weights</t>
  </si>
  <si>
    <t>W_i1</t>
  </si>
  <si>
    <t>W_i2</t>
  </si>
  <si>
    <t>W_i3</t>
  </si>
  <si>
    <t>W_i4</t>
  </si>
  <si>
    <t>W_i5</t>
  </si>
  <si>
    <t>W_i</t>
  </si>
  <si>
    <t>Y_1</t>
  </si>
  <si>
    <t>Y_2</t>
  </si>
  <si>
    <t>Y_3</t>
  </si>
  <si>
    <t>Y_4</t>
  </si>
  <si>
    <t>Y_5</t>
  </si>
  <si>
    <t>Y</t>
  </si>
  <si>
    <t>dif</t>
  </si>
  <si>
    <t>sq diff</t>
  </si>
  <si>
    <t>epsilon</t>
  </si>
  <si>
    <t>Sum</t>
  </si>
  <si>
    <t>Max</t>
  </si>
  <si>
    <t>Minimize this</t>
  </si>
  <si>
    <t>Predicted Close</t>
  </si>
  <si>
    <t>Spending</t>
  </si>
  <si>
    <t>ADI</t>
  </si>
  <si>
    <t>ATVI</t>
  </si>
  <si>
    <t>AMZN</t>
  </si>
  <si>
    <t>BIDU</t>
  </si>
  <si>
    <t>BIIB</t>
  </si>
  <si>
    <t>COST</t>
  </si>
  <si>
    <t>MAT</t>
  </si>
  <si>
    <t>EBAY</t>
  </si>
  <si>
    <t>EXPE</t>
  </si>
  <si>
    <t>INTU</t>
  </si>
  <si>
    <t>Trial 1</t>
  </si>
  <si>
    <t>Trial 2</t>
  </si>
  <si>
    <t>GOOG</t>
  </si>
  <si>
    <t>BBRY</t>
  </si>
  <si>
    <t>BBBY</t>
  </si>
  <si>
    <t>YHOO</t>
  </si>
  <si>
    <t>INTC</t>
  </si>
  <si>
    <t>FB</t>
  </si>
  <si>
    <t>ADBE</t>
  </si>
  <si>
    <t>CSCO</t>
  </si>
  <si>
    <t>GRPN</t>
  </si>
  <si>
    <t>MSFT</t>
  </si>
  <si>
    <t>CAUTION - BUTTON 3A TAKES 10-20 MINUTES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</si>
</sst>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1" fillId="2" borderId="1" xfId="1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  <xf numFmtId="44" fontId="0" fillId="0" borderId="0" xfId="2" applyFont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44" fontId="0" fillId="0" borderId="0" xfId="2" applyFont="1" applyFill="1" applyBorder="1"/>
    <xf numFmtId="9" fontId="0" fillId="0" borderId="0" xfId="3" applyFont="1" applyFill="1" applyBorder="1"/>
    <xf numFmtId="0" fontId="4" fillId="0" borderId="0" xfId="0" applyFont="1" applyAlignment="1">
      <alignment vertical="center"/>
    </xf>
    <xf numFmtId="15" fontId="0" fillId="0" borderId="0" xfId="0" applyNumberFormat="1"/>
  </cellXfs>
  <cellStyles count="4">
    <cellStyle name="Currency" xfId="2" builtinId="4"/>
    <cellStyle name="Input" xfId="1" builtinId="20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12</xdr:row>
          <xdr:rowOff>19050</xdr:rowOff>
        </xdr:from>
        <xdr:to>
          <xdr:col>4</xdr:col>
          <xdr:colOff>904875</xdr:colOff>
          <xdr:row>16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Add Stocks and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17</xdr:row>
          <xdr:rowOff>19050</xdr:rowOff>
        </xdr:from>
        <xdr:to>
          <xdr:col>4</xdr:col>
          <xdr:colOff>914400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Get historical data from database, if no record in database then get data from Google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28575</xdr:rowOff>
        </xdr:from>
        <xdr:to>
          <xdr:col>5</xdr:col>
          <xdr:colOff>0</xdr:colOff>
          <xdr:row>33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Optimize Portfolio based on predicted opening/closing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23</xdr:row>
          <xdr:rowOff>23813</xdr:rowOff>
        </xdr:from>
        <xdr:to>
          <xdr:col>4</xdr:col>
          <xdr:colOff>0</xdr:colOff>
          <xdr:row>27</xdr:row>
          <xdr:rowOff>166688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A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3a ANN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23813</xdr:colOff>
          <xdr:row>23</xdr:row>
          <xdr:rowOff>23813</xdr:rowOff>
        </xdr:from>
        <xdr:to>
          <xdr:col>4</xdr:col>
          <xdr:colOff>1057275</xdr:colOff>
          <xdr:row>27</xdr:row>
          <xdr:rowOff>176213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3b ANN 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29</xdr:row>
          <xdr:rowOff>133350</xdr:rowOff>
        </xdr:from>
        <xdr:to>
          <xdr:col>7</xdr:col>
          <xdr:colOff>623888</xdr:colOff>
          <xdr:row>34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Generate investment report in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80.02</v>
      </c>
      <c r="C2">
        <v>78.42</v>
      </c>
      <c r="G2">
        <f t="shared" ref="G2" si="0">SUMPRODUCT($B2:$B6,P$2:P$6)</f>
        <v>18.366448462012258</v>
      </c>
      <c r="H2">
        <f t="shared" ref="H2" si="1">SUMPRODUCT($B2:$B6,Q$2:Q$6)</f>
        <v>18.786371148663203</v>
      </c>
      <c r="I2">
        <f t="shared" ref="I2" si="2">SUMPRODUCT($B2:$B6,R$2:R$6)</f>
        <v>60.984285384331862</v>
      </c>
      <c r="J2">
        <f t="shared" ref="J2" si="3">SUMPRODUCT($B2:$B6,S$2:S$6)</f>
        <v>56.235201550150443</v>
      </c>
      <c r="K2">
        <f t="shared" ref="K2" si="4">SUMPRODUCT($B2:$B6,T$2:T$6)</f>
        <v>51.420226411077024</v>
      </c>
      <c r="L2">
        <f t="shared" ref="L2" si="5">(G2+$P$7)*$U$2+(H2+$Q$7)*$U$3+(I2+$R$7)*$U$4+(J2+$S$7)*$U$5+(K2+$T$7)*$U$6+$U$7</f>
        <v>80.087190538422675</v>
      </c>
      <c r="P2">
        <v>0.14194175632208822</v>
      </c>
      <c r="Q2">
        <v>0.20320065357842507</v>
      </c>
      <c r="R2">
        <v>0.68094825448869223</v>
      </c>
      <c r="S2">
        <v>0.64870615302170531</v>
      </c>
      <c r="T2">
        <v>8.536260730389994E-2</v>
      </c>
      <c r="U2">
        <v>2.5983955709307882E-7</v>
      </c>
      <c r="W2" t="s">
        <v>30</v>
      </c>
    </row>
    <row r="3" spans="1:23" x14ac:dyDescent="0.45">
      <c r="A3" s="22">
        <v>42871</v>
      </c>
      <c r="B3">
        <v>80.45</v>
      </c>
      <c r="C3">
        <v>81.05</v>
      </c>
      <c r="G3">
        <f t="shared" ref="G3:K3" si="6">SUMPRODUCT($B3:$B7,P$2:P$6)</f>
        <v>18.336576935052705</v>
      </c>
      <c r="H3">
        <f t="shared" si="6"/>
        <v>18.833554341565939</v>
      </c>
      <c r="I3">
        <f t="shared" si="6"/>
        <v>61.173759060242475</v>
      </c>
      <c r="J3">
        <f t="shared" si="6"/>
        <v>56.445321305613511</v>
      </c>
      <c r="K3">
        <f t="shared" si="6"/>
        <v>51.528553069464223</v>
      </c>
      <c r="L3">
        <f t="shared" ref="L3:L66" si="7">(G3+$P$7)*$U$2+(H3+$Q$7)*$U$3+(I3+$R$7)*$U$4+(J3+$S$7)*$U$5+(K3+$T$7)*$U$6+$U$7</f>
        <v>80.351659654405026</v>
      </c>
      <c r="M3">
        <f t="shared" ref="M3:M66" si="8">B2-L3</f>
        <v>-0.33165965440502987</v>
      </c>
      <c r="N3">
        <f t="shared" ref="N3:N66" si="9">M3^2</f>
        <v>0.10999812636006386</v>
      </c>
      <c r="P3">
        <v>5.8548122659109407E-2</v>
      </c>
      <c r="Q3">
        <v>3.1400775052327599E-2</v>
      </c>
      <c r="R3">
        <v>8.0729651798391172E-2</v>
      </c>
      <c r="S3">
        <v>5.376831222812143E-2</v>
      </c>
      <c r="T3">
        <v>9.3625835284451356E-2</v>
      </c>
      <c r="U3">
        <v>0.30541704649531753</v>
      </c>
      <c r="V3" t="s">
        <v>28</v>
      </c>
      <c r="W3">
        <f>SUM(N3:N252)</f>
        <v>253.50530293014654</v>
      </c>
    </row>
    <row r="4" spans="1:23" x14ac:dyDescent="0.45">
      <c r="A4" s="22">
        <v>42870</v>
      </c>
      <c r="B4">
        <v>79.17</v>
      </c>
      <c r="C4">
        <v>80.209999999999994</v>
      </c>
      <c r="G4">
        <f t="shared" ref="G4:K4" si="10">SUMPRODUCT($B4:$B8,P$2:P$6)</f>
        <v>18.125882996532802</v>
      </c>
      <c r="H4">
        <f t="shared" si="10"/>
        <v>18.556186454819102</v>
      </c>
      <c r="I4">
        <f t="shared" si="10"/>
        <v>60.257742841560663</v>
      </c>
      <c r="J4">
        <f t="shared" si="10"/>
        <v>55.585404821398477</v>
      </c>
      <c r="K4">
        <f t="shared" si="10"/>
        <v>50.632940962847456</v>
      </c>
      <c r="L4">
        <f t="shared" si="7"/>
        <v>79.149663371034734</v>
      </c>
      <c r="M4">
        <f t="shared" si="8"/>
        <v>1.3003366289652689</v>
      </c>
      <c r="N4">
        <f t="shared" si="9"/>
        <v>1.6908753486287595</v>
      </c>
      <c r="P4">
        <v>2.9027063953434473E-2</v>
      </c>
      <c r="Q4">
        <v>5.3601594096204461E-7</v>
      </c>
      <c r="R4">
        <v>8.7319690007365517E-7</v>
      </c>
      <c r="S4">
        <v>8.9064892961584571E-7</v>
      </c>
      <c r="T4">
        <v>9.3191771309633215E-2</v>
      </c>
      <c r="U4">
        <v>0.66799904491741069</v>
      </c>
      <c r="V4" t="s">
        <v>29</v>
      </c>
      <c r="W4">
        <f>MAX(N3:N252)</f>
        <v>30.693823207479387</v>
      </c>
    </row>
    <row r="5" spans="1:23" x14ac:dyDescent="0.45">
      <c r="A5" s="22">
        <v>42867</v>
      </c>
      <c r="B5">
        <v>78.62</v>
      </c>
      <c r="C5">
        <v>78.63</v>
      </c>
      <c r="G5">
        <f t="shared" ref="G5:K5" si="11">SUMPRODUCT($B5:$B9,P$2:P$6)</f>
        <v>18.076896433931836</v>
      </c>
      <c r="H5">
        <f t="shared" si="11"/>
        <v>18.447880300589521</v>
      </c>
      <c r="I5">
        <f t="shared" si="11"/>
        <v>59.892101702822238</v>
      </c>
      <c r="J5">
        <f t="shared" si="11"/>
        <v>55.234531587528842</v>
      </c>
      <c r="K5">
        <f t="shared" si="11"/>
        <v>50.111933679933067</v>
      </c>
      <c r="L5">
        <f t="shared" si="7"/>
        <v>78.666123466699389</v>
      </c>
      <c r="M5">
        <f t="shared" si="8"/>
        <v>0.50387653330061255</v>
      </c>
      <c r="N5">
        <f t="shared" si="9"/>
        <v>0.2538915608110433</v>
      </c>
      <c r="P5">
        <v>0</v>
      </c>
      <c r="Q5">
        <v>0</v>
      </c>
      <c r="R5">
        <v>0</v>
      </c>
      <c r="S5">
        <v>0</v>
      </c>
      <c r="T5">
        <v>7.6727773937842247E-2</v>
      </c>
      <c r="U5">
        <v>0.5877136565720571</v>
      </c>
    </row>
    <row r="6" spans="1:23" x14ac:dyDescent="0.45">
      <c r="A6" s="22">
        <v>42866</v>
      </c>
      <c r="B6">
        <v>78.73</v>
      </c>
      <c r="C6">
        <v>78.44</v>
      </c>
      <c r="G6">
        <f t="shared" ref="G6:K6" si="12">SUMPRODUCT($B6:$B10,P$2:P$6)</f>
        <v>18.060385031406167</v>
      </c>
      <c r="H6">
        <f t="shared" si="12"/>
        <v>18.494723571076591</v>
      </c>
      <c r="I6">
        <f t="shared" si="12"/>
        <v>60.029972854595762</v>
      </c>
      <c r="J6">
        <f t="shared" si="12"/>
        <v>55.3478261669866</v>
      </c>
      <c r="K6">
        <f t="shared" si="12"/>
        <v>49.890868925717854</v>
      </c>
      <c r="L6">
        <f t="shared" si="7"/>
        <v>78.83911258546182</v>
      </c>
      <c r="M6">
        <f t="shared" si="8"/>
        <v>-0.219112585461815</v>
      </c>
      <c r="N6">
        <f t="shared" si="9"/>
        <v>4.8010325107761181E-2</v>
      </c>
      <c r="P6">
        <v>0</v>
      </c>
      <c r="Q6">
        <v>2.5479456152303411E-7</v>
      </c>
      <c r="R6">
        <v>4.6287269867414146E-7</v>
      </c>
      <c r="S6">
        <v>5.0221331919825205E-8</v>
      </c>
      <c r="T6">
        <v>0.30035541730481419</v>
      </c>
      <c r="U6">
        <v>8.1214613675889206E-7</v>
      </c>
    </row>
    <row r="7" spans="1:23" x14ac:dyDescent="0.45">
      <c r="A7" s="22">
        <v>42865</v>
      </c>
      <c r="B7">
        <v>79.510000000000005</v>
      </c>
      <c r="C7">
        <v>79.03</v>
      </c>
      <c r="G7">
        <f t="shared" ref="G7:K7" si="13">SUMPRODUCT($B7:$B11,P$2:P$6)</f>
        <v>17.980228967785465</v>
      </c>
      <c r="H7">
        <f t="shared" si="13"/>
        <v>18.569065366397091</v>
      </c>
      <c r="I7">
        <f t="shared" si="13"/>
        <v>60.344755986121974</v>
      </c>
      <c r="J7">
        <f t="shared" si="13"/>
        <v>55.709716845504062</v>
      </c>
      <c r="K7">
        <f t="shared" si="13"/>
        <v>49.594693264600636</v>
      </c>
      <c r="L7">
        <f t="shared" si="7"/>
        <v>79.284780500820588</v>
      </c>
      <c r="M7">
        <f t="shared" si="8"/>
        <v>-0.55478050082058417</v>
      </c>
      <c r="N7">
        <f t="shared" si="9"/>
        <v>0.30778140409073818</v>
      </c>
      <c r="O7" t="s">
        <v>27</v>
      </c>
      <c r="P7">
        <v>9.5646562743928612E-7</v>
      </c>
      <c r="Q7">
        <v>9.5646562743928612E-7</v>
      </c>
      <c r="R7">
        <v>9.5646562743928612E-7</v>
      </c>
      <c r="S7">
        <v>9.5646562743928612E-7</v>
      </c>
      <c r="T7">
        <v>9.5646562743928612E-7</v>
      </c>
      <c r="U7">
        <v>0.56182419878705803</v>
      </c>
    </row>
    <row r="8" spans="1:23" x14ac:dyDescent="0.45">
      <c r="A8" s="22">
        <v>42864</v>
      </c>
      <c r="B8">
        <v>76.83</v>
      </c>
      <c r="C8">
        <v>78.5</v>
      </c>
      <c r="G8">
        <f t="shared" ref="G8:K8" si="14">SUMPRODUCT($B8:$B12,P$2:P$6)</f>
        <v>17.534807005005518</v>
      </c>
      <c r="H8">
        <f t="shared" si="14"/>
        <v>17.987748662755941</v>
      </c>
      <c r="I8">
        <f t="shared" si="14"/>
        <v>58.425360877236528</v>
      </c>
      <c r="J8">
        <f t="shared" si="14"/>
        <v>53.908275515381682</v>
      </c>
      <c r="K8">
        <f t="shared" si="14"/>
        <v>49.13534032190195</v>
      </c>
      <c r="L8">
        <f t="shared" si="7"/>
        <v>76.766350210535279</v>
      </c>
      <c r="M8">
        <f t="shared" si="8"/>
        <v>2.743649789464726</v>
      </c>
      <c r="N8">
        <f t="shared" si="9"/>
        <v>7.5276141672298351</v>
      </c>
    </row>
    <row r="9" spans="1:23" x14ac:dyDescent="0.45">
      <c r="A9" s="22">
        <v>42863</v>
      </c>
      <c r="B9">
        <v>75.66</v>
      </c>
      <c r="C9">
        <v>76.38</v>
      </c>
      <c r="G9">
        <f t="shared" ref="G9:K9" si="15">SUMPRODUCT($B9:$B13,P$2:P$6)</f>
        <v>17.374599842269632</v>
      </c>
      <c r="H9">
        <f t="shared" si="15"/>
        <v>17.753772267744459</v>
      </c>
      <c r="I9">
        <f t="shared" si="15"/>
        <v>57.638339484333741</v>
      </c>
      <c r="J9">
        <f t="shared" si="15"/>
        <v>53.155741536946657</v>
      </c>
      <c r="K9">
        <f t="shared" si="15"/>
        <v>49.361396396191502</v>
      </c>
      <c r="L9">
        <f t="shared" si="7"/>
        <v>75.726885938034272</v>
      </c>
      <c r="M9">
        <f t="shared" si="8"/>
        <v>1.1031140619657265</v>
      </c>
      <c r="N9">
        <f t="shared" si="9"/>
        <v>1.2168606337065246</v>
      </c>
    </row>
    <row r="10" spans="1:23" x14ac:dyDescent="0.45">
      <c r="A10" s="22">
        <v>42860</v>
      </c>
      <c r="B10">
        <v>75.78</v>
      </c>
      <c r="C10">
        <v>75.790000000000006</v>
      </c>
      <c r="G10">
        <f t="shared" ref="G10:K10" si="16">SUMPRODUCT($B10:$B14,P$2:P$6)</f>
        <v>17.376809290621942</v>
      </c>
      <c r="H10">
        <f t="shared" si="16"/>
        <v>17.776899720328704</v>
      </c>
      <c r="I10">
        <f t="shared" si="16"/>
        <v>57.716823051417826</v>
      </c>
      <c r="J10">
        <f t="shared" si="16"/>
        <v>53.231435088024597</v>
      </c>
      <c r="K10">
        <f t="shared" si="16"/>
        <v>48.988085662754841</v>
      </c>
      <c r="L10">
        <f t="shared" si="7"/>
        <v>75.830862235223563</v>
      </c>
      <c r="M10">
        <f t="shared" si="8"/>
        <v>-0.17086223522356647</v>
      </c>
      <c r="N10">
        <f t="shared" si="9"/>
        <v>2.9193903425593359E-2</v>
      </c>
    </row>
    <row r="11" spans="1:23" x14ac:dyDescent="0.45">
      <c r="A11" s="22">
        <v>42859</v>
      </c>
      <c r="B11">
        <v>75.739999999999995</v>
      </c>
      <c r="C11">
        <v>75.66</v>
      </c>
      <c r="G11">
        <f t="shared" ref="G11:K11" si="17">SUMPRODUCT($B11:$B15,P$2:P$6)</f>
        <v>17.379917592451161</v>
      </c>
      <c r="H11">
        <f t="shared" si="17"/>
        <v>17.755270704024433</v>
      </c>
      <c r="I11">
        <f t="shared" si="17"/>
        <v>57.654873693277622</v>
      </c>
      <c r="J11">
        <f t="shared" si="17"/>
        <v>53.182367650826819</v>
      </c>
      <c r="K11">
        <f t="shared" si="17"/>
        <v>49.787724427618052</v>
      </c>
      <c r="L11">
        <f t="shared" si="7"/>
        <v>75.754037300171461</v>
      </c>
      <c r="M11">
        <f t="shared" si="8"/>
        <v>2.5962699828539826E-2</v>
      </c>
      <c r="N11">
        <f t="shared" si="9"/>
        <v>6.7406178238686189E-4</v>
      </c>
    </row>
    <row r="12" spans="1:23" x14ac:dyDescent="0.45">
      <c r="A12" s="22">
        <v>42858</v>
      </c>
      <c r="B12">
        <v>75.31</v>
      </c>
      <c r="C12">
        <v>75.599999999999994</v>
      </c>
      <c r="G12">
        <f t="shared" ref="G12:K12" si="18">SUMPRODUCT($B12:$B16,P$2:P$6)</f>
        <v>17.345875239290407</v>
      </c>
      <c r="H12">
        <f t="shared" si="18"/>
        <v>17.704632764581842</v>
      </c>
      <c r="I12">
        <f t="shared" si="18"/>
        <v>57.45651875344948</v>
      </c>
      <c r="J12">
        <f t="shared" si="18"/>
        <v>52.966331696381289</v>
      </c>
      <c r="K12">
        <f t="shared" si="18"/>
        <v>50.180182325223555</v>
      </c>
      <c r="L12">
        <f t="shared" si="7"/>
        <v>75.479103729055851</v>
      </c>
      <c r="M12">
        <f t="shared" si="8"/>
        <v>0.26089627094414425</v>
      </c>
      <c r="N12">
        <f t="shared" si="9"/>
        <v>6.806686419256032E-2</v>
      </c>
    </row>
    <row r="13" spans="1:23" x14ac:dyDescent="0.45">
      <c r="A13" s="22">
        <v>42857</v>
      </c>
      <c r="B13">
        <v>76.48</v>
      </c>
      <c r="C13">
        <v>75.510000000000005</v>
      </c>
      <c r="G13">
        <f t="shared" ref="G13:K13" si="19">SUMPRODUCT($B13:$B17,P$2:P$6)</f>
        <v>17.509789328493877</v>
      </c>
      <c r="H13">
        <f t="shared" si="19"/>
        <v>17.89747612079243</v>
      </c>
      <c r="I13">
        <f t="shared" si="19"/>
        <v>58.137787614596078</v>
      </c>
      <c r="J13">
        <f t="shared" si="19"/>
        <v>53.648431749822166</v>
      </c>
      <c r="K13">
        <f t="shared" si="19"/>
        <v>50.696925567254965</v>
      </c>
      <c r="L13">
        <f t="shared" si="7"/>
        <v>76.393968304741946</v>
      </c>
      <c r="M13">
        <f t="shared" si="8"/>
        <v>-1.0839683047419442</v>
      </c>
      <c r="N13">
        <f t="shared" si="9"/>
        <v>1.1749872856851242</v>
      </c>
    </row>
    <row r="14" spans="1:23" x14ac:dyDescent="0.45">
      <c r="A14" s="22">
        <v>42856</v>
      </c>
      <c r="B14">
        <v>75.05</v>
      </c>
      <c r="C14">
        <v>76.22</v>
      </c>
      <c r="G14">
        <f t="shared" ref="G14:K14" si="20">SUMPRODUCT($B14:$B18,P$2:P$6)</f>
        <v>17.494264222148601</v>
      </c>
      <c r="H14">
        <f t="shared" si="20"/>
        <v>17.695135784976969</v>
      </c>
      <c r="I14">
        <f t="shared" si="20"/>
        <v>57.390882617427557</v>
      </c>
      <c r="J14">
        <f t="shared" si="20"/>
        <v>52.871871611472585</v>
      </c>
      <c r="K14">
        <f t="shared" si="20"/>
        <v>50.96687668931402</v>
      </c>
      <c r="L14">
        <f t="shared" si="7"/>
        <v>75.376843508985914</v>
      </c>
      <c r="M14">
        <f t="shared" si="8"/>
        <v>1.1031564910140901</v>
      </c>
      <c r="N14">
        <f t="shared" si="9"/>
        <v>1.2169542436665202</v>
      </c>
    </row>
    <row r="15" spans="1:23" x14ac:dyDescent="0.45">
      <c r="A15" s="22">
        <v>42853</v>
      </c>
      <c r="B15">
        <v>77.86</v>
      </c>
      <c r="C15">
        <v>76.2</v>
      </c>
      <c r="G15">
        <f t="shared" ref="G15:K15" si="21">SUMPRODUCT($B15:$B19,P$2:P$6)</f>
        <v>17.961434142918975</v>
      </c>
      <c r="H15">
        <f t="shared" si="21"/>
        <v>18.290936659031416</v>
      </c>
      <c r="I15">
        <f t="shared" si="21"/>
        <v>59.36812433349224</v>
      </c>
      <c r="J15">
        <f t="shared" si="21"/>
        <v>54.73721354853248</v>
      </c>
      <c r="K15">
        <f t="shared" si="21"/>
        <v>51.37179337337998</v>
      </c>
      <c r="L15">
        <f t="shared" si="7"/>
        <v>77.97589421096842</v>
      </c>
      <c r="M15">
        <f t="shared" si="8"/>
        <v>-2.9258942109684227</v>
      </c>
      <c r="N15">
        <f t="shared" si="9"/>
        <v>8.5608569337785294</v>
      </c>
    </row>
    <row r="16" spans="1:23" x14ac:dyDescent="0.45">
      <c r="A16" s="22">
        <v>42852</v>
      </c>
      <c r="B16">
        <v>78.650000000000006</v>
      </c>
      <c r="C16">
        <v>77.849999999999994</v>
      </c>
      <c r="G16">
        <f t="shared" ref="G16:K16" si="22">SUMPRODUCT($B16:$B20,P$2:P$6)</f>
        <v>18.117774432994814</v>
      </c>
      <c r="H16">
        <f t="shared" si="22"/>
        <v>18.475329180654327</v>
      </c>
      <c r="I16">
        <f t="shared" si="22"/>
        <v>59.967426930452085</v>
      </c>
      <c r="J16">
        <f t="shared" si="22"/>
        <v>55.29055520380409</v>
      </c>
      <c r="K16">
        <f t="shared" si="22"/>
        <v>50.833017697146872</v>
      </c>
      <c r="L16">
        <f t="shared" si="7"/>
        <v>78.757750443316155</v>
      </c>
      <c r="M16">
        <f t="shared" si="8"/>
        <v>-0.89775044331615561</v>
      </c>
      <c r="N16">
        <f t="shared" si="9"/>
        <v>0.80595585847435391</v>
      </c>
    </row>
    <row r="17" spans="1:14" x14ac:dyDescent="0.45">
      <c r="A17" s="22">
        <v>42851</v>
      </c>
      <c r="B17">
        <v>79.41</v>
      </c>
      <c r="C17">
        <v>77.98</v>
      </c>
      <c r="G17">
        <f t="shared" ref="G17:K17" si="23">SUMPRODUCT($B17:$B21,P$2:P$6)</f>
        <v>18.22709658104975</v>
      </c>
      <c r="H17">
        <f t="shared" si="23"/>
        <v>18.629447788678782</v>
      </c>
      <c r="I17">
        <f t="shared" si="23"/>
        <v>60.484140516588553</v>
      </c>
      <c r="J17">
        <f t="shared" si="23"/>
        <v>55.783034275394542</v>
      </c>
      <c r="K17">
        <f t="shared" si="23"/>
        <v>50.825422131035296</v>
      </c>
      <c r="L17">
        <f t="shared" si="7"/>
        <v>79.439421773611116</v>
      </c>
      <c r="M17">
        <f t="shared" si="8"/>
        <v>-0.78942177361111021</v>
      </c>
      <c r="N17">
        <f t="shared" si="9"/>
        <v>0.62318673665131097</v>
      </c>
    </row>
    <row r="18" spans="1:14" x14ac:dyDescent="0.45">
      <c r="A18" s="22">
        <v>42850</v>
      </c>
      <c r="B18">
        <v>79.400000000000006</v>
      </c>
      <c r="C18">
        <v>79.349999999999994</v>
      </c>
      <c r="G18">
        <f t="shared" ref="G18:K18" si="24">SUMPRODUCT($B18:$B22,P$2:P$6)</f>
        <v>18.163884096898371</v>
      </c>
      <c r="H18">
        <f t="shared" si="24"/>
        <v>18.629612662955552</v>
      </c>
      <c r="I18">
        <f t="shared" si="24"/>
        <v>60.482980206200963</v>
      </c>
      <c r="J18">
        <f t="shared" si="24"/>
        <v>55.780308982484854</v>
      </c>
      <c r="K18">
        <f t="shared" si="24"/>
        <v>50.695190301161233</v>
      </c>
      <c r="L18">
        <f t="shared" si="7"/>
        <v>79.437095228741484</v>
      </c>
      <c r="M18">
        <f t="shared" si="8"/>
        <v>-2.7095228741487176E-2</v>
      </c>
      <c r="N18">
        <f t="shared" si="9"/>
        <v>7.3415142055351275E-4</v>
      </c>
    </row>
    <row r="19" spans="1:14" x14ac:dyDescent="0.45">
      <c r="A19" s="22">
        <v>42849</v>
      </c>
      <c r="B19">
        <v>79.47</v>
      </c>
      <c r="C19">
        <v>79.22</v>
      </c>
      <c r="G19">
        <f t="shared" ref="G19:K19" si="25">SUMPRODUCT($B19:$B23,P$2:P$6)</f>
        <v>18.050204441869838</v>
      </c>
      <c r="H19">
        <f t="shared" si="25"/>
        <v>18.572556646944477</v>
      </c>
      <c r="I19">
        <f t="shared" si="25"/>
        <v>60.347389692912607</v>
      </c>
      <c r="J19">
        <f t="shared" si="25"/>
        <v>55.703664536034516</v>
      </c>
      <c r="K19">
        <f t="shared" si="25"/>
        <v>49.972839049778358</v>
      </c>
      <c r="L19">
        <f t="shared" si="7"/>
        <v>79.284049411397589</v>
      </c>
      <c r="M19">
        <f t="shared" si="8"/>
        <v>0.11595058860241636</v>
      </c>
      <c r="N19">
        <f t="shared" si="9"/>
        <v>1.3444538997246807E-2</v>
      </c>
    </row>
    <row r="20" spans="1:14" x14ac:dyDescent="0.45">
      <c r="A20" s="22">
        <v>42846</v>
      </c>
      <c r="B20">
        <v>77.2</v>
      </c>
      <c r="C20">
        <v>77.63</v>
      </c>
      <c r="G20">
        <f t="shared" ref="G20:K20" si="26">SUMPRODUCT($B20:$B24,P$2:P$6)</f>
        <v>17.751666655141698</v>
      </c>
      <c r="H20">
        <f t="shared" si="26"/>
        <v>18.121339744515737</v>
      </c>
      <c r="I20">
        <f t="shared" si="26"/>
        <v>58.827471231971295</v>
      </c>
      <c r="J20">
        <f t="shared" si="26"/>
        <v>54.248307627708833</v>
      </c>
      <c r="K20">
        <f t="shared" si="26"/>
        <v>49.967492786527359</v>
      </c>
      <c r="L20">
        <f t="shared" si="7"/>
        <v>77.275602785344532</v>
      </c>
      <c r="M20">
        <f t="shared" si="8"/>
        <v>2.1943972146554671</v>
      </c>
      <c r="N20">
        <f t="shared" si="9"/>
        <v>4.8153791356876718</v>
      </c>
    </row>
    <row r="21" spans="1:14" x14ac:dyDescent="0.45">
      <c r="A21" s="22">
        <v>42845</v>
      </c>
      <c r="B21">
        <v>77.52</v>
      </c>
      <c r="C21">
        <v>78.66</v>
      </c>
      <c r="G21">
        <f t="shared" ref="G21:K21" si="27">SUMPRODUCT($B21:$B25,P$2:P$6)</f>
        <v>17.753050859063421</v>
      </c>
      <c r="H21">
        <f t="shared" si="27"/>
        <v>18.191701111361589</v>
      </c>
      <c r="I21">
        <f t="shared" si="27"/>
        <v>59.059097131725714</v>
      </c>
      <c r="J21">
        <f t="shared" si="27"/>
        <v>54.46503255766747</v>
      </c>
      <c r="K21">
        <f t="shared" si="27"/>
        <v>49.937311891025431</v>
      </c>
      <c r="L21">
        <f t="shared" si="7"/>
        <v>77.579190402912729</v>
      </c>
      <c r="M21">
        <f t="shared" si="8"/>
        <v>-0.37919040291272665</v>
      </c>
      <c r="N21">
        <f t="shared" si="9"/>
        <v>0.14378536166111597</v>
      </c>
    </row>
    <row r="22" spans="1:14" x14ac:dyDescent="0.45">
      <c r="A22" s="22">
        <v>42844</v>
      </c>
      <c r="B22">
        <v>77.69</v>
      </c>
      <c r="C22">
        <v>76.989999999999995</v>
      </c>
      <c r="G22">
        <f t="shared" ref="G22:K22" si="28">SUMPRODUCT($B22:$B26,P$2:P$6)</f>
        <v>17.695857160248</v>
      </c>
      <c r="H22">
        <f t="shared" si="28"/>
        <v>18.167840646800119</v>
      </c>
      <c r="I22">
        <f t="shared" si="28"/>
        <v>59.024702660202607</v>
      </c>
      <c r="J22">
        <f t="shared" si="28"/>
        <v>54.475304459363194</v>
      </c>
      <c r="K22">
        <f t="shared" si="28"/>
        <v>50.293614747263305</v>
      </c>
      <c r="L22">
        <f t="shared" si="7"/>
        <v>77.554964747584833</v>
      </c>
      <c r="M22">
        <f t="shared" si="8"/>
        <v>-3.4964747584837141E-2</v>
      </c>
      <c r="N22">
        <f t="shared" si="9"/>
        <v>1.2225335736713748E-3</v>
      </c>
    </row>
    <row r="23" spans="1:14" x14ac:dyDescent="0.45">
      <c r="A23" s="22">
        <v>42843</v>
      </c>
      <c r="B23">
        <v>75.83</v>
      </c>
      <c r="C23">
        <v>77.41</v>
      </c>
      <c r="G23">
        <f t="shared" ref="G23:K23" si="29">SUMPRODUCT($B23:$B27,P$2:P$6)</f>
        <v>17.490078645770879</v>
      </c>
      <c r="H23">
        <f t="shared" si="29"/>
        <v>17.819718386397756</v>
      </c>
      <c r="I23">
        <f t="shared" si="29"/>
        <v>57.83483246477455</v>
      </c>
      <c r="J23">
        <f t="shared" si="29"/>
        <v>53.319791025166246</v>
      </c>
      <c r="K23">
        <f t="shared" si="29"/>
        <v>50.540829113723348</v>
      </c>
      <c r="L23">
        <f t="shared" si="7"/>
        <v>75.974699242546606</v>
      </c>
      <c r="M23">
        <f t="shared" si="8"/>
        <v>1.7153007574533916</v>
      </c>
      <c r="N23">
        <f t="shared" si="9"/>
        <v>2.9422566885201791</v>
      </c>
    </row>
    <row r="24" spans="1:14" x14ac:dyDescent="0.45">
      <c r="A24" s="22">
        <v>42842</v>
      </c>
      <c r="B24">
        <v>76.78</v>
      </c>
      <c r="C24">
        <v>76.39</v>
      </c>
      <c r="G24">
        <f t="shared" ref="G24:K24" si="30">SUMPRODUCT($B24:$B28,P$2:P$6)</f>
        <v>17.670830534850989</v>
      </c>
      <c r="H24">
        <f t="shared" si="30"/>
        <v>18.015586097556522</v>
      </c>
      <c r="I24">
        <f t="shared" si="30"/>
        <v>58.489000688321383</v>
      </c>
      <c r="J24">
        <f t="shared" si="30"/>
        <v>53.940902318780502</v>
      </c>
      <c r="K24">
        <f t="shared" si="30"/>
        <v>51.130602746552611</v>
      </c>
      <c r="L24">
        <f t="shared" si="7"/>
        <v>76.836540444394217</v>
      </c>
      <c r="M24">
        <f t="shared" si="8"/>
        <v>-1.0065404443942185</v>
      </c>
      <c r="N24">
        <f t="shared" si="9"/>
        <v>1.013123666201311</v>
      </c>
    </row>
    <row r="25" spans="1:14" x14ac:dyDescent="0.45">
      <c r="A25" s="22">
        <v>42838</v>
      </c>
      <c r="B25">
        <v>76.87</v>
      </c>
      <c r="C25">
        <v>76.510000000000005</v>
      </c>
      <c r="G25">
        <f t="shared" ref="G25:K25" si="31">SUMPRODUCT($B25:$B29,P$2:P$6)</f>
        <v>17.785020797491534</v>
      </c>
      <c r="H25">
        <f t="shared" si="31"/>
        <v>18.077835677020889</v>
      </c>
      <c r="I25">
        <f t="shared" si="31"/>
        <v>58.663308267646848</v>
      </c>
      <c r="J25">
        <f t="shared" si="31"/>
        <v>54.074562121473015</v>
      </c>
      <c r="K25">
        <f t="shared" si="31"/>
        <v>51.503238102951201</v>
      </c>
      <c r="L25">
        <f t="shared" si="7"/>
        <v>77.05054384729371</v>
      </c>
      <c r="M25">
        <f t="shared" si="8"/>
        <v>-0.27054384729370895</v>
      </c>
      <c r="N25">
        <f t="shared" si="9"/>
        <v>7.3193973308481708E-2</v>
      </c>
    </row>
    <row r="26" spans="1:14" x14ac:dyDescent="0.45">
      <c r="A26" s="22">
        <v>42837</v>
      </c>
      <c r="B26">
        <v>78.27</v>
      </c>
      <c r="C26">
        <v>76.87</v>
      </c>
      <c r="G26">
        <f t="shared" ref="G26:K26" si="32">SUMPRODUCT($B26:$B30,P$2:P$6)</f>
        <v>18.053735186314697</v>
      </c>
      <c r="H26">
        <f t="shared" si="32"/>
        <v>18.38335563108167</v>
      </c>
      <c r="I26">
        <f t="shared" si="32"/>
        <v>59.670725528278837</v>
      </c>
      <c r="J26">
        <f t="shared" si="32"/>
        <v>55.01877643944205</v>
      </c>
      <c r="K26">
        <f t="shared" si="32"/>
        <v>51.750209143298889</v>
      </c>
      <c r="L26">
        <f t="shared" si="7"/>
        <v>78.371736537044299</v>
      </c>
      <c r="M26">
        <f t="shared" si="8"/>
        <v>-1.5017365370442946</v>
      </c>
      <c r="N26">
        <f t="shared" si="9"/>
        <v>2.25521262669379</v>
      </c>
    </row>
    <row r="27" spans="1:14" x14ac:dyDescent="0.45">
      <c r="A27" s="22">
        <v>42836</v>
      </c>
      <c r="B27">
        <v>78.94</v>
      </c>
      <c r="C27">
        <v>78.08</v>
      </c>
      <c r="G27">
        <f t="shared" ref="G27:K27" si="33">SUMPRODUCT($B27:$B31,P$2:P$6)</f>
        <v>18.219605292255185</v>
      </c>
      <c r="H27">
        <f t="shared" si="33"/>
        <v>18.552785428435417</v>
      </c>
      <c r="I27">
        <f t="shared" si="33"/>
        <v>60.212535236703218</v>
      </c>
      <c r="J27">
        <f t="shared" si="33"/>
        <v>55.510404314450653</v>
      </c>
      <c r="K27">
        <f t="shared" si="33"/>
        <v>52.364550747549849</v>
      </c>
      <c r="L27">
        <f t="shared" si="7"/>
        <v>79.074348611223684</v>
      </c>
      <c r="M27">
        <f t="shared" si="8"/>
        <v>-0.80434861122368773</v>
      </c>
      <c r="N27">
        <f t="shared" si="9"/>
        <v>0.64697668837747513</v>
      </c>
    </row>
    <row r="28" spans="1:14" x14ac:dyDescent="0.45">
      <c r="A28" s="22">
        <v>42835</v>
      </c>
      <c r="B28">
        <v>80</v>
      </c>
      <c r="C28">
        <v>79.33</v>
      </c>
      <c r="G28">
        <f t="shared" ref="G28:K28" si="34">SUMPRODUCT($B28:$B32,P$2:P$6)</f>
        <v>18.382112848603178</v>
      </c>
      <c r="H28">
        <f t="shared" si="34"/>
        <v>18.777598053161459</v>
      </c>
      <c r="I28">
        <f t="shared" si="34"/>
        <v>60.958558755052636</v>
      </c>
      <c r="J28">
        <f t="shared" si="34"/>
        <v>56.214163121926163</v>
      </c>
      <c r="K28">
        <f t="shared" si="34"/>
        <v>52.344696305258736</v>
      </c>
      <c r="L28">
        <f t="shared" si="7"/>
        <v>80.054961905013101</v>
      </c>
      <c r="M28">
        <f t="shared" si="8"/>
        <v>-1.1149619050131037</v>
      </c>
      <c r="N28">
        <f t="shared" si="9"/>
        <v>1.2431400496304492</v>
      </c>
    </row>
    <row r="29" spans="1:14" x14ac:dyDescent="0.45">
      <c r="A29" s="22">
        <v>42832</v>
      </c>
      <c r="B29">
        <v>80.3</v>
      </c>
      <c r="C29">
        <v>80.010000000000005</v>
      </c>
      <c r="G29">
        <f t="shared" ref="G29:K29" si="35">SUMPRODUCT($B29:$B33,P$2:P$6)</f>
        <v>18.456531286845657</v>
      </c>
      <c r="H29">
        <f t="shared" si="35"/>
        <v>18.832593203580053</v>
      </c>
      <c r="I29">
        <f t="shared" si="35"/>
        <v>61.147506449964929</v>
      </c>
      <c r="J29">
        <f t="shared" si="35"/>
        <v>56.398560367437547</v>
      </c>
      <c r="K29">
        <f t="shared" si="35"/>
        <v>52.794022391551422</v>
      </c>
      <c r="L29">
        <f t="shared" si="7"/>
        <v>80.306348404842893</v>
      </c>
      <c r="M29">
        <f t="shared" si="8"/>
        <v>-0.30634840484289327</v>
      </c>
      <c r="N29">
        <f t="shared" si="9"/>
        <v>9.384934514978524E-2</v>
      </c>
    </row>
    <row r="30" spans="1:14" x14ac:dyDescent="0.45">
      <c r="A30" s="22">
        <v>42831</v>
      </c>
      <c r="B30">
        <v>80.11</v>
      </c>
      <c r="C30">
        <v>80.319999999999993</v>
      </c>
      <c r="G30">
        <f t="shared" ref="G30:K30" si="36">SUMPRODUCT($B30:$B34,P$2:P$6)</f>
        <v>18.493572464796262</v>
      </c>
      <c r="H30">
        <f t="shared" si="36"/>
        <v>18.840457816029001</v>
      </c>
      <c r="I30">
        <f t="shared" si="36"/>
        <v>61.137605499066289</v>
      </c>
      <c r="J30">
        <f t="shared" si="36"/>
        <v>56.354882607261523</v>
      </c>
      <c r="K30">
        <f t="shared" si="36"/>
        <v>52.945531419747091</v>
      </c>
      <c r="L30">
        <f t="shared" si="7"/>
        <v>80.276466682333123</v>
      </c>
      <c r="M30">
        <f t="shared" si="8"/>
        <v>2.3533317666874609E-2</v>
      </c>
      <c r="N30">
        <f t="shared" si="9"/>
        <v>5.5381704041003259E-4</v>
      </c>
    </row>
    <row r="31" spans="1:14" x14ac:dyDescent="0.45">
      <c r="A31" s="22">
        <v>42830</v>
      </c>
      <c r="B31">
        <v>81.59</v>
      </c>
      <c r="C31">
        <v>80.040000000000006</v>
      </c>
      <c r="G31">
        <f t="shared" ref="G31:K31" si="37">SUMPRODUCT($B31:$B35,P$2:P$6)</f>
        <v>18.693101475862505</v>
      </c>
      <c r="H31">
        <f t="shared" si="37"/>
        <v>19.116702781500525</v>
      </c>
      <c r="I31">
        <f t="shared" si="37"/>
        <v>62.082440760557979</v>
      </c>
      <c r="J31">
        <f t="shared" si="37"/>
        <v>57.273029498841076</v>
      </c>
      <c r="K31">
        <f t="shared" si="37"/>
        <v>53.059839828422923</v>
      </c>
      <c r="L31">
        <f t="shared" si="7"/>
        <v>81.531593267678531</v>
      </c>
      <c r="M31">
        <f t="shared" si="8"/>
        <v>-1.4215932676785314</v>
      </c>
      <c r="N31">
        <f t="shared" si="9"/>
        <v>2.0209274187089248</v>
      </c>
    </row>
    <row r="32" spans="1:14" x14ac:dyDescent="0.45">
      <c r="A32" s="22">
        <v>42829</v>
      </c>
      <c r="B32">
        <v>80.81</v>
      </c>
      <c r="C32">
        <v>81.239999999999995</v>
      </c>
      <c r="G32">
        <f t="shared" ref="G32:K32" si="38">SUMPRODUCT($B32:$B36,P$2:P$6)</f>
        <v>18.654100946267398</v>
      </c>
      <c r="H32">
        <f t="shared" si="38"/>
        <v>18.996201230699043</v>
      </c>
      <c r="I32">
        <f t="shared" si="38"/>
        <v>61.648984036186214</v>
      </c>
      <c r="J32">
        <f t="shared" si="38"/>
        <v>56.832098385004073</v>
      </c>
      <c r="K32">
        <f t="shared" si="38"/>
        <v>53.101536117596638</v>
      </c>
      <c r="L32">
        <f t="shared" si="7"/>
        <v>80.946100148561328</v>
      </c>
      <c r="M32">
        <f t="shared" si="8"/>
        <v>0.64389985143867534</v>
      </c>
      <c r="N32">
        <f t="shared" si="9"/>
        <v>0.41460701868274819</v>
      </c>
    </row>
    <row r="33" spans="1:14" x14ac:dyDescent="0.45">
      <c r="A33" s="22">
        <v>42828</v>
      </c>
      <c r="B33">
        <v>82.02</v>
      </c>
      <c r="C33">
        <v>81.239999999999995</v>
      </c>
      <c r="G33">
        <f t="shared" ref="G33:K33" si="39">SUMPRODUCT($B33:$B37,P$2:P$6)</f>
        <v>18.822382043585282</v>
      </c>
      <c r="H33">
        <f t="shared" si="39"/>
        <v>19.243015800516787</v>
      </c>
      <c r="I33">
        <f t="shared" si="39"/>
        <v>62.475352888029875</v>
      </c>
      <c r="J33">
        <f t="shared" si="39"/>
        <v>57.618645690081998</v>
      </c>
      <c r="K33">
        <f t="shared" si="39"/>
        <v>53.018187542099128</v>
      </c>
      <c r="L33">
        <f t="shared" si="7"/>
        <v>82.035759698057248</v>
      </c>
      <c r="M33">
        <f t="shared" si="8"/>
        <v>-1.2257596980572458</v>
      </c>
      <c r="N33">
        <f t="shared" si="9"/>
        <v>1.5024868373813904</v>
      </c>
    </row>
    <row r="34" spans="1:14" x14ac:dyDescent="0.45">
      <c r="A34" s="22">
        <v>42825</v>
      </c>
      <c r="B34">
        <v>82.05</v>
      </c>
      <c r="C34">
        <v>81.95</v>
      </c>
      <c r="G34">
        <f t="shared" ref="G34:K34" si="40">SUMPRODUCT($B34:$B38,P$2:P$6)</f>
        <v>18.816682175475375</v>
      </c>
      <c r="H34">
        <f t="shared" si="40"/>
        <v>19.243459612348726</v>
      </c>
      <c r="I34">
        <f t="shared" si="40"/>
        <v>62.481249872314216</v>
      </c>
      <c r="J34">
        <f t="shared" si="40"/>
        <v>57.628428580715948</v>
      </c>
      <c r="K34">
        <f t="shared" si="40"/>
        <v>52.868147317144789</v>
      </c>
      <c r="L34">
        <f t="shared" si="7"/>
        <v>82.045583840716674</v>
      </c>
      <c r="M34">
        <f t="shared" si="8"/>
        <v>-2.5583840716677742E-2</v>
      </c>
      <c r="N34">
        <f t="shared" si="9"/>
        <v>6.5453290581633783E-4</v>
      </c>
    </row>
    <row r="35" spans="1:14" x14ac:dyDescent="0.45">
      <c r="A35" s="22">
        <v>42824</v>
      </c>
      <c r="B35">
        <v>81.87</v>
      </c>
      <c r="C35">
        <v>82.2</v>
      </c>
      <c r="G35">
        <f t="shared" ref="G35:K35" si="41">SUMPRODUCT($B35:$B39,P$2:P$6)</f>
        <v>18.77546792469759</v>
      </c>
      <c r="H35">
        <f t="shared" si="41"/>
        <v>19.207511418439733</v>
      </c>
      <c r="I35">
        <f t="shared" si="41"/>
        <v>62.360293671158551</v>
      </c>
      <c r="J35">
        <f t="shared" si="41"/>
        <v>57.512736366030573</v>
      </c>
      <c r="K35">
        <f t="shared" si="41"/>
        <v>53.035123386137599</v>
      </c>
      <c r="L35">
        <f t="shared" si="7"/>
        <v>81.885812253027552</v>
      </c>
      <c r="M35">
        <f t="shared" si="8"/>
        <v>0.16418774697244487</v>
      </c>
      <c r="N35">
        <f t="shared" si="9"/>
        <v>2.6957616255887579E-2</v>
      </c>
    </row>
    <row r="36" spans="1:14" x14ac:dyDescent="0.45">
      <c r="A36" s="22">
        <v>42823</v>
      </c>
      <c r="B36">
        <v>81.89</v>
      </c>
      <c r="C36">
        <v>81.91</v>
      </c>
      <c r="G36">
        <f t="shared" ref="G36:K36" si="42">SUMPRODUCT($B36:$B40,P$2:P$6)</f>
        <v>18.735350458856185</v>
      </c>
      <c r="H36">
        <f t="shared" si="42"/>
        <v>19.193362912637944</v>
      </c>
      <c r="I36">
        <f t="shared" si="42"/>
        <v>62.327089343405831</v>
      </c>
      <c r="J36">
        <f t="shared" si="42"/>
        <v>57.494524610981635</v>
      </c>
      <c r="K36">
        <f t="shared" si="42"/>
        <v>53.133759148875079</v>
      </c>
      <c r="L36">
        <f t="shared" si="7"/>
        <v>81.848607371477442</v>
      </c>
      <c r="M36">
        <f t="shared" si="8"/>
        <v>2.1392628522562518E-2</v>
      </c>
      <c r="N36">
        <f t="shared" si="9"/>
        <v>4.5764455510435538E-4</v>
      </c>
    </row>
    <row r="37" spans="1:14" x14ac:dyDescent="0.45">
      <c r="A37" s="22">
        <v>42822</v>
      </c>
      <c r="B37">
        <v>81.31</v>
      </c>
      <c r="C37">
        <v>82.2</v>
      </c>
      <c r="G37">
        <f t="shared" ref="G37:K37" si="43">SUMPRODUCT($B37:$B41,P$2:P$6)</f>
        <v>18.659837597165005</v>
      </c>
      <c r="H37">
        <f t="shared" si="43"/>
        <v>19.065772652352116</v>
      </c>
      <c r="I37">
        <f t="shared" si="43"/>
        <v>61.907113729545152</v>
      </c>
      <c r="J37">
        <f t="shared" si="43"/>
        <v>57.101607611307877</v>
      </c>
      <c r="K37">
        <f t="shared" si="43"/>
        <v>53.04438413820138</v>
      </c>
      <c r="L37">
        <f t="shared" si="7"/>
        <v>81.298173043257449</v>
      </c>
      <c r="M37">
        <f t="shared" si="8"/>
        <v>0.59182695674255115</v>
      </c>
      <c r="N37">
        <f t="shared" si="9"/>
        <v>0.35025914672714953</v>
      </c>
    </row>
    <row r="38" spans="1:14" x14ac:dyDescent="0.45">
      <c r="A38" s="22">
        <v>42821</v>
      </c>
      <c r="B38">
        <v>81</v>
      </c>
      <c r="C38">
        <v>81.400000000000006</v>
      </c>
      <c r="G38">
        <f t="shared" ref="G38:K38" si="44">SUMPRODUCT($B38:$B42,P$2:P$6)</f>
        <v>18.677217322494293</v>
      </c>
      <c r="H38">
        <f t="shared" si="44"/>
        <v>19.029785679234202</v>
      </c>
      <c r="I38">
        <f t="shared" si="44"/>
        <v>61.765448255665603</v>
      </c>
      <c r="J38">
        <f t="shared" si="44"/>
        <v>56.946749861646005</v>
      </c>
      <c r="K38">
        <f t="shared" si="44"/>
        <v>53.526662850204112</v>
      </c>
      <c r="L38">
        <f t="shared" si="7"/>
        <v>81.101537988860585</v>
      </c>
      <c r="M38">
        <f t="shared" si="8"/>
        <v>0.20846201113941731</v>
      </c>
      <c r="N38">
        <f t="shared" si="9"/>
        <v>4.3456410088290549E-2</v>
      </c>
    </row>
    <row r="39" spans="1:14" x14ac:dyDescent="0.45">
      <c r="A39" s="22">
        <v>42818</v>
      </c>
      <c r="B39">
        <v>81.86</v>
      </c>
      <c r="C39">
        <v>81.64</v>
      </c>
      <c r="G39">
        <f t="shared" ref="G39:K39" si="45">SUMPRODUCT($B39:$B43,P$2:P$6)</f>
        <v>18.809924693960376</v>
      </c>
      <c r="H39">
        <f t="shared" si="45"/>
        <v>19.216470323973102</v>
      </c>
      <c r="I39">
        <f t="shared" si="45"/>
        <v>62.381740677559229</v>
      </c>
      <c r="J39">
        <f t="shared" si="45"/>
        <v>57.525068756134004</v>
      </c>
      <c r="K39">
        <f t="shared" si="45"/>
        <v>53.709565516795109</v>
      </c>
      <c r="L39">
        <f t="shared" si="7"/>
        <v>81.910123506068118</v>
      </c>
      <c r="M39">
        <f t="shared" si="8"/>
        <v>-0.91012350606811765</v>
      </c>
      <c r="N39">
        <f t="shared" si="9"/>
        <v>0.82832479629772293</v>
      </c>
    </row>
    <row r="40" spans="1:14" x14ac:dyDescent="0.45">
      <c r="A40" s="22">
        <v>42817</v>
      </c>
      <c r="B40">
        <v>82.24</v>
      </c>
      <c r="C40">
        <v>81.540000000000006</v>
      </c>
      <c r="G40">
        <f t="shared" ref="G40:K40" si="46">SUMPRODUCT($B40:$B44,P$2:P$6)</f>
        <v>18.881371472473468</v>
      </c>
      <c r="H40">
        <f t="shared" si="46"/>
        <v>19.281127030834174</v>
      </c>
      <c r="I40">
        <f t="shared" si="46"/>
        <v>62.608210407896841</v>
      </c>
      <c r="J40">
        <f t="shared" si="46"/>
        <v>57.750071027717055</v>
      </c>
      <c r="K40">
        <f t="shared" si="46"/>
        <v>53.851738419608012</v>
      </c>
      <c r="L40">
        <f t="shared" si="7"/>
        <v>82.21338937188095</v>
      </c>
      <c r="M40">
        <f t="shared" si="8"/>
        <v>-0.35338937188095088</v>
      </c>
      <c r="N40">
        <f t="shared" si="9"/>
        <v>0.12488404815841299</v>
      </c>
    </row>
    <row r="41" spans="1:14" x14ac:dyDescent="0.45">
      <c r="A41" s="22">
        <v>42816</v>
      </c>
      <c r="B41">
        <v>81.84</v>
      </c>
      <c r="C41">
        <v>82.12</v>
      </c>
      <c r="G41">
        <f t="shared" ref="G41:K41" si="47">SUMPRODUCT($B41:$B45,P$2:P$6)</f>
        <v>18.907437893533512</v>
      </c>
      <c r="H41">
        <f t="shared" si="47"/>
        <v>19.244121862490857</v>
      </c>
      <c r="I41">
        <f t="shared" si="47"/>
        <v>62.449659914611615</v>
      </c>
      <c r="J41">
        <f t="shared" si="47"/>
        <v>57.566401894652095</v>
      </c>
      <c r="K41">
        <f t="shared" si="47"/>
        <v>53.948367002501413</v>
      </c>
      <c r="L41">
        <f t="shared" si="7"/>
        <v>81.988231012031349</v>
      </c>
      <c r="M41">
        <f t="shared" si="8"/>
        <v>0.25176898796864577</v>
      </c>
      <c r="N41">
        <f t="shared" si="9"/>
        <v>6.3387623302756102E-2</v>
      </c>
    </row>
    <row r="42" spans="1:14" x14ac:dyDescent="0.45">
      <c r="A42" s="22">
        <v>42815</v>
      </c>
      <c r="B42">
        <v>83.25</v>
      </c>
      <c r="C42">
        <v>81.8</v>
      </c>
      <c r="G42">
        <f t="shared" ref="G42:K42" si="48">SUMPRODUCT($B42:$B46,P$2:P$6)</f>
        <v>19.109612604371918</v>
      </c>
      <c r="H42">
        <f t="shared" si="48"/>
        <v>19.530948859354879</v>
      </c>
      <c r="I42">
        <f t="shared" si="48"/>
        <v>63.410604367678133</v>
      </c>
      <c r="J42">
        <f t="shared" si="48"/>
        <v>58.481615306102839</v>
      </c>
      <c r="K42">
        <f t="shared" si="48"/>
        <v>54.120846437008254</v>
      </c>
      <c r="L42">
        <f t="shared" si="7"/>
        <v>83.255626456334781</v>
      </c>
      <c r="M42">
        <f t="shared" si="8"/>
        <v>-1.4156264563347776</v>
      </c>
      <c r="N42">
        <f t="shared" si="9"/>
        <v>2.0039982638749598</v>
      </c>
    </row>
    <row r="43" spans="1:14" x14ac:dyDescent="0.45">
      <c r="A43" s="22">
        <v>42814</v>
      </c>
      <c r="B43">
        <v>83.26</v>
      </c>
      <c r="C43">
        <v>82.9</v>
      </c>
      <c r="G43">
        <f t="shared" ref="G43:K43" si="49">SUMPRODUCT($B43:$B47,P$2:P$6)</f>
        <v>19.113378886789029</v>
      </c>
      <c r="H43">
        <f t="shared" si="49"/>
        <v>19.534550656964026</v>
      </c>
      <c r="I43">
        <f t="shared" si="49"/>
        <v>63.42144988487739</v>
      </c>
      <c r="J43">
        <f t="shared" si="49"/>
        <v>58.490790718725641</v>
      </c>
      <c r="K43">
        <f t="shared" si="49"/>
        <v>53.857463425155906</v>
      </c>
      <c r="L43">
        <f t="shared" si="7"/>
        <v>83.269363604229611</v>
      </c>
      <c r="M43">
        <f t="shared" si="8"/>
        <v>-1.9363604229610587E-2</v>
      </c>
      <c r="N43">
        <f t="shared" si="9"/>
        <v>3.7494916876099299E-4</v>
      </c>
    </row>
    <row r="44" spans="1:14" x14ac:dyDescent="0.45">
      <c r="A44" s="22">
        <v>42811</v>
      </c>
      <c r="B44">
        <v>83.31</v>
      </c>
      <c r="C44">
        <v>83.26</v>
      </c>
      <c r="G44">
        <f t="shared" ref="G44:K44" si="50">SUMPRODUCT($B44:$B48,P$2:P$6)</f>
        <v>19.123949342384503</v>
      </c>
      <c r="H44">
        <f t="shared" si="50"/>
        <v>19.544082665630462</v>
      </c>
      <c r="I44">
        <f t="shared" si="50"/>
        <v>63.453882673014462</v>
      </c>
      <c r="J44">
        <f t="shared" si="50"/>
        <v>58.522150784054098</v>
      </c>
      <c r="K44">
        <f t="shared" si="50"/>
        <v>53.692281388059982</v>
      </c>
      <c r="L44">
        <f t="shared" si="7"/>
        <v>83.312370520922471</v>
      </c>
      <c r="M44">
        <f t="shared" si="8"/>
        <v>-5.2370520922465857E-2</v>
      </c>
      <c r="N44">
        <f t="shared" si="9"/>
        <v>2.7426714616904341E-3</v>
      </c>
    </row>
    <row r="45" spans="1:14" x14ac:dyDescent="0.45">
      <c r="A45" s="22">
        <v>42810</v>
      </c>
      <c r="B45">
        <v>83.29</v>
      </c>
      <c r="C45">
        <v>82.72</v>
      </c>
      <c r="G45">
        <f t="shared" ref="G45:K45" si="51">SUMPRODUCT($B45:$B49,P$2:P$6)</f>
        <v>19.103483037406821</v>
      </c>
      <c r="H45">
        <f t="shared" si="51"/>
        <v>19.545042716319088</v>
      </c>
      <c r="I45">
        <f t="shared" si="51"/>
        <v>63.453180436280356</v>
      </c>
      <c r="J45">
        <f t="shared" si="51"/>
        <v>58.517778849027358</v>
      </c>
      <c r="K45">
        <f t="shared" si="51"/>
        <v>54.10710796364873</v>
      </c>
      <c r="L45">
        <f t="shared" si="7"/>
        <v>83.309625528961575</v>
      </c>
      <c r="M45">
        <f t="shared" si="8"/>
        <v>3.7447103842680463E-4</v>
      </c>
      <c r="N45">
        <f t="shared" si="9"/>
        <v>1.4022855862044937E-7</v>
      </c>
    </row>
    <row r="46" spans="1:14" x14ac:dyDescent="0.45">
      <c r="A46" s="22">
        <v>42809</v>
      </c>
      <c r="B46">
        <v>83.45</v>
      </c>
      <c r="C46">
        <v>83.51</v>
      </c>
      <c r="G46">
        <f t="shared" ref="G46:K46" si="52">SUMPRODUCT($B46:$B50,P$2:P$6)</f>
        <v>19.061003950682611</v>
      </c>
      <c r="H46">
        <f t="shared" si="52"/>
        <v>19.548351776917738</v>
      </c>
      <c r="I46">
        <f t="shared" si="52"/>
        <v>63.487053030935556</v>
      </c>
      <c r="J46">
        <f t="shared" si="52"/>
        <v>58.571566948990117</v>
      </c>
      <c r="K46">
        <f t="shared" si="52"/>
        <v>53.984010615311981</v>
      </c>
      <c r="L46">
        <f t="shared" si="7"/>
        <v>83.364874923253211</v>
      </c>
      <c r="M46">
        <f t="shared" si="8"/>
        <v>-7.4874923253204884E-2</v>
      </c>
      <c r="N46">
        <f t="shared" si="9"/>
        <v>5.6062541321733215E-3</v>
      </c>
    </row>
    <row r="47" spans="1:14" x14ac:dyDescent="0.45">
      <c r="A47" s="22">
        <v>42808</v>
      </c>
      <c r="B47">
        <v>82.52</v>
      </c>
      <c r="C47">
        <v>83.68</v>
      </c>
      <c r="G47">
        <f t="shared" ref="G47:K47" si="53">SUMPRODUCT($B47:$B51,P$2:P$6)</f>
        <v>18.957261861919108</v>
      </c>
      <c r="H47">
        <f t="shared" si="53"/>
        <v>19.347757903637731</v>
      </c>
      <c r="I47">
        <f t="shared" si="53"/>
        <v>62.82390286551469</v>
      </c>
      <c r="J47">
        <f t="shared" si="53"/>
        <v>57.948377502657998</v>
      </c>
      <c r="K47">
        <f t="shared" si="53"/>
        <v>54.109813681636012</v>
      </c>
      <c r="L47">
        <f t="shared" si="7"/>
        <v>82.494369584766233</v>
      </c>
      <c r="M47">
        <f t="shared" si="8"/>
        <v>0.95563041523377024</v>
      </c>
      <c r="N47">
        <f t="shared" si="9"/>
        <v>0.91322949051986813</v>
      </c>
    </row>
    <row r="48" spans="1:14" x14ac:dyDescent="0.45">
      <c r="A48" s="22">
        <v>42807</v>
      </c>
      <c r="B48">
        <v>82.15</v>
      </c>
      <c r="C48">
        <v>82.76</v>
      </c>
      <c r="G48">
        <f t="shared" ref="G48:K48" si="54">SUMPRODUCT($B48:$B52,P$2:P$6)</f>
        <v>18.991222921716421</v>
      </c>
      <c r="H48">
        <f t="shared" si="54"/>
        <v>19.326582714420294</v>
      </c>
      <c r="I48">
        <f t="shared" si="54"/>
        <v>62.710806552179548</v>
      </c>
      <c r="J48">
        <f t="shared" si="54"/>
        <v>57.800837283138875</v>
      </c>
      <c r="K48">
        <f t="shared" si="54"/>
        <v>54.202500938305526</v>
      </c>
      <c r="L48">
        <f t="shared" si="7"/>
        <v>82.32564277391991</v>
      </c>
      <c r="M48">
        <f t="shared" si="8"/>
        <v>0.19435722608008632</v>
      </c>
      <c r="N48">
        <f t="shared" si="9"/>
        <v>3.7774731329545785E-2</v>
      </c>
    </row>
    <row r="49" spans="1:14" x14ac:dyDescent="0.45">
      <c r="A49" s="22">
        <v>42804</v>
      </c>
      <c r="B49">
        <v>83.87</v>
      </c>
      <c r="C49">
        <v>82.2</v>
      </c>
      <c r="G49">
        <f t="shared" ref="G49:K49" si="55">SUMPRODUCT($B49:$B53,P$2:P$6)</f>
        <v>19.217994717429285</v>
      </c>
      <c r="H49">
        <f t="shared" si="55"/>
        <v>19.660701489489565</v>
      </c>
      <c r="I49">
        <f t="shared" si="55"/>
        <v>63.842480037054784</v>
      </c>
      <c r="J49">
        <f t="shared" si="55"/>
        <v>58.890265705542582</v>
      </c>
      <c r="K49">
        <f t="shared" si="55"/>
        <v>54.124173018100592</v>
      </c>
      <c r="L49">
        <f t="shared" si="7"/>
        <v>83.823917107450171</v>
      </c>
      <c r="M49">
        <f t="shared" si="8"/>
        <v>-1.6739171074501655</v>
      </c>
      <c r="N49">
        <f t="shared" si="9"/>
        <v>2.8019984826143292</v>
      </c>
    </row>
    <row r="50" spans="1:14" x14ac:dyDescent="0.45">
      <c r="A50" s="22">
        <v>42803</v>
      </c>
      <c r="B50">
        <v>83.38</v>
      </c>
      <c r="C50">
        <v>83.17</v>
      </c>
      <c r="G50">
        <f t="shared" ref="G50:K50" si="56">SUMPRODUCT($B50:$B54,P$2:P$6)</f>
        <v>19.169245130191776</v>
      </c>
      <c r="H50">
        <f t="shared" si="56"/>
        <v>19.573379591958059</v>
      </c>
      <c r="I50">
        <f t="shared" si="56"/>
        <v>63.540300182413986</v>
      </c>
      <c r="J50">
        <f t="shared" si="56"/>
        <v>58.593369301122706</v>
      </c>
      <c r="K50">
        <f t="shared" si="56"/>
        <v>54.244846909263437</v>
      </c>
      <c r="L50">
        <f t="shared" si="7"/>
        <v>83.420901670991483</v>
      </c>
      <c r="M50">
        <f t="shared" si="8"/>
        <v>0.44909832900852109</v>
      </c>
      <c r="N50">
        <f t="shared" si="9"/>
        <v>0.20168930911824587</v>
      </c>
    </row>
    <row r="51" spans="1:14" x14ac:dyDescent="0.45">
      <c r="A51" s="22">
        <v>42802</v>
      </c>
      <c r="B51">
        <v>83.77</v>
      </c>
      <c r="C51">
        <v>83.48</v>
      </c>
      <c r="G51">
        <f t="shared" ref="G51:K51" si="57">SUMPRODUCT($B51:$B55,P$2:P$6)</f>
        <v>19.200185101803847</v>
      </c>
      <c r="H51">
        <f t="shared" si="57"/>
        <v>19.650429358786074</v>
      </c>
      <c r="I51">
        <f t="shared" si="57"/>
        <v>63.800218208340127</v>
      </c>
      <c r="J51">
        <f t="shared" si="57"/>
        <v>58.842600283940044</v>
      </c>
      <c r="K51">
        <f t="shared" si="57"/>
        <v>54.184839751586658</v>
      </c>
      <c r="L51">
        <f t="shared" si="7"/>
        <v>83.764535387832197</v>
      </c>
      <c r="M51">
        <f t="shared" si="8"/>
        <v>-0.38453538783220154</v>
      </c>
      <c r="N51">
        <f t="shared" si="9"/>
        <v>0.14786746449526164</v>
      </c>
    </row>
    <row r="52" spans="1:14" x14ac:dyDescent="0.45">
      <c r="A52" s="22">
        <v>42801</v>
      </c>
      <c r="B52">
        <v>83.7</v>
      </c>
      <c r="C52">
        <v>83.41</v>
      </c>
      <c r="G52">
        <f t="shared" ref="G52:K52" si="58">SUMPRODUCT($B52:$B56,P$2:P$6)</f>
        <v>19.167262272651055</v>
      </c>
      <c r="H52">
        <f t="shared" si="58"/>
        <v>19.614224863321951</v>
      </c>
      <c r="I52">
        <f t="shared" si="58"/>
        <v>63.696041180548796</v>
      </c>
      <c r="J52">
        <f t="shared" si="58"/>
        <v>58.759553539663123</v>
      </c>
      <c r="K52">
        <f t="shared" si="58"/>
        <v>53.871123702316012</v>
      </c>
      <c r="L52">
        <f t="shared" si="7"/>
        <v>83.635079793607417</v>
      </c>
      <c r="M52">
        <f t="shared" si="8"/>
        <v>0.13492020639257873</v>
      </c>
      <c r="N52">
        <f t="shared" si="9"/>
        <v>1.8203462093016043E-2</v>
      </c>
    </row>
    <row r="53" spans="1:14" x14ac:dyDescent="0.45">
      <c r="A53" s="22">
        <v>42800</v>
      </c>
      <c r="B53">
        <v>83</v>
      </c>
      <c r="C53">
        <v>83.85</v>
      </c>
      <c r="G53">
        <f t="shared" ref="G53:K53" si="59">SUMPRODUCT($B53:$B57,P$2:P$6)</f>
        <v>19.097526654564952</v>
      </c>
      <c r="H53">
        <f t="shared" si="59"/>
        <v>19.491452694271295</v>
      </c>
      <c r="I53">
        <f t="shared" si="59"/>
        <v>63.269429460710803</v>
      </c>
      <c r="J53">
        <f t="shared" si="59"/>
        <v>58.338795367720351</v>
      </c>
      <c r="K53">
        <f t="shared" si="59"/>
        <v>53.694763717504557</v>
      </c>
      <c r="L53">
        <f t="shared" si="7"/>
        <v>83.065321373826563</v>
      </c>
      <c r="M53">
        <f t="shared" si="8"/>
        <v>0.6346786261734394</v>
      </c>
      <c r="N53">
        <f t="shared" si="9"/>
        <v>0.40281695852140442</v>
      </c>
    </row>
    <row r="54" spans="1:14" x14ac:dyDescent="0.45">
      <c r="A54" s="22">
        <v>42797</v>
      </c>
      <c r="B54">
        <v>83.62</v>
      </c>
      <c r="C54">
        <v>83.18</v>
      </c>
      <c r="G54">
        <f t="shared" ref="G54:K54" si="60">SUMPRODUCT($B54:$B58,P$2:P$6)</f>
        <v>19.144779035156827</v>
      </c>
      <c r="H54">
        <f t="shared" si="60"/>
        <v>19.610214282331786</v>
      </c>
      <c r="I54">
        <f t="shared" si="60"/>
        <v>63.673048492452551</v>
      </c>
      <c r="J54">
        <f t="shared" si="60"/>
        <v>58.728625606954047</v>
      </c>
      <c r="K54">
        <f t="shared" si="60"/>
        <v>53.458649456751729</v>
      </c>
      <c r="L54">
        <f t="shared" si="7"/>
        <v>83.600318690864228</v>
      </c>
      <c r="M54">
        <f t="shared" si="8"/>
        <v>-0.60031869086422773</v>
      </c>
      <c r="N54">
        <f t="shared" si="9"/>
        <v>0.36038253060094022</v>
      </c>
    </row>
    <row r="55" spans="1:14" x14ac:dyDescent="0.45">
      <c r="A55" s="22">
        <v>42796</v>
      </c>
      <c r="B55">
        <v>83.39</v>
      </c>
      <c r="C55">
        <v>83.65</v>
      </c>
      <c r="G55">
        <f t="shared" ref="G55:K55" si="61">SUMPRODUCT($B55:$B59,P$2:P$6)</f>
        <v>19.049259888635753</v>
      </c>
      <c r="H55">
        <f t="shared" si="61"/>
        <v>19.533961085474949</v>
      </c>
      <c r="I55">
        <f t="shared" si="61"/>
        <v>63.440543970713058</v>
      </c>
      <c r="J55">
        <f t="shared" si="61"/>
        <v>58.528880703638897</v>
      </c>
      <c r="K55">
        <f t="shared" si="61"/>
        <v>53.080938589696515</v>
      </c>
      <c r="L55">
        <f t="shared" si="7"/>
        <v>83.304323727148372</v>
      </c>
      <c r="M55">
        <f t="shared" si="8"/>
        <v>0.31567627285163269</v>
      </c>
      <c r="N55">
        <f t="shared" si="9"/>
        <v>9.9651509241498445E-2</v>
      </c>
    </row>
    <row r="56" spans="1:14" x14ac:dyDescent="0.45">
      <c r="A56" s="22">
        <v>42795</v>
      </c>
      <c r="B56">
        <v>82.45</v>
      </c>
      <c r="C56">
        <v>83.76</v>
      </c>
      <c r="G56">
        <f t="shared" ref="G56:K56" si="62">SUMPRODUCT($B56:$B60,P$2:P$6)</f>
        <v>18.884642300679712</v>
      </c>
      <c r="H56">
        <f t="shared" si="62"/>
        <v>19.334474278416238</v>
      </c>
      <c r="I56">
        <f t="shared" si="62"/>
        <v>62.778655688903548</v>
      </c>
      <c r="J56">
        <f t="shared" si="62"/>
        <v>57.904579062714149</v>
      </c>
      <c r="K56">
        <f t="shared" si="62"/>
        <v>53.228271630651889</v>
      </c>
      <c r="L56">
        <f t="shared" si="7"/>
        <v>82.434345792320926</v>
      </c>
      <c r="M56">
        <f t="shared" si="8"/>
        <v>0.95565420767907483</v>
      </c>
      <c r="N56">
        <f t="shared" si="9"/>
        <v>0.91327496465472024</v>
      </c>
    </row>
    <row r="57" spans="1:14" x14ac:dyDescent="0.45">
      <c r="A57" s="22">
        <v>42794</v>
      </c>
      <c r="B57">
        <v>82.18</v>
      </c>
      <c r="C57">
        <v>81.93</v>
      </c>
      <c r="G57">
        <f t="shared" ref="G57:K57" si="63">SUMPRODUCT($B57:$B61,P$2:P$6)</f>
        <v>18.795549117975085</v>
      </c>
      <c r="H57">
        <f t="shared" si="63"/>
        <v>19.262967367448621</v>
      </c>
      <c r="I57">
        <f t="shared" si="63"/>
        <v>62.552012425024202</v>
      </c>
      <c r="J57">
        <f t="shared" si="63"/>
        <v>57.700930598311515</v>
      </c>
      <c r="K57">
        <f t="shared" si="63"/>
        <v>53.230827269503948</v>
      </c>
      <c r="L57">
        <f t="shared" si="7"/>
        <v>82.141421874217087</v>
      </c>
      <c r="M57">
        <f t="shared" si="8"/>
        <v>0.30857812578291544</v>
      </c>
      <c r="N57">
        <f t="shared" si="9"/>
        <v>9.5220459711696778E-2</v>
      </c>
    </row>
    <row r="58" spans="1:14" x14ac:dyDescent="0.45">
      <c r="A58" s="22">
        <v>42793</v>
      </c>
      <c r="B58">
        <v>81.650000000000006</v>
      </c>
      <c r="C58">
        <v>82.28</v>
      </c>
      <c r="G58">
        <f t="shared" ref="G58:K58" si="64">SUMPRODUCT($B58:$B62,P$2:P$6)</f>
        <v>18.714759199181234</v>
      </c>
      <c r="H58">
        <f t="shared" si="64"/>
        <v>19.133919174926252</v>
      </c>
      <c r="I58">
        <f t="shared" si="64"/>
        <v>62.136214805240442</v>
      </c>
      <c r="J58">
        <f t="shared" si="64"/>
        <v>57.320554945402691</v>
      </c>
      <c r="K58">
        <f t="shared" si="64"/>
        <v>53.301229782902794</v>
      </c>
      <c r="L58">
        <f t="shared" si="7"/>
        <v>81.600704013849537</v>
      </c>
      <c r="M58">
        <f t="shared" si="8"/>
        <v>0.57929598615046984</v>
      </c>
      <c r="N58">
        <f t="shared" si="9"/>
        <v>0.33558383957004534</v>
      </c>
    </row>
    <row r="59" spans="1:14" x14ac:dyDescent="0.45">
      <c r="A59" s="22">
        <v>42790</v>
      </c>
      <c r="B59">
        <v>80.97</v>
      </c>
      <c r="C59">
        <v>81.680000000000007</v>
      </c>
      <c r="G59">
        <f t="shared" ref="G59:K59" si="65">SUMPRODUCT($B59:$B63,P$2:P$6)</f>
        <v>18.691969919852514</v>
      </c>
      <c r="H59">
        <f t="shared" si="65"/>
        <v>19.032795552461025</v>
      </c>
      <c r="I59">
        <f t="shared" si="65"/>
        <v>61.768430797010843</v>
      </c>
      <c r="J59">
        <f t="shared" si="65"/>
        <v>56.942881477126008</v>
      </c>
      <c r="K59">
        <f t="shared" si="65"/>
        <v>53.172901863916152</v>
      </c>
      <c r="L59">
        <f t="shared" si="7"/>
        <v>81.102175804338316</v>
      </c>
      <c r="M59">
        <f t="shared" si="8"/>
        <v>0.54782419566168983</v>
      </c>
      <c r="N59">
        <f t="shared" si="9"/>
        <v>0.30011134935237743</v>
      </c>
    </row>
    <row r="60" spans="1:14" x14ac:dyDescent="0.45">
      <c r="A60" s="22">
        <v>42789</v>
      </c>
      <c r="B60">
        <v>82.15</v>
      </c>
      <c r="C60">
        <v>81.61</v>
      </c>
      <c r="G60">
        <f t="shared" ref="G60:K60" si="66">SUMPRODUCT($B60:$B64,P$2:P$6)</f>
        <v>18.874344034089184</v>
      </c>
      <c r="H60">
        <f t="shared" si="66"/>
        <v>19.277596345699315</v>
      </c>
      <c r="I60">
        <f t="shared" si="66"/>
        <v>62.584866277204497</v>
      </c>
      <c r="J60">
        <f t="shared" si="66"/>
        <v>57.716957796694345</v>
      </c>
      <c r="K60">
        <f t="shared" si="66"/>
        <v>53.01232253512876</v>
      </c>
      <c r="L60">
        <f t="shared" si="7"/>
        <v>82.177255401808395</v>
      </c>
      <c r="M60">
        <f t="shared" si="8"/>
        <v>-1.2072554018083963</v>
      </c>
      <c r="N60">
        <f t="shared" si="9"/>
        <v>1.4574656051955523</v>
      </c>
    </row>
    <row r="61" spans="1:14" x14ac:dyDescent="0.45">
      <c r="A61" s="22">
        <v>42788</v>
      </c>
      <c r="B61">
        <v>82.31</v>
      </c>
      <c r="C61">
        <v>82.06</v>
      </c>
      <c r="G61">
        <f t="shared" ref="G61:K61" si="67">SUMPRODUCT($B61:$B65,P$2:P$6)</f>
        <v>18.887859913638547</v>
      </c>
      <c r="H61">
        <f t="shared" si="67"/>
        <v>19.316074171361738</v>
      </c>
      <c r="I61">
        <f t="shared" si="67"/>
        <v>62.709155927952011</v>
      </c>
      <c r="J61">
        <f t="shared" si="67"/>
        <v>57.830966127002654</v>
      </c>
      <c r="K61">
        <f t="shared" si="67"/>
        <v>52.85708191847344</v>
      </c>
      <c r="L61">
        <f t="shared" si="7"/>
        <v>82.339036683789288</v>
      </c>
      <c r="M61">
        <f t="shared" si="8"/>
        <v>-0.18903668378928273</v>
      </c>
      <c r="N61">
        <f t="shared" si="9"/>
        <v>3.5734867818049271E-2</v>
      </c>
    </row>
    <row r="62" spans="1:14" x14ac:dyDescent="0.45">
      <c r="A62" s="22">
        <v>42787</v>
      </c>
      <c r="B62">
        <v>82.5</v>
      </c>
      <c r="C62">
        <v>82.82</v>
      </c>
      <c r="G62">
        <f t="shared" ref="G62:K62" si="68">SUMPRODUCT($B62:$B66,P$2:P$6)</f>
        <v>18.850623510315618</v>
      </c>
      <c r="H62">
        <f t="shared" si="68"/>
        <v>19.332700570000348</v>
      </c>
      <c r="I62">
        <f t="shared" si="68"/>
        <v>62.782023271385277</v>
      </c>
      <c r="J62">
        <f t="shared" si="68"/>
        <v>57.916581616342796</v>
      </c>
      <c r="K62">
        <f t="shared" si="68"/>
        <v>51.828811722104547</v>
      </c>
      <c r="L62">
        <f t="shared" si="7"/>
        <v>82.443106532692568</v>
      </c>
      <c r="M62">
        <f t="shared" si="8"/>
        <v>-0.13310653269256534</v>
      </c>
      <c r="N62">
        <f t="shared" si="9"/>
        <v>1.7717349045436964E-2</v>
      </c>
    </row>
    <row r="63" spans="1:14" x14ac:dyDescent="0.45">
      <c r="A63" s="22">
        <v>42783</v>
      </c>
      <c r="B63">
        <v>81.8</v>
      </c>
      <c r="C63">
        <v>82.48</v>
      </c>
      <c r="G63">
        <f t="shared" ref="G63:K63" si="69">SUMPRODUCT($B63:$B67,P$2:P$6)</f>
        <v>18.698620369972186</v>
      </c>
      <c r="H63">
        <f t="shared" si="69"/>
        <v>19.165339173770921</v>
      </c>
      <c r="I63">
        <f t="shared" si="69"/>
        <v>62.240775212980758</v>
      </c>
      <c r="J63">
        <f t="shared" si="69"/>
        <v>57.419472439631612</v>
      </c>
      <c r="K63">
        <f t="shared" si="69"/>
        <v>51.199109667283324</v>
      </c>
      <c r="L63">
        <f t="shared" si="7"/>
        <v>81.738279920414271</v>
      </c>
      <c r="M63">
        <f t="shared" si="8"/>
        <v>0.76172007958572863</v>
      </c>
      <c r="N63">
        <f t="shared" si="9"/>
        <v>0.58021747964408876</v>
      </c>
    </row>
    <row r="64" spans="1:14" x14ac:dyDescent="0.45">
      <c r="A64" s="22">
        <v>42782</v>
      </c>
      <c r="B64">
        <v>81</v>
      </c>
      <c r="C64">
        <v>81.97</v>
      </c>
      <c r="G64">
        <f t="shared" ref="G64:K64" si="70">SUMPRODUCT($B64:$B68,P$2:P$6)</f>
        <v>18.487437231080524</v>
      </c>
      <c r="H64">
        <f t="shared" si="70"/>
        <v>18.996496850687777</v>
      </c>
      <c r="I64">
        <f t="shared" si="70"/>
        <v>61.679867987906576</v>
      </c>
      <c r="J64">
        <f t="shared" si="70"/>
        <v>56.889751206896889</v>
      </c>
      <c r="K64">
        <f t="shared" si="70"/>
        <v>50.703480972958275</v>
      </c>
      <c r="L64">
        <f t="shared" si="7"/>
        <v>81.000702246086917</v>
      </c>
      <c r="M64">
        <f t="shared" si="8"/>
        <v>0.79929775391308056</v>
      </c>
      <c r="N64">
        <f t="shared" si="9"/>
        <v>0.63887689941049552</v>
      </c>
    </row>
    <row r="65" spans="1:14" x14ac:dyDescent="0.45">
      <c r="A65" s="22">
        <v>42781</v>
      </c>
      <c r="B65">
        <v>80.8</v>
      </c>
      <c r="C65">
        <v>81.599999999999994</v>
      </c>
      <c r="G65">
        <f t="shared" ref="G65:K65" si="71">SUMPRODUCT($B65:$B69,P$2:P$6)</f>
        <v>18.261653973663794</v>
      </c>
      <c r="H65">
        <f t="shared" si="71"/>
        <v>18.862910233170592</v>
      </c>
      <c r="I65">
        <f t="shared" si="71"/>
        <v>61.304718301176145</v>
      </c>
      <c r="J65">
        <f t="shared" si="71"/>
        <v>56.600855082577816</v>
      </c>
      <c r="K65">
        <f t="shared" si="71"/>
        <v>50.611631283994591</v>
      </c>
      <c r="L65">
        <f t="shared" si="7"/>
        <v>80.539514652620682</v>
      </c>
      <c r="M65">
        <f t="shared" si="8"/>
        <v>0.46048534737931845</v>
      </c>
      <c r="N65">
        <f t="shared" si="9"/>
        <v>0.21204675515105159</v>
      </c>
    </row>
    <row r="66" spans="1:14" x14ac:dyDescent="0.45">
      <c r="A66" s="22">
        <v>42780</v>
      </c>
      <c r="B66">
        <v>77.84</v>
      </c>
      <c r="C66">
        <v>77.84</v>
      </c>
      <c r="G66">
        <f t="shared" ref="G66:K66" si="72">SUMPRODUCT($B66:$B70,P$2:P$6)</f>
        <v>17.786235208434061</v>
      </c>
      <c r="H66">
        <f t="shared" si="72"/>
        <v>18.235373335809541</v>
      </c>
      <c r="I66">
        <f t="shared" si="72"/>
        <v>59.222105299649698</v>
      </c>
      <c r="J66">
        <f t="shared" si="72"/>
        <v>54.63605692696455</v>
      </c>
      <c r="K66">
        <f t="shared" si="72"/>
        <v>50.10450124056149</v>
      </c>
      <c r="L66">
        <f t="shared" si="7"/>
        <v>77.801931447051771</v>
      </c>
      <c r="M66">
        <f t="shared" si="8"/>
        <v>2.9980685529482258</v>
      </c>
      <c r="N66">
        <f t="shared" si="9"/>
        <v>8.9884150481770693</v>
      </c>
    </row>
    <row r="67" spans="1:14" x14ac:dyDescent="0.45">
      <c r="A67" s="22">
        <v>42779</v>
      </c>
      <c r="B67">
        <v>77.010000000000005</v>
      </c>
      <c r="C67">
        <v>77.92</v>
      </c>
      <c r="G67">
        <f t="shared" ref="G67:K67" si="73">SUMPRODUCT($B67:$B71,P$2:P$6)</f>
        <v>17.683694275789033</v>
      </c>
      <c r="H67">
        <f t="shared" si="73"/>
        <v>18.05949481195232</v>
      </c>
      <c r="I67">
        <f t="shared" si="73"/>
        <v>58.638350686612149</v>
      </c>
      <c r="J67">
        <f t="shared" si="73"/>
        <v>54.085264924096563</v>
      </c>
      <c r="K67">
        <f t="shared" si="73"/>
        <v>49.651830205378921</v>
      </c>
      <c r="L67">
        <f t="shared" ref="L67:L130" si="74">(G67+$P$7)*$U$2+(H67+$Q$7)*$U$3+(I67+$R$7)*$U$4+(J67+$S$7)*$U$5+(K67+$T$7)*$U$6+$U$7</f>
        <v>77.034559247482719</v>
      </c>
      <c r="M67">
        <f t="shared" ref="M67:M130" si="75">B66-L67</f>
        <v>0.80544075251728486</v>
      </c>
      <c r="N67">
        <f t="shared" ref="N67:N130" si="76">M67^2</f>
        <v>0.64873480581561016</v>
      </c>
    </row>
    <row r="68" spans="1:14" x14ac:dyDescent="0.45">
      <c r="A68" s="22">
        <v>42776</v>
      </c>
      <c r="B68">
        <v>76.78</v>
      </c>
      <c r="C68">
        <v>76.53</v>
      </c>
      <c r="G68">
        <f t="shared" ref="G68:K68" si="77">SUMPRODUCT($B68:$B72,P$2:P$6)</f>
        <v>17.686659474023326</v>
      </c>
      <c r="H68">
        <f t="shared" si="77"/>
        <v>18.043845006007025</v>
      </c>
      <c r="I68">
        <f t="shared" si="77"/>
        <v>58.561654252483635</v>
      </c>
      <c r="J68">
        <f t="shared" si="77"/>
        <v>53.989292450198882</v>
      </c>
      <c r="K68">
        <f t="shared" si="77"/>
        <v>49.540601118171452</v>
      </c>
      <c r="L68">
        <f t="shared" si="74"/>
        <v>76.922141962097783</v>
      </c>
      <c r="M68">
        <f t="shared" si="75"/>
        <v>8.7858037902222463E-2</v>
      </c>
      <c r="N68">
        <f t="shared" si="76"/>
        <v>7.7190348240283591E-3</v>
      </c>
    </row>
    <row r="69" spans="1:14" x14ac:dyDescent="0.45">
      <c r="A69" s="22">
        <v>42775</v>
      </c>
      <c r="B69">
        <v>77.77</v>
      </c>
      <c r="C69">
        <v>76.510000000000005</v>
      </c>
      <c r="G69">
        <f t="shared" ref="G69:K69" si="78">SUMPRODUCT($B69:$B73,P$2:P$6)</f>
        <v>17.744074304555678</v>
      </c>
      <c r="H69">
        <f t="shared" si="78"/>
        <v>18.220834320955202</v>
      </c>
      <c r="I69">
        <f t="shared" si="78"/>
        <v>59.173629988481281</v>
      </c>
      <c r="J69">
        <f t="shared" si="78"/>
        <v>54.590108767995837</v>
      </c>
      <c r="K69">
        <f t="shared" si="78"/>
        <v>49.388821670610525</v>
      </c>
      <c r="L69">
        <f t="shared" si="74"/>
        <v>77.738104569801706</v>
      </c>
      <c r="M69">
        <f t="shared" si="75"/>
        <v>-0.958104569801705</v>
      </c>
      <c r="N69">
        <f t="shared" si="76"/>
        <v>0.91796436667491021</v>
      </c>
    </row>
    <row r="70" spans="1:14" x14ac:dyDescent="0.45">
      <c r="A70" s="22">
        <v>42774</v>
      </c>
      <c r="B70">
        <v>77</v>
      </c>
      <c r="C70">
        <v>77.48</v>
      </c>
      <c r="G70">
        <f t="shared" ref="G70:K70" si="79">SUMPRODUCT($B70:$B74,P$2:P$6)</f>
        <v>17.556920028946099</v>
      </c>
      <c r="H70">
        <f t="shared" si="79"/>
        <v>18.023234816611865</v>
      </c>
      <c r="I70">
        <f t="shared" si="79"/>
        <v>58.5435440185434</v>
      </c>
      <c r="J70">
        <f t="shared" si="79"/>
        <v>54.020168512555323</v>
      </c>
      <c r="K70">
        <f t="shared" si="79"/>
        <v>49.22879009572226</v>
      </c>
      <c r="L70">
        <f t="shared" si="74"/>
        <v>76.9218956365102</v>
      </c>
      <c r="M70">
        <f t="shared" si="75"/>
        <v>0.84810436348979579</v>
      </c>
      <c r="N70">
        <f t="shared" si="76"/>
        <v>0.71928101137043166</v>
      </c>
    </row>
    <row r="71" spans="1:14" x14ac:dyDescent="0.45">
      <c r="A71" s="22">
        <v>42773</v>
      </c>
      <c r="B71">
        <v>75.69</v>
      </c>
      <c r="C71">
        <v>76.31</v>
      </c>
      <c r="G71">
        <f t="shared" ref="G71:K71" si="80">SUMPRODUCT($B71:$B75,P$2:P$6)</f>
        <v>17.364860884943855</v>
      </c>
      <c r="H71">
        <f t="shared" si="80"/>
        <v>17.755785885219417</v>
      </c>
      <c r="I71">
        <f t="shared" si="80"/>
        <v>57.648272551862952</v>
      </c>
      <c r="J71">
        <f t="shared" si="80"/>
        <v>53.168212608845536</v>
      </c>
      <c r="K71">
        <f t="shared" si="80"/>
        <v>49.141882546554299</v>
      </c>
      <c r="L71">
        <f t="shared" si="74"/>
        <v>75.741465449218012</v>
      </c>
      <c r="M71">
        <f t="shared" si="75"/>
        <v>1.2585345507819881</v>
      </c>
      <c r="N71">
        <f t="shared" si="76"/>
        <v>1.5839092155120205</v>
      </c>
    </row>
    <row r="72" spans="1:14" x14ac:dyDescent="0.45">
      <c r="A72" s="22">
        <v>42772</v>
      </c>
      <c r="B72">
        <v>75.650000000000006</v>
      </c>
      <c r="C72">
        <v>75.53</v>
      </c>
      <c r="G72">
        <f t="shared" ref="G72:K72" si="81">SUMPRODUCT($B72:$B76,P$2:P$6)</f>
        <v>17.35563574769877</v>
      </c>
      <c r="H72">
        <f t="shared" si="81"/>
        <v>17.743575930183649</v>
      </c>
      <c r="I72">
        <f t="shared" si="81"/>
        <v>57.610540065088806</v>
      </c>
      <c r="J72">
        <f t="shared" si="81"/>
        <v>53.135274625909965</v>
      </c>
      <c r="K72">
        <f t="shared" si="81"/>
        <v>49.261151367628123</v>
      </c>
      <c r="L72">
        <f t="shared" si="74"/>
        <v>75.69317304776115</v>
      </c>
      <c r="M72">
        <f t="shared" si="75"/>
        <v>-3.1730477611517927E-3</v>
      </c>
      <c r="N72">
        <f t="shared" si="76"/>
        <v>1.0068232094550404E-5</v>
      </c>
    </row>
    <row r="73" spans="1:14" x14ac:dyDescent="0.45">
      <c r="A73" s="22">
        <v>42769</v>
      </c>
      <c r="B73">
        <v>75.52</v>
      </c>
      <c r="C73">
        <v>75.52</v>
      </c>
      <c r="G73">
        <f t="shared" ref="G73:K73" si="82">SUMPRODUCT($B73:$B77,P$2:P$6)</f>
        <v>17.348282762944514</v>
      </c>
      <c r="H73">
        <f t="shared" si="82"/>
        <v>17.721556165299994</v>
      </c>
      <c r="I73">
        <f t="shared" si="82"/>
        <v>57.533319317557812</v>
      </c>
      <c r="J73">
        <f t="shared" si="82"/>
        <v>53.058470509931198</v>
      </c>
      <c r="K73">
        <f t="shared" si="82"/>
        <v>49.487857935574773</v>
      </c>
      <c r="L73">
        <f t="shared" si="74"/>
        <v>75.589725804973938</v>
      </c>
      <c r="M73">
        <f t="shared" si="75"/>
        <v>6.02741950260679E-2</v>
      </c>
      <c r="N73">
        <f t="shared" si="76"/>
        <v>3.6329785860404686E-3</v>
      </c>
    </row>
    <row r="74" spans="1:14" x14ac:dyDescent="0.45">
      <c r="A74" s="22">
        <v>42768</v>
      </c>
      <c r="B74">
        <v>75.66</v>
      </c>
      <c r="C74">
        <v>75.23</v>
      </c>
      <c r="G74">
        <f t="shared" ref="G74:K74" si="83">SUMPRODUCT($B74:$B78,P$2:P$6)</f>
        <v>17.385039705397823</v>
      </c>
      <c r="H74">
        <f t="shared" si="83"/>
        <v>17.753143974896282</v>
      </c>
      <c r="I74">
        <f t="shared" si="83"/>
        <v>57.636724347232231</v>
      </c>
      <c r="J74">
        <f t="shared" si="83"/>
        <v>53.154666430034496</v>
      </c>
      <c r="K74">
        <f t="shared" si="83"/>
        <v>48.928369904821245</v>
      </c>
      <c r="L74">
        <f t="shared" si="74"/>
        <v>75.724982932664361</v>
      </c>
      <c r="M74">
        <f t="shared" si="75"/>
        <v>-0.20498293266436463</v>
      </c>
      <c r="N74">
        <f t="shared" si="76"/>
        <v>4.2018002683683442E-2</v>
      </c>
    </row>
    <row r="75" spans="1:14" x14ac:dyDescent="0.45">
      <c r="A75" s="22">
        <v>42767</v>
      </c>
      <c r="B75">
        <v>75.760000000000005</v>
      </c>
      <c r="C75">
        <v>76.17</v>
      </c>
      <c r="G75">
        <f t="shared" ref="G75:K75" si="84">SUMPRODUCT($B75:$B79,P$2:P$6)</f>
        <v>17.439478947291626</v>
      </c>
      <c r="H75">
        <f t="shared" si="84"/>
        <v>17.785396621240878</v>
      </c>
      <c r="I75">
        <f t="shared" si="84"/>
        <v>57.735496898429489</v>
      </c>
      <c r="J75">
        <f t="shared" si="84"/>
        <v>53.239969547145861</v>
      </c>
      <c r="K75">
        <f t="shared" si="84"/>
        <v>48.806630525654199</v>
      </c>
      <c r="L75">
        <f t="shared" si="74"/>
        <v>75.850947132666221</v>
      </c>
      <c r="M75">
        <f t="shared" si="75"/>
        <v>-0.19094713266622421</v>
      </c>
      <c r="N75">
        <f t="shared" si="76"/>
        <v>3.6460807473452629E-2</v>
      </c>
    </row>
    <row r="76" spans="1:14" x14ac:dyDescent="0.45">
      <c r="A76" s="22">
        <v>42766</v>
      </c>
      <c r="B76">
        <v>76.14</v>
      </c>
      <c r="C76">
        <v>74.94</v>
      </c>
      <c r="G76">
        <f t="shared" ref="G76:K76" si="85">SUMPRODUCT($B76:$B80,P$2:P$6)</f>
        <v>17.465566839405575</v>
      </c>
      <c r="H76">
        <f t="shared" si="85"/>
        <v>17.882080244524204</v>
      </c>
      <c r="I76">
        <f t="shared" si="85"/>
        <v>58.044307832975569</v>
      </c>
      <c r="J76">
        <f t="shared" si="85"/>
        <v>53.519812286110017</v>
      </c>
      <c r="K76">
        <f t="shared" si="85"/>
        <v>48.770461699767438</v>
      </c>
      <c r="L76">
        <f t="shared" si="74"/>
        <v>76.251228745456785</v>
      </c>
      <c r="M76">
        <f t="shared" si="75"/>
        <v>-0.4912287454567803</v>
      </c>
      <c r="N76">
        <f t="shared" si="76"/>
        <v>0.24130568036304226</v>
      </c>
    </row>
    <row r="77" spans="1:14" x14ac:dyDescent="0.45">
      <c r="A77" s="22">
        <v>42765</v>
      </c>
      <c r="B77">
        <v>76.760000000000005</v>
      </c>
      <c r="C77">
        <v>76.28</v>
      </c>
      <c r="G77">
        <f t="shared" ref="G77:K77" si="86">SUMPRODUCT($B77:$B81,P$2:P$6)</f>
        <v>17.41895450573702</v>
      </c>
      <c r="H77">
        <f t="shared" si="86"/>
        <v>17.938668414887399</v>
      </c>
      <c r="I77">
        <f t="shared" si="86"/>
        <v>58.288082290111269</v>
      </c>
      <c r="J77">
        <f t="shared" si="86"/>
        <v>53.803181886772897</v>
      </c>
      <c r="K77">
        <f t="shared" si="86"/>
        <v>48.12189096450318</v>
      </c>
      <c r="L77">
        <f t="shared" si="74"/>
        <v>76.597892487178569</v>
      </c>
      <c r="M77">
        <f t="shared" si="75"/>
        <v>-0.45789248717856879</v>
      </c>
      <c r="N77">
        <f t="shared" si="76"/>
        <v>0.20966552981457579</v>
      </c>
    </row>
    <row r="78" spans="1:14" x14ac:dyDescent="0.45">
      <c r="A78" s="22">
        <v>42762</v>
      </c>
      <c r="B78">
        <v>74.55</v>
      </c>
      <c r="C78">
        <v>76.930000000000007</v>
      </c>
      <c r="G78">
        <f t="shared" ref="G78:K78" si="87">SUMPRODUCT($B78:$B82,P$2:P$6)</f>
        <v>17.103722952012131</v>
      </c>
      <c r="H78">
        <f t="shared" si="87"/>
        <v>17.48394292834007</v>
      </c>
      <c r="I78">
        <f t="shared" si="87"/>
        <v>56.768655456082953</v>
      </c>
      <c r="J78">
        <f t="shared" si="87"/>
        <v>52.35986325493527</v>
      </c>
      <c r="K78">
        <f t="shared" si="87"/>
        <v>47.736045055967843</v>
      </c>
      <c r="L78">
        <f t="shared" si="74"/>
        <v>74.595777432169584</v>
      </c>
      <c r="M78">
        <f t="shared" si="75"/>
        <v>2.1642225678304214</v>
      </c>
      <c r="N78">
        <f t="shared" si="76"/>
        <v>4.6838593231065033</v>
      </c>
    </row>
    <row r="79" spans="1:14" x14ac:dyDescent="0.45">
      <c r="A79" s="22">
        <v>42761</v>
      </c>
      <c r="B79">
        <v>74.37</v>
      </c>
      <c r="C79">
        <v>74.2</v>
      </c>
      <c r="G79">
        <f t="shared" ref="G79:K79" si="88">SUMPRODUCT($B79:$B83,P$2:P$6)</f>
        <v>17.047848157096244</v>
      </c>
      <c r="H79">
        <f t="shared" si="88"/>
        <v>17.457099990199087</v>
      </c>
      <c r="I79">
        <f t="shared" si="88"/>
        <v>56.671109203226422</v>
      </c>
      <c r="J79">
        <f t="shared" si="88"/>
        <v>52.259762804154505</v>
      </c>
      <c r="K79">
        <f t="shared" si="88"/>
        <v>47.378126017292885</v>
      </c>
      <c r="L79">
        <f t="shared" si="74"/>
        <v>74.463587630385945</v>
      </c>
      <c r="M79">
        <f t="shared" si="75"/>
        <v>8.6412369614052409E-2</v>
      </c>
      <c r="N79">
        <f t="shared" si="76"/>
        <v>7.4670976223156077E-3</v>
      </c>
    </row>
    <row r="80" spans="1:14" x14ac:dyDescent="0.45">
      <c r="A80" s="22">
        <v>42760</v>
      </c>
      <c r="B80">
        <v>74.680000000000007</v>
      </c>
      <c r="C80">
        <v>74.540000000000006</v>
      </c>
      <c r="G80">
        <f t="shared" ref="G80:K80" si="89">SUMPRODUCT($B80:$B84,P$2:P$6)</f>
        <v>16.98623742944795</v>
      </c>
      <c r="H80">
        <f t="shared" si="89"/>
        <v>17.467652955034414</v>
      </c>
      <c r="I80">
        <f t="shared" si="89"/>
        <v>56.747384773520878</v>
      </c>
      <c r="J80">
        <f t="shared" si="89"/>
        <v>52.371068429369913</v>
      </c>
      <c r="K80">
        <f t="shared" si="89"/>
        <v>47.410479228989665</v>
      </c>
      <c r="L80">
        <f t="shared" si="74"/>
        <v>74.583178540103972</v>
      </c>
      <c r="M80">
        <f t="shared" si="75"/>
        <v>-0.21317854010396786</v>
      </c>
      <c r="N80">
        <f t="shared" si="76"/>
        <v>4.5445089960859032E-2</v>
      </c>
    </row>
    <row r="81" spans="1:14" x14ac:dyDescent="0.45">
      <c r="A81" s="22">
        <v>42759</v>
      </c>
      <c r="B81">
        <v>73.010000000000005</v>
      </c>
      <c r="C81">
        <v>73.510000000000005</v>
      </c>
      <c r="G81">
        <f t="shared" ref="G81:K81" si="90">SUMPRODUCT($B81:$B85,P$2:P$6)</f>
        <v>16.714519111702369</v>
      </c>
      <c r="H81">
        <f t="shared" si="90"/>
        <v>17.119829244733257</v>
      </c>
      <c r="I81">
        <f t="shared" si="90"/>
        <v>55.58840350387176</v>
      </c>
      <c r="J81">
        <f t="shared" si="90"/>
        <v>51.273211118547152</v>
      </c>
      <c r="K81">
        <f t="shared" si="90"/>
        <v>47.17059968917183</v>
      </c>
      <c r="L81">
        <f t="shared" si="74"/>
        <v>73.057522868641556</v>
      </c>
      <c r="M81">
        <f t="shared" si="75"/>
        <v>1.6224771313584512</v>
      </c>
      <c r="N81">
        <f t="shared" si="76"/>
        <v>2.6324320417811489</v>
      </c>
    </row>
    <row r="82" spans="1:14" x14ac:dyDescent="0.45">
      <c r="A82" s="22">
        <v>42758</v>
      </c>
      <c r="B82">
        <v>72.739999999999995</v>
      </c>
      <c r="C82">
        <v>72.78</v>
      </c>
      <c r="G82">
        <f t="shared" ref="G82:K82" si="91">SUMPRODUCT($B82:$B86,P$2:P$6)</f>
        <v>16.661069938290197</v>
      </c>
      <c r="H82">
        <f t="shared" si="91"/>
        <v>17.044554883469889</v>
      </c>
      <c r="I82">
        <f t="shared" si="91"/>
        <v>55.352073701538586</v>
      </c>
      <c r="J82">
        <f t="shared" si="91"/>
        <v>51.063111737304915</v>
      </c>
      <c r="K82">
        <f t="shared" si="91"/>
        <v>47.018756104759433</v>
      </c>
      <c r="L82">
        <f t="shared" si="74"/>
        <v>72.753186300502804</v>
      </c>
      <c r="M82">
        <f t="shared" si="75"/>
        <v>0.25681369949720079</v>
      </c>
      <c r="N82">
        <f t="shared" si="76"/>
        <v>6.5953276249438544E-2</v>
      </c>
    </row>
    <row r="83" spans="1:14" x14ac:dyDescent="0.45">
      <c r="A83" s="22">
        <v>42755</v>
      </c>
      <c r="B83">
        <v>72.09</v>
      </c>
      <c r="C83">
        <v>72.88</v>
      </c>
      <c r="G83">
        <f t="shared" ref="G83:K83" si="92">SUMPRODUCT($B83:$B87,P$2:P$6)</f>
        <v>16.608094318232716</v>
      </c>
      <c r="H83">
        <f t="shared" si="92"/>
        <v>16.937280975414723</v>
      </c>
      <c r="I83">
        <f t="shared" si="92"/>
        <v>54.973233611647878</v>
      </c>
      <c r="J83">
        <f t="shared" si="92"/>
        <v>50.68392949727405</v>
      </c>
      <c r="K83">
        <f t="shared" si="92"/>
        <v>47.022456611707426</v>
      </c>
      <c r="L83">
        <f t="shared" si="74"/>
        <v>72.244507610559637</v>
      </c>
      <c r="M83">
        <f t="shared" si="75"/>
        <v>0.49549238944035778</v>
      </c>
      <c r="N83">
        <f t="shared" si="76"/>
        <v>0.24551270799331518</v>
      </c>
    </row>
    <row r="84" spans="1:14" x14ac:dyDescent="0.45">
      <c r="A84" s="22">
        <v>42754</v>
      </c>
      <c r="B84">
        <v>72.88</v>
      </c>
      <c r="C84">
        <v>72.44</v>
      </c>
      <c r="G84">
        <f t="shared" ref="G84:K84" si="93">SUMPRODUCT($B84:$B88,P$2:P$6)</f>
        <v>16.694275660068069</v>
      </c>
      <c r="H84">
        <f t="shared" si="93"/>
        <v>17.090273101250258</v>
      </c>
      <c r="I84">
        <f t="shared" si="93"/>
        <v>55.491807286023956</v>
      </c>
      <c r="J84">
        <f t="shared" si="93"/>
        <v>51.183502601073663</v>
      </c>
      <c r="K84">
        <f t="shared" si="93"/>
        <v>47.057210180422487</v>
      </c>
      <c r="L84">
        <f t="shared" si="74"/>
        <v>72.931246719149314</v>
      </c>
      <c r="M84">
        <f t="shared" si="75"/>
        <v>-0.84124671914931071</v>
      </c>
      <c r="N84">
        <f t="shared" si="76"/>
        <v>0.70769604247947926</v>
      </c>
    </row>
    <row r="85" spans="1:14" x14ac:dyDescent="0.45">
      <c r="A85" s="22">
        <v>42753</v>
      </c>
      <c r="B85">
        <v>72.64</v>
      </c>
      <c r="C85">
        <v>73.010000000000005</v>
      </c>
      <c r="G85">
        <f t="shared" ref="G85:K85" si="94">SUMPRODUCT($B85:$B89,P$2:P$6)</f>
        <v>16.63997842657448</v>
      </c>
      <c r="H85">
        <f t="shared" si="94"/>
        <v>17.028630658082871</v>
      </c>
      <c r="I85">
        <f t="shared" si="94"/>
        <v>55.295280591794018</v>
      </c>
      <c r="J85">
        <f t="shared" si="94"/>
        <v>51.005768224586092</v>
      </c>
      <c r="K85">
        <f t="shared" si="94"/>
        <v>46.970001846313728</v>
      </c>
      <c r="L85">
        <f t="shared" si="74"/>
        <v>72.676683416933457</v>
      </c>
      <c r="M85">
        <f t="shared" si="75"/>
        <v>0.20331658306653821</v>
      </c>
      <c r="N85">
        <f t="shared" si="76"/>
        <v>4.1337632949852536E-2</v>
      </c>
    </row>
    <row r="86" spans="1:14" x14ac:dyDescent="0.45">
      <c r="A86" s="22">
        <v>42752</v>
      </c>
      <c r="B86">
        <v>72.23</v>
      </c>
      <c r="C86">
        <v>72.28</v>
      </c>
      <c r="G86">
        <f t="shared" ref="G86:K86" si="95">SUMPRODUCT($B86:$B90,P$2:P$6)</f>
        <v>16.591135186265316</v>
      </c>
      <c r="H86">
        <f t="shared" si="95"/>
        <v>16.949400421115648</v>
      </c>
      <c r="I86">
        <f t="shared" si="95"/>
        <v>55.02658652943019</v>
      </c>
      <c r="J86">
        <f t="shared" si="95"/>
        <v>50.746788615787246</v>
      </c>
      <c r="K86">
        <f t="shared" si="95"/>
        <v>46.821114709172086</v>
      </c>
      <c r="L86">
        <f t="shared" si="74"/>
        <v>72.320791788457498</v>
      </c>
      <c r="M86">
        <f t="shared" si="75"/>
        <v>0.31920821154250234</v>
      </c>
      <c r="N86">
        <f t="shared" si="76"/>
        <v>0.10189388231616292</v>
      </c>
    </row>
    <row r="87" spans="1:14" x14ac:dyDescent="0.45">
      <c r="A87" s="22">
        <v>42748</v>
      </c>
      <c r="B87">
        <v>72.36</v>
      </c>
      <c r="C87">
        <v>72.67</v>
      </c>
      <c r="G87">
        <f t="shared" ref="G87:K87" si="96">SUMPRODUCT($B87:$B91,P$2:P$6)</f>
        <v>16.608746442353716</v>
      </c>
      <c r="H87">
        <f t="shared" si="96"/>
        <v>16.977700413578845</v>
      </c>
      <c r="I87">
        <f t="shared" si="96"/>
        <v>55.119953344181354</v>
      </c>
      <c r="J87">
        <f t="shared" si="96"/>
        <v>50.834346369265518</v>
      </c>
      <c r="K87">
        <f t="shared" si="96"/>
        <v>46.724077776986967</v>
      </c>
      <c r="L87">
        <f t="shared" si="74"/>
        <v>72.443262844878092</v>
      </c>
      <c r="M87">
        <f t="shared" si="75"/>
        <v>-0.21326284487808778</v>
      </c>
      <c r="N87">
        <f t="shared" si="76"/>
        <v>4.5481041005495326E-2</v>
      </c>
    </row>
    <row r="88" spans="1:14" x14ac:dyDescent="0.45">
      <c r="A88" s="22">
        <v>42747</v>
      </c>
      <c r="B88">
        <v>72.42</v>
      </c>
      <c r="C88">
        <v>72.22</v>
      </c>
      <c r="G88">
        <f t="shared" ref="G88:K88" si="97">SUMPRODUCT($B88:$B92,P$2:P$6)</f>
        <v>16.5968699037528</v>
      </c>
      <c r="H88">
        <f t="shared" si="97"/>
        <v>16.985182106841648</v>
      </c>
      <c r="I88">
        <f t="shared" si="97"/>
        <v>55.148700414629801</v>
      </c>
      <c r="J88">
        <f t="shared" si="97"/>
        <v>50.865203132339744</v>
      </c>
      <c r="K88">
        <f t="shared" si="97"/>
        <v>46.642210236564694</v>
      </c>
      <c r="L88">
        <f t="shared" si="74"/>
        <v>72.482885768622864</v>
      </c>
      <c r="M88">
        <f t="shared" si="75"/>
        <v>-0.12288576862286504</v>
      </c>
      <c r="N88">
        <f t="shared" si="76"/>
        <v>1.5100912130032323E-2</v>
      </c>
    </row>
    <row r="89" spans="1:14" x14ac:dyDescent="0.45">
      <c r="A89" s="22">
        <v>42746</v>
      </c>
      <c r="B89">
        <v>72.27</v>
      </c>
      <c r="C89">
        <v>72.62</v>
      </c>
      <c r="G89">
        <f t="shared" ref="G89:K89" si="98">SUMPRODUCT($B89:$B93,P$2:P$6)</f>
        <v>16.545483166531554</v>
      </c>
      <c r="H89">
        <f t="shared" si="98"/>
        <v>16.942141786979775</v>
      </c>
      <c r="I89">
        <f t="shared" si="98"/>
        <v>55.01426649908619</v>
      </c>
      <c r="J89">
        <f t="shared" si="98"/>
        <v>50.746389721329692</v>
      </c>
      <c r="K89">
        <f t="shared" si="98"/>
        <v>46.815212733880834</v>
      </c>
      <c r="L89">
        <f t="shared" si="74"/>
        <v>72.31011065697929</v>
      </c>
      <c r="M89">
        <f t="shared" si="75"/>
        <v>0.10988934302071129</v>
      </c>
      <c r="N89">
        <f t="shared" si="76"/>
        <v>1.2075667709523549E-2</v>
      </c>
    </row>
    <row r="90" spans="1:14" x14ac:dyDescent="0.45">
      <c r="A90" s="22">
        <v>42745</v>
      </c>
      <c r="B90">
        <v>71.87</v>
      </c>
      <c r="C90">
        <v>72.349999999999994</v>
      </c>
      <c r="G90">
        <f t="shared" ref="G90:K90" si="99">SUMPRODUCT($B90:$B94,P$2:P$6)</f>
        <v>16.473498771953921</v>
      </c>
      <c r="H90">
        <f t="shared" si="99"/>
        <v>16.853639406851457</v>
      </c>
      <c r="I90">
        <f t="shared" si="99"/>
        <v>54.723319491619449</v>
      </c>
      <c r="J90">
        <f t="shared" si="99"/>
        <v>50.474540512949297</v>
      </c>
      <c r="K90">
        <f t="shared" si="99"/>
        <v>46.925754245163418</v>
      </c>
      <c r="L90">
        <f t="shared" si="74"/>
        <v>71.928958777101329</v>
      </c>
      <c r="M90">
        <f t="shared" si="75"/>
        <v>0.34104122289866723</v>
      </c>
      <c r="N90">
        <f t="shared" si="76"/>
        <v>0.11630911571621842</v>
      </c>
    </row>
    <row r="91" spans="1:14" x14ac:dyDescent="0.45">
      <c r="A91" s="22">
        <v>42744</v>
      </c>
      <c r="B91">
        <v>71.64</v>
      </c>
      <c r="C91">
        <v>71.94</v>
      </c>
      <c r="G91">
        <f t="shared" ref="G91:K91" si="100">SUMPRODUCT($B91:$B95,P$2:P$6)</f>
        <v>16.46143174372164</v>
      </c>
      <c r="H91">
        <f t="shared" si="100"/>
        <v>16.805019611603431</v>
      </c>
      <c r="I91">
        <f t="shared" si="100"/>
        <v>54.561858260044204</v>
      </c>
      <c r="J91">
        <f t="shared" si="100"/>
        <v>50.322112729721589</v>
      </c>
      <c r="K91">
        <f t="shared" si="100"/>
        <v>46.954414043229249</v>
      </c>
      <c r="L91">
        <f t="shared" si="74"/>
        <v>71.716669644648547</v>
      </c>
      <c r="M91">
        <f t="shared" si="75"/>
        <v>0.15333035535145711</v>
      </c>
      <c r="N91">
        <f t="shared" si="76"/>
        <v>2.3510197872204115E-2</v>
      </c>
    </row>
    <row r="92" spans="1:14" x14ac:dyDescent="0.45">
      <c r="A92" s="22">
        <v>42741</v>
      </c>
      <c r="B92">
        <v>71.58</v>
      </c>
      <c r="C92">
        <v>71.599999999999994</v>
      </c>
      <c r="G92">
        <f t="shared" ref="G92:K92" si="101">SUMPRODUCT($B92:$B96,P$2:P$6)</f>
        <v>16.511959923172611</v>
      </c>
      <c r="H92">
        <f t="shared" si="101"/>
        <v>16.81889071440137</v>
      </c>
      <c r="I92">
        <f t="shared" si="101"/>
        <v>54.588007845565677</v>
      </c>
      <c r="J92">
        <f t="shared" si="101"/>
        <v>50.32781844058885</v>
      </c>
      <c r="K92">
        <f t="shared" si="101"/>
        <v>47.407933546944925</v>
      </c>
      <c r="L92">
        <f t="shared" si="74"/>
        <v>71.741727719700521</v>
      </c>
      <c r="M92">
        <f t="shared" si="75"/>
        <v>-0.10172771970051997</v>
      </c>
      <c r="N92">
        <f t="shared" si="76"/>
        <v>1.0348528955467558E-2</v>
      </c>
    </row>
    <row r="93" spans="1:14" x14ac:dyDescent="0.45">
      <c r="A93" s="22">
        <v>42740</v>
      </c>
      <c r="B93">
        <v>72.41</v>
      </c>
      <c r="C93">
        <v>71.319999999999993</v>
      </c>
      <c r="G93">
        <f t="shared" ref="G93:K93" si="102">SUMPRODUCT($B93:$B97,P$2:P$6)</f>
        <v>16.645914304205142</v>
      </c>
      <c r="H93">
        <f t="shared" si="102"/>
        <v>16.998851337753877</v>
      </c>
      <c r="I93">
        <f t="shared" si="102"/>
        <v>55.182257228588696</v>
      </c>
      <c r="J93">
        <f t="shared" si="102"/>
        <v>50.885600967495705</v>
      </c>
      <c r="K93">
        <f t="shared" si="102"/>
        <v>47.462571264044314</v>
      </c>
      <c r="L93">
        <f t="shared" si="74"/>
        <v>72.521465269713332</v>
      </c>
      <c r="M93">
        <f t="shared" si="75"/>
        <v>-0.94146526971333344</v>
      </c>
      <c r="N93">
        <f t="shared" si="76"/>
        <v>0.88635685407639964</v>
      </c>
    </row>
    <row r="94" spans="1:14" x14ac:dyDescent="0.45">
      <c r="A94" s="22">
        <v>42739</v>
      </c>
      <c r="B94">
        <v>72.77</v>
      </c>
      <c r="C94">
        <v>72.36</v>
      </c>
      <c r="G94">
        <f t="shared" ref="G94:K94" si="103">SUMPRODUCT($B94:$B98,P$2:P$6)</f>
        <v>16.721892632373166</v>
      </c>
      <c r="H94">
        <f t="shared" si="103"/>
        <v>17.066666380064031</v>
      </c>
      <c r="I94">
        <f t="shared" si="103"/>
        <v>55.413676144167511</v>
      </c>
      <c r="J94">
        <f t="shared" si="103"/>
        <v>51.109995696540196</v>
      </c>
      <c r="K94">
        <f t="shared" si="103"/>
        <v>47.905402155266614</v>
      </c>
      <c r="L94">
        <f t="shared" si="74"/>
        <v>72.828644980333934</v>
      </c>
      <c r="M94">
        <f t="shared" si="75"/>
        <v>-0.41864498033393716</v>
      </c>
      <c r="N94">
        <f t="shared" si="76"/>
        <v>0.17526361955880262</v>
      </c>
    </row>
    <row r="95" spans="1:14" x14ac:dyDescent="0.45">
      <c r="A95" s="22">
        <v>42738</v>
      </c>
      <c r="B95">
        <v>72.599999999999994</v>
      </c>
      <c r="C95">
        <v>72.5</v>
      </c>
      <c r="G95">
        <f t="shared" ref="G95:K95" si="104">SUMPRODUCT($B95:$B99,P$2:P$6)</f>
        <v>16.755828914128902</v>
      </c>
      <c r="H95">
        <f t="shared" si="104"/>
        <v>17.069802787891767</v>
      </c>
      <c r="I95">
        <f t="shared" si="104"/>
        <v>55.39478981842273</v>
      </c>
      <c r="J95">
        <f t="shared" si="104"/>
        <v>51.064237214466132</v>
      </c>
      <c r="K95">
        <f t="shared" si="104"/>
        <v>47.833845733551627</v>
      </c>
      <c r="L95">
        <f t="shared" si="74"/>
        <v>72.79009391107455</v>
      </c>
      <c r="M95">
        <f t="shared" si="75"/>
        <v>-2.0093911074553716E-2</v>
      </c>
      <c r="N95">
        <f t="shared" si="76"/>
        <v>4.0376526227207249E-4</v>
      </c>
    </row>
    <row r="96" spans="1:14" x14ac:dyDescent="0.45">
      <c r="A96" s="22">
        <v>42734</v>
      </c>
      <c r="B96">
        <v>73.8</v>
      </c>
      <c r="C96">
        <v>72.62</v>
      </c>
      <c r="G96">
        <f t="shared" ref="G96:K96" si="105">SUMPRODUCT($B96:$B100,P$2:P$6)</f>
        <v>16.935240204384563</v>
      </c>
      <c r="H96">
        <f t="shared" si="105"/>
        <v>17.300455756332784</v>
      </c>
      <c r="I96">
        <f t="shared" si="105"/>
        <v>56.178022079298266</v>
      </c>
      <c r="J96">
        <f t="shared" si="105"/>
        <v>51.820102918011735</v>
      </c>
      <c r="K96">
        <f t="shared" si="105"/>
        <v>47.816892807627269</v>
      </c>
      <c r="L96">
        <f t="shared" si="74"/>
        <v>73.827970291032642</v>
      </c>
      <c r="M96">
        <f t="shared" si="75"/>
        <v>-1.2279702910326478</v>
      </c>
      <c r="N96">
        <f t="shared" si="76"/>
        <v>1.5079110356588057</v>
      </c>
    </row>
    <row r="97" spans="1:14" x14ac:dyDescent="0.45">
      <c r="A97" s="22">
        <v>42733</v>
      </c>
      <c r="B97">
        <v>73.38</v>
      </c>
      <c r="C97">
        <v>73.58</v>
      </c>
      <c r="G97">
        <f t="shared" ref="G97:K97" si="106">SUMPRODUCT($B97:$B101,P$2:P$6)</f>
        <v>16.92235073232785</v>
      </c>
      <c r="H97">
        <f t="shared" si="106"/>
        <v>17.251536122092084</v>
      </c>
      <c r="I97">
        <f t="shared" si="106"/>
        <v>55.985669811759209</v>
      </c>
      <c r="J97">
        <f t="shared" si="106"/>
        <v>51.610016951868616</v>
      </c>
      <c r="K97">
        <f t="shared" si="106"/>
        <v>47.944041084899411</v>
      </c>
      <c r="L97">
        <f t="shared" si="74"/>
        <v>73.561067978380763</v>
      </c>
      <c r="M97">
        <f t="shared" si="75"/>
        <v>0.23893202161923455</v>
      </c>
      <c r="N97">
        <f t="shared" si="76"/>
        <v>5.7088510955054364E-2</v>
      </c>
    </row>
    <row r="98" spans="1:14" x14ac:dyDescent="0.45">
      <c r="A98" s="22">
        <v>42732</v>
      </c>
      <c r="B98">
        <v>74.540000000000006</v>
      </c>
      <c r="C98">
        <v>73.56</v>
      </c>
      <c r="G98">
        <f t="shared" ref="G98:K98" si="107">SUMPRODUCT($B98:$B102,P$2:P$6)</f>
        <v>17.031491131980808</v>
      </c>
      <c r="H98">
        <f t="shared" si="107"/>
        <v>17.464326027648934</v>
      </c>
      <c r="I98">
        <f t="shared" si="107"/>
        <v>56.716636664372096</v>
      </c>
      <c r="J98">
        <f t="shared" si="107"/>
        <v>52.323264819517476</v>
      </c>
      <c r="K98">
        <f t="shared" si="107"/>
        <v>47.913537829224765</v>
      </c>
      <c r="L98">
        <f t="shared" si="74"/>
        <v>74.533528318195678</v>
      </c>
      <c r="M98">
        <f t="shared" si="75"/>
        <v>-1.1535283181956828</v>
      </c>
      <c r="N98">
        <f t="shared" si="76"/>
        <v>1.3306275808793604</v>
      </c>
    </row>
    <row r="99" spans="1:14" x14ac:dyDescent="0.45">
      <c r="A99" s="22">
        <v>42731</v>
      </c>
      <c r="B99">
        <v>73.81</v>
      </c>
      <c r="C99">
        <v>74.31</v>
      </c>
      <c r="G99">
        <f t="shared" ref="G99:K99" si="108">SUMPRODUCT($B99:$B103,P$2:P$6)</f>
        <v>16.917206549151462</v>
      </c>
      <c r="H99">
        <f t="shared" si="108"/>
        <v>17.302173292050135</v>
      </c>
      <c r="I99">
        <f t="shared" si="108"/>
        <v>56.184023489454475</v>
      </c>
      <c r="J99">
        <f t="shared" si="108"/>
        <v>51.826051694898275</v>
      </c>
      <c r="K99">
        <f t="shared" si="108"/>
        <v>47.611868253336496</v>
      </c>
      <c r="L99">
        <f t="shared" si="74"/>
        <v>73.835999798191537</v>
      </c>
      <c r="M99">
        <f t="shared" si="75"/>
        <v>0.70400020180846923</v>
      </c>
      <c r="N99">
        <f t="shared" si="76"/>
        <v>0.49561628414636538</v>
      </c>
    </row>
    <row r="100" spans="1:14" x14ac:dyDescent="0.45">
      <c r="A100" s="22">
        <v>42727</v>
      </c>
      <c r="B100">
        <v>73.37</v>
      </c>
      <c r="C100">
        <v>73.84</v>
      </c>
      <c r="G100">
        <f t="shared" ref="G100:K100" si="109">SUMPRODUCT($B100:$B104,P$2:P$6)</f>
        <v>16.879391787361794</v>
      </c>
      <c r="H100">
        <f t="shared" si="109"/>
        <v>17.229093170354425</v>
      </c>
      <c r="I100">
        <f t="shared" si="109"/>
        <v>55.926385265710152</v>
      </c>
      <c r="J100">
        <f t="shared" si="109"/>
        <v>51.568580306184678</v>
      </c>
      <c r="K100">
        <f t="shared" si="109"/>
        <v>47.392094137451174</v>
      </c>
      <c r="L100">
        <f t="shared" si="74"/>
        <v>73.490258156232272</v>
      </c>
      <c r="M100">
        <f t="shared" si="75"/>
        <v>0.31974184376772996</v>
      </c>
      <c r="N100">
        <f t="shared" si="76"/>
        <v>0.10223484665598744</v>
      </c>
    </row>
    <row r="101" spans="1:14" x14ac:dyDescent="0.45">
      <c r="A101" s="22">
        <v>42726</v>
      </c>
      <c r="B101">
        <v>73.89</v>
      </c>
      <c r="C101">
        <v>73.45</v>
      </c>
      <c r="G101">
        <f t="shared" ref="G101:K101" si="110">SUMPRODUCT($B101:$B105,P$2:P$6)</f>
        <v>16.919141036873313</v>
      </c>
      <c r="H101">
        <f t="shared" si="110"/>
        <v>17.328477288993067</v>
      </c>
      <c r="I101">
        <f t="shared" si="110"/>
        <v>56.264332384829842</v>
      </c>
      <c r="J101">
        <f t="shared" si="110"/>
        <v>51.895153225811676</v>
      </c>
      <c r="K101">
        <f t="shared" si="110"/>
        <v>47.715352065110139</v>
      </c>
      <c r="L101">
        <f t="shared" si="74"/>
        <v>73.938291750612478</v>
      </c>
      <c r="M101">
        <f t="shared" si="75"/>
        <v>-0.56829175061247383</v>
      </c>
      <c r="N101">
        <f t="shared" si="76"/>
        <v>0.32295551381419013</v>
      </c>
    </row>
    <row r="102" spans="1:14" x14ac:dyDescent="0.45">
      <c r="A102" s="22">
        <v>42725</v>
      </c>
      <c r="B102">
        <v>73.69</v>
      </c>
      <c r="C102">
        <v>73.599999999999994</v>
      </c>
      <c r="G102">
        <f t="shared" ref="G102:K102" si="111">SUMPRODUCT($B102:$B106,P$2:P$6)</f>
        <v>16.83086682854513</v>
      </c>
      <c r="H102">
        <f t="shared" si="111"/>
        <v>17.263658043516177</v>
      </c>
      <c r="I102">
        <f t="shared" si="111"/>
        <v>56.065980012359134</v>
      </c>
      <c r="J102">
        <f t="shared" si="111"/>
        <v>51.724009892348249</v>
      </c>
      <c r="K102">
        <f t="shared" si="111"/>
        <v>47.394668419055265</v>
      </c>
      <c r="L102">
        <f t="shared" si="74"/>
        <v>73.685412095048491</v>
      </c>
      <c r="M102">
        <f t="shared" si="75"/>
        <v>0.20458790495150936</v>
      </c>
      <c r="N102">
        <f t="shared" si="76"/>
        <v>4.1856210852447825E-2</v>
      </c>
    </row>
    <row r="103" spans="1:14" x14ac:dyDescent="0.45">
      <c r="A103" s="22">
        <v>42724</v>
      </c>
      <c r="B103">
        <v>72.92</v>
      </c>
      <c r="C103">
        <v>73.400000000000006</v>
      </c>
      <c r="G103">
        <f t="shared" ref="G103:K103" si="112">SUMPRODUCT($B103:$B107,P$2:P$6)</f>
        <v>16.731188940597647</v>
      </c>
      <c r="H103">
        <f t="shared" si="112"/>
        <v>17.091179980979504</v>
      </c>
      <c r="I103">
        <f t="shared" si="112"/>
        <v>55.500479115939982</v>
      </c>
      <c r="J103">
        <f t="shared" si="112"/>
        <v>51.197085547660699</v>
      </c>
      <c r="K103">
        <f t="shared" si="112"/>
        <v>47.460421456704992</v>
      </c>
      <c r="L103">
        <f t="shared" si="74"/>
        <v>72.945299690043043</v>
      </c>
      <c r="M103">
        <f t="shared" si="75"/>
        <v>0.74470030995695424</v>
      </c>
      <c r="N103">
        <f t="shared" si="76"/>
        <v>0.55457855164998371</v>
      </c>
    </row>
    <row r="104" spans="1:14" x14ac:dyDescent="0.45">
      <c r="A104" s="22">
        <v>42723</v>
      </c>
      <c r="B104">
        <v>72.41</v>
      </c>
      <c r="C104">
        <v>72.81</v>
      </c>
      <c r="G104">
        <f t="shared" ref="G104:K104" si="113">SUMPRODUCT($B104:$B108,P$2:P$6)</f>
        <v>16.710558110294471</v>
      </c>
      <c r="H104">
        <f t="shared" si="113"/>
        <v>17.030252156575017</v>
      </c>
      <c r="I104">
        <f t="shared" si="113"/>
        <v>55.262986938782809</v>
      </c>
      <c r="J104">
        <f t="shared" si="113"/>
        <v>50.939369453200342</v>
      </c>
      <c r="K104">
        <f t="shared" si="113"/>
        <v>47.450936577486921</v>
      </c>
      <c r="L104">
        <f t="shared" si="74"/>
        <v>72.616583465051121</v>
      </c>
      <c r="M104">
        <f t="shared" si="75"/>
        <v>0.30341653494888021</v>
      </c>
      <c r="N104">
        <f t="shared" si="76"/>
        <v>9.2061593680385051E-2</v>
      </c>
    </row>
    <row r="105" spans="1:14" x14ac:dyDescent="0.45">
      <c r="A105" s="22">
        <v>42720</v>
      </c>
      <c r="B105">
        <v>73.77</v>
      </c>
      <c r="C105">
        <v>72.09</v>
      </c>
      <c r="G105">
        <f t="shared" ref="G105:K105" si="114">SUMPRODUCT($B105:$B109,P$2:P$6)</f>
        <v>16.85958406800021</v>
      </c>
      <c r="H105">
        <f t="shared" si="114"/>
        <v>17.276460460271554</v>
      </c>
      <c r="I105">
        <f t="shared" si="114"/>
        <v>56.111576345556777</v>
      </c>
      <c r="J105">
        <f t="shared" si="114"/>
        <v>51.769992602585866</v>
      </c>
      <c r="K105">
        <f t="shared" si="114"/>
        <v>47.428989724125401</v>
      </c>
      <c r="L105">
        <f t="shared" si="74"/>
        <v>73.746805180498328</v>
      </c>
      <c r="M105">
        <f t="shared" si="75"/>
        <v>-1.336805180498331</v>
      </c>
      <c r="N105">
        <f t="shared" si="76"/>
        <v>1.7870480906071753</v>
      </c>
    </row>
    <row r="106" spans="1:14" x14ac:dyDescent="0.45">
      <c r="A106" s="22">
        <v>42719</v>
      </c>
      <c r="B106">
        <v>72.81</v>
      </c>
      <c r="C106">
        <v>73.61</v>
      </c>
      <c r="G106">
        <f t="shared" ref="G106:K106" si="115">SUMPRODUCT($B106:$B110,P$2:P$6)</f>
        <v>16.744426945773419</v>
      </c>
      <c r="H106">
        <f t="shared" si="115"/>
        <v>17.094576524639141</v>
      </c>
      <c r="I106">
        <f t="shared" si="115"/>
        <v>55.491773152474195</v>
      </c>
      <c r="J106">
        <f t="shared" si="115"/>
        <v>51.169817364817028</v>
      </c>
      <c r="K106">
        <f t="shared" si="115"/>
        <v>47.862832893397268</v>
      </c>
      <c r="L106">
        <f t="shared" si="74"/>
        <v>72.924495923905155</v>
      </c>
      <c r="M106">
        <f t="shared" si="75"/>
        <v>0.84550407609484068</v>
      </c>
      <c r="N106">
        <f t="shared" si="76"/>
        <v>0.71487714269299019</v>
      </c>
    </row>
    <row r="107" spans="1:14" x14ac:dyDescent="0.45">
      <c r="A107" s="22">
        <v>42718</v>
      </c>
      <c r="B107">
        <v>73.23</v>
      </c>
      <c r="C107">
        <v>72.540000000000006</v>
      </c>
      <c r="G107">
        <f t="shared" ref="G107:K107" si="116">SUMPRODUCT($B107:$B111,P$2:P$6)</f>
        <v>16.789469672081712</v>
      </c>
      <c r="H107">
        <f t="shared" si="116"/>
        <v>17.176152171840084</v>
      </c>
      <c r="I107">
        <f t="shared" si="116"/>
        <v>55.768082916659758</v>
      </c>
      <c r="J107">
        <f t="shared" si="116"/>
        <v>51.435821442206972</v>
      </c>
      <c r="K107">
        <f t="shared" si="116"/>
        <v>47.527339268822757</v>
      </c>
      <c r="L107">
        <f t="shared" si="74"/>
        <v>73.290319143936472</v>
      </c>
      <c r="M107">
        <f t="shared" si="75"/>
        <v>-0.48031914393646957</v>
      </c>
      <c r="N107">
        <f t="shared" si="76"/>
        <v>0.23070648003186298</v>
      </c>
    </row>
    <row r="108" spans="1:14" x14ac:dyDescent="0.45">
      <c r="A108" s="22">
        <v>42717</v>
      </c>
      <c r="B108">
        <v>73.11</v>
      </c>
      <c r="C108">
        <v>73.099999999999994</v>
      </c>
      <c r="G108">
        <f t="shared" ref="G108:K108" si="117">SUMPRODUCT($B108:$B112,P$2:P$6)</f>
        <v>16.806269887512993</v>
      </c>
      <c r="H108">
        <f t="shared" si="117"/>
        <v>17.143604285626935</v>
      </c>
      <c r="I108">
        <f t="shared" si="117"/>
        <v>55.665379961982168</v>
      </c>
      <c r="J108">
        <f t="shared" si="117"/>
        <v>51.343998346916877</v>
      </c>
      <c r="K108">
        <f t="shared" si="117"/>
        <v>46.927604693899283</v>
      </c>
      <c r="L108">
        <f t="shared" si="74"/>
        <v>73.157806819227304</v>
      </c>
      <c r="M108">
        <f t="shared" si="75"/>
        <v>7.2193180772700316E-2</v>
      </c>
      <c r="N108">
        <f t="shared" si="76"/>
        <v>5.2118553500797868E-3</v>
      </c>
    </row>
    <row r="109" spans="1:14" x14ac:dyDescent="0.45">
      <c r="A109" s="22">
        <v>42716</v>
      </c>
      <c r="B109">
        <v>72.849999999999994</v>
      </c>
      <c r="C109">
        <v>72.900000000000006</v>
      </c>
      <c r="G109">
        <f t="shared" ref="G109:K109" si="118">SUMPRODUCT($B109:$B113,P$2:P$6)</f>
        <v>16.823319409035324</v>
      </c>
      <c r="H109">
        <f t="shared" si="118"/>
        <v>17.143838604902054</v>
      </c>
      <c r="I109">
        <f t="shared" si="118"/>
        <v>55.624765192414102</v>
      </c>
      <c r="J109">
        <f t="shared" si="118"/>
        <v>51.266201816299763</v>
      </c>
      <c r="K109">
        <f t="shared" si="118"/>
        <v>46.776982223178187</v>
      </c>
      <c r="L109">
        <f t="shared" si="74"/>
        <v>73.085025555672303</v>
      </c>
      <c r="M109">
        <f t="shared" si="75"/>
        <v>2.4974444327696688E-2</v>
      </c>
      <c r="N109">
        <f t="shared" si="76"/>
        <v>6.2372286947722129E-4</v>
      </c>
    </row>
    <row r="110" spans="1:14" x14ac:dyDescent="0.45">
      <c r="A110" s="22">
        <v>42713</v>
      </c>
      <c r="B110">
        <v>74.540000000000006</v>
      </c>
      <c r="C110">
        <v>73.14</v>
      </c>
      <c r="G110">
        <f t="shared" ref="G110:K110" si="119">SUMPRODUCT($B110:$B114,P$2:P$6)</f>
        <v>16.91410698855163</v>
      </c>
      <c r="H110">
        <f t="shared" si="119"/>
        <v>17.438575384863423</v>
      </c>
      <c r="I110">
        <f t="shared" si="119"/>
        <v>56.650434943769639</v>
      </c>
      <c r="J110">
        <f t="shared" si="119"/>
        <v>52.279172531708674</v>
      </c>
      <c r="K110">
        <f t="shared" si="119"/>
        <v>46.537814660341169</v>
      </c>
      <c r="L110">
        <f t="shared" si="74"/>
        <v>74.455526159312413</v>
      </c>
      <c r="M110">
        <f t="shared" si="75"/>
        <v>-1.6055261593124186</v>
      </c>
      <c r="N110">
        <f t="shared" si="76"/>
        <v>2.5777142482364859</v>
      </c>
    </row>
    <row r="111" spans="1:14" x14ac:dyDescent="0.45">
      <c r="A111" s="22">
        <v>42712</v>
      </c>
      <c r="B111">
        <v>72.989999999999995</v>
      </c>
      <c r="C111">
        <v>73.88</v>
      </c>
      <c r="G111">
        <f t="shared" ref="G111:K111" si="120">SUMPRODUCT($B111:$B115,P$2:P$6)</f>
        <v>16.57757662226572</v>
      </c>
      <c r="H111">
        <f t="shared" si="120"/>
        <v>17.060498279950181</v>
      </c>
      <c r="I111">
        <f t="shared" si="120"/>
        <v>55.432697575062782</v>
      </c>
      <c r="J111">
        <f t="shared" si="120"/>
        <v>51.165603613089957</v>
      </c>
      <c r="K111">
        <f t="shared" si="120"/>
        <v>45.552456551917444</v>
      </c>
      <c r="L111">
        <f t="shared" si="74"/>
        <v>72.872147018620808</v>
      </c>
      <c r="M111">
        <f t="shared" si="75"/>
        <v>1.6678529813791982</v>
      </c>
      <c r="N111">
        <f t="shared" si="76"/>
        <v>2.7817335674954804</v>
      </c>
    </row>
    <row r="112" spans="1:14" x14ac:dyDescent="0.45">
      <c r="A112" s="22">
        <v>42711</v>
      </c>
      <c r="B112">
        <v>70.98</v>
      </c>
      <c r="C112">
        <v>72.94</v>
      </c>
      <c r="G112">
        <f t="shared" ref="G112:K112" si="121">SUMPRODUCT($B112:$B116,P$2:P$6)</f>
        <v>16.289390745453073</v>
      </c>
      <c r="H112">
        <f t="shared" si="121"/>
        <v>16.653322149270117</v>
      </c>
      <c r="I112">
        <f t="shared" si="121"/>
        <v>54.067222880513228</v>
      </c>
      <c r="J112">
        <f t="shared" si="121"/>
        <v>49.86385506377318</v>
      </c>
      <c r="K112">
        <f t="shared" si="121"/>
        <v>46.672323223421344</v>
      </c>
      <c r="L112">
        <f t="shared" si="74"/>
        <v>71.070598130324072</v>
      </c>
      <c r="M112">
        <f t="shared" si="75"/>
        <v>1.919401869675923</v>
      </c>
      <c r="N112">
        <f t="shared" si="76"/>
        <v>3.6841035373154289</v>
      </c>
    </row>
    <row r="113" spans="1:14" x14ac:dyDescent="0.45">
      <c r="A113" s="22">
        <v>42710</v>
      </c>
      <c r="B113">
        <v>71.02</v>
      </c>
      <c r="C113">
        <v>71</v>
      </c>
      <c r="G113">
        <f t="shared" ref="G113:K113" si="122">SUMPRODUCT($B113:$B117,P$2:P$6)</f>
        <v>16.221250754208825</v>
      </c>
      <c r="H113">
        <f t="shared" si="122"/>
        <v>16.655797071224736</v>
      </c>
      <c r="I113">
        <f t="shared" si="122"/>
        <v>54.079927940097981</v>
      </c>
      <c r="J113">
        <f t="shared" si="122"/>
        <v>49.880123112255376</v>
      </c>
      <c r="K113">
        <f t="shared" si="122"/>
        <v>47.071977442046581</v>
      </c>
      <c r="L113">
        <f t="shared" si="74"/>
        <v>71.089402242476922</v>
      </c>
      <c r="M113">
        <f t="shared" si="75"/>
        <v>-0.10940224247691788</v>
      </c>
      <c r="N113">
        <f t="shared" si="76"/>
        <v>1.1968850658978335E-2</v>
      </c>
    </row>
    <row r="114" spans="1:14" x14ac:dyDescent="0.45">
      <c r="A114" s="22">
        <v>42709</v>
      </c>
      <c r="B114">
        <v>70.84</v>
      </c>
      <c r="C114">
        <v>70.599999999999994</v>
      </c>
      <c r="G114">
        <f t="shared" ref="G114:K114" si="123">SUMPRODUCT($B114:$B118,P$2:P$6)</f>
        <v>16.210298944045821</v>
      </c>
      <c r="H114">
        <f t="shared" si="123"/>
        <v>16.550769842033688</v>
      </c>
      <c r="I114">
        <f t="shared" si="123"/>
        <v>53.781370804088532</v>
      </c>
      <c r="J114">
        <f t="shared" si="123"/>
        <v>49.646145438691882</v>
      </c>
      <c r="K114">
        <f t="shared" si="123"/>
        <v>47.313462221091342</v>
      </c>
      <c r="L114">
        <f t="shared" si="74"/>
        <v>70.720377573817203</v>
      </c>
      <c r="M114">
        <f t="shared" si="75"/>
        <v>0.29962242618279333</v>
      </c>
      <c r="N114">
        <f t="shared" si="76"/>
        <v>8.9773598271663438E-2</v>
      </c>
    </row>
    <row r="115" spans="1:14" x14ac:dyDescent="0.45">
      <c r="A115" s="22">
        <v>42706</v>
      </c>
      <c r="B115">
        <v>68.66</v>
      </c>
      <c r="C115">
        <v>70.11</v>
      </c>
      <c r="G115">
        <f t="shared" ref="G115:K115" si="124">SUMPRODUCT($B115:$B119,P$2:P$6)</f>
        <v>16.210973367456052</v>
      </c>
      <c r="H115">
        <f t="shared" si="124"/>
        <v>16.261656603034751</v>
      </c>
      <c r="I115">
        <f t="shared" si="124"/>
        <v>52.69247952761318</v>
      </c>
      <c r="J115">
        <f t="shared" si="124"/>
        <v>48.495431459506079</v>
      </c>
      <c r="K115">
        <f t="shared" si="124"/>
        <v>47.598056603293401</v>
      </c>
      <c r="L115">
        <f t="shared" si="74"/>
        <v>69.228409040486625</v>
      </c>
      <c r="M115">
        <f t="shared" si="75"/>
        <v>1.6115909595133786</v>
      </c>
      <c r="N115">
        <f t="shared" si="76"/>
        <v>2.5972254207852523</v>
      </c>
    </row>
    <row r="116" spans="1:14" x14ac:dyDescent="0.45">
      <c r="A116" s="22">
        <v>42705</v>
      </c>
      <c r="B116">
        <v>73.56</v>
      </c>
      <c r="C116">
        <v>69.010000000000005</v>
      </c>
      <c r="G116">
        <f t="shared" ref="G116:K116" si="125">SUMPRODUCT($B116:$B120,P$2:P$6)</f>
        <v>16.94781132941042</v>
      </c>
      <c r="H116">
        <f t="shared" si="125"/>
        <v>17.282460181082918</v>
      </c>
      <c r="I116">
        <f t="shared" si="125"/>
        <v>56.093709270930361</v>
      </c>
      <c r="J116">
        <f t="shared" si="125"/>
        <v>51.717106061747693</v>
      </c>
      <c r="K116">
        <f t="shared" si="125"/>
        <v>47.893052133240488</v>
      </c>
      <c r="L116">
        <f t="shared" si="74"/>
        <v>73.705620666234395</v>
      </c>
      <c r="M116">
        <f t="shared" si="75"/>
        <v>-5.0456206662343988</v>
      </c>
      <c r="N116">
        <f t="shared" si="76"/>
        <v>25.458287907531659</v>
      </c>
    </row>
    <row r="117" spans="1:14" x14ac:dyDescent="0.45">
      <c r="A117" s="22">
        <v>42704</v>
      </c>
      <c r="B117">
        <v>74.36</v>
      </c>
      <c r="C117">
        <v>74.239999999999995</v>
      </c>
      <c r="G117">
        <f t="shared" ref="G117:K117" si="126">SUMPRODUCT($B117:$B121,P$2:P$6)</f>
        <v>17.04559626093031</v>
      </c>
      <c r="H117">
        <f t="shared" si="126"/>
        <v>17.439054526977966</v>
      </c>
      <c r="I117">
        <f t="shared" si="126"/>
        <v>56.623129202800108</v>
      </c>
      <c r="J117">
        <f t="shared" si="126"/>
        <v>52.225854873386588</v>
      </c>
      <c r="K117">
        <f t="shared" si="126"/>
        <v>47.951753265371885</v>
      </c>
      <c r="L117">
        <f t="shared" si="74"/>
        <v>74.406097955152021</v>
      </c>
      <c r="M117">
        <f t="shared" si="75"/>
        <v>-0.84609795515201824</v>
      </c>
      <c r="N117">
        <f t="shared" si="76"/>
        <v>0.71588174971242668</v>
      </c>
    </row>
    <row r="118" spans="1:14" x14ac:dyDescent="0.45">
      <c r="A118" s="22">
        <v>42703</v>
      </c>
      <c r="B118">
        <v>74.17</v>
      </c>
      <c r="C118">
        <v>74.53</v>
      </c>
      <c r="G118">
        <f t="shared" ref="G118:K118" si="127">SUMPRODUCT($B118:$B122,P$2:P$6)</f>
        <v>16.993004471789735</v>
      </c>
      <c r="H118">
        <f t="shared" si="127"/>
        <v>17.395421820648135</v>
      </c>
      <c r="I118">
        <f t="shared" si="127"/>
        <v>56.480831514188182</v>
      </c>
      <c r="J118">
        <f t="shared" si="127"/>
        <v>52.093997244455331</v>
      </c>
      <c r="K118">
        <f t="shared" si="127"/>
        <v>47.699026595942584</v>
      </c>
      <c r="L118">
        <f t="shared" si="74"/>
        <v>74.220222314604925</v>
      </c>
      <c r="M118">
        <f t="shared" si="75"/>
        <v>0.13977768539507451</v>
      </c>
      <c r="N118">
        <f t="shared" si="76"/>
        <v>1.9537801334404428E-2</v>
      </c>
    </row>
    <row r="119" spans="1:14" x14ac:dyDescent="0.45">
      <c r="A119" s="22">
        <v>42702</v>
      </c>
      <c r="B119">
        <v>74.010000000000005</v>
      </c>
      <c r="C119">
        <v>74.16</v>
      </c>
      <c r="G119">
        <f t="shared" ref="G119:K119" si="128">SUMPRODUCT($B119:$B123,P$2:P$6)</f>
        <v>16.943892796158856</v>
      </c>
      <c r="H119">
        <f t="shared" si="128"/>
        <v>17.345324304353177</v>
      </c>
      <c r="I119">
        <f t="shared" si="128"/>
        <v>56.326669390213603</v>
      </c>
      <c r="J119">
        <f t="shared" si="128"/>
        <v>51.960093985115144</v>
      </c>
      <c r="K119">
        <f t="shared" si="128"/>
        <v>46.314340786450614</v>
      </c>
      <c r="L119">
        <f t="shared" si="74"/>
        <v>74.023243616061777</v>
      </c>
      <c r="M119">
        <f t="shared" si="75"/>
        <v>0.1467563839382251</v>
      </c>
      <c r="N119">
        <f t="shared" si="76"/>
        <v>2.1537436226623734E-2</v>
      </c>
    </row>
    <row r="120" spans="1:14" x14ac:dyDescent="0.45">
      <c r="A120" s="22">
        <v>42699</v>
      </c>
      <c r="B120">
        <v>73.45</v>
      </c>
      <c r="C120">
        <v>74.2</v>
      </c>
      <c r="G120">
        <f t="shared" ref="G120:K120" si="129">SUMPRODUCT($B120:$B124,P$2:P$6)</f>
        <v>16.859289219952359</v>
      </c>
      <c r="H120">
        <f t="shared" si="129"/>
        <v>17.238439565051401</v>
      </c>
      <c r="I120">
        <f t="shared" si="129"/>
        <v>55.963097965529165</v>
      </c>
      <c r="J120">
        <f t="shared" si="129"/>
        <v>51.608646974227135</v>
      </c>
      <c r="K120">
        <f t="shared" si="129"/>
        <v>45.650132087615319</v>
      </c>
      <c r="L120">
        <f t="shared" si="74"/>
        <v>73.541183060942146</v>
      </c>
      <c r="M120">
        <f t="shared" si="75"/>
        <v>0.46881693905785937</v>
      </c>
      <c r="N120">
        <f t="shared" si="76"/>
        <v>0.21978932234758064</v>
      </c>
    </row>
    <row r="121" spans="1:14" x14ac:dyDescent="0.45">
      <c r="A121" s="22">
        <v>42697</v>
      </c>
      <c r="B121">
        <v>73.67</v>
      </c>
      <c r="C121">
        <v>73.59</v>
      </c>
      <c r="G121">
        <f t="shared" ref="G121:K121" si="130">SUMPRODUCT($B121:$B125,P$2:P$6)</f>
        <v>16.729400195294804</v>
      </c>
      <c r="H121">
        <f t="shared" si="130"/>
        <v>17.26367291579383</v>
      </c>
      <c r="I121">
        <f t="shared" si="130"/>
        <v>56.062850428768826</v>
      </c>
      <c r="J121">
        <f t="shared" si="130"/>
        <v>51.718022143013442</v>
      </c>
      <c r="K121">
        <f t="shared" si="130"/>
        <v>45.137444511826843</v>
      </c>
      <c r="L121">
        <f t="shared" si="74"/>
        <v>73.679805136829387</v>
      </c>
      <c r="M121">
        <f t="shared" si="75"/>
        <v>-0.22980513682938408</v>
      </c>
      <c r="N121">
        <f t="shared" si="76"/>
        <v>5.2810400913171941E-2</v>
      </c>
    </row>
    <row r="122" spans="1:14" x14ac:dyDescent="0.45">
      <c r="A122" s="22">
        <v>42696</v>
      </c>
      <c r="B122">
        <v>73.05</v>
      </c>
      <c r="C122">
        <v>72.89</v>
      </c>
      <c r="G122">
        <f t="shared" ref="G122:K122" si="131">SUMPRODUCT($B122:$B126,P$2:P$6)</f>
        <v>16.365546915859586</v>
      </c>
      <c r="H122">
        <f t="shared" si="131"/>
        <v>17.002664796655605</v>
      </c>
      <c r="I122">
        <f t="shared" si="131"/>
        <v>55.293524399217496</v>
      </c>
      <c r="J122">
        <f t="shared" si="131"/>
        <v>51.084619858875776</v>
      </c>
      <c r="K122">
        <f t="shared" si="131"/>
        <v>44.677366454496358</v>
      </c>
      <c r="L122">
        <f t="shared" si="74"/>
        <v>72.71392011431476</v>
      </c>
      <c r="M122">
        <f t="shared" si="75"/>
        <v>0.95607988568524149</v>
      </c>
      <c r="N122">
        <f t="shared" si="76"/>
        <v>0.91408874781190441</v>
      </c>
    </row>
    <row r="123" spans="1:14" x14ac:dyDescent="0.45">
      <c r="A123" s="22">
        <v>42695</v>
      </c>
      <c r="B123">
        <v>68.75</v>
      </c>
      <c r="C123">
        <v>69.819999999999993</v>
      </c>
      <c r="G123">
        <f t="shared" ref="G123:K123" si="132">SUMPRODUCT($B123:$B127,P$2:P$6)</f>
        <v>15.705731609948941</v>
      </c>
      <c r="H123">
        <f t="shared" si="132"/>
        <v>16.102838967634138</v>
      </c>
      <c r="I123">
        <f t="shared" si="132"/>
        <v>52.298440615077048</v>
      </c>
      <c r="J123">
        <f t="shared" si="132"/>
        <v>48.250555604201558</v>
      </c>
      <c r="K123">
        <f t="shared" si="132"/>
        <v>43.82548285174888</v>
      </c>
      <c r="L123">
        <f t="shared" si="74"/>
        <v>68.772765730626546</v>
      </c>
      <c r="M123">
        <f t="shared" si="75"/>
        <v>4.2772342693734515</v>
      </c>
      <c r="N123">
        <f t="shared" si="76"/>
        <v>18.294732995102645</v>
      </c>
    </row>
    <row r="124" spans="1:14" x14ac:dyDescent="0.45">
      <c r="A124" s="22">
        <v>42692</v>
      </c>
      <c r="B124">
        <v>67.92</v>
      </c>
      <c r="C124">
        <v>68.47</v>
      </c>
      <c r="G124">
        <f t="shared" ref="G124:K124" si="133">SUMPRODUCT($B124:$B128,P$2:P$6)</f>
        <v>15.593420274510196</v>
      </c>
      <c r="H124">
        <f t="shared" si="133"/>
        <v>15.933240202135584</v>
      </c>
      <c r="I124">
        <f t="shared" si="133"/>
        <v>51.730831286233474</v>
      </c>
      <c r="J124">
        <f t="shared" si="133"/>
        <v>47.710516604698995</v>
      </c>
      <c r="K124">
        <f t="shared" si="133"/>
        <v>43.27346929753385</v>
      </c>
      <c r="L124">
        <f t="shared" si="74"/>
        <v>68.02441611443723</v>
      </c>
      <c r="M124">
        <f t="shared" si="75"/>
        <v>0.72558388556277009</v>
      </c>
      <c r="N124">
        <f t="shared" si="76"/>
        <v>0.52647197498836706</v>
      </c>
    </row>
    <row r="125" spans="1:14" x14ac:dyDescent="0.45">
      <c r="A125" s="22">
        <v>42691</v>
      </c>
      <c r="B125">
        <v>67.89</v>
      </c>
      <c r="C125">
        <v>68.209999999999994</v>
      </c>
      <c r="G125">
        <f t="shared" ref="G125:K125" si="134">SUMPRODUCT($B125:$B129,P$2:P$6)</f>
        <v>15.562870892310968</v>
      </c>
      <c r="H125">
        <f t="shared" si="134"/>
        <v>15.934993332590981</v>
      </c>
      <c r="I125">
        <f t="shared" si="134"/>
        <v>51.730583497294631</v>
      </c>
      <c r="J125">
        <f t="shared" si="134"/>
        <v>47.70449618560027</v>
      </c>
      <c r="K125">
        <f t="shared" si="134"/>
        <v>42.722999475176252</v>
      </c>
      <c r="L125">
        <f t="shared" si="74"/>
        <v>68.021247290066057</v>
      </c>
      <c r="M125">
        <f t="shared" si="75"/>
        <v>-0.10124729006605548</v>
      </c>
      <c r="N125">
        <f t="shared" si="76"/>
        <v>1.0251013745719977E-2</v>
      </c>
    </row>
    <row r="126" spans="1:14" x14ac:dyDescent="0.45">
      <c r="A126" s="22">
        <v>42690</v>
      </c>
      <c r="B126">
        <v>68.14</v>
      </c>
      <c r="C126">
        <v>67.88</v>
      </c>
      <c r="G126">
        <f t="shared" ref="G126:K126" si="135">SUMPRODUCT($B126:$B130,P$2:P$6)</f>
        <v>15.477778024663145</v>
      </c>
      <c r="H126">
        <f t="shared" si="135"/>
        <v>15.941517935391918</v>
      </c>
      <c r="I126">
        <f t="shared" si="135"/>
        <v>51.78699103383601</v>
      </c>
      <c r="J126">
        <f t="shared" si="135"/>
        <v>47.790858283067578</v>
      </c>
      <c r="K126">
        <f t="shared" si="135"/>
        <v>42.679871078206197</v>
      </c>
      <c r="L126">
        <f t="shared" si="74"/>
        <v>68.111676322473556</v>
      </c>
      <c r="M126">
        <f t="shared" si="75"/>
        <v>-0.22167632247355584</v>
      </c>
      <c r="N126">
        <f t="shared" si="76"/>
        <v>4.9140391945399917E-2</v>
      </c>
    </row>
    <row r="127" spans="1:14" x14ac:dyDescent="0.45">
      <c r="A127" s="22">
        <v>42689</v>
      </c>
      <c r="B127">
        <v>66.73</v>
      </c>
      <c r="C127">
        <v>68.209999999999994</v>
      </c>
      <c r="G127">
        <f t="shared" ref="G127:K127" si="136">SUMPRODUCT($B127:$B131,P$2:P$6)</f>
        <v>15.168141525298187</v>
      </c>
      <c r="H127">
        <f t="shared" si="136"/>
        <v>15.613868850117361</v>
      </c>
      <c r="I127">
        <f t="shared" si="136"/>
        <v>50.72109617851973</v>
      </c>
      <c r="J127">
        <f t="shared" si="136"/>
        <v>46.805745004883399</v>
      </c>
      <c r="K127">
        <f t="shared" si="136"/>
        <v>41.762385769268747</v>
      </c>
      <c r="L127">
        <f t="shared" si="74"/>
        <v>66.720624608781193</v>
      </c>
      <c r="M127">
        <f t="shared" si="75"/>
        <v>1.4193753912188072</v>
      </c>
      <c r="N127">
        <f t="shared" si="76"/>
        <v>2.0146265011975419</v>
      </c>
    </row>
    <row r="128" spans="1:14" x14ac:dyDescent="0.45">
      <c r="A128" s="22">
        <v>42688</v>
      </c>
      <c r="B128">
        <v>65.42</v>
      </c>
      <c r="C128">
        <v>66.459999999999994</v>
      </c>
      <c r="G128">
        <f t="shared" ref="G128:K128" si="137">SUMPRODUCT($B128:$B132,P$2:P$6)</f>
        <v>14.942743344748619</v>
      </c>
      <c r="H128">
        <f t="shared" si="137"/>
        <v>15.312193866049723</v>
      </c>
      <c r="I128">
        <f t="shared" si="137"/>
        <v>49.737830724821201</v>
      </c>
      <c r="J128">
        <f t="shared" si="137"/>
        <v>45.895182621225537</v>
      </c>
      <c r="K128">
        <f t="shared" si="137"/>
        <v>41.767425248251271</v>
      </c>
      <c r="L128">
        <f t="shared" si="74"/>
        <v>65.436517539663711</v>
      </c>
      <c r="M128">
        <f t="shared" si="75"/>
        <v>1.2934824603362927</v>
      </c>
      <c r="N128">
        <f t="shared" si="76"/>
        <v>1.673096875197629</v>
      </c>
    </row>
    <row r="129" spans="1:14" x14ac:dyDescent="0.45">
      <c r="A129" s="22">
        <v>42685</v>
      </c>
      <c r="B129">
        <v>64.290000000000006</v>
      </c>
      <c r="C129">
        <v>65.319999999999993</v>
      </c>
      <c r="G129">
        <f t="shared" ref="G129:K129" si="138">SUMPRODUCT($B129:$B133,P$2:P$6)</f>
        <v>14.774385786730223</v>
      </c>
      <c r="H129">
        <f t="shared" si="138"/>
        <v>15.111464813497845</v>
      </c>
      <c r="I129">
        <f t="shared" si="138"/>
        <v>49.042628825286819</v>
      </c>
      <c r="J129">
        <f t="shared" si="138"/>
        <v>45.211609641078262</v>
      </c>
      <c r="K129">
        <f t="shared" si="138"/>
        <v>41.770490509295058</v>
      </c>
      <c r="L129">
        <f t="shared" si="74"/>
        <v>64.509072043421057</v>
      </c>
      <c r="M129">
        <f t="shared" si="75"/>
        <v>0.91092795657894499</v>
      </c>
      <c r="N129">
        <f t="shared" si="76"/>
        <v>0.82978974207709233</v>
      </c>
    </row>
    <row r="130" spans="1:14" x14ac:dyDescent="0.45">
      <c r="A130" s="22">
        <v>42684</v>
      </c>
      <c r="B130">
        <v>65.209999999999994</v>
      </c>
      <c r="C130">
        <v>64.25</v>
      </c>
      <c r="G130">
        <f t="shared" ref="G130:K130" si="139">SUMPRODUCT($B130:$B134,P$2:P$6)</f>
        <v>14.809291765236075</v>
      </c>
      <c r="H130">
        <f t="shared" si="139"/>
        <v>15.231525882081394</v>
      </c>
      <c r="I130">
        <f t="shared" si="139"/>
        <v>49.497147175171506</v>
      </c>
      <c r="J130">
        <f t="shared" si="139"/>
        <v>45.693893605098282</v>
      </c>
      <c r="K130">
        <f t="shared" si="139"/>
        <v>41.284737464060527</v>
      </c>
      <c r="L130">
        <f t="shared" si="74"/>
        <v>65.132803050575092</v>
      </c>
      <c r="M130">
        <f t="shared" si="75"/>
        <v>-0.84280305057508542</v>
      </c>
      <c r="N130">
        <f t="shared" si="76"/>
        <v>0.71031698205867</v>
      </c>
    </row>
    <row r="131" spans="1:14" x14ac:dyDescent="0.45">
      <c r="A131" s="22">
        <v>42683</v>
      </c>
      <c r="B131">
        <v>63.08</v>
      </c>
      <c r="C131">
        <v>64.97</v>
      </c>
      <c r="G131">
        <f t="shared" ref="G131:K131" si="140">SUMPRODUCT($B131:$B135,P$2:P$6)</f>
        <v>14.578566125708182</v>
      </c>
      <c r="H131">
        <f t="shared" si="140"/>
        <v>14.830109725342174</v>
      </c>
      <c r="I131">
        <f t="shared" si="140"/>
        <v>48.127457835918108</v>
      </c>
      <c r="J131">
        <f t="shared" si="140"/>
        <v>44.365918255372534</v>
      </c>
      <c r="K131">
        <f t="shared" si="140"/>
        <v>41.370949352501086</v>
      </c>
      <c r="L131">
        <f t="shared" ref="L131:L194" si="141">(G131+$P$7)*$U$2+(H131+$Q$7)*$U$3+(I131+$R$7)*$U$4+(J131+$S$7)*$U$5+(K131+$T$7)*$U$6+$U$7</f>
        <v>63.3147833045536</v>
      </c>
      <c r="M131">
        <f t="shared" ref="M131:M194" si="142">B130-L131</f>
        <v>1.8952166954463934</v>
      </c>
      <c r="N131">
        <f t="shared" ref="N131:N194" si="143">M131^2</f>
        <v>3.5918463226987472</v>
      </c>
    </row>
    <row r="132" spans="1:14" x14ac:dyDescent="0.45">
      <c r="A132" s="22">
        <v>42682</v>
      </c>
      <c r="B132">
        <v>64.08</v>
      </c>
      <c r="C132">
        <v>64.849999999999994</v>
      </c>
      <c r="G132">
        <f t="shared" ref="G132:K132" si="144">SUMPRODUCT($B132:$B136,P$2:P$6)</f>
        <v>14.699250152343238</v>
      </c>
      <c r="H132">
        <f t="shared" si="144"/>
        <v>15.047439858819782</v>
      </c>
      <c r="I132">
        <f t="shared" si="144"/>
        <v>48.844733020188073</v>
      </c>
      <c r="J132">
        <f t="shared" si="144"/>
        <v>45.038818690241492</v>
      </c>
      <c r="K132">
        <f t="shared" si="144"/>
        <v>41.423609183013923</v>
      </c>
      <c r="L132">
        <f t="shared" si="141"/>
        <v>64.255771619281788</v>
      </c>
      <c r="M132">
        <f t="shared" si="142"/>
        <v>-1.1757716192817895</v>
      </c>
      <c r="N132">
        <f t="shared" si="143"/>
        <v>1.3824389007085214</v>
      </c>
    </row>
    <row r="133" spans="1:14" x14ac:dyDescent="0.45">
      <c r="A133" s="22">
        <v>42681</v>
      </c>
      <c r="B133">
        <v>64.53</v>
      </c>
      <c r="C133">
        <v>64.36</v>
      </c>
      <c r="G133">
        <f t="shared" ref="G133:K133" si="145">SUMPRODUCT($B133:$B137,P$2:P$6)</f>
        <v>14.692068296527189</v>
      </c>
      <c r="H133">
        <f t="shared" si="145"/>
        <v>15.087383498242652</v>
      </c>
      <c r="I133">
        <f t="shared" si="145"/>
        <v>49.018764139060302</v>
      </c>
      <c r="J133">
        <f t="shared" si="145"/>
        <v>45.24255722364024</v>
      </c>
      <c r="K133">
        <f t="shared" si="145"/>
        <v>41.574906825273914</v>
      </c>
      <c r="L133">
        <f t="shared" si="141"/>
        <v>64.503963748311222</v>
      </c>
      <c r="M133">
        <f t="shared" si="142"/>
        <v>-0.4239637483112233</v>
      </c>
      <c r="N133">
        <f t="shared" si="143"/>
        <v>0.1797452598821023</v>
      </c>
    </row>
    <row r="134" spans="1:14" x14ac:dyDescent="0.45">
      <c r="A134" s="22">
        <v>42678</v>
      </c>
      <c r="B134">
        <v>62.89</v>
      </c>
      <c r="C134">
        <v>63.43</v>
      </c>
      <c r="G134">
        <f t="shared" ref="G134:K134" si="146">SUMPRODUCT($B134:$B138,P$2:P$6)</f>
        <v>14.510796284203938</v>
      </c>
      <c r="H134">
        <f t="shared" si="146"/>
        <v>14.781139022633633</v>
      </c>
      <c r="I134">
        <f t="shared" si="146"/>
        <v>47.971436370539166</v>
      </c>
      <c r="J134">
        <f t="shared" si="146"/>
        <v>44.224919898747103</v>
      </c>
      <c r="K134">
        <f t="shared" si="146"/>
        <v>41.457834030364886</v>
      </c>
      <c r="L134">
        <f t="shared" si="141"/>
        <v>63.112738020518584</v>
      </c>
      <c r="M134">
        <f t="shared" si="142"/>
        <v>1.4172619794814167</v>
      </c>
      <c r="N134">
        <f t="shared" si="143"/>
        <v>2.0086315184835839</v>
      </c>
    </row>
    <row r="135" spans="1:14" x14ac:dyDescent="0.45">
      <c r="A135" s="22">
        <v>42677</v>
      </c>
      <c r="B135">
        <v>63.75</v>
      </c>
      <c r="C135">
        <v>63.85</v>
      </c>
      <c r="G135">
        <f t="shared" ref="G135:K135" si="147">SUMPRODUCT($B135:$B139,P$2:P$6)</f>
        <v>14.652914628558893</v>
      </c>
      <c r="H135">
        <f t="shared" si="147"/>
        <v>14.957147792354101</v>
      </c>
      <c r="I135">
        <f t="shared" si="147"/>
        <v>48.5602813150266</v>
      </c>
      <c r="J135">
        <f t="shared" si="147"/>
        <v>44.784958436500155</v>
      </c>
      <c r="K135">
        <f t="shared" si="147"/>
        <v>41.387006191729029</v>
      </c>
      <c r="L135">
        <f t="shared" si="141"/>
        <v>63.888984235895464</v>
      </c>
      <c r="M135">
        <f t="shared" si="142"/>
        <v>-0.99898423589546326</v>
      </c>
      <c r="N135">
        <f t="shared" si="143"/>
        <v>0.99796950356764258</v>
      </c>
    </row>
    <row r="136" spans="1:14" x14ac:dyDescent="0.45">
      <c r="A136" s="22">
        <v>42676</v>
      </c>
      <c r="B136">
        <v>63.79</v>
      </c>
      <c r="C136">
        <v>63.66</v>
      </c>
      <c r="G136">
        <f t="shared" ref="G136:K136" si="148">SUMPRODUCT($B136:$B140,P$2:P$6)</f>
        <v>14.683856910610597</v>
      </c>
      <c r="H136">
        <f t="shared" si="148"/>
        <v>14.984430205327135</v>
      </c>
      <c r="I136">
        <f t="shared" si="148"/>
        <v>48.636764212858807</v>
      </c>
      <c r="J136">
        <f t="shared" si="148"/>
        <v>44.843705053539523</v>
      </c>
      <c r="K136">
        <f t="shared" si="148"/>
        <v>41.494863306517928</v>
      </c>
      <c r="L136">
        <f t="shared" si="141"/>
        <v>63.982933537338603</v>
      </c>
      <c r="M136">
        <f t="shared" si="142"/>
        <v>-0.232933537338603</v>
      </c>
      <c r="N136">
        <f t="shared" si="143"/>
        <v>5.4258032817074357E-2</v>
      </c>
    </row>
    <row r="137" spans="1:14" x14ac:dyDescent="0.45">
      <c r="A137" s="22">
        <v>42675</v>
      </c>
      <c r="B137">
        <v>64.400000000000006</v>
      </c>
      <c r="C137">
        <v>63.6</v>
      </c>
      <c r="G137">
        <f t="shared" ref="G137:K137" si="149">SUMPRODUCT($B137:$B141,P$2:P$6)</f>
        <v>14.732238090077267</v>
      </c>
      <c r="H137">
        <f t="shared" si="149"/>
        <v>15.097077932303364</v>
      </c>
      <c r="I137">
        <f t="shared" si="149"/>
        <v>49.023079319401518</v>
      </c>
      <c r="J137">
        <f t="shared" si="149"/>
        <v>45.220058673931376</v>
      </c>
      <c r="K137">
        <f t="shared" si="149"/>
        <v>41.400365091060664</v>
      </c>
      <c r="L137">
        <f t="shared" si="141"/>
        <v>64.496584293843412</v>
      </c>
      <c r="M137">
        <f t="shared" si="142"/>
        <v>-0.70658429384341304</v>
      </c>
      <c r="N137">
        <f t="shared" si="143"/>
        <v>0.49926136430619467</v>
      </c>
    </row>
    <row r="138" spans="1:14" x14ac:dyDescent="0.45">
      <c r="A138" s="22">
        <v>42674</v>
      </c>
      <c r="B138">
        <v>64.040000000000006</v>
      </c>
      <c r="C138">
        <v>64.099999999999994</v>
      </c>
      <c r="G138">
        <f t="shared" ref="G138:K138" si="150">SUMPRODUCT($B138:$B142,P$2:P$6)</f>
        <v>14.658787032292883</v>
      </c>
      <c r="H138">
        <f t="shared" si="150"/>
        <v>15.005399579518505</v>
      </c>
      <c r="I138">
        <f t="shared" si="150"/>
        <v>48.730308028259955</v>
      </c>
      <c r="J138">
        <f t="shared" si="150"/>
        <v>44.954801551301117</v>
      </c>
      <c r="K138">
        <f t="shared" si="150"/>
        <v>41.465677459169299</v>
      </c>
      <c r="L138">
        <f t="shared" si="141"/>
        <v>64.117118019731379</v>
      </c>
      <c r="M138">
        <f t="shared" si="142"/>
        <v>0.28288198026862688</v>
      </c>
      <c r="N138">
        <f t="shared" si="143"/>
        <v>8.0022214760699803E-2</v>
      </c>
    </row>
    <row r="139" spans="1:14" x14ac:dyDescent="0.45">
      <c r="A139" s="22">
        <v>42671</v>
      </c>
      <c r="B139">
        <v>63.45</v>
      </c>
      <c r="C139">
        <v>63.53</v>
      </c>
      <c r="G139">
        <f t="shared" ref="G139:K139" si="151">SUMPRODUCT($B139:$B143,P$2:P$6)</f>
        <v>14.590923488393646</v>
      </c>
      <c r="H139">
        <f t="shared" si="151"/>
        <v>14.898699233775096</v>
      </c>
      <c r="I139">
        <f t="shared" si="151"/>
        <v>48.362454523100247</v>
      </c>
      <c r="J139">
        <f t="shared" si="151"/>
        <v>44.594647320350994</v>
      </c>
      <c r="K139">
        <f t="shared" si="151"/>
        <v>41.314032184079252</v>
      </c>
      <c r="L139">
        <f t="shared" si="141"/>
        <v>63.627136424364842</v>
      </c>
      <c r="M139">
        <f t="shared" si="142"/>
        <v>0.41286357563516418</v>
      </c>
      <c r="N139">
        <f t="shared" si="143"/>
        <v>0.17045633208625294</v>
      </c>
    </row>
    <row r="140" spans="1:14" x14ac:dyDescent="0.45">
      <c r="A140" s="22">
        <v>42670</v>
      </c>
      <c r="B140">
        <v>63.87</v>
      </c>
      <c r="C140">
        <v>63.27</v>
      </c>
      <c r="G140">
        <f t="shared" ref="G140:K140" si="152">SUMPRODUCT($B140:$B144,P$2:P$6)</f>
        <v>14.646036768030234</v>
      </c>
      <c r="H140">
        <f t="shared" si="152"/>
        <v>14.974623415051683</v>
      </c>
      <c r="I140">
        <f t="shared" si="152"/>
        <v>48.624234102235505</v>
      </c>
      <c r="J140">
        <f t="shared" si="152"/>
        <v>44.85097379165515</v>
      </c>
      <c r="K140">
        <f t="shared" si="152"/>
        <v>41.205994249499419</v>
      </c>
      <c r="L140">
        <f t="shared" si="141"/>
        <v>63.975839966713544</v>
      </c>
      <c r="M140">
        <f t="shared" si="142"/>
        <v>-0.52583996671354072</v>
      </c>
      <c r="N140">
        <f t="shared" si="143"/>
        <v>0.27650767059329762</v>
      </c>
    </row>
    <row r="141" spans="1:14" x14ac:dyDescent="0.45">
      <c r="A141" s="22">
        <v>42669</v>
      </c>
      <c r="B141">
        <v>63.57</v>
      </c>
      <c r="C141">
        <v>63.44</v>
      </c>
      <c r="G141">
        <f t="shared" ref="G141:K141" si="153">SUMPRODUCT($B141:$B145,P$2:P$6)</f>
        <v>14.615577634993025</v>
      </c>
      <c r="H141">
        <f t="shared" si="153"/>
        <v>14.927793088528517</v>
      </c>
      <c r="I141">
        <f t="shared" si="153"/>
        <v>48.456277147889899</v>
      </c>
      <c r="J141">
        <f t="shared" si="153"/>
        <v>44.680557207145192</v>
      </c>
      <c r="K141">
        <f t="shared" si="153"/>
        <v>40.890859910960302</v>
      </c>
      <c r="L141">
        <f t="shared" si="141"/>
        <v>63.749185683737835</v>
      </c>
      <c r="M141">
        <f t="shared" si="142"/>
        <v>0.12081431626216244</v>
      </c>
      <c r="N141">
        <f t="shared" si="143"/>
        <v>1.4596099013893808E-2</v>
      </c>
    </row>
    <row r="142" spans="1:14" x14ac:dyDescent="0.45">
      <c r="A142" s="22">
        <v>42668</v>
      </c>
      <c r="B142">
        <v>64.02</v>
      </c>
      <c r="C142">
        <v>64.06</v>
      </c>
      <c r="G142">
        <f t="shared" ref="G142:K142" si="154">SUMPRODUCT($B142:$B146,P$2:P$6)</f>
        <v>14.639152019653627</v>
      </c>
      <c r="H142">
        <f t="shared" si="154"/>
        <v>15.003846676347182</v>
      </c>
      <c r="I142">
        <f t="shared" si="154"/>
        <v>48.723145780085851</v>
      </c>
      <c r="J142">
        <f t="shared" si="154"/>
        <v>44.946128124656219</v>
      </c>
      <c r="K142">
        <f t="shared" si="154"/>
        <v>40.648744724972545</v>
      </c>
      <c r="L142">
        <f t="shared" si="141"/>
        <v>64.106761201832342</v>
      </c>
      <c r="M142">
        <f t="shared" si="142"/>
        <v>-0.53676120183234133</v>
      </c>
      <c r="N142">
        <f t="shared" si="143"/>
        <v>0.28811258779249949</v>
      </c>
    </row>
    <row r="143" spans="1:14" x14ac:dyDescent="0.45">
      <c r="A143" s="22">
        <v>42667</v>
      </c>
      <c r="B143">
        <v>63.53</v>
      </c>
      <c r="C143">
        <v>64.02</v>
      </c>
      <c r="G143">
        <f t="shared" ref="G143:K143" si="155">SUMPRODUCT($B143:$B147,P$2:P$6)</f>
        <v>14.521508305631741</v>
      </c>
      <c r="H143">
        <f t="shared" si="155"/>
        <v>14.891717715308609</v>
      </c>
      <c r="I143">
        <f t="shared" si="155"/>
        <v>48.357188759257298</v>
      </c>
      <c r="J143">
        <f t="shared" si="155"/>
        <v>44.606754052341195</v>
      </c>
      <c r="K143">
        <f t="shared" si="155"/>
        <v>40.60366764161337</v>
      </c>
      <c r="L143">
        <f t="shared" si="141"/>
        <v>63.628601321167373</v>
      </c>
      <c r="M143">
        <f t="shared" si="142"/>
        <v>0.39139867883262269</v>
      </c>
      <c r="N143">
        <f t="shared" si="143"/>
        <v>0.15319292579192254</v>
      </c>
    </row>
    <row r="144" spans="1:14" x14ac:dyDescent="0.45">
      <c r="A144" s="22">
        <v>42664</v>
      </c>
      <c r="B144">
        <v>63.13</v>
      </c>
      <c r="C144">
        <v>62.91</v>
      </c>
      <c r="G144">
        <f t="shared" ref="G144:K144" si="156">SUMPRODUCT($B144:$B148,P$2:P$6)</f>
        <v>14.402193790703151</v>
      </c>
      <c r="H144">
        <f t="shared" si="156"/>
        <v>14.783746385975444</v>
      </c>
      <c r="I144">
        <f t="shared" si="156"/>
        <v>48.016188554473118</v>
      </c>
      <c r="J144">
        <f t="shared" si="156"/>
        <v>44.301568099702578</v>
      </c>
      <c r="K144">
        <f t="shared" si="156"/>
        <v>40.282291184786061</v>
      </c>
      <c r="L144">
        <f t="shared" si="141"/>
        <v>63.188474981376842</v>
      </c>
      <c r="M144">
        <f t="shared" si="142"/>
        <v>0.34152501862315887</v>
      </c>
      <c r="N144">
        <f t="shared" si="143"/>
        <v>0.11663933834554902</v>
      </c>
    </row>
    <row r="145" spans="1:14" x14ac:dyDescent="0.45">
      <c r="A145" s="22">
        <v>42663</v>
      </c>
      <c r="B145">
        <v>62.28</v>
      </c>
      <c r="C145">
        <v>63.47</v>
      </c>
      <c r="G145">
        <f t="shared" ref="G145:K145" si="157">SUMPRODUCT($B145:$B149,P$2:P$6)</f>
        <v>14.270005385196551</v>
      </c>
      <c r="H145">
        <f t="shared" si="157"/>
        <v>14.597209614469508</v>
      </c>
      <c r="I145">
        <f t="shared" si="157"/>
        <v>47.401861669281658</v>
      </c>
      <c r="J145">
        <f t="shared" si="157"/>
        <v>43.726510221552211</v>
      </c>
      <c r="K145">
        <f t="shared" si="157"/>
        <v>39.999834757371971</v>
      </c>
      <c r="L145">
        <f t="shared" si="141"/>
        <v>62.383164066933752</v>
      </c>
      <c r="M145">
        <f t="shared" si="142"/>
        <v>0.74683593306625085</v>
      </c>
      <c r="N145">
        <f t="shared" si="143"/>
        <v>0.55776391091893751</v>
      </c>
    </row>
    <row r="146" spans="1:14" x14ac:dyDescent="0.45">
      <c r="A146" s="22">
        <v>42662</v>
      </c>
      <c r="B146">
        <v>61.84</v>
      </c>
      <c r="C146">
        <v>61.91</v>
      </c>
      <c r="G146">
        <f t="shared" ref="G146:K146" si="158">SUMPRODUCT($B146:$B150,P$2:P$6)</f>
        <v>14.21650118902946</v>
      </c>
      <c r="H146">
        <f t="shared" si="158"/>
        <v>14.523187263193488</v>
      </c>
      <c r="I146">
        <f t="shared" si="158"/>
        <v>47.141801229423422</v>
      </c>
      <c r="J146">
        <f t="shared" si="158"/>
        <v>43.467425366004562</v>
      </c>
      <c r="K146">
        <f t="shared" si="158"/>
        <v>39.810238287666159</v>
      </c>
      <c r="L146">
        <f t="shared" si="141"/>
        <v>62.034568377887382</v>
      </c>
      <c r="M146">
        <f t="shared" si="142"/>
        <v>0.24543162211261915</v>
      </c>
      <c r="N146">
        <f t="shared" si="143"/>
        <v>6.0236681132831489E-2</v>
      </c>
    </row>
    <row r="147" spans="1:14" x14ac:dyDescent="0.45">
      <c r="A147" s="22">
        <v>42661</v>
      </c>
      <c r="B147">
        <v>62.33</v>
      </c>
      <c r="C147">
        <v>62.14</v>
      </c>
      <c r="G147">
        <f t="shared" ref="G147:K147" si="159">SUMPRODUCT($B147:$B151,P$2:P$6)</f>
        <v>14.230565311684234</v>
      </c>
      <c r="H147">
        <f t="shared" si="159"/>
        <v>14.601403110935383</v>
      </c>
      <c r="I147">
        <f t="shared" si="159"/>
        <v>47.420569864251789</v>
      </c>
      <c r="J147">
        <f t="shared" si="159"/>
        <v>43.748728515518444</v>
      </c>
      <c r="K147">
        <f t="shared" si="159"/>
        <v>40.119771044185207</v>
      </c>
      <c r="L147">
        <f t="shared" si="141"/>
        <v>62.409999970558403</v>
      </c>
      <c r="M147">
        <f t="shared" si="142"/>
        <v>-0.56999997055839913</v>
      </c>
      <c r="N147">
        <f t="shared" si="143"/>
        <v>0.32489996643657587</v>
      </c>
    </row>
    <row r="148" spans="1:14" x14ac:dyDescent="0.45">
      <c r="A148" s="22">
        <v>42660</v>
      </c>
      <c r="B148">
        <v>61.65</v>
      </c>
      <c r="C148">
        <v>61.7</v>
      </c>
      <c r="G148">
        <f t="shared" ref="G148:K148" si="160">SUMPRODUCT($B148:$B152,P$2:P$6)</f>
        <v>14.09343054132373</v>
      </c>
      <c r="H148">
        <f t="shared" si="160"/>
        <v>14.446270377370546</v>
      </c>
      <c r="I148">
        <f t="shared" si="160"/>
        <v>46.913931305469632</v>
      </c>
      <c r="J148">
        <f t="shared" si="160"/>
        <v>43.278573225016075</v>
      </c>
      <c r="K148">
        <f t="shared" si="160"/>
        <v>40.434271849948637</v>
      </c>
      <c r="L148">
        <f t="shared" si="141"/>
        <v>61.747869250723213</v>
      </c>
      <c r="M148">
        <f t="shared" si="142"/>
        <v>0.58213074927678576</v>
      </c>
      <c r="N148">
        <f t="shared" si="143"/>
        <v>0.338876209253552</v>
      </c>
    </row>
    <row r="149" spans="1:14" x14ac:dyDescent="0.45">
      <c r="A149" s="22">
        <v>42657</v>
      </c>
      <c r="B149">
        <v>61.11</v>
      </c>
      <c r="C149">
        <v>62.06</v>
      </c>
      <c r="G149">
        <f t="shared" ref="G149:K149" si="161">SUMPRODUCT($B149:$B153,P$2:P$6)</f>
        <v>14.037818611222615</v>
      </c>
      <c r="H149">
        <f t="shared" si="161"/>
        <v>14.326808882341499</v>
      </c>
      <c r="I149">
        <f t="shared" si="161"/>
        <v>46.521194915226921</v>
      </c>
      <c r="J149">
        <f t="shared" si="161"/>
        <v>42.911605001795053</v>
      </c>
      <c r="K149">
        <f t="shared" si="161"/>
        <v>41.015487605540329</v>
      </c>
      <c r="L149">
        <f t="shared" si="141"/>
        <v>61.233364361422055</v>
      </c>
      <c r="M149">
        <f t="shared" si="142"/>
        <v>0.41663563857794372</v>
      </c>
      <c r="N149">
        <f t="shared" si="143"/>
        <v>0.17358525533325095</v>
      </c>
    </row>
    <row r="150" spans="1:14" x14ac:dyDescent="0.45">
      <c r="A150" s="22">
        <v>42656</v>
      </c>
      <c r="B150">
        <v>60.8</v>
      </c>
      <c r="C150">
        <v>60.71</v>
      </c>
      <c r="G150">
        <f t="shared" ref="G150:K150" si="162">SUMPRODUCT($B150:$B154,P$2:P$6)</f>
        <v>14.106528026538552</v>
      </c>
      <c r="H150">
        <f t="shared" si="162"/>
        <v>14.306208307064191</v>
      </c>
      <c r="I150">
        <f t="shared" si="162"/>
        <v>46.419086925112026</v>
      </c>
      <c r="J150">
        <f t="shared" si="162"/>
        <v>42.783094340983631</v>
      </c>
      <c r="K150">
        <f t="shared" si="162"/>
        <v>41.288255490549162</v>
      </c>
      <c r="L150">
        <f t="shared" si="141"/>
        <v>61.083337323696398</v>
      </c>
      <c r="M150">
        <f t="shared" si="142"/>
        <v>2.6662676303601529E-2</v>
      </c>
      <c r="N150">
        <f t="shared" si="143"/>
        <v>7.1089830767063448E-4</v>
      </c>
    </row>
    <row r="151" spans="1:14" x14ac:dyDescent="0.45">
      <c r="A151" s="22">
        <v>42655</v>
      </c>
      <c r="B151">
        <v>62.15</v>
      </c>
      <c r="C151">
        <v>61.19</v>
      </c>
      <c r="G151">
        <f t="shared" ref="G151:K151" si="163">SUMPRODUCT($B151:$B155,P$2:P$6)</f>
        <v>14.408735003869484</v>
      </c>
      <c r="H151">
        <f t="shared" si="163"/>
        <v>14.616954871303308</v>
      </c>
      <c r="I151">
        <f t="shared" si="163"/>
        <v>47.432014739099891</v>
      </c>
      <c r="J151">
        <f t="shared" si="163"/>
        <v>43.721220197997056</v>
      </c>
      <c r="K151">
        <f t="shared" si="163"/>
        <v>41.630809330988399</v>
      </c>
      <c r="L151">
        <f t="shared" si="141"/>
        <v>62.406229168348311</v>
      </c>
      <c r="M151">
        <f t="shared" si="142"/>
        <v>-1.6062291683483139</v>
      </c>
      <c r="N151">
        <f t="shared" si="143"/>
        <v>2.5799721412529162</v>
      </c>
    </row>
    <row r="152" spans="1:14" x14ac:dyDescent="0.45">
      <c r="A152" s="22">
        <v>42654</v>
      </c>
      <c r="B152">
        <v>63.31</v>
      </c>
      <c r="C152">
        <v>62.1</v>
      </c>
      <c r="G152">
        <f t="shared" ref="G152:K152" si="164">SUMPRODUCT($B152:$B156,P$2:P$6)</f>
        <v>14.65480885127945</v>
      </c>
      <c r="H152">
        <f t="shared" si="164"/>
        <v>14.898826652443304</v>
      </c>
      <c r="I152">
        <f t="shared" si="164"/>
        <v>48.340587107194175</v>
      </c>
      <c r="J152">
        <f t="shared" si="164"/>
        <v>44.552758605947183</v>
      </c>
      <c r="K152">
        <f t="shared" si="164"/>
        <v>41.814972044364197</v>
      </c>
      <c r="L152">
        <f t="shared" si="141"/>
        <v>63.587949781183035</v>
      </c>
      <c r="M152">
        <f t="shared" si="142"/>
        <v>-1.4379497811830362</v>
      </c>
      <c r="N152">
        <f t="shared" si="143"/>
        <v>2.0676995732043415</v>
      </c>
    </row>
    <row r="153" spans="1:14" x14ac:dyDescent="0.45">
      <c r="A153" s="22">
        <v>42653</v>
      </c>
      <c r="B153">
        <v>64.78</v>
      </c>
      <c r="C153">
        <v>63.35</v>
      </c>
      <c r="G153">
        <f t="shared" ref="G153:K153" si="165">SUMPRODUCT($B153:$B157,P$2:P$6)</f>
        <v>14.853514992168392</v>
      </c>
      <c r="H153">
        <f t="shared" si="165"/>
        <v>15.192507409680369</v>
      </c>
      <c r="I153">
        <f t="shared" si="165"/>
        <v>49.328664154565246</v>
      </c>
      <c r="J153">
        <f t="shared" si="165"/>
        <v>45.497753689559858</v>
      </c>
      <c r="K153">
        <f t="shared" si="165"/>
        <v>41.833307812484378</v>
      </c>
      <c r="L153">
        <f t="shared" si="141"/>
        <v>64.893065997175242</v>
      </c>
      <c r="M153">
        <f t="shared" si="142"/>
        <v>-1.5830659971752397</v>
      </c>
      <c r="N153">
        <f t="shared" si="143"/>
        <v>2.506097951412436</v>
      </c>
    </row>
    <row r="154" spans="1:14" x14ac:dyDescent="0.45">
      <c r="A154" s="22">
        <v>42650</v>
      </c>
      <c r="B154">
        <v>64.62</v>
      </c>
      <c r="C154">
        <v>64.42</v>
      </c>
      <c r="G154">
        <f t="shared" ref="G154:K154" si="166">SUMPRODUCT($B154:$B158,P$2:P$6)</f>
        <v>14.826150101029263</v>
      </c>
      <c r="H154">
        <f t="shared" si="166"/>
        <v>15.159367245668424</v>
      </c>
      <c r="I154">
        <f t="shared" si="166"/>
        <v>49.218097773057274</v>
      </c>
      <c r="J154">
        <f t="shared" si="166"/>
        <v>45.392885235971654</v>
      </c>
      <c r="K154">
        <f t="shared" si="166"/>
        <v>41.809906200474074</v>
      </c>
      <c r="L154">
        <f t="shared" si="141"/>
        <v>64.747453540481658</v>
      </c>
      <c r="M154">
        <f t="shared" si="142"/>
        <v>3.254645951834334E-2</v>
      </c>
      <c r="N154">
        <f t="shared" si="143"/>
        <v>1.0592720271791619E-3</v>
      </c>
    </row>
    <row r="155" spans="1:14" x14ac:dyDescent="0.45">
      <c r="A155" s="22">
        <v>42649</v>
      </c>
      <c r="B155">
        <v>64.599999999999994</v>
      </c>
      <c r="C155">
        <v>64.739999999999995</v>
      </c>
      <c r="G155">
        <f t="shared" ref="G155:K155" si="167">SUMPRODUCT($B155:$B159,P$2:P$6)</f>
        <v>14.808448183916299</v>
      </c>
      <c r="H155">
        <f t="shared" si="167"/>
        <v>15.151534956647087</v>
      </c>
      <c r="I155">
        <f t="shared" si="167"/>
        <v>49.194790944557617</v>
      </c>
      <c r="J155">
        <f t="shared" si="167"/>
        <v>45.373458667435436</v>
      </c>
      <c r="K155">
        <f t="shared" si="167"/>
        <v>41.732886979159574</v>
      </c>
      <c r="L155">
        <f t="shared" si="141"/>
        <v>64.718075159944036</v>
      </c>
      <c r="M155">
        <f t="shared" si="142"/>
        <v>-9.8075159944031043E-2</v>
      </c>
      <c r="N155">
        <f t="shared" si="143"/>
        <v>9.6187369980472708E-3</v>
      </c>
    </row>
    <row r="156" spans="1:14" x14ac:dyDescent="0.45">
      <c r="A156" s="22">
        <v>42648</v>
      </c>
      <c r="B156">
        <v>64.48</v>
      </c>
      <c r="C156">
        <v>64.680000000000007</v>
      </c>
      <c r="G156">
        <f t="shared" ref="G156:K156" si="168">SUMPRODUCT($B156:$B160,P$2:P$6)</f>
        <v>14.777929345155966</v>
      </c>
      <c r="H156">
        <f t="shared" si="168"/>
        <v>15.118672673615642</v>
      </c>
      <c r="I156">
        <f t="shared" si="168"/>
        <v>49.091280148458267</v>
      </c>
      <c r="J156">
        <f t="shared" si="168"/>
        <v>45.281096548489948</v>
      </c>
      <c r="K156">
        <f t="shared" si="168"/>
        <v>41.648257353774667</v>
      </c>
      <c r="L156">
        <f t="shared" si="141"/>
        <v>64.584610790270659</v>
      </c>
      <c r="M156">
        <f t="shared" si="142"/>
        <v>1.5389209729335107E-2</v>
      </c>
      <c r="N156">
        <f t="shared" si="143"/>
        <v>2.3682777609346231E-4</v>
      </c>
    </row>
    <row r="157" spans="1:14" x14ac:dyDescent="0.45">
      <c r="A157" s="22">
        <v>42647</v>
      </c>
      <c r="B157">
        <v>64.209999999999994</v>
      </c>
      <c r="C157">
        <v>64.239999999999995</v>
      </c>
      <c r="G157">
        <f t="shared" ref="G157:K157" si="169">SUMPRODUCT($B157:$B161,P$2:P$6)</f>
        <v>14.739934861168717</v>
      </c>
      <c r="H157">
        <f t="shared" si="169"/>
        <v>15.066320486395096</v>
      </c>
      <c r="I157">
        <f t="shared" si="169"/>
        <v>48.913882374796827</v>
      </c>
      <c r="J157">
        <f t="shared" si="169"/>
        <v>45.110247220061638</v>
      </c>
      <c r="K157">
        <f t="shared" si="169"/>
        <v>41.616222247357399</v>
      </c>
      <c r="L157">
        <f t="shared" si="141"/>
        <v>64.349709477072736</v>
      </c>
      <c r="M157">
        <f t="shared" si="142"/>
        <v>0.13029052292726817</v>
      </c>
      <c r="N157">
        <f t="shared" si="143"/>
        <v>1.6975620364660993E-2</v>
      </c>
    </row>
    <row r="158" spans="1:14" x14ac:dyDescent="0.45">
      <c r="A158" s="22">
        <v>42646</v>
      </c>
      <c r="B158">
        <v>64.290000000000006</v>
      </c>
      <c r="C158">
        <v>64.25</v>
      </c>
      <c r="G158">
        <f t="shared" ref="G158:K158" si="170">SUMPRODUCT($B158:$B162,P$2:P$6)</f>
        <v>14.738153923682603</v>
      </c>
      <c r="H158">
        <f t="shared" si="170"/>
        <v>15.077865898678596</v>
      </c>
      <c r="I158">
        <f t="shared" si="170"/>
        <v>48.95624785100815</v>
      </c>
      <c r="J158">
        <f t="shared" si="170"/>
        <v>45.154078244486705</v>
      </c>
      <c r="K158">
        <f t="shared" si="170"/>
        <v>41.074712022060353</v>
      </c>
      <c r="L158">
        <f t="shared" si="141"/>
        <v>64.407295391827532</v>
      </c>
      <c r="M158">
        <f t="shared" si="142"/>
        <v>-0.19729539182753797</v>
      </c>
      <c r="N158">
        <f t="shared" si="143"/>
        <v>3.8925471636381735E-2</v>
      </c>
    </row>
    <row r="159" spans="1:14" x14ac:dyDescent="0.45">
      <c r="A159" s="22">
        <v>42643</v>
      </c>
      <c r="B159">
        <v>64.14</v>
      </c>
      <c r="C159">
        <v>64.45</v>
      </c>
      <c r="G159">
        <f t="shared" ref="G159:K159" si="171">SUMPRODUCT($B159:$B163,P$2:P$6)</f>
        <v>14.708951253754023</v>
      </c>
      <c r="H159">
        <f t="shared" si="171"/>
        <v>15.042675830409687</v>
      </c>
      <c r="I159">
        <f t="shared" si="171"/>
        <v>48.841996427326066</v>
      </c>
      <c r="J159">
        <f t="shared" si="171"/>
        <v>45.04870712703157</v>
      </c>
      <c r="K159">
        <f t="shared" si="171"/>
        <v>41.070334444985008</v>
      </c>
      <c r="L159">
        <f t="shared" si="141"/>
        <v>64.258299847330903</v>
      </c>
      <c r="M159">
        <f t="shared" si="142"/>
        <v>3.1700152669102977E-2</v>
      </c>
      <c r="N159">
        <f t="shared" si="143"/>
        <v>1.0048996792444366E-3</v>
      </c>
    </row>
    <row r="160" spans="1:14" x14ac:dyDescent="0.45">
      <c r="A160" s="22">
        <v>42642</v>
      </c>
      <c r="B160">
        <v>63.99</v>
      </c>
      <c r="C160">
        <v>63.74</v>
      </c>
      <c r="G160">
        <f t="shared" ref="G160:K160" si="172">SUMPRODUCT($B160:$B164,P$2:P$6)</f>
        <v>14.63890934270651</v>
      </c>
      <c r="H160">
        <f t="shared" si="172"/>
        <v>15.013137054819808</v>
      </c>
      <c r="I160">
        <f t="shared" si="172"/>
        <v>48.742274980558257</v>
      </c>
      <c r="J160">
        <f t="shared" si="172"/>
        <v>44.953012749417432</v>
      </c>
      <c r="K160">
        <f t="shared" si="172"/>
        <v>41.210639741324869</v>
      </c>
      <c r="L160">
        <f t="shared" si="141"/>
        <v>64.126423573702226</v>
      </c>
      <c r="M160">
        <f t="shared" si="142"/>
        <v>1.3576426297774447E-2</v>
      </c>
      <c r="N160">
        <f t="shared" si="143"/>
        <v>1.8431935101890156E-4</v>
      </c>
    </row>
    <row r="161" spans="1:14" x14ac:dyDescent="0.45">
      <c r="A161" s="22">
        <v>42641</v>
      </c>
      <c r="B161">
        <v>64.02</v>
      </c>
      <c r="C161">
        <v>63.93</v>
      </c>
      <c r="G161">
        <f t="shared" ref="G161:K161" si="173">SUMPRODUCT($B161:$B165,P$2:P$6)</f>
        <v>14.556097664585572</v>
      </c>
      <c r="H161">
        <f t="shared" si="173"/>
        <v>14.964596047615204</v>
      </c>
      <c r="I161">
        <f t="shared" si="173"/>
        <v>48.622234367339949</v>
      </c>
      <c r="J161">
        <f t="shared" si="173"/>
        <v>44.878917534504161</v>
      </c>
      <c r="K161">
        <f t="shared" si="173"/>
        <v>41.224709273088308</v>
      </c>
      <c r="L161">
        <f t="shared" si="141"/>
        <v>63.987864527884348</v>
      </c>
      <c r="M161">
        <f t="shared" si="142"/>
        <v>2.1354721156541245E-3</v>
      </c>
      <c r="N161">
        <f t="shared" si="143"/>
        <v>4.5602411567363026E-6</v>
      </c>
    </row>
    <row r="162" spans="1:14" x14ac:dyDescent="0.45">
      <c r="A162" s="22">
        <v>42640</v>
      </c>
      <c r="B162">
        <v>62.28</v>
      </c>
      <c r="C162">
        <v>63.81</v>
      </c>
      <c r="G162">
        <f t="shared" ref="G162:K162" si="174">SUMPRODUCT($B162:$B166,P$2:P$6)</f>
        <v>14.365393179338909</v>
      </c>
      <c r="H162">
        <f t="shared" si="174"/>
        <v>14.627041464754953</v>
      </c>
      <c r="I162">
        <f t="shared" si="174"/>
        <v>47.478556724450208</v>
      </c>
      <c r="J162">
        <f t="shared" si="174"/>
        <v>43.777591413187743</v>
      </c>
      <c r="K162">
        <f t="shared" si="174"/>
        <v>40.835851812991336</v>
      </c>
      <c r="L162">
        <f t="shared" si="141"/>
        <v>62.473529263813617</v>
      </c>
      <c r="M162">
        <f t="shared" si="142"/>
        <v>1.5464707361863788</v>
      </c>
      <c r="N162">
        <f t="shared" si="143"/>
        <v>2.3915717378808403</v>
      </c>
    </row>
    <row r="163" spans="1:14" x14ac:dyDescent="0.45">
      <c r="A163" s="22">
        <v>42639</v>
      </c>
      <c r="B163">
        <v>62.79</v>
      </c>
      <c r="C163">
        <v>62.28</v>
      </c>
      <c r="G163">
        <f t="shared" ref="G163:K163" si="175">SUMPRODUCT($B163:$B167,P$2:P$6)</f>
        <v>14.496577408834119</v>
      </c>
      <c r="H163">
        <f t="shared" si="175"/>
        <v>14.759248628152106</v>
      </c>
      <c r="I163">
        <f t="shared" si="175"/>
        <v>47.899304524941925</v>
      </c>
      <c r="J163">
        <f t="shared" si="175"/>
        <v>44.157360889099621</v>
      </c>
      <c r="K163">
        <f t="shared" si="175"/>
        <v>40.910345848551621</v>
      </c>
      <c r="L163">
        <f t="shared" si="141"/>
        <v>63.018162515992991</v>
      </c>
      <c r="M163">
        <f t="shared" si="142"/>
        <v>-0.73816251599298965</v>
      </c>
      <c r="N163">
        <f t="shared" si="143"/>
        <v>0.54488390001710074</v>
      </c>
    </row>
    <row r="164" spans="1:14" x14ac:dyDescent="0.45">
      <c r="A164" s="22">
        <v>42636</v>
      </c>
      <c r="B164">
        <v>63.7</v>
      </c>
      <c r="C164">
        <v>63.23</v>
      </c>
      <c r="G164">
        <f t="shared" ref="G164:K164" si="176">SUMPRODUCT($B164:$B168,P$2:P$6)</f>
        <v>14.599423637892519</v>
      </c>
      <c r="H164">
        <f t="shared" si="176"/>
        <v>14.950126609913323</v>
      </c>
      <c r="I164">
        <f t="shared" si="176"/>
        <v>48.534304818968707</v>
      </c>
      <c r="J164">
        <f t="shared" si="176"/>
        <v>44.757898305175836</v>
      </c>
      <c r="K164">
        <f t="shared" si="176"/>
        <v>40.811406881894897</v>
      </c>
      <c r="L164">
        <f t="shared" si="141"/>
        <v>63.853583482436768</v>
      </c>
      <c r="M164">
        <f t="shared" si="142"/>
        <v>-1.0635834824367691</v>
      </c>
      <c r="N164">
        <f t="shared" si="143"/>
        <v>1.1312098241123252</v>
      </c>
    </row>
    <row r="165" spans="1:14" x14ac:dyDescent="0.45">
      <c r="A165" s="22">
        <v>42635</v>
      </c>
      <c r="B165">
        <v>63.89</v>
      </c>
      <c r="C165">
        <v>63.68</v>
      </c>
      <c r="G165">
        <f t="shared" ref="G165:K165" si="177">SUMPRODUCT($B165:$B169,P$2:P$6)</f>
        <v>14.553477929119271</v>
      </c>
      <c r="H165">
        <f t="shared" si="177"/>
        <v>14.948227871695252</v>
      </c>
      <c r="I165">
        <f t="shared" si="177"/>
        <v>48.559543977094798</v>
      </c>
      <c r="J165">
        <f t="shared" si="177"/>
        <v>44.811791449211562</v>
      </c>
      <c r="K165">
        <f t="shared" si="177"/>
        <v>40.79964360627703</v>
      </c>
      <c r="L165">
        <f t="shared" si="141"/>
        <v>63.901537024194269</v>
      </c>
      <c r="M165">
        <f t="shared" si="142"/>
        <v>-0.20153702419426622</v>
      </c>
      <c r="N165">
        <f t="shared" si="143"/>
        <v>4.061717212108025E-2</v>
      </c>
    </row>
    <row r="166" spans="1:14" x14ac:dyDescent="0.45">
      <c r="A166" s="22">
        <v>42634</v>
      </c>
      <c r="B166">
        <v>62.6</v>
      </c>
      <c r="C166">
        <v>63.3</v>
      </c>
      <c r="G166">
        <f t="shared" ref="G166:K166" si="178">SUMPRODUCT($B166:$B170,P$2:P$6)</f>
        <v>14.367805087235672</v>
      </c>
      <c r="H166">
        <f t="shared" si="178"/>
        <v>14.688924472047768</v>
      </c>
      <c r="I166">
        <f t="shared" si="178"/>
        <v>47.688385286873675</v>
      </c>
      <c r="J166">
        <f t="shared" si="178"/>
        <v>43.979799324520563</v>
      </c>
      <c r="K166">
        <f t="shared" si="178"/>
        <v>40.131973371949144</v>
      </c>
      <c r="L166">
        <f t="shared" si="141"/>
        <v>62.751434448356271</v>
      </c>
      <c r="M166">
        <f t="shared" si="142"/>
        <v>1.1385655516437296</v>
      </c>
      <c r="N166">
        <f t="shared" si="143"/>
        <v>1.2963315153897903</v>
      </c>
    </row>
    <row r="167" spans="1:14" x14ac:dyDescent="0.45">
      <c r="A167" s="22">
        <v>42633</v>
      </c>
      <c r="B167">
        <v>62.69</v>
      </c>
      <c r="C167">
        <v>62.34</v>
      </c>
      <c r="G167">
        <f t="shared" ref="G167:K167" si="179">SUMPRODUCT($B167:$B171,P$2:P$6)</f>
        <v>14.374931324570401</v>
      </c>
      <c r="H167">
        <f t="shared" si="179"/>
        <v>14.698734414937288</v>
      </c>
      <c r="I167">
        <f t="shared" si="179"/>
        <v>47.727873758148107</v>
      </c>
      <c r="J167">
        <f t="shared" si="179"/>
        <v>44.023665727136148</v>
      </c>
      <c r="K167">
        <f t="shared" si="179"/>
        <v>39.890847153892757</v>
      </c>
      <c r="L167">
        <f t="shared" si="141"/>
        <v>62.806589523140261</v>
      </c>
      <c r="M167">
        <f t="shared" si="142"/>
        <v>-0.20658952314025925</v>
      </c>
      <c r="N167">
        <f t="shared" si="143"/>
        <v>4.2679231071319712E-2</v>
      </c>
    </row>
    <row r="168" spans="1:14" x14ac:dyDescent="0.45">
      <c r="A168" s="22">
        <v>42632</v>
      </c>
      <c r="B168">
        <v>62.42</v>
      </c>
      <c r="C168">
        <v>62.46</v>
      </c>
      <c r="G168">
        <f t="shared" ref="G168:K168" si="180">SUMPRODUCT($B168:$B172,P$2:P$6)</f>
        <v>14.302237742422134</v>
      </c>
      <c r="H168">
        <f t="shared" si="180"/>
        <v>14.654859466093953</v>
      </c>
      <c r="I168">
        <f t="shared" si="180"/>
        <v>47.572271401678734</v>
      </c>
      <c r="J168">
        <f t="shared" si="180"/>
        <v>43.867332285747104</v>
      </c>
      <c r="K168">
        <f t="shared" si="180"/>
        <v>39.660003918061477</v>
      </c>
      <c r="L168">
        <f t="shared" si="141"/>
        <v>62.597367635490599</v>
      </c>
      <c r="M168">
        <f t="shared" si="142"/>
        <v>9.2632364509398712E-2</v>
      </c>
      <c r="N168">
        <f t="shared" si="143"/>
        <v>8.5807549546021104E-3</v>
      </c>
    </row>
    <row r="169" spans="1:14" x14ac:dyDescent="0.45">
      <c r="A169" s="22">
        <v>42629</v>
      </c>
      <c r="B169">
        <v>62.77</v>
      </c>
      <c r="C169">
        <v>62.05</v>
      </c>
      <c r="G169">
        <f t="shared" ref="G169:K169" si="181">SUMPRODUCT($B169:$B173,P$2:P$6)</f>
        <v>14.230521391646379</v>
      </c>
      <c r="H169">
        <f t="shared" si="181"/>
        <v>14.666631710630456</v>
      </c>
      <c r="I169">
        <f t="shared" si="181"/>
        <v>47.658023342548368</v>
      </c>
      <c r="J169">
        <f t="shared" si="181"/>
        <v>43.992756936374562</v>
      </c>
      <c r="K169">
        <f t="shared" si="181"/>
        <v>39.090791887869059</v>
      </c>
      <c r="L169">
        <f t="shared" si="141"/>
        <v>62.731958593374728</v>
      </c>
      <c r="M169">
        <f t="shared" si="142"/>
        <v>-0.31195859337472598</v>
      </c>
      <c r="N169">
        <f t="shared" si="143"/>
        <v>9.731816398033763E-2</v>
      </c>
    </row>
    <row r="170" spans="1:14" x14ac:dyDescent="0.45">
      <c r="A170" s="22">
        <v>42628</v>
      </c>
      <c r="B170">
        <v>60.88</v>
      </c>
      <c r="C170">
        <v>62.65</v>
      </c>
      <c r="G170">
        <f t="shared" ref="G170:K170" si="182">SUMPRODUCT($B170:$B174,P$2:P$6)</f>
        <v>13.93710541913935</v>
      </c>
      <c r="H170">
        <f t="shared" si="182"/>
        <v>14.270964557426714</v>
      </c>
      <c r="I170">
        <f t="shared" si="182"/>
        <v>46.34116185249929</v>
      </c>
      <c r="J170">
        <f t="shared" si="182"/>
        <v>42.746808010137528</v>
      </c>
      <c r="K170">
        <f t="shared" si="182"/>
        <v>39.297559202708783</v>
      </c>
      <c r="L170">
        <f t="shared" si="141"/>
        <v>60.99919177475013</v>
      </c>
      <c r="M170">
        <f t="shared" si="142"/>
        <v>1.7708082252498727</v>
      </c>
      <c r="N170">
        <f t="shared" si="143"/>
        <v>3.135761770612604</v>
      </c>
    </row>
    <row r="171" spans="1:14" x14ac:dyDescent="0.45">
      <c r="A171" s="22">
        <v>42627</v>
      </c>
      <c r="B171">
        <v>60.51</v>
      </c>
      <c r="C171">
        <v>60.92</v>
      </c>
      <c r="G171">
        <f t="shared" ref="G171:K171" si="183">SUMPRODUCT($B171:$B175,P$2:P$6)</f>
        <v>13.840987093999756</v>
      </c>
      <c r="H171">
        <f t="shared" si="183"/>
        <v>14.192011758695816</v>
      </c>
      <c r="I171">
        <f t="shared" si="183"/>
        <v>46.079522724078913</v>
      </c>
      <c r="J171">
        <f t="shared" si="183"/>
        <v>42.500333455518167</v>
      </c>
      <c r="K171">
        <f t="shared" si="183"/>
        <v>39.517050517979399</v>
      </c>
      <c r="L171">
        <f t="shared" si="141"/>
        <v>60.655447247787741</v>
      </c>
      <c r="M171">
        <f t="shared" si="142"/>
        <v>0.22455275221226145</v>
      </c>
      <c r="N171">
        <f t="shared" si="143"/>
        <v>5.0423938526101289E-2</v>
      </c>
    </row>
    <row r="172" spans="1:14" x14ac:dyDescent="0.45">
      <c r="A172" s="22">
        <v>42626</v>
      </c>
      <c r="B172">
        <v>60.39</v>
      </c>
      <c r="C172">
        <v>60.45</v>
      </c>
      <c r="G172">
        <f t="shared" ref="G172:K172" si="184">SUMPRODUCT($B172:$B176,P$2:P$6)</f>
        <v>13.799529457411467</v>
      </c>
      <c r="H172">
        <f t="shared" si="184"/>
        <v>14.128063839146787</v>
      </c>
      <c r="I172">
        <f t="shared" si="184"/>
        <v>45.896091464037006</v>
      </c>
      <c r="J172">
        <f t="shared" si="184"/>
        <v>42.35474220204609</v>
      </c>
      <c r="K172">
        <f t="shared" si="184"/>
        <v>39.875261283467552</v>
      </c>
      <c r="L172">
        <f t="shared" si="141"/>
        <v>60.42781886875774</v>
      </c>
      <c r="M172">
        <f t="shared" si="142"/>
        <v>8.2181131242258232E-2</v>
      </c>
      <c r="N172">
        <f t="shared" si="143"/>
        <v>6.7537383322572716E-3</v>
      </c>
    </row>
    <row r="173" spans="1:14" x14ac:dyDescent="0.45">
      <c r="A173" s="22">
        <v>42625</v>
      </c>
      <c r="B173">
        <v>59.13</v>
      </c>
      <c r="C173">
        <v>60.62</v>
      </c>
      <c r="G173">
        <f t="shared" ref="G173:K173" si="185">SUMPRODUCT($B173:$B177,P$2:P$6)</f>
        <v>13.744307116047471</v>
      </c>
      <c r="H173">
        <f t="shared" si="185"/>
        <v>13.925412956476354</v>
      </c>
      <c r="I173">
        <f t="shared" si="185"/>
        <v>45.175338120202824</v>
      </c>
      <c r="J173">
        <f t="shared" si="185"/>
        <v>41.628779354420097</v>
      </c>
      <c r="K173">
        <f t="shared" si="185"/>
        <v>40.281986721613862</v>
      </c>
      <c r="L173">
        <f t="shared" si="141"/>
        <v>59.457805325658406</v>
      </c>
      <c r="M173">
        <f t="shared" si="142"/>
        <v>0.93219467434159498</v>
      </c>
      <c r="N173">
        <f t="shared" si="143"/>
        <v>0.86898691087083235</v>
      </c>
    </row>
    <row r="174" spans="1:14" x14ac:dyDescent="0.45">
      <c r="A174" s="22">
        <v>42622</v>
      </c>
      <c r="B174">
        <v>60.83</v>
      </c>
      <c r="C174">
        <v>59.62</v>
      </c>
      <c r="G174">
        <f t="shared" ref="G174:K174" si="186">SUMPRODUCT($B174:$B178,P$2:P$6)</f>
        <v>14.059746859881104</v>
      </c>
      <c r="H174">
        <f t="shared" si="186"/>
        <v>14.296917195286863</v>
      </c>
      <c r="I174">
        <f t="shared" si="186"/>
        <v>46.39995655538317</v>
      </c>
      <c r="J174">
        <f t="shared" si="186"/>
        <v>42.776208299988461</v>
      </c>
      <c r="K174">
        <f t="shared" si="186"/>
        <v>40.655548568690804</v>
      </c>
      <c r="L174">
        <f t="shared" si="141"/>
        <v>61.063673044732269</v>
      </c>
      <c r="M174">
        <f t="shared" si="142"/>
        <v>-1.9336730447322665</v>
      </c>
      <c r="N174">
        <f t="shared" si="143"/>
        <v>3.739091443924154</v>
      </c>
    </row>
    <row r="175" spans="1:14" x14ac:dyDescent="0.45">
      <c r="A175" s="22">
        <v>42621</v>
      </c>
      <c r="B175">
        <v>61.66</v>
      </c>
      <c r="C175">
        <v>61.41</v>
      </c>
      <c r="G175">
        <f t="shared" ref="G175:K175" si="187">SUMPRODUCT($B175:$B179,P$2:P$6)</f>
        <v>14.249399810335859</v>
      </c>
      <c r="H175">
        <f t="shared" si="187"/>
        <v>14.493206491808634</v>
      </c>
      <c r="I175">
        <f t="shared" si="187"/>
        <v>47.036185760610692</v>
      </c>
      <c r="J175">
        <f t="shared" si="187"/>
        <v>43.361951085448091</v>
      </c>
      <c r="K175">
        <f t="shared" si="187"/>
        <v>40.520437949824256</v>
      </c>
      <c r="L175">
        <f t="shared" si="141"/>
        <v>61.892872617178085</v>
      </c>
      <c r="M175">
        <f t="shared" si="142"/>
        <v>-1.0628726171780869</v>
      </c>
      <c r="N175">
        <f t="shared" si="143"/>
        <v>1.129698200346996</v>
      </c>
    </row>
    <row r="176" spans="1:14" x14ac:dyDescent="0.45">
      <c r="A176" s="22">
        <v>42620</v>
      </c>
      <c r="B176">
        <v>62.54</v>
      </c>
      <c r="C176">
        <v>61.65</v>
      </c>
      <c r="G176">
        <f t="shared" ref="G176:K176" si="188">SUMPRODUCT($B176:$B180,P$2:P$6)</f>
        <v>14.416743594958344</v>
      </c>
      <c r="H176">
        <f t="shared" si="188"/>
        <v>14.694003840130723</v>
      </c>
      <c r="I176">
        <f t="shared" si="188"/>
        <v>47.691931394777612</v>
      </c>
      <c r="J176">
        <f t="shared" si="188"/>
        <v>43.970450403376383</v>
      </c>
      <c r="K176">
        <f t="shared" si="188"/>
        <v>40.814733000374105</v>
      </c>
      <c r="L176">
        <f t="shared" si="141"/>
        <v>62.749860649233334</v>
      </c>
      <c r="M176">
        <f t="shared" si="142"/>
        <v>-1.0898606492333371</v>
      </c>
      <c r="N176">
        <f t="shared" si="143"/>
        <v>1.1877962347473112</v>
      </c>
    </row>
    <row r="177" spans="1:14" x14ac:dyDescent="0.45">
      <c r="A177" s="22">
        <v>42619</v>
      </c>
      <c r="B177">
        <v>63.24</v>
      </c>
      <c r="C177">
        <v>62.73</v>
      </c>
      <c r="G177">
        <f t="shared" ref="G177:K177" si="189">SUMPRODUCT($B177:$B181,P$2:P$6)</f>
        <v>14.484488024412173</v>
      </c>
      <c r="H177">
        <f t="shared" si="189"/>
        <v>14.837813739296399</v>
      </c>
      <c r="I177">
        <f t="shared" si="189"/>
        <v>48.172630690464949</v>
      </c>
      <c r="J177">
        <f t="shared" si="189"/>
        <v>44.427232074266179</v>
      </c>
      <c r="K177">
        <f t="shared" si="189"/>
        <v>40.877708995311643</v>
      </c>
      <c r="L177">
        <f t="shared" si="141"/>
        <v>63.383346209107053</v>
      </c>
      <c r="M177">
        <f t="shared" si="142"/>
        <v>-0.84334620910705382</v>
      </c>
      <c r="N177">
        <f t="shared" si="143"/>
        <v>0.7112328284152386</v>
      </c>
    </row>
    <row r="178" spans="1:14" x14ac:dyDescent="0.45">
      <c r="A178" s="22">
        <v>42615</v>
      </c>
      <c r="B178">
        <v>63.29</v>
      </c>
      <c r="C178">
        <v>63.15</v>
      </c>
      <c r="G178">
        <f t="shared" ref="G178:K178" si="190">SUMPRODUCT($B178:$B182,P$2:P$6)</f>
        <v>14.445134497426686</v>
      </c>
      <c r="H178">
        <f t="shared" si="190"/>
        <v>14.810607286119639</v>
      </c>
      <c r="I178">
        <f t="shared" si="190"/>
        <v>48.110610529992996</v>
      </c>
      <c r="J178">
        <f t="shared" si="190"/>
        <v>44.395683804391567</v>
      </c>
      <c r="K178">
        <f t="shared" si="190"/>
        <v>40.866402905085245</v>
      </c>
      <c r="L178">
        <f t="shared" si="141"/>
        <v>63.315066118116981</v>
      </c>
      <c r="M178">
        <f t="shared" si="142"/>
        <v>-7.5066118116978942E-2</v>
      </c>
      <c r="N178">
        <f t="shared" si="143"/>
        <v>5.6349220891522339E-3</v>
      </c>
    </row>
    <row r="179" spans="1:14" x14ac:dyDescent="0.45">
      <c r="A179" s="22">
        <v>42614</v>
      </c>
      <c r="B179">
        <v>62.1</v>
      </c>
      <c r="C179">
        <v>63.06</v>
      </c>
      <c r="G179">
        <f t="shared" ref="G179:K179" si="191">SUMPRODUCT($B179:$B183,P$2:P$6)</f>
        <v>14.327706635763239</v>
      </c>
      <c r="H179">
        <f t="shared" si="191"/>
        <v>14.593919191234217</v>
      </c>
      <c r="I179">
        <f t="shared" si="191"/>
        <v>47.36486592664312</v>
      </c>
      <c r="J179">
        <f t="shared" si="191"/>
        <v>43.666738270062147</v>
      </c>
      <c r="K179">
        <f t="shared" si="191"/>
        <v>40.829902599691408</v>
      </c>
      <c r="L179">
        <f t="shared" si="141"/>
        <v>62.322317891797738</v>
      </c>
      <c r="M179">
        <f t="shared" si="142"/>
        <v>0.9676821082022613</v>
      </c>
      <c r="N179">
        <f t="shared" si="143"/>
        <v>0.93640866253477295</v>
      </c>
    </row>
    <row r="180" spans="1:14" x14ac:dyDescent="0.45">
      <c r="A180" s="22">
        <v>42613</v>
      </c>
      <c r="B180">
        <v>62.9</v>
      </c>
      <c r="C180">
        <v>62.56</v>
      </c>
      <c r="G180">
        <f t="shared" ref="G180:K180" si="192">SUMPRODUCT($B180:$B184,P$2:P$6)</f>
        <v>14.451498552364969</v>
      </c>
      <c r="H180">
        <f t="shared" si="192"/>
        <v>14.761503808322786</v>
      </c>
      <c r="I180">
        <f t="shared" si="192"/>
        <v>47.922541217400635</v>
      </c>
      <c r="J180">
        <f t="shared" si="192"/>
        <v>44.194306140115643</v>
      </c>
      <c r="K180">
        <f t="shared" si="192"/>
        <v>40.854999097550056</v>
      </c>
      <c r="L180">
        <f t="shared" si="141"/>
        <v>63.056086546734171</v>
      </c>
      <c r="M180">
        <f t="shared" si="142"/>
        <v>-0.95608654673416993</v>
      </c>
      <c r="N180">
        <f t="shared" si="143"/>
        <v>0.91410148484607012</v>
      </c>
    </row>
    <row r="181" spans="1:14" x14ac:dyDescent="0.45">
      <c r="A181" s="22">
        <v>42612</v>
      </c>
      <c r="B181">
        <v>63.06</v>
      </c>
      <c r="C181">
        <v>62.9</v>
      </c>
      <c r="G181">
        <f t="shared" ref="G181:K181" si="193">SUMPRODUCT($B181:$B185,P$2:P$6)</f>
        <v>14.473353241300467</v>
      </c>
      <c r="H181">
        <f t="shared" si="193"/>
        <v>14.794958084097281</v>
      </c>
      <c r="I181">
        <f t="shared" si="193"/>
        <v>48.033915105497044</v>
      </c>
      <c r="J181">
        <f t="shared" si="193"/>
        <v>44.299712132477993</v>
      </c>
      <c r="K181">
        <f t="shared" si="193"/>
        <v>41.080541302375252</v>
      </c>
      <c r="L181">
        <f t="shared" si="141"/>
        <v>63.202650433758826</v>
      </c>
      <c r="M181">
        <f t="shared" si="142"/>
        <v>-0.30265043375882783</v>
      </c>
      <c r="N181">
        <f t="shared" si="143"/>
        <v>9.1597285054406632E-2</v>
      </c>
    </row>
    <row r="182" spans="1:14" x14ac:dyDescent="0.45">
      <c r="A182" s="22">
        <v>42611</v>
      </c>
      <c r="B182">
        <v>63.09</v>
      </c>
      <c r="C182">
        <v>62.89</v>
      </c>
      <c r="G182">
        <f t="shared" ref="G182:K182" si="194">SUMPRODUCT($B182:$B186,P$2:P$6)</f>
        <v>14.467117291439193</v>
      </c>
      <c r="H182">
        <f t="shared" si="194"/>
        <v>14.798228138754761</v>
      </c>
      <c r="I182">
        <f t="shared" si="194"/>
        <v>48.047078092963844</v>
      </c>
      <c r="J182">
        <f t="shared" si="194"/>
        <v>44.314334048326145</v>
      </c>
      <c r="K182">
        <f t="shared" si="194"/>
        <v>41.354262502185968</v>
      </c>
      <c r="L182">
        <f t="shared" si="141"/>
        <v>63.221035747560748</v>
      </c>
      <c r="M182">
        <f t="shared" si="142"/>
        <v>-0.16103574756074579</v>
      </c>
      <c r="N182">
        <f t="shared" si="143"/>
        <v>2.5932511992448243E-2</v>
      </c>
    </row>
    <row r="183" spans="1:14" x14ac:dyDescent="0.45">
      <c r="A183" s="22">
        <v>42608</v>
      </c>
      <c r="B183">
        <v>63</v>
      </c>
      <c r="C183">
        <v>62.96</v>
      </c>
      <c r="G183">
        <f t="shared" ref="G183:K183" si="195">SUMPRODUCT($B183:$B187,P$2:P$6)</f>
        <v>14.46615471053571</v>
      </c>
      <c r="H183">
        <f t="shared" si="195"/>
        <v>14.774288358251447</v>
      </c>
      <c r="I183">
        <f t="shared" si="195"/>
        <v>47.971262094355218</v>
      </c>
      <c r="J183">
        <f t="shared" si="195"/>
        <v>44.246272885157232</v>
      </c>
      <c r="K183">
        <f t="shared" si="195"/>
        <v>41.468106930842822</v>
      </c>
      <c r="L183">
        <f t="shared" si="141"/>
        <v>63.123078732977298</v>
      </c>
      <c r="M183">
        <f t="shared" si="142"/>
        <v>-3.3078732977294578E-2</v>
      </c>
      <c r="N183">
        <f t="shared" si="143"/>
        <v>1.0942025753831559E-3</v>
      </c>
    </row>
    <row r="184" spans="1:14" x14ac:dyDescent="0.45">
      <c r="A184" s="22">
        <v>42607</v>
      </c>
      <c r="B184">
        <v>62.82</v>
      </c>
      <c r="C184">
        <v>62.72</v>
      </c>
      <c r="G184">
        <f t="shared" ref="G184:K184" si="196">SUMPRODUCT($B184:$B188,P$2:P$6)</f>
        <v>14.508618629368462</v>
      </c>
      <c r="H184">
        <f t="shared" si="196"/>
        <v>14.761891138548826</v>
      </c>
      <c r="I184">
        <f t="shared" si="196"/>
        <v>47.910853708078662</v>
      </c>
      <c r="J184">
        <f t="shared" si="196"/>
        <v>44.170908057535399</v>
      </c>
      <c r="K184">
        <f t="shared" si="196"/>
        <v>41.455819009204205</v>
      </c>
      <c r="L184">
        <f t="shared" si="141"/>
        <v>63.034646729048895</v>
      </c>
      <c r="M184">
        <f t="shared" si="142"/>
        <v>-3.4646729048894542E-2</v>
      </c>
      <c r="N184">
        <f t="shared" si="143"/>
        <v>1.2003958337875129E-3</v>
      </c>
    </row>
    <row r="185" spans="1:14" x14ac:dyDescent="0.45">
      <c r="A185" s="22">
        <v>42606</v>
      </c>
      <c r="B185">
        <v>63.59</v>
      </c>
      <c r="C185">
        <v>62.7</v>
      </c>
      <c r="G185">
        <f t="shared" ref="G185:K185" si="197">SUMPRODUCT($B185:$B189,P$2:P$6)</f>
        <v>14.664747339916234</v>
      </c>
      <c r="H185">
        <f t="shared" si="197"/>
        <v>14.943162361637805</v>
      </c>
      <c r="I185">
        <f t="shared" si="197"/>
        <v>48.498960482311254</v>
      </c>
      <c r="J185">
        <f t="shared" si="197"/>
        <v>44.712888798919408</v>
      </c>
      <c r="K185">
        <f t="shared" si="197"/>
        <v>41.674682189214778</v>
      </c>
      <c r="L185">
        <f t="shared" si="141"/>
        <v>63.801394515743894</v>
      </c>
      <c r="M185">
        <f t="shared" si="142"/>
        <v>-0.98139451574389369</v>
      </c>
      <c r="N185">
        <f t="shared" si="143"/>
        <v>0.96313519553219162</v>
      </c>
    </row>
    <row r="186" spans="1:14" x14ac:dyDescent="0.45">
      <c r="A186" s="22">
        <v>42605</v>
      </c>
      <c r="B186">
        <v>64.38</v>
      </c>
      <c r="C186">
        <v>63.8</v>
      </c>
      <c r="G186">
        <f t="shared" ref="G186:K186" si="198">SUMPRODUCT($B186:$B190,P$2:P$6)</f>
        <v>14.764119299166216</v>
      </c>
      <c r="H186">
        <f t="shared" si="198"/>
        <v>15.104318625986371</v>
      </c>
      <c r="I186">
        <f t="shared" si="198"/>
        <v>49.038523758743864</v>
      </c>
      <c r="J186">
        <f t="shared" si="198"/>
        <v>45.226441596530783</v>
      </c>
      <c r="K186">
        <f t="shared" si="198"/>
        <v>41.716401452866116</v>
      </c>
      <c r="L186">
        <f t="shared" si="141"/>
        <v>64.512864191584839</v>
      </c>
      <c r="M186">
        <f t="shared" si="142"/>
        <v>-0.92286419158483568</v>
      </c>
      <c r="N186">
        <f t="shared" si="143"/>
        <v>0.85167831610953226</v>
      </c>
    </row>
    <row r="187" spans="1:14" x14ac:dyDescent="0.45">
      <c r="A187" s="22">
        <v>42604</v>
      </c>
      <c r="B187">
        <v>64.400000000000006</v>
      </c>
      <c r="C187">
        <v>63.84</v>
      </c>
      <c r="G187">
        <f t="shared" ref="G187:K187" si="199">SUMPRODUCT($B187:$B191,P$2:P$6)</f>
        <v>14.749885319718592</v>
      </c>
      <c r="H187">
        <f t="shared" si="199"/>
        <v>15.093310697486043</v>
      </c>
      <c r="I187">
        <f t="shared" si="199"/>
        <v>49.01339323474194</v>
      </c>
      <c r="J187">
        <f t="shared" si="199"/>
        <v>45.213607312865292</v>
      </c>
      <c r="K187">
        <f t="shared" si="199"/>
        <v>41.972828387617085</v>
      </c>
      <c r="L187">
        <f t="shared" si="141"/>
        <v>64.485172337317749</v>
      </c>
      <c r="M187">
        <f t="shared" si="142"/>
        <v>-0.10517233731775377</v>
      </c>
      <c r="N187">
        <f t="shared" si="143"/>
        <v>1.1061220536879383E-2</v>
      </c>
    </row>
    <row r="188" spans="1:14" x14ac:dyDescent="0.45">
      <c r="A188" s="22">
        <v>42601</v>
      </c>
      <c r="B188">
        <v>63.92</v>
      </c>
      <c r="C188">
        <v>64.14</v>
      </c>
      <c r="G188">
        <f t="shared" ref="G188:K188" si="200">SUMPRODUCT($B188:$B192,P$2:P$6)</f>
        <v>14.702840480736313</v>
      </c>
      <c r="H188">
        <f t="shared" si="200"/>
        <v>15.007706424984594</v>
      </c>
      <c r="I188">
        <f t="shared" si="200"/>
        <v>48.717214884128722</v>
      </c>
      <c r="J188">
        <f t="shared" si="200"/>
        <v>44.922660236734188</v>
      </c>
      <c r="K188">
        <f t="shared" si="200"/>
        <v>41.758668771724217</v>
      </c>
      <c r="L188">
        <f t="shared" si="141"/>
        <v>64.090186721773151</v>
      </c>
      <c r="M188">
        <f t="shared" si="142"/>
        <v>0.309813278226855</v>
      </c>
      <c r="N188">
        <f t="shared" si="143"/>
        <v>9.5984267365670672E-2</v>
      </c>
    </row>
    <row r="189" spans="1:14" x14ac:dyDescent="0.45">
      <c r="A189" s="22">
        <v>42600</v>
      </c>
      <c r="B189">
        <v>64.3</v>
      </c>
      <c r="C189">
        <v>64.13</v>
      </c>
      <c r="G189">
        <f t="shared" ref="G189:K189" si="201">SUMPRODUCT($B189:$B193,P$2:P$6)</f>
        <v>14.780270510150897</v>
      </c>
      <c r="H189">
        <f t="shared" si="201"/>
        <v>15.083667073533467</v>
      </c>
      <c r="I189">
        <f t="shared" si="201"/>
        <v>48.972746728590643</v>
      </c>
      <c r="J189">
        <f t="shared" si="201"/>
        <v>45.167018626031016</v>
      </c>
      <c r="K189">
        <f t="shared" si="201"/>
        <v>41.746415956155602</v>
      </c>
      <c r="L189">
        <f t="shared" si="141"/>
        <v>64.427694199405366</v>
      </c>
      <c r="M189">
        <f t="shared" si="142"/>
        <v>-0.50769419940536409</v>
      </c>
      <c r="N189">
        <f t="shared" si="143"/>
        <v>0.25775340010985359</v>
      </c>
    </row>
    <row r="190" spans="1:14" x14ac:dyDescent="0.45">
      <c r="A190" s="22">
        <v>42599</v>
      </c>
      <c r="B190">
        <v>64.260000000000005</v>
      </c>
      <c r="C190">
        <v>64.2</v>
      </c>
      <c r="G190">
        <f t="shared" ref="G190:K190" si="202">SUMPRODUCT($B190:$B194,P$2:P$6)</f>
        <v>14.800286040866999</v>
      </c>
      <c r="H190">
        <f t="shared" si="202"/>
        <v>15.10348523157678</v>
      </c>
      <c r="I190">
        <f t="shared" si="202"/>
        <v>49.017357361501396</v>
      </c>
      <c r="J190">
        <f t="shared" si="202"/>
        <v>45.188923363787161</v>
      </c>
      <c r="K190">
        <f t="shared" si="202"/>
        <v>41.706688054854688</v>
      </c>
      <c r="L190">
        <f t="shared" si="141"/>
        <v>64.476420549338357</v>
      </c>
      <c r="M190">
        <f t="shared" si="142"/>
        <v>-0.17642054933835993</v>
      </c>
      <c r="N190">
        <f t="shared" si="143"/>
        <v>3.1124210228848693E-2</v>
      </c>
    </row>
    <row r="191" spans="1:14" x14ac:dyDescent="0.45">
      <c r="A191" s="22">
        <v>42598</v>
      </c>
      <c r="B191">
        <v>65.150000000000006</v>
      </c>
      <c r="C191">
        <v>64.88</v>
      </c>
      <c r="G191">
        <f t="shared" ref="G191:K191" si="203">SUMPRODUCT($B191:$B195,P$2:P$6)</f>
        <v>14.868110540862249</v>
      </c>
      <c r="H191">
        <f t="shared" si="203"/>
        <v>15.255759014029035</v>
      </c>
      <c r="I191">
        <f t="shared" si="203"/>
        <v>49.549937172313086</v>
      </c>
      <c r="J191">
        <f t="shared" si="203"/>
        <v>45.7173425160343</v>
      </c>
      <c r="K191">
        <f t="shared" si="203"/>
        <v>41.678319356407975</v>
      </c>
      <c r="L191">
        <f t="shared" si="141"/>
        <v>65.189249509951935</v>
      </c>
      <c r="M191">
        <f t="shared" si="142"/>
        <v>-0.92924950995193001</v>
      </c>
      <c r="N191">
        <f t="shared" si="143"/>
        <v>0.86350465174590207</v>
      </c>
    </row>
    <row r="192" spans="1:14" x14ac:dyDescent="0.45">
      <c r="A192" s="22">
        <v>42597</v>
      </c>
      <c r="B192">
        <v>64.239999999999995</v>
      </c>
      <c r="C192">
        <v>65.27</v>
      </c>
      <c r="G192">
        <f t="shared" ref="G192:K192" si="204">SUMPRODUCT($B192:$B196,P$2:P$6)</f>
        <v>14.726372986053768</v>
      </c>
      <c r="H192">
        <f t="shared" si="204"/>
        <v>15.065194211666784</v>
      </c>
      <c r="I192">
        <f t="shared" si="204"/>
        <v>48.915742806736148</v>
      </c>
      <c r="J192">
        <f t="shared" si="204"/>
        <v>45.117341552211499</v>
      </c>
      <c r="K192">
        <f t="shared" si="204"/>
        <v>41.541987937081345</v>
      </c>
      <c r="L192">
        <f t="shared" si="141"/>
        <v>64.354777632405984</v>
      </c>
      <c r="M192">
        <f t="shared" si="142"/>
        <v>0.79522236759402176</v>
      </c>
      <c r="N192">
        <f t="shared" si="143"/>
        <v>0.63237861392184147</v>
      </c>
    </row>
    <row r="193" spans="1:14" x14ac:dyDescent="0.45">
      <c r="A193" s="22">
        <v>42594</v>
      </c>
      <c r="B193">
        <v>64.06</v>
      </c>
      <c r="C193">
        <v>64.239999999999995</v>
      </c>
      <c r="G193">
        <f t="shared" ref="G193:K193" si="205">SUMPRODUCT($B193:$B197,P$2:P$6)</f>
        <v>14.697015371969188</v>
      </c>
      <c r="H193">
        <f t="shared" si="205"/>
        <v>15.026420032389439</v>
      </c>
      <c r="I193">
        <f t="shared" si="205"/>
        <v>48.787521030890645</v>
      </c>
      <c r="J193">
        <f t="shared" si="205"/>
        <v>44.996810669207044</v>
      </c>
      <c r="K193">
        <f t="shared" si="205"/>
        <v>41.496775673272055</v>
      </c>
      <c r="L193">
        <f t="shared" si="141"/>
        <v>64.186445622960761</v>
      </c>
      <c r="M193">
        <f t="shared" si="142"/>
        <v>5.3554377039233714E-2</v>
      </c>
      <c r="N193">
        <f t="shared" si="143"/>
        <v>2.868071300060403E-3</v>
      </c>
    </row>
    <row r="194" spans="1:14" x14ac:dyDescent="0.45">
      <c r="A194" s="22">
        <v>42593</v>
      </c>
      <c r="B194">
        <v>63.99</v>
      </c>
      <c r="C194">
        <v>64.14</v>
      </c>
      <c r="G194">
        <f t="shared" ref="G194:K194" si="206">SUMPRODUCT($B194:$B198,P$2:P$6)</f>
        <v>14.684181682578823</v>
      </c>
      <c r="H194">
        <f t="shared" si="206"/>
        <v>15.012509845985353</v>
      </c>
      <c r="I194">
        <f t="shared" si="206"/>
        <v>48.740661692062794</v>
      </c>
      <c r="J194">
        <f t="shared" si="206"/>
        <v>44.951938798166893</v>
      </c>
      <c r="K194">
        <f t="shared" si="206"/>
        <v>41.377599860148983</v>
      </c>
      <c r="L194">
        <f t="shared" si="141"/>
        <v>64.124523309801447</v>
      </c>
      <c r="M194">
        <f t="shared" si="142"/>
        <v>-6.4523309801444384E-2</v>
      </c>
      <c r="N194">
        <f t="shared" si="143"/>
        <v>4.1632575077331689E-3</v>
      </c>
    </row>
    <row r="195" spans="1:14" x14ac:dyDescent="0.45">
      <c r="A195" s="22">
        <v>42592</v>
      </c>
      <c r="B195">
        <v>64</v>
      </c>
      <c r="C195">
        <v>63.79</v>
      </c>
      <c r="G195">
        <f t="shared" ref="G195:K195" si="207">SUMPRODUCT($B195:$B199,P$2:P$6)</f>
        <v>14.677123972225278</v>
      </c>
      <c r="H195">
        <f t="shared" si="207"/>
        <v>15.010773623152399</v>
      </c>
      <c r="I195">
        <f t="shared" si="207"/>
        <v>48.737783373696764</v>
      </c>
      <c r="J195">
        <f t="shared" si="207"/>
        <v>44.951973596102114</v>
      </c>
      <c r="K195">
        <f t="shared" si="207"/>
        <v>41.208085802581849</v>
      </c>
      <c r="L195">
        <f t="shared" ref="L195:L247" si="208">(G195+$P$7)*$U$2+(H195+$Q$7)*$U$3+(I195+$R$7)*$U$4+(J195+$S$7)*$U$5+(K195+$T$7)*$U$6+$U$7</f>
        <v>64.122090635549966</v>
      </c>
      <c r="M195">
        <f t="shared" ref="M195:M247" si="209">B194-L195</f>
        <v>-0.13209063554996447</v>
      </c>
      <c r="N195">
        <f t="shared" ref="N195:N247" si="210">M195^2</f>
        <v>1.7447935999993537E-2</v>
      </c>
    </row>
    <row r="196" spans="1:14" x14ac:dyDescent="0.45">
      <c r="A196" s="22">
        <v>42591</v>
      </c>
      <c r="B196">
        <v>63.88</v>
      </c>
      <c r="C196">
        <v>63.82</v>
      </c>
      <c r="G196">
        <f t="shared" ref="G196:K196" si="211">SUMPRODUCT($B196:$B200,P$2:P$6)</f>
        <v>14.647584624229038</v>
      </c>
      <c r="H196">
        <f t="shared" si="211"/>
        <v>14.984819222071394</v>
      </c>
      <c r="I196">
        <f t="shared" si="211"/>
        <v>48.652032618006693</v>
      </c>
      <c r="J196">
        <f t="shared" si="211"/>
        <v>44.871440127121005</v>
      </c>
      <c r="K196">
        <f t="shared" si="211"/>
        <v>41.003265495347691</v>
      </c>
      <c r="L196">
        <f t="shared" si="208"/>
        <v>64.009551502575505</v>
      </c>
      <c r="M196">
        <f t="shared" si="209"/>
        <v>-9.5515025755048555E-3</v>
      </c>
      <c r="N196">
        <f t="shared" si="210"/>
        <v>9.1231201449875886E-5</v>
      </c>
    </row>
    <row r="197" spans="1:14" x14ac:dyDescent="0.45">
      <c r="A197" s="22">
        <v>42590</v>
      </c>
      <c r="B197">
        <v>63.83</v>
      </c>
      <c r="C197">
        <v>63.44</v>
      </c>
      <c r="G197">
        <f t="shared" ref="G197:K197" si="212">SUMPRODUCT($B197:$B201,P$2:P$6)</f>
        <v>14.60868501843545</v>
      </c>
      <c r="H197">
        <f t="shared" si="212"/>
        <v>14.964296991056205</v>
      </c>
      <c r="I197">
        <f t="shared" si="212"/>
        <v>48.591344567760281</v>
      </c>
      <c r="J197">
        <f t="shared" si="212"/>
        <v>44.821260950205698</v>
      </c>
      <c r="K197">
        <f t="shared" si="212"/>
        <v>41.235204334176025</v>
      </c>
      <c r="L197">
        <f t="shared" si="208"/>
        <v>63.933253294500744</v>
      </c>
      <c r="M197">
        <f t="shared" si="209"/>
        <v>-5.3253294500741788E-2</v>
      </c>
      <c r="N197">
        <f t="shared" si="210"/>
        <v>2.8359133751827354E-3</v>
      </c>
    </row>
    <row r="198" spans="1:14" x14ac:dyDescent="0.45">
      <c r="A198" s="22">
        <v>42587</v>
      </c>
      <c r="B198">
        <v>63.5</v>
      </c>
      <c r="C198">
        <v>63.69</v>
      </c>
      <c r="G198">
        <f t="shared" ref="G198:K198" si="213">SUMPRODUCT($B198:$B202,P$2:P$6)</f>
        <v>14.524477179245304</v>
      </c>
      <c r="H198">
        <f t="shared" si="213"/>
        <v>14.8837383214419</v>
      </c>
      <c r="I198">
        <f t="shared" si="213"/>
        <v>48.331917716540801</v>
      </c>
      <c r="J198">
        <f t="shared" si="213"/>
        <v>44.584067191968643</v>
      </c>
      <c r="K198">
        <f t="shared" si="213"/>
        <v>41.337483126288113</v>
      </c>
      <c r="L198">
        <f t="shared" si="208"/>
        <v>63.595950464932244</v>
      </c>
      <c r="M198">
        <f t="shared" si="209"/>
        <v>0.23404953506775428</v>
      </c>
      <c r="N198">
        <f t="shared" si="210"/>
        <v>5.4779184865431936E-2</v>
      </c>
    </row>
    <row r="199" spans="1:14" x14ac:dyDescent="0.45">
      <c r="A199" s="22">
        <v>42586</v>
      </c>
      <c r="B199">
        <v>63.07</v>
      </c>
      <c r="C199">
        <v>63.34</v>
      </c>
      <c r="G199">
        <f t="shared" ref="G199:K199" si="214">SUMPRODUCT($B199:$B203,P$2:P$6)</f>
        <v>14.471652594777359</v>
      </c>
      <c r="H199">
        <f t="shared" si="214"/>
        <v>14.783174323127158</v>
      </c>
      <c r="I199">
        <f t="shared" si="214"/>
        <v>48.005204504696572</v>
      </c>
      <c r="J199">
        <f t="shared" si="214"/>
        <v>44.282541861969008</v>
      </c>
      <c r="K199">
        <f t="shared" si="214"/>
        <v>41.401222997395422</v>
      </c>
      <c r="L199">
        <f t="shared" si="208"/>
        <v>63.169781875906331</v>
      </c>
      <c r="M199">
        <f t="shared" si="209"/>
        <v>0.33021812409366902</v>
      </c>
      <c r="N199">
        <f t="shared" si="210"/>
        <v>0.10904400947994179</v>
      </c>
    </row>
    <row r="200" spans="1:14" x14ac:dyDescent="0.45">
      <c r="A200" s="22">
        <v>42585</v>
      </c>
      <c r="B200">
        <v>62.65</v>
      </c>
      <c r="C200">
        <v>62.87</v>
      </c>
      <c r="G200">
        <f t="shared" ref="G200:K200" si="215">SUMPRODUCT($B200:$B204,P$2:P$6)</f>
        <v>14.490097531947786</v>
      </c>
      <c r="H200">
        <f t="shared" si="215"/>
        <v>14.733312955651908</v>
      </c>
      <c r="I200">
        <f t="shared" si="215"/>
        <v>47.810430759828421</v>
      </c>
      <c r="J200">
        <f t="shared" si="215"/>
        <v>44.070843798519931</v>
      </c>
      <c r="K200">
        <f t="shared" si="215"/>
        <v>41.287880791369972</v>
      </c>
      <c r="L200">
        <f t="shared" si="208"/>
        <v>62.900026758554326</v>
      </c>
      <c r="M200">
        <f t="shared" si="209"/>
        <v>0.16997324144567472</v>
      </c>
      <c r="N200">
        <f t="shared" si="210"/>
        <v>2.8890902807549634E-2</v>
      </c>
    </row>
    <row r="201" spans="1:14" x14ac:dyDescent="0.45">
      <c r="A201" s="22">
        <v>42584</v>
      </c>
      <c r="B201">
        <v>63.78</v>
      </c>
      <c r="C201">
        <v>62.84</v>
      </c>
      <c r="G201">
        <f t="shared" ref="G201:K201" si="216">SUMPRODUCT($B201:$B205,P$2:P$6)</f>
        <v>14.674786717521512</v>
      </c>
      <c r="H201">
        <f t="shared" si="216"/>
        <v>14.975804863245088</v>
      </c>
      <c r="I201">
        <f t="shared" si="216"/>
        <v>48.613002990107326</v>
      </c>
      <c r="J201">
        <f t="shared" si="216"/>
        <v>44.825926935089306</v>
      </c>
      <c r="K201">
        <f t="shared" si="216"/>
        <v>42.364060480541085</v>
      </c>
      <c r="L201">
        <f t="shared" si="208"/>
        <v>63.953978997287813</v>
      </c>
      <c r="M201">
        <f t="shared" si="209"/>
        <v>-1.303978997287814</v>
      </c>
      <c r="N201">
        <f t="shared" si="210"/>
        <v>1.7003612253677327</v>
      </c>
    </row>
    <row r="202" spans="1:14" x14ac:dyDescent="0.45">
      <c r="A202" s="22">
        <v>42583</v>
      </c>
      <c r="B202">
        <v>64.19</v>
      </c>
      <c r="C202">
        <v>63.98</v>
      </c>
      <c r="G202">
        <f t="shared" ref="G202:K202" si="217">SUMPRODUCT($B202:$B206,P$2:P$6)</f>
        <v>14.712088291514618</v>
      </c>
      <c r="H202">
        <f t="shared" si="217"/>
        <v>15.059429307817586</v>
      </c>
      <c r="I202">
        <f t="shared" si="217"/>
        <v>48.892995818826677</v>
      </c>
      <c r="J202">
        <f t="shared" si="217"/>
        <v>45.092433199124187</v>
      </c>
      <c r="K202">
        <f t="shared" si="217"/>
        <v>40.894768707166932</v>
      </c>
      <c r="L202">
        <f t="shared" si="208"/>
        <v>64.323182457680289</v>
      </c>
      <c r="M202">
        <f t="shared" si="209"/>
        <v>-0.54318245768028817</v>
      </c>
      <c r="N202">
        <f t="shared" si="210"/>
        <v>0.29504718233159805</v>
      </c>
    </row>
    <row r="203" spans="1:14" x14ac:dyDescent="0.45">
      <c r="A203" s="22">
        <v>42580</v>
      </c>
      <c r="B203">
        <v>64.2</v>
      </c>
      <c r="C203">
        <v>63.83</v>
      </c>
      <c r="G203">
        <f t="shared" ref="G203:K203" si="218">SUMPRODUCT($B203:$B207,P$2:P$6)</f>
        <v>14.766551950635501</v>
      </c>
      <c r="H203">
        <f t="shared" si="218"/>
        <v>15.038226352223163</v>
      </c>
      <c r="I203">
        <f t="shared" si="218"/>
        <v>48.840067952558478</v>
      </c>
      <c r="J203">
        <f t="shared" si="218"/>
        <v>45.059134633413962</v>
      </c>
      <c r="K203">
        <f t="shared" si="218"/>
        <v>40.505523953186227</v>
      </c>
      <c r="L203">
        <f t="shared" si="208"/>
        <v>64.261780625705029</v>
      </c>
      <c r="M203">
        <f t="shared" si="209"/>
        <v>-7.1780625705031298E-2</v>
      </c>
      <c r="N203">
        <f t="shared" si="210"/>
        <v>5.1524582266057996E-3</v>
      </c>
    </row>
    <row r="204" spans="1:14" x14ac:dyDescent="0.45">
      <c r="A204" s="22">
        <v>42579</v>
      </c>
      <c r="B204">
        <v>63.46</v>
      </c>
      <c r="C204">
        <v>64.22</v>
      </c>
      <c r="G204">
        <f t="shared" ref="G204:K204" si="219">SUMPRODUCT($B204:$B208,P$2:P$6)</f>
        <v>14.692472448127562</v>
      </c>
      <c r="H204">
        <f t="shared" si="219"/>
        <v>14.992105311869501</v>
      </c>
      <c r="I204">
        <f t="shared" si="219"/>
        <v>48.604183568444967</v>
      </c>
      <c r="J204">
        <f t="shared" si="219"/>
        <v>44.757597840324394</v>
      </c>
      <c r="K204">
        <f t="shared" si="219"/>
        <v>40.0457270100394</v>
      </c>
      <c r="L204">
        <f t="shared" si="208"/>
        <v>63.912906246551387</v>
      </c>
      <c r="M204">
        <f t="shared" si="209"/>
        <v>0.28709375344861598</v>
      </c>
      <c r="N204">
        <f t="shared" si="210"/>
        <v>8.2422823269214698E-2</v>
      </c>
    </row>
    <row r="205" spans="1:14" x14ac:dyDescent="0.45">
      <c r="A205" s="22">
        <v>42578</v>
      </c>
      <c r="B205">
        <v>66.78</v>
      </c>
      <c r="C205">
        <v>63.33</v>
      </c>
      <c r="G205">
        <f t="shared" ref="G205:K205" si="220">SUMPRODUCT($B205:$B209,P$2:P$6)</f>
        <v>14.814935286336844</v>
      </c>
      <c r="H205">
        <f t="shared" si="220"/>
        <v>15.489944917311485</v>
      </c>
      <c r="I205">
        <f t="shared" si="220"/>
        <v>50.410423535136147</v>
      </c>
      <c r="J205">
        <f t="shared" si="220"/>
        <v>46.608586112816639</v>
      </c>
      <c r="K205">
        <f t="shared" si="220"/>
        <v>39.886963874422761</v>
      </c>
      <c r="L205">
        <f t="shared" si="208"/>
        <v>66.359372509895479</v>
      </c>
      <c r="M205">
        <f t="shared" si="209"/>
        <v>-2.8993725098954783</v>
      </c>
      <c r="N205">
        <f t="shared" si="210"/>
        <v>8.4063609511376054</v>
      </c>
    </row>
    <row r="206" spans="1:14" x14ac:dyDescent="0.45">
      <c r="A206" s="22">
        <v>42577</v>
      </c>
      <c r="B206">
        <v>61.15</v>
      </c>
      <c r="C206">
        <v>62.87</v>
      </c>
      <c r="G206">
        <f t="shared" ref="G206:K206" si="221">SUMPRODUCT($B206:$B210,P$2:P$6)</f>
        <v>13.964389529148962</v>
      </c>
      <c r="H206">
        <f t="shared" si="221"/>
        <v>14.325200434228597</v>
      </c>
      <c r="I206">
        <f t="shared" si="221"/>
        <v>46.523402806139238</v>
      </c>
      <c r="J206">
        <f t="shared" si="221"/>
        <v>42.920882982299652</v>
      </c>
      <c r="K206">
        <f t="shared" si="221"/>
        <v>39.283533437193469</v>
      </c>
      <c r="L206">
        <f t="shared" si="208"/>
        <v>61.23979935313897</v>
      </c>
      <c r="M206">
        <f t="shared" si="209"/>
        <v>5.540200646861031</v>
      </c>
      <c r="N206">
        <f t="shared" si="210"/>
        <v>30.693823207479387</v>
      </c>
    </row>
    <row r="207" spans="1:14" x14ac:dyDescent="0.45">
      <c r="A207" s="22">
        <v>42576</v>
      </c>
      <c r="B207">
        <v>60.49</v>
      </c>
      <c r="C207">
        <v>60.53</v>
      </c>
      <c r="G207">
        <f t="shared" ref="G207:K207" si="222">SUMPRODUCT($B207:$B211,P$2:P$6)</f>
        <v>13.862363034378436</v>
      </c>
      <c r="H207">
        <f t="shared" si="222"/>
        <v>14.177271896823227</v>
      </c>
      <c r="I207">
        <f t="shared" si="222"/>
        <v>46.038456277926834</v>
      </c>
      <c r="J207">
        <f t="shared" si="222"/>
        <v>42.469079381239055</v>
      </c>
      <c r="K207">
        <f t="shared" si="222"/>
        <v>39.122912859483563</v>
      </c>
      <c r="L207">
        <f t="shared" si="208"/>
        <v>60.605144335080709</v>
      </c>
      <c r="M207">
        <f t="shared" si="209"/>
        <v>0.5448556649192895</v>
      </c>
      <c r="N207">
        <f t="shared" si="210"/>
        <v>0.2968676955946411</v>
      </c>
    </row>
    <row r="208" spans="1:14" x14ac:dyDescent="0.45">
      <c r="A208" s="22">
        <v>42573</v>
      </c>
      <c r="B208">
        <v>60.05</v>
      </c>
      <c r="C208">
        <v>60.4</v>
      </c>
      <c r="G208">
        <f t="shared" ref="G208:K208" si="223">SUMPRODUCT($B208:$B212,P$2:P$6)</f>
        <v>13.828651581122429</v>
      </c>
      <c r="H208">
        <f t="shared" si="223"/>
        <v>14.106704060822379</v>
      </c>
      <c r="I208">
        <f t="shared" si="223"/>
        <v>45.787276834705331</v>
      </c>
      <c r="J208">
        <f t="shared" si="223"/>
        <v>42.215909485894365</v>
      </c>
      <c r="K208">
        <f t="shared" si="223"/>
        <v>39.218084901708501</v>
      </c>
      <c r="L208">
        <f t="shared" si="208"/>
        <v>60.267012750463955</v>
      </c>
      <c r="M208">
        <f t="shared" si="209"/>
        <v>0.22298724953604676</v>
      </c>
      <c r="N208">
        <f t="shared" si="210"/>
        <v>4.9723313455651189E-2</v>
      </c>
    </row>
    <row r="209" spans="1:14" x14ac:dyDescent="0.45">
      <c r="A209" s="22">
        <v>42572</v>
      </c>
      <c r="B209">
        <v>60.65</v>
      </c>
      <c r="C209">
        <v>59.95</v>
      </c>
      <c r="G209">
        <f t="shared" ref="G209:K209" si="224">SUMPRODUCT($B209:$B213,P$2:P$6)</f>
        <v>13.89106684618651</v>
      </c>
      <c r="H209">
        <f t="shared" si="224"/>
        <v>14.221716036513861</v>
      </c>
      <c r="I209">
        <f t="shared" si="224"/>
        <v>46.178084851397784</v>
      </c>
      <c r="J209">
        <f t="shared" si="224"/>
        <v>42.593303833641237</v>
      </c>
      <c r="K209">
        <f t="shared" si="224"/>
        <v>39.173389113071295</v>
      </c>
      <c r="L209">
        <f t="shared" si="208"/>
        <v>60.784998542290253</v>
      </c>
      <c r="M209">
        <f t="shared" si="209"/>
        <v>-0.7349985422902563</v>
      </c>
      <c r="N209">
        <f t="shared" si="210"/>
        <v>0.5402228571688017</v>
      </c>
    </row>
    <row r="210" spans="1:14" x14ac:dyDescent="0.45">
      <c r="A210" s="22">
        <v>42571</v>
      </c>
      <c r="B210">
        <v>60.43</v>
      </c>
      <c r="C210">
        <v>60.69</v>
      </c>
      <c r="G210">
        <f t="shared" ref="G210:K210" si="225">SUMPRODUCT($B210:$B214,P$2:P$6)</f>
        <v>13.851834394312462</v>
      </c>
      <c r="H210">
        <f t="shared" si="225"/>
        <v>14.16633578527671</v>
      </c>
      <c r="I210">
        <f t="shared" si="225"/>
        <v>46.000828396091372</v>
      </c>
      <c r="J210">
        <f t="shared" si="225"/>
        <v>42.432307606429625</v>
      </c>
      <c r="K210">
        <f t="shared" si="225"/>
        <v>39.066714383894009</v>
      </c>
      <c r="L210">
        <f t="shared" si="208"/>
        <v>60.555057548454641</v>
      </c>
      <c r="M210">
        <f t="shared" si="209"/>
        <v>9.4942451545357187E-2</v>
      </c>
      <c r="N210">
        <f t="shared" si="210"/>
        <v>9.014069105442498E-3</v>
      </c>
    </row>
    <row r="211" spans="1:14" x14ac:dyDescent="0.45">
      <c r="A211" s="22">
        <v>42570</v>
      </c>
      <c r="B211">
        <v>60.09</v>
      </c>
      <c r="C211">
        <v>60.27</v>
      </c>
      <c r="G211">
        <f t="shared" ref="G211:K211" si="226">SUMPRODUCT($B211:$B215,P$2:P$6)</f>
        <v>13.820322161464828</v>
      </c>
      <c r="H211">
        <f t="shared" si="226"/>
        <v>14.110121560827485</v>
      </c>
      <c r="I211">
        <f t="shared" si="226"/>
        <v>45.802404590606265</v>
      </c>
      <c r="J211">
        <f t="shared" si="226"/>
        <v>42.233792263091971</v>
      </c>
      <c r="K211">
        <f t="shared" si="226"/>
        <v>38.814338348932928</v>
      </c>
      <c r="L211">
        <f t="shared" si="208"/>
        <v>60.288671462026436</v>
      </c>
      <c r="M211">
        <f t="shared" si="209"/>
        <v>0.14132853797356404</v>
      </c>
      <c r="N211">
        <f t="shared" si="210"/>
        <v>1.9973755645745134E-2</v>
      </c>
    </row>
    <row r="212" spans="1:14" x14ac:dyDescent="0.45">
      <c r="A212" s="22">
        <v>42569</v>
      </c>
      <c r="B212">
        <v>60.5</v>
      </c>
      <c r="C212">
        <v>60.43</v>
      </c>
      <c r="G212">
        <f t="shared" ref="G212:K212" si="227">SUMPRODUCT($B212:$B216,P$2:P$6)</f>
        <v>13.856624484903747</v>
      </c>
      <c r="H212">
        <f t="shared" si="227"/>
        <v>14.185583350698781</v>
      </c>
      <c r="I212">
        <f t="shared" si="227"/>
        <v>46.061410470602908</v>
      </c>
      <c r="J212">
        <f t="shared" si="227"/>
        <v>42.486319455481016</v>
      </c>
      <c r="K212">
        <f t="shared" si="227"/>
        <v>38.56941164509454</v>
      </c>
      <c r="L212">
        <f t="shared" si="208"/>
        <v>60.633147949617282</v>
      </c>
      <c r="M212">
        <f t="shared" si="209"/>
        <v>-0.54314794961727841</v>
      </c>
      <c r="N212">
        <f t="shared" si="210"/>
        <v>0.2950096951734536</v>
      </c>
    </row>
    <row r="213" spans="1:14" x14ac:dyDescent="0.45">
      <c r="A213" s="22">
        <v>42566</v>
      </c>
      <c r="B213">
        <v>60.25</v>
      </c>
      <c r="C213">
        <v>60.15</v>
      </c>
      <c r="G213">
        <f t="shared" ref="G213:K213" si="228">SUMPRODUCT($B213:$B217,P$2:P$6)</f>
        <v>13.785312258472441</v>
      </c>
      <c r="H213">
        <f t="shared" si="228"/>
        <v>14.12693242644121</v>
      </c>
      <c r="I213">
        <f t="shared" si="228"/>
        <v>45.870990037215243</v>
      </c>
      <c r="J213">
        <f t="shared" si="228"/>
        <v>42.310700154342129</v>
      </c>
      <c r="K213">
        <f t="shared" si="228"/>
        <v>38.204119916827771</v>
      </c>
      <c r="L213">
        <f t="shared" si="208"/>
        <v>60.38482011308362</v>
      </c>
      <c r="M213">
        <f t="shared" si="209"/>
        <v>0.11517988691637981</v>
      </c>
      <c r="N213">
        <f t="shared" si="210"/>
        <v>1.3266406350070042E-2</v>
      </c>
    </row>
    <row r="214" spans="1:14" x14ac:dyDescent="0.45">
      <c r="A214" s="22">
        <v>42565</v>
      </c>
      <c r="B214">
        <v>60</v>
      </c>
      <c r="C214">
        <v>60.02</v>
      </c>
      <c r="G214">
        <f t="shared" ref="G214:K214" si="229">SUMPRODUCT($B214:$B218,P$2:P$6)</f>
        <v>13.689960722118244</v>
      </c>
      <c r="H214">
        <f t="shared" si="229"/>
        <v>14.053209003913047</v>
      </c>
      <c r="I214">
        <f t="shared" si="229"/>
        <v>45.641819127542476</v>
      </c>
      <c r="J214">
        <f t="shared" si="229"/>
        <v>42.109272148349724</v>
      </c>
      <c r="K214">
        <f t="shared" si="229"/>
        <v>37.561981078543226</v>
      </c>
      <c r="L214">
        <f t="shared" si="208"/>
        <v>60.090835238108788</v>
      </c>
      <c r="M214">
        <f t="shared" si="209"/>
        <v>0.15916476189121198</v>
      </c>
      <c r="N214">
        <f t="shared" si="210"/>
        <v>2.5333421427886207E-2</v>
      </c>
    </row>
    <row r="215" spans="1:14" x14ac:dyDescent="0.45">
      <c r="A215" s="22">
        <v>42564</v>
      </c>
      <c r="B215">
        <v>59.27</v>
      </c>
      <c r="C215">
        <v>59.52</v>
      </c>
      <c r="G215">
        <f t="shared" ref="G215:K215" si="230">SUMPRODUCT($B215:$B219,P$2:P$6)</f>
        <v>13.531771173506375</v>
      </c>
      <c r="H215">
        <f t="shared" si="230"/>
        <v>13.886345439778472</v>
      </c>
      <c r="I215">
        <f t="shared" si="230"/>
        <v>45.097095332568671</v>
      </c>
      <c r="J215">
        <f t="shared" si="230"/>
        <v>41.603992686655779</v>
      </c>
      <c r="K215">
        <f t="shared" si="230"/>
        <v>36.960205179110986</v>
      </c>
      <c r="L215">
        <f t="shared" si="208"/>
        <v>59.379037116540047</v>
      </c>
      <c r="M215">
        <f t="shared" si="209"/>
        <v>0.62096288345995276</v>
      </c>
      <c r="N215">
        <f t="shared" si="210"/>
        <v>0.38559490263489887</v>
      </c>
    </row>
    <row r="216" spans="1:14" x14ac:dyDescent="0.45">
      <c r="A216" s="22">
        <v>42563</v>
      </c>
      <c r="B216">
        <v>58.68</v>
      </c>
      <c r="C216">
        <v>58.99</v>
      </c>
      <c r="G216">
        <f t="shared" ref="G216:K216" si="231">SUMPRODUCT($B216:$B220,P$2:P$6)</f>
        <v>13.364667277990472</v>
      </c>
      <c r="H216">
        <f t="shared" si="231"/>
        <v>13.744789639447353</v>
      </c>
      <c r="I216">
        <f t="shared" si="231"/>
        <v>44.639630952971316</v>
      </c>
      <c r="J216">
        <f t="shared" si="231"/>
        <v>41.184154585699901</v>
      </c>
      <c r="K216">
        <f t="shared" si="231"/>
        <v>36.52693242161692</v>
      </c>
      <c r="L216">
        <f t="shared" si="208"/>
        <v>58.783472812651823</v>
      </c>
      <c r="M216">
        <f t="shared" si="209"/>
        <v>0.48652718734818023</v>
      </c>
      <c r="N216">
        <f t="shared" si="210"/>
        <v>0.23670870402893127</v>
      </c>
    </row>
    <row r="217" spans="1:14" x14ac:dyDescent="0.45">
      <c r="A217" s="22">
        <v>42562</v>
      </c>
      <c r="B217">
        <v>57.99</v>
      </c>
      <c r="C217">
        <v>58.25</v>
      </c>
      <c r="G217">
        <f t="shared" ref="G217:K217" si="232">SUMPRODUCT($B217:$B221,P$2:P$6)</f>
        <v>13.150468639360248</v>
      </c>
      <c r="H217">
        <f t="shared" si="232"/>
        <v>13.558107708691965</v>
      </c>
      <c r="I217">
        <f t="shared" si="232"/>
        <v>44.050296270864735</v>
      </c>
      <c r="J217">
        <f t="shared" si="232"/>
        <v>40.656969371741319</v>
      </c>
      <c r="K217">
        <f t="shared" si="232"/>
        <v>36.460621487017605</v>
      </c>
      <c r="L217">
        <f t="shared" si="208"/>
        <v>58.022947904644795</v>
      </c>
      <c r="M217">
        <f t="shared" si="209"/>
        <v>0.65705209535520481</v>
      </c>
      <c r="N217">
        <f t="shared" si="210"/>
        <v>0.43171745601066513</v>
      </c>
    </row>
    <row r="218" spans="1:14" x14ac:dyDescent="0.45">
      <c r="A218" s="22">
        <v>42559</v>
      </c>
      <c r="B218">
        <v>56.51</v>
      </c>
      <c r="C218">
        <v>57.74</v>
      </c>
      <c r="G218">
        <f t="shared" ref="G218:K218" si="233">SUMPRODUCT($B218:$B222,P$2:P$6)</f>
        <v>12.870806553147098</v>
      </c>
      <c r="H218">
        <f t="shared" si="233"/>
        <v>13.225341809364231</v>
      </c>
      <c r="I218">
        <f t="shared" si="233"/>
        <v>42.960148386559787</v>
      </c>
      <c r="J218">
        <f t="shared" si="233"/>
        <v>39.642040292011281</v>
      </c>
      <c r="K218">
        <f t="shared" si="233"/>
        <v>36.319609470848967</v>
      </c>
      <c r="L218">
        <f t="shared" si="208"/>
        <v>56.59660991316423</v>
      </c>
      <c r="M218">
        <f t="shared" si="209"/>
        <v>1.3933900868357725</v>
      </c>
      <c r="N218">
        <f t="shared" si="210"/>
        <v>1.9415359340922016</v>
      </c>
    </row>
    <row r="219" spans="1:14" x14ac:dyDescent="0.45">
      <c r="A219" s="22">
        <v>42558</v>
      </c>
      <c r="B219">
        <v>55.49</v>
      </c>
      <c r="C219">
        <v>55.95</v>
      </c>
      <c r="G219">
        <f t="shared" ref="G219:K219" si="234">SUMPRODUCT($B219:$B223,P$2:P$6)</f>
        <v>12.730502333715355</v>
      </c>
      <c r="H219">
        <f t="shared" si="234"/>
        <v>13.007401227532014</v>
      </c>
      <c r="I219">
        <f t="shared" si="234"/>
        <v>42.238133633706198</v>
      </c>
      <c r="J219">
        <f t="shared" si="234"/>
        <v>38.962079517828144</v>
      </c>
      <c r="K219">
        <f t="shared" si="234"/>
        <v>36.171122192210497</v>
      </c>
      <c r="L219">
        <f t="shared" si="208"/>
        <v>55.648119589056392</v>
      </c>
      <c r="M219">
        <f t="shared" si="209"/>
        <v>0.86188041094360557</v>
      </c>
      <c r="N219">
        <f t="shared" si="210"/>
        <v>0.74283784276831843</v>
      </c>
    </row>
    <row r="220" spans="1:14" x14ac:dyDescent="0.45">
      <c r="A220" s="22">
        <v>42557</v>
      </c>
      <c r="B220">
        <v>55.15</v>
      </c>
      <c r="C220">
        <v>55.46</v>
      </c>
      <c r="G220">
        <f t="shared" ref="G220:K220" si="235">SUMPRODUCT($B220:$B224,P$2:P$6)</f>
        <v>12.736066889832047</v>
      </c>
      <c r="H220">
        <f t="shared" si="235"/>
        <v>12.964689472039618</v>
      </c>
      <c r="I220">
        <f t="shared" si="235"/>
        <v>42.074423783757126</v>
      </c>
      <c r="J220">
        <f t="shared" si="235"/>
        <v>38.786684897341601</v>
      </c>
      <c r="K220">
        <f t="shared" si="235"/>
        <v>35.886587438857411</v>
      </c>
      <c r="L220">
        <f t="shared" si="208"/>
        <v>55.422634624046601</v>
      </c>
      <c r="M220">
        <f t="shared" si="209"/>
        <v>6.736537595340053E-2</v>
      </c>
      <c r="N220">
        <f t="shared" si="210"/>
        <v>4.5380938773429942E-3</v>
      </c>
    </row>
    <row r="221" spans="1:14" x14ac:dyDescent="0.45">
      <c r="A221" s="22">
        <v>42556</v>
      </c>
      <c r="B221">
        <v>55.99</v>
      </c>
      <c r="C221">
        <v>55.36</v>
      </c>
      <c r="G221">
        <f t="shared" ref="G221:K221" si="236">SUMPRODUCT($B221:$B225,P$2:P$6)</f>
        <v>12.853054839186687</v>
      </c>
      <c r="H221">
        <f t="shared" si="236"/>
        <v>13.140401635085803</v>
      </c>
      <c r="I221">
        <f t="shared" si="236"/>
        <v>42.659336175604281</v>
      </c>
      <c r="J221">
        <f t="shared" si="236"/>
        <v>39.340200581320026</v>
      </c>
      <c r="K221">
        <f t="shared" si="236"/>
        <v>35.506251729666651</v>
      </c>
      <c r="L221">
        <f t="shared" si="208"/>
        <v>56.192329481142593</v>
      </c>
      <c r="M221">
        <f t="shared" si="209"/>
        <v>-1.0423294811425947</v>
      </c>
      <c r="N221">
        <f t="shared" si="210"/>
        <v>1.0864507472589908</v>
      </c>
    </row>
    <row r="222" spans="1:14" x14ac:dyDescent="0.45">
      <c r="A222" s="22">
        <v>42552</v>
      </c>
      <c r="B222">
        <v>56.15</v>
      </c>
      <c r="C222">
        <v>56.63</v>
      </c>
      <c r="G222">
        <f t="shared" ref="G222:K222" si="237">SUMPRODUCT($B222:$B226,P$2:P$6)</f>
        <v>12.821577583343934</v>
      </c>
      <c r="H222">
        <f t="shared" si="237"/>
        <v>13.160352945542726</v>
      </c>
      <c r="I222">
        <f t="shared" si="237"/>
        <v>42.735995262762387</v>
      </c>
      <c r="J222">
        <f t="shared" si="237"/>
        <v>39.422485313397424</v>
      </c>
      <c r="K222">
        <f t="shared" si="237"/>
        <v>35.393789205075976</v>
      </c>
      <c r="L222">
        <f t="shared" si="208"/>
        <v>56.29799090971612</v>
      </c>
      <c r="M222">
        <f t="shared" si="209"/>
        <v>-0.30799090971611776</v>
      </c>
      <c r="N222">
        <f t="shared" si="210"/>
        <v>9.4858400467761797E-2</v>
      </c>
    </row>
    <row r="223" spans="1:14" x14ac:dyDescent="0.45">
      <c r="A223" s="22">
        <v>42551</v>
      </c>
      <c r="B223">
        <v>55.75</v>
      </c>
      <c r="C223">
        <v>56.64</v>
      </c>
      <c r="G223">
        <f t="shared" ref="G223:K223" si="238">SUMPRODUCT($B223:$B227,P$2:P$6)</f>
        <v>12.669068476610459</v>
      </c>
      <c r="H223">
        <f t="shared" si="238"/>
        <v>13.045787508311687</v>
      </c>
      <c r="I223">
        <f t="shared" si="238"/>
        <v>42.378042003168545</v>
      </c>
      <c r="J223">
        <f t="shared" si="238"/>
        <v>39.106007460806573</v>
      </c>
      <c r="K223">
        <f t="shared" si="238"/>
        <v>35.492991675603264</v>
      </c>
      <c r="L223">
        <f t="shared" si="208"/>
        <v>55.83788992168158</v>
      </c>
      <c r="M223">
        <f t="shared" si="209"/>
        <v>0.31211007831841897</v>
      </c>
      <c r="N223">
        <f t="shared" si="210"/>
        <v>9.7412700987929618E-2</v>
      </c>
    </row>
    <row r="224" spans="1:14" x14ac:dyDescent="0.45">
      <c r="A224" s="22">
        <v>42550</v>
      </c>
      <c r="B224">
        <v>54.69</v>
      </c>
      <c r="C224">
        <v>55.62</v>
      </c>
      <c r="G224">
        <f t="shared" ref="G224:K224" si="239">SUMPRODUCT($B224:$B228,P$2:P$6)</f>
        <v>12.460273323729112</v>
      </c>
      <c r="H224">
        <f t="shared" si="239"/>
        <v>12.793970758356922</v>
      </c>
      <c r="I224">
        <f t="shared" si="239"/>
        <v>41.562591953577126</v>
      </c>
      <c r="J224">
        <f t="shared" si="239"/>
        <v>38.35600812141076</v>
      </c>
      <c r="K224">
        <f t="shared" si="239"/>
        <v>36.189146429263644</v>
      </c>
      <c r="L224">
        <f t="shared" si="208"/>
        <v>54.77547659629063</v>
      </c>
      <c r="M224">
        <f t="shared" si="209"/>
        <v>0.97452340370936952</v>
      </c>
      <c r="N224">
        <f t="shared" si="210"/>
        <v>0.94969586437729481</v>
      </c>
    </row>
    <row r="225" spans="1:14" x14ac:dyDescent="0.45">
      <c r="A225" s="22">
        <v>42549</v>
      </c>
      <c r="B225">
        <v>53.53</v>
      </c>
      <c r="C225">
        <v>54.31</v>
      </c>
      <c r="G225">
        <f t="shared" ref="G225:K225" si="240">SUMPRODUCT($B225:$B229,P$2:P$6)</f>
        <v>12.345420184024102</v>
      </c>
      <c r="H225">
        <f t="shared" si="240"/>
        <v>12.568620721968021</v>
      </c>
      <c r="I225">
        <f t="shared" si="240"/>
        <v>40.799333504428823</v>
      </c>
      <c r="J225">
        <f t="shared" si="240"/>
        <v>37.621253443038135</v>
      </c>
      <c r="K225">
        <f t="shared" si="240"/>
        <v>36.304998121712046</v>
      </c>
      <c r="L225">
        <f t="shared" si="208"/>
        <v>53.764969644228231</v>
      </c>
      <c r="M225">
        <f t="shared" si="209"/>
        <v>0.92503035577176718</v>
      </c>
      <c r="N225">
        <f t="shared" si="210"/>
        <v>0.85568115909924214</v>
      </c>
    </row>
    <row r="226" spans="1:14" x14ac:dyDescent="0.45">
      <c r="A226" s="22">
        <v>42548</v>
      </c>
      <c r="B226">
        <v>53.86</v>
      </c>
      <c r="C226">
        <v>52.55</v>
      </c>
      <c r="G226">
        <f t="shared" ref="G226:K226" si="241">SUMPRODUCT($B226:$B230,P$2:P$6)</f>
        <v>12.529497129320919</v>
      </c>
      <c r="H226">
        <f t="shared" si="241"/>
        <v>12.668649112236267</v>
      </c>
      <c r="I226">
        <f t="shared" si="241"/>
        <v>41.108814772411414</v>
      </c>
      <c r="J226">
        <f t="shared" si="241"/>
        <v>37.891785518435327</v>
      </c>
      <c r="K226">
        <f t="shared" si="241"/>
        <v>36.600495565597043</v>
      </c>
      <c r="L226">
        <f t="shared" si="208"/>
        <v>54.161248894251123</v>
      </c>
      <c r="M226">
        <f t="shared" si="209"/>
        <v>-0.63124889425112229</v>
      </c>
      <c r="N226">
        <f t="shared" si="210"/>
        <v>0.39847516649326459</v>
      </c>
    </row>
    <row r="227" spans="1:14" x14ac:dyDescent="0.45">
      <c r="A227" s="22">
        <v>42545</v>
      </c>
      <c r="B227">
        <v>54.91</v>
      </c>
      <c r="C227">
        <v>55.04</v>
      </c>
      <c r="G227">
        <f t="shared" ref="G227:K227" si="242">SUMPRODUCT($B227:$B231,P$2:P$6)</f>
        <v>12.820316289297084</v>
      </c>
      <c r="H227">
        <f t="shared" si="242"/>
        <v>12.963965564187275</v>
      </c>
      <c r="I227">
        <f t="shared" si="242"/>
        <v>42.034514401800244</v>
      </c>
      <c r="J227">
        <f t="shared" si="242"/>
        <v>38.713261925030444</v>
      </c>
      <c r="K227">
        <f t="shared" si="242"/>
        <v>36.824493056536213</v>
      </c>
      <c r="L227">
        <f t="shared" si="208"/>
        <v>55.352603201292332</v>
      </c>
      <c r="M227">
        <f t="shared" si="209"/>
        <v>-1.4926032012923329</v>
      </c>
      <c r="N227">
        <f t="shared" si="210"/>
        <v>2.2278643165081204</v>
      </c>
    </row>
    <row r="228" spans="1:14" x14ac:dyDescent="0.45">
      <c r="A228" s="22">
        <v>42544</v>
      </c>
      <c r="B228">
        <v>57.52</v>
      </c>
      <c r="C228">
        <v>58.11</v>
      </c>
      <c r="G228">
        <f t="shared" ref="G228:K228" si="243">SUMPRODUCT($B228:$B232,P$2:P$6)</f>
        <v>13.164181927094257</v>
      </c>
      <c r="H228">
        <f t="shared" si="243"/>
        <v>13.482386912940306</v>
      </c>
      <c r="I228">
        <f t="shared" si="243"/>
        <v>43.781111979753902</v>
      </c>
      <c r="J228">
        <f t="shared" si="243"/>
        <v>40.385952895688575</v>
      </c>
      <c r="K228">
        <f t="shared" si="243"/>
        <v>37.00264492517924</v>
      </c>
      <c r="L228">
        <f t="shared" si="208"/>
        <v>57.660726993112505</v>
      </c>
      <c r="M228">
        <f t="shared" si="209"/>
        <v>-2.750726993112508</v>
      </c>
      <c r="N228">
        <f t="shared" si="210"/>
        <v>7.56649899063778</v>
      </c>
    </row>
    <row r="229" spans="1:14" x14ac:dyDescent="0.45">
      <c r="A229" s="22">
        <v>42543</v>
      </c>
      <c r="B229">
        <v>57.14</v>
      </c>
      <c r="C229">
        <v>56.85</v>
      </c>
      <c r="G229">
        <f t="shared" ref="G229:K229" si="244">SUMPRODUCT($B229:$B233,P$2:P$6)</f>
        <v>13.095366157862776</v>
      </c>
      <c r="H229">
        <f t="shared" si="244"/>
        <v>13.400460349129157</v>
      </c>
      <c r="I229">
        <f t="shared" si="244"/>
        <v>43.510241854530371</v>
      </c>
      <c r="J229">
        <f t="shared" si="244"/>
        <v>40.131379106594572</v>
      </c>
      <c r="K229">
        <f t="shared" si="244"/>
        <v>36.839843089428079</v>
      </c>
      <c r="L229">
        <f t="shared" si="208"/>
        <v>57.305147596462042</v>
      </c>
      <c r="M229">
        <f t="shared" si="209"/>
        <v>0.21485240353796087</v>
      </c>
      <c r="N229">
        <f t="shared" si="210"/>
        <v>4.6161555306038778E-2</v>
      </c>
    </row>
    <row r="230" spans="1:14" x14ac:dyDescent="0.45">
      <c r="A230" s="22">
        <v>42542</v>
      </c>
      <c r="B230">
        <v>56.99</v>
      </c>
      <c r="C230">
        <v>57.06</v>
      </c>
      <c r="G230">
        <f t="shared" ref="G230:K230" si="245">SUMPRODUCT($B230:$B234,P$2:P$6)</f>
        <v>13.063811683132789</v>
      </c>
      <c r="H230">
        <f t="shared" si="245"/>
        <v>13.363386316948443</v>
      </c>
      <c r="I230">
        <f t="shared" si="245"/>
        <v>43.39114679775772</v>
      </c>
      <c r="J230">
        <f t="shared" si="245"/>
        <v>40.02278193808484</v>
      </c>
      <c r="K230">
        <f t="shared" si="245"/>
        <v>37.013079816754178</v>
      </c>
      <c r="L230">
        <f t="shared" si="208"/>
        <v>57.150445264369424</v>
      </c>
      <c r="M230">
        <f t="shared" si="209"/>
        <v>-1.0445264369423057E-2</v>
      </c>
      <c r="N230">
        <f t="shared" si="210"/>
        <v>1.0910354774713885E-4</v>
      </c>
    </row>
    <row r="231" spans="1:14" x14ac:dyDescent="0.45">
      <c r="A231" s="22">
        <v>42541</v>
      </c>
      <c r="B231">
        <v>56.78</v>
      </c>
      <c r="C231">
        <v>56.79</v>
      </c>
      <c r="G231">
        <f t="shared" ref="G231:K231" si="246">SUMPRODUCT($B231:$B235,P$2:P$6)</f>
        <v>13.028233081147121</v>
      </c>
      <c r="H231">
        <f t="shared" si="246"/>
        <v>13.322911939595608</v>
      </c>
      <c r="I231">
        <f t="shared" si="246"/>
        <v>43.253798239390051</v>
      </c>
      <c r="J231">
        <f t="shared" si="246"/>
        <v>39.890317102888226</v>
      </c>
      <c r="K231">
        <f t="shared" si="246"/>
        <v>36.895411722284258</v>
      </c>
      <c r="L231">
        <f t="shared" si="208"/>
        <v>56.968483496300166</v>
      </c>
      <c r="M231">
        <f t="shared" si="209"/>
        <v>2.151650369983571E-2</v>
      </c>
      <c r="N231">
        <f t="shared" si="210"/>
        <v>4.6295993146504375E-4</v>
      </c>
    </row>
    <row r="232" spans="1:14" x14ac:dyDescent="0.45">
      <c r="A232" s="22">
        <v>42538</v>
      </c>
      <c r="B232">
        <v>56.85</v>
      </c>
      <c r="C232">
        <v>55.99</v>
      </c>
      <c r="G232">
        <f t="shared" ref="G232:K232" si="247">SUMPRODUCT($B232:$B236,P$2:P$6)</f>
        <v>13.040032940350645</v>
      </c>
      <c r="H232">
        <f t="shared" si="247"/>
        <v>13.326460134032047</v>
      </c>
      <c r="I232">
        <f t="shared" si="247"/>
        <v>43.274017209005393</v>
      </c>
      <c r="J232">
        <f t="shared" si="247"/>
        <v>39.917445977437737</v>
      </c>
      <c r="K232">
        <f t="shared" si="247"/>
        <v>36.917702145440586</v>
      </c>
      <c r="L232">
        <f t="shared" si="208"/>
        <v>56.999017458986927</v>
      </c>
      <c r="M232">
        <f t="shared" si="209"/>
        <v>-0.21901745898692582</v>
      </c>
      <c r="N232">
        <f t="shared" si="210"/>
        <v>4.7968647341089729E-2</v>
      </c>
    </row>
    <row r="233" spans="1:14" x14ac:dyDescent="0.45">
      <c r="A233" s="22">
        <v>42537</v>
      </c>
      <c r="B233">
        <v>56.51</v>
      </c>
      <c r="C233">
        <v>56.9</v>
      </c>
      <c r="G233">
        <f t="shared" ref="G233:K233" si="248">SUMPRODUCT($B233:$B237,P$2:P$6)</f>
        <v>13.022911927055956</v>
      </c>
      <c r="H233">
        <f t="shared" si="248"/>
        <v>13.280922264901449</v>
      </c>
      <c r="I233">
        <f t="shared" si="248"/>
        <v>43.103041671007567</v>
      </c>
      <c r="J233">
        <f t="shared" si="248"/>
        <v>39.737211729202556</v>
      </c>
      <c r="K233">
        <f t="shared" si="248"/>
        <v>36.929973629521015</v>
      </c>
      <c r="L233">
        <f t="shared" si="208"/>
        <v>56.764971797854287</v>
      </c>
      <c r="M233">
        <f t="shared" si="209"/>
        <v>8.5028202145714715E-2</v>
      </c>
      <c r="N233">
        <f t="shared" si="210"/>
        <v>7.2297951601325242E-3</v>
      </c>
    </row>
    <row r="234" spans="1:14" x14ac:dyDescent="0.45">
      <c r="A234" s="22">
        <v>42536</v>
      </c>
      <c r="B234">
        <v>57.26</v>
      </c>
      <c r="C234">
        <v>56.87</v>
      </c>
      <c r="G234">
        <f t="shared" ref="G234:K234" si="249">SUMPRODUCT($B234:$B238,P$2:P$6)</f>
        <v>13.104768152885653</v>
      </c>
      <c r="H234">
        <f t="shared" si="249"/>
        <v>13.419506608763182</v>
      </c>
      <c r="I234">
        <f t="shared" si="249"/>
        <v>43.578232164764103</v>
      </c>
      <c r="J234">
        <f t="shared" si="249"/>
        <v>40.200083356364914</v>
      </c>
      <c r="K234">
        <f t="shared" si="249"/>
        <v>37.163071405311584</v>
      </c>
      <c r="L234">
        <f t="shared" si="208"/>
        <v>57.396760801932224</v>
      </c>
      <c r="M234">
        <f t="shared" si="209"/>
        <v>-0.88676080193222617</v>
      </c>
      <c r="N234">
        <f t="shared" si="210"/>
        <v>0.78634471984348486</v>
      </c>
    </row>
    <row r="235" spans="1:14" x14ac:dyDescent="0.45">
      <c r="A235" s="22">
        <v>42535</v>
      </c>
      <c r="B235">
        <v>56.82</v>
      </c>
      <c r="C235">
        <v>57.07</v>
      </c>
      <c r="G235">
        <f t="shared" ref="G235:K235" si="250">SUMPRODUCT($B235:$B239,P$2:P$6)</f>
        <v>13.0455265169289</v>
      </c>
      <c r="H235">
        <f t="shared" si="250"/>
        <v>13.33135444725756</v>
      </c>
      <c r="I235">
        <f t="shared" si="250"/>
        <v>43.281844288547454</v>
      </c>
      <c r="J235">
        <f t="shared" si="250"/>
        <v>39.916803423812574</v>
      </c>
      <c r="K235">
        <f t="shared" si="250"/>
        <v>37.277337710290759</v>
      </c>
      <c r="L235">
        <f t="shared" si="208"/>
        <v>57.005363403298965</v>
      </c>
      <c r="M235">
        <f t="shared" si="209"/>
        <v>0.25463659670103311</v>
      </c>
      <c r="N235">
        <f t="shared" si="210"/>
        <v>6.4839796379484588E-2</v>
      </c>
    </row>
    <row r="236" spans="1:14" x14ac:dyDescent="0.45">
      <c r="A236" s="22">
        <v>42534</v>
      </c>
      <c r="B236">
        <v>56.86</v>
      </c>
      <c r="C236">
        <v>56.87</v>
      </c>
      <c r="G236">
        <f t="shared" ref="G236:K236" si="251">SUMPRODUCT($B236:$B240,P$2:P$6)</f>
        <v>13.072699034349892</v>
      </c>
      <c r="H236">
        <f t="shared" si="251"/>
        <v>13.340424759225282</v>
      </c>
      <c r="I236">
        <f t="shared" si="251"/>
        <v>43.311504516905778</v>
      </c>
      <c r="J236">
        <f t="shared" si="251"/>
        <v>39.944365304853029</v>
      </c>
      <c r="K236">
        <f t="shared" si="251"/>
        <v>37.250574837130799</v>
      </c>
      <c r="L236">
        <f t="shared" si="208"/>
        <v>57.044145114619752</v>
      </c>
      <c r="M236">
        <f t="shared" si="209"/>
        <v>-0.22414511461975195</v>
      </c>
      <c r="N236">
        <f t="shared" si="210"/>
        <v>5.0241032407901738E-2</v>
      </c>
    </row>
    <row r="237" spans="1:14" x14ac:dyDescent="0.45">
      <c r="A237" s="22">
        <v>42531</v>
      </c>
      <c r="B237">
        <v>56.89</v>
      </c>
      <c r="C237">
        <v>56.96</v>
      </c>
      <c r="G237">
        <f t="shared" ref="G237:K237" si="252">SUMPRODUCT($B237:$B241,P$2:P$6)</f>
        <v>13.125768400273314</v>
      </c>
      <c r="H237">
        <f t="shared" si="252"/>
        <v>13.367873617266062</v>
      </c>
      <c r="I237">
        <f t="shared" si="252"/>
        <v>43.386829662291817</v>
      </c>
      <c r="J237">
        <f t="shared" si="252"/>
        <v>40.000389246486137</v>
      </c>
      <c r="K237">
        <f t="shared" si="252"/>
        <v>37.486202210737943</v>
      </c>
      <c r="L237">
        <f t="shared" si="208"/>
        <v>57.135771829694534</v>
      </c>
      <c r="M237">
        <f t="shared" si="209"/>
        <v>-0.27577182969453418</v>
      </c>
      <c r="N237">
        <f t="shared" si="210"/>
        <v>7.6050102053071167E-2</v>
      </c>
    </row>
    <row r="238" spans="1:14" x14ac:dyDescent="0.45">
      <c r="A238" s="22">
        <v>42530</v>
      </c>
      <c r="B238">
        <v>57.57</v>
      </c>
      <c r="C238">
        <v>57.56</v>
      </c>
      <c r="G238">
        <f t="shared" ref="G238:K238" si="253">SUMPRODUCT($B238:$B242,P$2:P$6)</f>
        <v>13.228827887015285</v>
      </c>
      <c r="H238">
        <f t="shared" si="253"/>
        <v>13.515784217504461</v>
      </c>
      <c r="I238">
        <f t="shared" si="253"/>
        <v>43.874900554187938</v>
      </c>
      <c r="J238">
        <f t="shared" si="253"/>
        <v>40.458177276684907</v>
      </c>
      <c r="K238">
        <f t="shared" si="253"/>
        <v>37.732912178088938</v>
      </c>
      <c r="L238">
        <f t="shared" si="208"/>
        <v>57.776025642309804</v>
      </c>
      <c r="M238">
        <f t="shared" si="209"/>
        <v>-0.88602564230980363</v>
      </c>
      <c r="N238">
        <f t="shared" si="210"/>
        <v>0.78504143883050004</v>
      </c>
    </row>
    <row r="239" spans="1:14" x14ac:dyDescent="0.45">
      <c r="A239" s="22">
        <v>42529</v>
      </c>
      <c r="B239">
        <v>57.88</v>
      </c>
      <c r="C239">
        <v>57.78</v>
      </c>
      <c r="G239">
        <f t="shared" ref="G239:K239" si="254">SUMPRODUCT($B239:$B243,P$2:P$6)</f>
        <v>13.265956008864945</v>
      </c>
      <c r="H239">
        <f t="shared" si="254"/>
        <v>13.566216069101324</v>
      </c>
      <c r="I239">
        <f t="shared" si="254"/>
        <v>44.053702520575442</v>
      </c>
      <c r="J239">
        <f t="shared" si="254"/>
        <v>40.637769298599274</v>
      </c>
      <c r="K239">
        <f t="shared" si="254"/>
        <v>37.405691359059617</v>
      </c>
      <c r="L239">
        <f t="shared" si="208"/>
        <v>58.016416360036715</v>
      </c>
      <c r="M239">
        <f t="shared" si="209"/>
        <v>-0.44641636003671437</v>
      </c>
      <c r="N239">
        <f t="shared" si="210"/>
        <v>0.19928756650842938</v>
      </c>
    </row>
    <row r="240" spans="1:14" x14ac:dyDescent="0.45">
      <c r="A240" s="22">
        <v>42528</v>
      </c>
      <c r="B240">
        <v>57.48</v>
      </c>
      <c r="C240">
        <v>57.79</v>
      </c>
      <c r="G240">
        <f t="shared" ref="G240:K240" si="255">SUMPRODUCT($B240:$B244,P$2:P$6)</f>
        <v>13.257355538868053</v>
      </c>
      <c r="H240">
        <f t="shared" si="255"/>
        <v>13.502834754680961</v>
      </c>
      <c r="I240">
        <f t="shared" si="255"/>
        <v>43.827339986849623</v>
      </c>
      <c r="J240">
        <f t="shared" si="255"/>
        <v>40.408935275292983</v>
      </c>
      <c r="K240">
        <f t="shared" si="255"/>
        <v>37.641414502810022</v>
      </c>
      <c r="L240">
        <f t="shared" si="208"/>
        <v>57.711359978470981</v>
      </c>
      <c r="M240">
        <f t="shared" si="209"/>
        <v>0.16864002152902202</v>
      </c>
      <c r="N240">
        <f t="shared" si="210"/>
        <v>2.8439456861309012E-2</v>
      </c>
    </row>
    <row r="241" spans="1:14" x14ac:dyDescent="0.45">
      <c r="A241" s="22">
        <v>42527</v>
      </c>
      <c r="B241">
        <v>58.05</v>
      </c>
      <c r="C241">
        <v>57.09</v>
      </c>
      <c r="G241">
        <f t="shared" ref="G241:K241" si="256">SUMPRODUCT($B241:$B245,P$2:P$6)</f>
        <v>13.328645075551119</v>
      </c>
      <c r="H241">
        <f t="shared" si="256"/>
        <v>13.634672875049933</v>
      </c>
      <c r="I241">
        <f t="shared" si="256"/>
        <v>44.256651574896829</v>
      </c>
      <c r="J241">
        <f t="shared" si="256"/>
        <v>40.806118426539982</v>
      </c>
      <c r="K241">
        <f t="shared" si="256"/>
        <v>37.777015563808192</v>
      </c>
      <c r="L241">
        <f t="shared" si="208"/>
        <v>58.271835409396992</v>
      </c>
      <c r="M241">
        <f t="shared" si="209"/>
        <v>-0.79183540939699526</v>
      </c>
      <c r="N241">
        <f t="shared" si="210"/>
        <v>0.62700331557490707</v>
      </c>
    </row>
    <row r="242" spans="1:14" x14ac:dyDescent="0.45">
      <c r="A242" s="22">
        <v>42524</v>
      </c>
      <c r="B242">
        <v>58.56</v>
      </c>
      <c r="C242">
        <v>58.11</v>
      </c>
      <c r="G242">
        <f t="shared" ref="G242:K242" si="257">SUMPRODUCT($B242:$B246,P$2:P$6)</f>
        <v>13.347824552656622</v>
      </c>
      <c r="H242">
        <f t="shared" si="257"/>
        <v>13.695600621694707</v>
      </c>
      <c r="I242">
        <f t="shared" si="257"/>
        <v>44.494143615819624</v>
      </c>
      <c r="J242">
        <f t="shared" si="257"/>
        <v>41.063834466423621</v>
      </c>
      <c r="K242">
        <f t="shared" si="257"/>
        <v>37.778548323713814</v>
      </c>
      <c r="L242">
        <f t="shared" si="208"/>
        <v>58.600551480724469</v>
      </c>
      <c r="M242">
        <f t="shared" si="209"/>
        <v>-0.55055148072447224</v>
      </c>
      <c r="N242">
        <f t="shared" si="210"/>
        <v>0.30310693292790891</v>
      </c>
    </row>
    <row r="243" spans="1:14" x14ac:dyDescent="0.45">
      <c r="A243" s="22">
        <v>42523</v>
      </c>
      <c r="B243">
        <v>57.2</v>
      </c>
      <c r="C243">
        <v>58.28</v>
      </c>
      <c r="G243">
        <f t="shared" ref="G243:K243" si="258">SUMPRODUCT($B243:$B247,P$2:P$6)</f>
        <v>13.217351216143472</v>
      </c>
      <c r="H243">
        <f t="shared" si="258"/>
        <v>13.447822573979527</v>
      </c>
      <c r="I243">
        <f t="shared" si="258"/>
        <v>43.641518187472371</v>
      </c>
      <c r="J243">
        <f t="shared" si="258"/>
        <v>40.230523540418375</v>
      </c>
      <c r="K243">
        <f t="shared" si="258"/>
        <v>37.729288074370743</v>
      </c>
      <c r="L243">
        <f t="shared" si="208"/>
        <v>57.465574584103997</v>
      </c>
      <c r="M243">
        <f t="shared" si="209"/>
        <v>1.0944254158960049</v>
      </c>
      <c r="N243">
        <f t="shared" si="210"/>
        <v>1.1977669909591433</v>
      </c>
    </row>
    <row r="244" spans="1:14" x14ac:dyDescent="0.45">
      <c r="A244" s="22">
        <v>42522</v>
      </c>
      <c r="B244">
        <v>58.11</v>
      </c>
      <c r="C244">
        <v>58.65</v>
      </c>
      <c r="G244">
        <f t="shared" ref="G244:K244" si="259">SUMPRODUCT($B244:$B248,P$2:P$6)</f>
        <v>13.36293144853121</v>
      </c>
      <c r="H244">
        <f t="shared" si="259"/>
        <v>13.642783307624779</v>
      </c>
      <c r="I244">
        <f t="shared" si="259"/>
        <v>44.287014397429914</v>
      </c>
      <c r="J244">
        <f t="shared" si="259"/>
        <v>40.838051915271663</v>
      </c>
      <c r="K244">
        <f t="shared" si="259"/>
        <v>37.740638675752997</v>
      </c>
      <c r="L244">
        <f t="shared" si="208"/>
        <v>58.313362537008103</v>
      </c>
      <c r="M244">
        <f t="shared" si="209"/>
        <v>-1.1133625370081006</v>
      </c>
      <c r="N244">
        <f t="shared" si="210"/>
        <v>1.2395761388131141</v>
      </c>
    </row>
    <row r="245" spans="1:14" x14ac:dyDescent="0.45">
      <c r="A245" s="22">
        <v>42521</v>
      </c>
      <c r="B245">
        <v>58.43</v>
      </c>
      <c r="C245">
        <v>58.5</v>
      </c>
      <c r="G245">
        <f t="shared" ref="G245:K245" si="260">SUMPRODUCT($B245:$B249,P$2:P$6)</f>
        <v>13.399605171788069</v>
      </c>
      <c r="H245">
        <f t="shared" si="260"/>
        <v>13.705295163148079</v>
      </c>
      <c r="I245">
        <f t="shared" si="260"/>
        <v>44.498458951033051</v>
      </c>
      <c r="J245">
        <f t="shared" si="260"/>
        <v>41.041336251881376</v>
      </c>
      <c r="K245">
        <f t="shared" si="260"/>
        <v>37.472166469351208</v>
      </c>
      <c r="L245">
        <f t="shared" si="208"/>
        <v>58.593172255436187</v>
      </c>
      <c r="M245">
        <f t="shared" si="209"/>
        <v>-0.48317225543618747</v>
      </c>
      <c r="N245">
        <f t="shared" si="210"/>
        <v>0.23345542842329239</v>
      </c>
    </row>
    <row r="246" spans="1:14" x14ac:dyDescent="0.45">
      <c r="A246" s="22">
        <v>42517</v>
      </c>
      <c r="B246">
        <v>58.35</v>
      </c>
      <c r="C246">
        <v>58.44</v>
      </c>
      <c r="G246">
        <f t="shared" ref="G246:K246" si="261">SUMPRODUCT($B246:$B250,P$2:P$6)</f>
        <v>13.372506057482134</v>
      </c>
      <c r="H246">
        <f t="shared" si="261"/>
        <v>13.684642778908128</v>
      </c>
      <c r="I246">
        <f t="shared" si="261"/>
        <v>44.432680559643003</v>
      </c>
      <c r="J246">
        <f t="shared" si="261"/>
        <v>40.981911947785939</v>
      </c>
      <c r="K246">
        <f t="shared" si="261"/>
        <v>37.263664087728813</v>
      </c>
      <c r="L246">
        <f t="shared" si="208"/>
        <v>58.508000111188778</v>
      </c>
      <c r="M246">
        <f t="shared" si="209"/>
        <v>-7.8000111188778476E-2</v>
      </c>
      <c r="N246">
        <f t="shared" si="210"/>
        <v>6.0840173454618056E-3</v>
      </c>
    </row>
    <row r="247" spans="1:14" x14ac:dyDescent="0.45">
      <c r="A247" s="22">
        <v>42516</v>
      </c>
      <c r="B247">
        <v>58.21</v>
      </c>
      <c r="C247">
        <v>58.29</v>
      </c>
      <c r="G247">
        <f t="shared" ref="G247:K247" si="262">SUMPRODUCT($B247:$B251,P$2:P$6)</f>
        <v>13.312738695345255</v>
      </c>
      <c r="H247">
        <f t="shared" si="262"/>
        <v>13.648029836636127</v>
      </c>
      <c r="I247">
        <f t="shared" si="262"/>
        <v>44.316357000546397</v>
      </c>
      <c r="J247">
        <f t="shared" si="262"/>
        <v>40.877112529963782</v>
      </c>
      <c r="K247">
        <f t="shared" si="262"/>
        <v>36.894567317367972</v>
      </c>
      <c r="L247">
        <f t="shared" si="208"/>
        <v>58.357521503773306</v>
      </c>
      <c r="M247">
        <f t="shared" si="209"/>
        <v>-7.5215037733045165E-3</v>
      </c>
      <c r="N247">
        <f t="shared" si="210"/>
        <v>5.6573019011834081E-5</v>
      </c>
    </row>
    <row r="248" spans="1:14" x14ac:dyDescent="0.45">
      <c r="A248" s="22">
        <v>42515</v>
      </c>
      <c r="B248">
        <v>57.95</v>
      </c>
      <c r="C248">
        <v>58.27</v>
      </c>
      <c r="G248">
        <f>SUMPRODUCT($B248:$B252,P$2:P$6)</f>
        <v>13.216489003336637</v>
      </c>
      <c r="H248">
        <f>SUMPRODUCT($B248:$B252,Q$2:Q$6)</f>
        <v>13.568506744395847</v>
      </c>
      <c r="I248">
        <f>SUMPRODUCT($B248:$B252,R$2:R$6)</f>
        <v>44.070689804819011</v>
      </c>
      <c r="J248">
        <f>SUMPRODUCT($B248:$B252,S$2:S$6)</f>
        <v>40.662745553794842</v>
      </c>
      <c r="K248">
        <f>SUMPRODUCT($B248:$B252,T$2:T$6)</f>
        <v>36.601603844868599</v>
      </c>
      <c r="L248">
        <f>(G248+$P$7)*$U$2+(H248+$Q$7)*$U$3+(I248+$R$7)*$U$4+(J248+$S$7)*$U$5+(K248+$T$7)*$U$6+$U$7</f>
        <v>58.043141681348501</v>
      </c>
      <c r="M248">
        <f>B247-L248</f>
        <v>0.16685831865149936</v>
      </c>
      <c r="N248">
        <f>M248^2</f>
        <v>2.7841698503205298E-2</v>
      </c>
    </row>
    <row r="249" spans="1:14" x14ac:dyDescent="0.45">
      <c r="A249" s="22">
        <v>42514</v>
      </c>
      <c r="B249">
        <v>57.1</v>
      </c>
      <c r="C249">
        <v>58.22</v>
      </c>
    </row>
    <row r="250" spans="1:14" x14ac:dyDescent="0.45">
      <c r="A250" s="22">
        <v>42513</v>
      </c>
      <c r="B250">
        <v>56.77</v>
      </c>
      <c r="C250">
        <v>56.76</v>
      </c>
    </row>
    <row r="251" spans="1:14" x14ac:dyDescent="0.45">
      <c r="A251" s="22">
        <v>42510</v>
      </c>
      <c r="B251">
        <v>56.01</v>
      </c>
      <c r="C251">
        <v>56.54</v>
      </c>
    </row>
    <row r="252" spans="1:14" x14ac:dyDescent="0.45">
      <c r="A252" s="22">
        <v>42509</v>
      </c>
      <c r="B252">
        <v>55.67</v>
      </c>
      <c r="C252">
        <v>55.7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56.1</v>
      </c>
      <c r="C2">
        <v>54.23</v>
      </c>
      <c r="G2">
        <f t="shared" ref="G2" si="0">SUMPRODUCT($B2:$B6,P$2:P$6)</f>
        <v>26.899308598081763</v>
      </c>
      <c r="H2">
        <f t="shared" ref="H2" si="1">SUMPRODUCT($B2:$B6,Q$2:Q$6)</f>
        <v>26.920064114087833</v>
      </c>
      <c r="I2">
        <f t="shared" ref="I2" si="2">SUMPRODUCT($B2:$B6,R$2:R$6)</f>
        <v>26.927567324716495</v>
      </c>
      <c r="J2">
        <f t="shared" ref="J2" si="3">SUMPRODUCT($B2:$B6,S$2:S$6)</f>
        <v>26.929243535362907</v>
      </c>
      <c r="K2">
        <f t="shared" ref="K2" si="4">SUMPRODUCT($B2:$B6,T$2:T$6)</f>
        <v>26.100899959535997</v>
      </c>
      <c r="L2">
        <f t="shared" ref="L2" si="5">(G2+$P$7)*$U$2+(H2+$Q$7)*$U$3+(I2+$R$7)*$U$4+(J2+$S$7)*$U$5+(K2+$T$7)*$U$6+$U$7</f>
        <v>56.199908346332066</v>
      </c>
      <c r="P2">
        <v>0.45959179430002239</v>
      </c>
      <c r="Q2">
        <v>0.4605016593392029</v>
      </c>
      <c r="R2">
        <v>0.46036350784068802</v>
      </c>
      <c r="S2">
        <v>0.46050411417466497</v>
      </c>
      <c r="T2">
        <v>0.44639889474313821</v>
      </c>
      <c r="U2">
        <v>0.42237276846053012</v>
      </c>
      <c r="W2" t="s">
        <v>30</v>
      </c>
    </row>
    <row r="3" spans="1:23" x14ac:dyDescent="0.45">
      <c r="A3" s="22">
        <v>42871</v>
      </c>
      <c r="B3">
        <v>56.71</v>
      </c>
      <c r="C3">
        <v>56.78</v>
      </c>
      <c r="G3">
        <f t="shared" ref="G3:K3" si="6">SUMPRODUCT($B3:$B7,P$2:P$6)</f>
        <v>27.173705144818772</v>
      </c>
      <c r="H3">
        <f t="shared" si="6"/>
        <v>27.195272008312394</v>
      </c>
      <c r="I3">
        <f t="shared" si="6"/>
        <v>27.202598327468525</v>
      </c>
      <c r="J3">
        <f t="shared" si="6"/>
        <v>27.204388911454558</v>
      </c>
      <c r="K3">
        <f t="shared" si="6"/>
        <v>26.367630329442296</v>
      </c>
      <c r="L3">
        <f t="shared" ref="L3:L66" si="7">(G3+$P$7)*$U$2+(H3+$Q$7)*$U$3+(I3+$R$7)*$U$4+(J3+$S$7)*$U$5+(K3+$T$7)*$U$6+$U$7</f>
        <v>56.773979921017471</v>
      </c>
      <c r="M3">
        <f t="shared" ref="M3:M66" si="8">B2-L3</f>
        <v>-0.67397992101746951</v>
      </c>
      <c r="N3">
        <f t="shared" ref="N3:N66" si="9">M3^2</f>
        <v>0.45424893393471444</v>
      </c>
      <c r="P3">
        <v>5.0700077683601711E-8</v>
      </c>
      <c r="Q3">
        <v>0</v>
      </c>
      <c r="R3">
        <v>0</v>
      </c>
      <c r="S3">
        <v>0</v>
      </c>
      <c r="T3">
        <v>0</v>
      </c>
      <c r="U3">
        <v>0.42316029081923484</v>
      </c>
      <c r="V3" t="s">
        <v>28</v>
      </c>
      <c r="W3">
        <f>SUM(N3:N252)</f>
        <v>118.36727968769009</v>
      </c>
    </row>
    <row r="4" spans="1:23" x14ac:dyDescent="0.45">
      <c r="A4" s="22">
        <v>42870</v>
      </c>
      <c r="B4">
        <v>56.01</v>
      </c>
      <c r="C4">
        <v>56.41</v>
      </c>
      <c r="G4">
        <f t="shared" ref="G4:K4" si="10">SUMPRODUCT($B4:$B8,P$2:P$6)</f>
        <v>26.844671452457611</v>
      </c>
      <c r="H4">
        <f t="shared" si="10"/>
        <v>26.866019448866155</v>
      </c>
      <c r="I4">
        <f t="shared" si="10"/>
        <v>26.873316394337888</v>
      </c>
      <c r="J4">
        <f t="shared" si="10"/>
        <v>26.875037906083406</v>
      </c>
      <c r="K4">
        <f t="shared" si="10"/>
        <v>26.048377250287945</v>
      </c>
      <c r="L4">
        <f t="shared" si="7"/>
        <v>56.086622415860774</v>
      </c>
      <c r="M4">
        <f t="shared" si="8"/>
        <v>0.62337758413922728</v>
      </c>
      <c r="N4">
        <f t="shared" si="9"/>
        <v>0.38859961240725938</v>
      </c>
      <c r="P4">
        <v>1.3663563562810082E-2</v>
      </c>
      <c r="Q4">
        <v>1.3450606507215662E-2</v>
      </c>
      <c r="R4">
        <v>1.3618593176168784E-2</v>
      </c>
      <c r="S4">
        <v>1.3534049737591111E-2</v>
      </c>
      <c r="T4">
        <v>1.3067565191953522E-2</v>
      </c>
      <c r="U4">
        <v>0.42289222471015592</v>
      </c>
      <c r="V4" t="s">
        <v>29</v>
      </c>
      <c r="W4">
        <f>MAX(N3:N252)</f>
        <v>30.003203150126698</v>
      </c>
    </row>
    <row r="5" spans="1:23" x14ac:dyDescent="0.45">
      <c r="A5" s="22">
        <v>42867</v>
      </c>
      <c r="B5">
        <v>55.9</v>
      </c>
      <c r="C5">
        <v>56.01</v>
      </c>
      <c r="G5">
        <f t="shared" ref="G5:K5" si="11">SUMPRODUCT($B5:$B9,P$2:P$6)</f>
        <v>26.783600179364303</v>
      </c>
      <c r="H5">
        <f t="shared" si="11"/>
        <v>26.805041924925263</v>
      </c>
      <c r="I5">
        <f t="shared" si="11"/>
        <v>26.812221221377573</v>
      </c>
      <c r="J5">
        <f t="shared" si="11"/>
        <v>26.813989845814973</v>
      </c>
      <c r="K5">
        <f t="shared" si="11"/>
        <v>25.989238187102579</v>
      </c>
      <c r="L5">
        <f t="shared" si="7"/>
        <v>55.959192112477226</v>
      </c>
      <c r="M5">
        <f t="shared" si="8"/>
        <v>5.0807887522772432E-2</v>
      </c>
      <c r="N5">
        <f t="shared" si="9"/>
        <v>2.5814414345266944E-3</v>
      </c>
      <c r="P5">
        <v>2.638384583457566E-10</v>
      </c>
      <c r="Q5">
        <v>0</v>
      </c>
      <c r="R5">
        <v>9.2756822235833935E-11</v>
      </c>
      <c r="S5">
        <v>7.3607729056442594E-7</v>
      </c>
      <c r="T5">
        <v>3.683656053968775E-9</v>
      </c>
      <c r="U5">
        <v>0.42324370686715407</v>
      </c>
    </row>
    <row r="6" spans="1:23" x14ac:dyDescent="0.45">
      <c r="A6" s="22">
        <v>42866</v>
      </c>
      <c r="B6">
        <v>55.97</v>
      </c>
      <c r="C6">
        <v>55.75</v>
      </c>
      <c r="G6">
        <f t="shared" ref="G6:K6" si="12">SUMPRODUCT($B6:$B10,P$2:P$6)</f>
        <v>26.798926890187769</v>
      </c>
      <c r="H6">
        <f t="shared" si="12"/>
        <v>26.820651148572225</v>
      </c>
      <c r="I6">
        <f t="shared" si="12"/>
        <v>26.827618872428442</v>
      </c>
      <c r="J6">
        <f t="shared" si="12"/>
        <v>26.829503688978662</v>
      </c>
      <c r="K6">
        <f t="shared" si="12"/>
        <v>26.004343612716447</v>
      </c>
      <c r="L6">
        <f t="shared" si="7"/>
        <v>55.991518897165776</v>
      </c>
      <c r="M6">
        <f t="shared" si="8"/>
        <v>-9.1518897165776991E-2</v>
      </c>
      <c r="N6">
        <f t="shared" si="9"/>
        <v>8.3757085384400642E-3</v>
      </c>
      <c r="P6">
        <v>6.2696060880389455E-3</v>
      </c>
      <c r="Q6">
        <v>5.9416214881079085E-3</v>
      </c>
      <c r="R6">
        <v>6.0460447716915444E-3</v>
      </c>
      <c r="S6">
        <v>6.0189290269998296E-3</v>
      </c>
      <c r="T6">
        <v>5.8246816531758528E-3</v>
      </c>
      <c r="U6">
        <v>0.40848318676307438</v>
      </c>
    </row>
    <row r="7" spans="1:23" x14ac:dyDescent="0.45">
      <c r="A7" s="22">
        <v>42865</v>
      </c>
      <c r="B7">
        <v>55.26</v>
      </c>
      <c r="C7">
        <v>55.99</v>
      </c>
      <c r="G7">
        <f t="shared" ref="G7:K7" si="13">SUMPRODUCT($B7:$B11,P$2:P$6)</f>
        <v>26.464382691826938</v>
      </c>
      <c r="H7">
        <f t="shared" si="13"/>
        <v>26.485826521462702</v>
      </c>
      <c r="I7">
        <f t="shared" si="13"/>
        <v>26.492762938651431</v>
      </c>
      <c r="J7">
        <f t="shared" si="13"/>
        <v>26.494586984405633</v>
      </c>
      <c r="K7">
        <f t="shared" si="13"/>
        <v>25.679702192570989</v>
      </c>
      <c r="L7">
        <f t="shared" si="7"/>
        <v>55.292562131166711</v>
      </c>
      <c r="M7">
        <f t="shared" si="8"/>
        <v>0.67743786883328738</v>
      </c>
      <c r="N7">
        <f t="shared" si="9"/>
        <v>0.4589220661293863</v>
      </c>
      <c r="O7" t="s">
        <v>27</v>
      </c>
      <c r="P7">
        <v>7.3737517293055046E-8</v>
      </c>
      <c r="Q7">
        <v>0</v>
      </c>
      <c r="R7">
        <v>1.2658573495944683E-7</v>
      </c>
      <c r="S7">
        <v>1.2628454898365621E-7</v>
      </c>
      <c r="T7">
        <v>2.5630827289203658E-7</v>
      </c>
      <c r="U7">
        <v>0</v>
      </c>
    </row>
    <row r="8" spans="1:23" x14ac:dyDescent="0.45">
      <c r="A8" s="22">
        <v>42864</v>
      </c>
      <c r="B8">
        <v>53.94</v>
      </c>
      <c r="C8">
        <v>54.62</v>
      </c>
      <c r="G8">
        <f t="shared" ref="G8:K8" si="14">SUMPRODUCT($B8:$B12,P$2:P$6)</f>
        <v>25.861446122660922</v>
      </c>
      <c r="H8">
        <f t="shared" si="14"/>
        <v>25.881589438239185</v>
      </c>
      <c r="I8">
        <f t="shared" si="14"/>
        <v>25.888758928968556</v>
      </c>
      <c r="J8">
        <f t="shared" si="14"/>
        <v>25.890375672210467</v>
      </c>
      <c r="K8">
        <f t="shared" si="14"/>
        <v>25.093986927799918</v>
      </c>
      <c r="L8">
        <f t="shared" si="7"/>
        <v>54.031796930598674</v>
      </c>
      <c r="M8">
        <f t="shared" si="8"/>
        <v>1.2282030694013244</v>
      </c>
      <c r="N8">
        <f t="shared" si="9"/>
        <v>1.5084827796868345</v>
      </c>
    </row>
    <row r="9" spans="1:23" x14ac:dyDescent="0.45">
      <c r="A9" s="22">
        <v>42863</v>
      </c>
      <c r="B9">
        <v>53.81</v>
      </c>
      <c r="C9">
        <v>53.99</v>
      </c>
      <c r="G9">
        <f t="shared" ref="G9:K9" si="15">SUMPRODUCT($B9:$B13,P$2:P$6)</f>
        <v>25.787751120734498</v>
      </c>
      <c r="H9">
        <f t="shared" si="15"/>
        <v>25.807988930252424</v>
      </c>
      <c r="I9">
        <f t="shared" si="15"/>
        <v>25.815005442889952</v>
      </c>
      <c r="J9">
        <f t="shared" si="15"/>
        <v>25.816690577212498</v>
      </c>
      <c r="K9">
        <f t="shared" si="15"/>
        <v>25.022611973631729</v>
      </c>
      <c r="L9">
        <f t="shared" si="7"/>
        <v>53.877993358959785</v>
      </c>
      <c r="M9">
        <f t="shared" si="8"/>
        <v>6.200664104021314E-2</v>
      </c>
      <c r="N9">
        <f t="shared" si="9"/>
        <v>3.8448235330898442E-3</v>
      </c>
    </row>
    <row r="10" spans="1:23" x14ac:dyDescent="0.45">
      <c r="A10" s="22">
        <v>42860</v>
      </c>
      <c r="B10">
        <v>54</v>
      </c>
      <c r="C10">
        <v>53.83</v>
      </c>
      <c r="G10">
        <f t="shared" ref="G10:K10" si="16">SUMPRODUCT($B10:$B14,P$2:P$6)</f>
        <v>25.874147363589461</v>
      </c>
      <c r="H10">
        <f t="shared" si="16"/>
        <v>25.894696879094589</v>
      </c>
      <c r="I10">
        <f t="shared" si="16"/>
        <v>25.901660991976527</v>
      </c>
      <c r="J10">
        <f t="shared" si="16"/>
        <v>25.903372280905415</v>
      </c>
      <c r="K10">
        <f t="shared" si="16"/>
        <v>25.106634597348432</v>
      </c>
      <c r="L10">
        <f t="shared" si="7"/>
        <v>54.058831412708663</v>
      </c>
      <c r="M10">
        <f t="shared" si="8"/>
        <v>-0.24883141270866105</v>
      </c>
      <c r="N10">
        <f t="shared" si="9"/>
        <v>6.1917071950588001E-2</v>
      </c>
    </row>
    <row r="11" spans="1:23" x14ac:dyDescent="0.45">
      <c r="A11" s="22">
        <v>42859</v>
      </c>
      <c r="B11">
        <v>52.97</v>
      </c>
      <c r="C11">
        <v>53.1</v>
      </c>
      <c r="G11">
        <f t="shared" ref="G11:K11" si="17">SUMPRODUCT($B11:$B15,P$2:P$6)</f>
        <v>25.396464283270962</v>
      </c>
      <c r="H11">
        <f t="shared" si="17"/>
        <v>25.416311798419034</v>
      </c>
      <c r="I11">
        <f t="shared" si="17"/>
        <v>25.423345338030721</v>
      </c>
      <c r="J11">
        <f t="shared" si="17"/>
        <v>25.424929508628814</v>
      </c>
      <c r="K11">
        <f t="shared" si="17"/>
        <v>24.642853067470845</v>
      </c>
      <c r="L11">
        <f t="shared" si="7"/>
        <v>53.06041669700631</v>
      </c>
      <c r="M11">
        <f t="shared" si="8"/>
        <v>0.93958330299368953</v>
      </c>
      <c r="N11">
        <f t="shared" si="9"/>
        <v>0.88281678326453139</v>
      </c>
    </row>
    <row r="12" spans="1:23" x14ac:dyDescent="0.45">
      <c r="A12" s="22">
        <v>42858</v>
      </c>
      <c r="B12">
        <v>53.15</v>
      </c>
      <c r="C12">
        <v>52.84</v>
      </c>
      <c r="G12">
        <f t="shared" ref="G12:K12" si="18">SUMPRODUCT($B12:$B16,P$2:P$6)</f>
        <v>25.469492728489879</v>
      </c>
      <c r="H12">
        <f t="shared" si="18"/>
        <v>25.489740369635594</v>
      </c>
      <c r="I12">
        <f t="shared" si="18"/>
        <v>25.496619692493677</v>
      </c>
      <c r="J12">
        <f t="shared" si="18"/>
        <v>25.498284321245546</v>
      </c>
      <c r="K12">
        <f t="shared" si="18"/>
        <v>24.713993248420206</v>
      </c>
      <c r="L12">
        <f t="shared" si="7"/>
        <v>53.213427664542813</v>
      </c>
      <c r="M12">
        <f t="shared" si="8"/>
        <v>-0.24342766454281417</v>
      </c>
      <c r="N12">
        <f t="shared" si="9"/>
        <v>5.9257027864768864E-2</v>
      </c>
    </row>
    <row r="13" spans="1:23" x14ac:dyDescent="0.45">
      <c r="A13" s="22">
        <v>42857</v>
      </c>
      <c r="B13">
        <v>53.17</v>
      </c>
      <c r="C13">
        <v>53.03</v>
      </c>
      <c r="G13">
        <f t="shared" ref="G13:K13" si="19">SUMPRODUCT($B13:$B17,P$2:P$6)</f>
        <v>25.4676443024644</v>
      </c>
      <c r="H13">
        <f t="shared" si="19"/>
        <v>25.488121384419131</v>
      </c>
      <c r="I13">
        <f t="shared" si="19"/>
        <v>25.494857561986382</v>
      </c>
      <c r="J13">
        <f t="shared" si="19"/>
        <v>25.496591056937412</v>
      </c>
      <c r="K13">
        <f t="shared" si="19"/>
        <v>24.712391706480954</v>
      </c>
      <c r="L13">
        <f t="shared" si="7"/>
        <v>53.209845791762092</v>
      </c>
      <c r="M13">
        <f t="shared" si="8"/>
        <v>-5.984579176209337E-2</v>
      </c>
      <c r="N13">
        <f t="shared" si="9"/>
        <v>3.5815187916318427E-3</v>
      </c>
    </row>
    <row r="14" spans="1:23" x14ac:dyDescent="0.45">
      <c r="A14" s="22">
        <v>42856</v>
      </c>
      <c r="B14">
        <v>52.63</v>
      </c>
      <c r="C14">
        <v>52.7</v>
      </c>
      <c r="G14">
        <f t="shared" ref="G14:K14" si="20">SUMPRODUCT($B14:$B18,P$2:P$6)</f>
        <v>25.212277511898304</v>
      </c>
      <c r="H14">
        <f t="shared" si="20"/>
        <v>25.232453612662336</v>
      </c>
      <c r="I14">
        <f t="shared" si="20"/>
        <v>25.239166733039085</v>
      </c>
      <c r="J14">
        <f t="shared" si="20"/>
        <v>25.240864675877866</v>
      </c>
      <c r="K14">
        <f t="shared" si="20"/>
        <v>24.464520911810339</v>
      </c>
      <c r="L14">
        <f t="shared" si="7"/>
        <v>52.676182067740676</v>
      </c>
      <c r="M14">
        <f t="shared" si="8"/>
        <v>0.49381793225932569</v>
      </c>
      <c r="N14">
        <f t="shared" si="9"/>
        <v>0.24385615022087598</v>
      </c>
    </row>
    <row r="15" spans="1:23" x14ac:dyDescent="0.45">
      <c r="A15" s="22">
        <v>42853</v>
      </c>
      <c r="B15">
        <v>51.9</v>
      </c>
      <c r="C15">
        <v>52.25</v>
      </c>
      <c r="G15">
        <f t="shared" ref="G15:K15" si="21">SUMPRODUCT($B15:$B19,P$2:P$6)</f>
        <v>24.871192482239092</v>
      </c>
      <c r="H15">
        <f t="shared" si="21"/>
        <v>24.890911155064678</v>
      </c>
      <c r="I15">
        <f t="shared" si="21"/>
        <v>24.897642268162613</v>
      </c>
      <c r="J15">
        <f t="shared" si="21"/>
        <v>24.899265790714644</v>
      </c>
      <c r="K15">
        <f t="shared" si="21"/>
        <v>24.133399396853115</v>
      </c>
      <c r="L15">
        <f t="shared" si="7"/>
        <v>51.963324643000668</v>
      </c>
      <c r="M15">
        <f t="shared" si="8"/>
        <v>0.66667535699933467</v>
      </c>
      <c r="N15">
        <f t="shared" si="9"/>
        <v>0.44445603163019032</v>
      </c>
    </row>
    <row r="16" spans="1:23" x14ac:dyDescent="0.45">
      <c r="A16" s="22">
        <v>42852</v>
      </c>
      <c r="B16">
        <v>51.53</v>
      </c>
      <c r="C16">
        <v>51.91</v>
      </c>
      <c r="G16">
        <f t="shared" ref="G16:K16" si="22">SUMPRODUCT($B16:$B20,P$2:P$6)</f>
        <v>24.693300398875625</v>
      </c>
      <c r="H16">
        <f t="shared" si="22"/>
        <v>24.712922107937782</v>
      </c>
      <c r="I16">
        <f t="shared" si="22"/>
        <v>24.719593965699865</v>
      </c>
      <c r="J16">
        <f t="shared" si="22"/>
        <v>24.721207654995279</v>
      </c>
      <c r="K16">
        <f t="shared" si="22"/>
        <v>23.960818244074272</v>
      </c>
      <c r="L16">
        <f t="shared" si="7"/>
        <v>51.591716246921962</v>
      </c>
      <c r="M16">
        <f t="shared" si="8"/>
        <v>0.30828375307803668</v>
      </c>
      <c r="N16">
        <f t="shared" si="9"/>
        <v>9.5038872411879888E-2</v>
      </c>
    </row>
    <row r="17" spans="1:14" x14ac:dyDescent="0.45">
      <c r="A17" s="22">
        <v>42851</v>
      </c>
      <c r="B17">
        <v>51.36</v>
      </c>
      <c r="C17">
        <v>51.36</v>
      </c>
      <c r="G17">
        <f t="shared" ref="G17:K17" si="23">SUMPRODUCT($B17:$B21,P$2:P$6)</f>
        <v>24.605870361288563</v>
      </c>
      <c r="H17">
        <f t="shared" si="23"/>
        <v>24.625562942945528</v>
      </c>
      <c r="I17">
        <f t="shared" si="23"/>
        <v>24.63213438519794</v>
      </c>
      <c r="J17">
        <f t="shared" si="23"/>
        <v>24.633777249163174</v>
      </c>
      <c r="K17">
        <f t="shared" si="23"/>
        <v>23.876096657610848</v>
      </c>
      <c r="L17">
        <f t="shared" si="7"/>
        <v>51.409223560981701</v>
      </c>
      <c r="M17">
        <f t="shared" si="8"/>
        <v>0.12077643901830015</v>
      </c>
      <c r="N17">
        <f t="shared" si="9"/>
        <v>1.4586948221941176E-2</v>
      </c>
    </row>
    <row r="18" spans="1:14" x14ac:dyDescent="0.45">
      <c r="A18" s="22">
        <v>42850</v>
      </c>
      <c r="B18">
        <v>51.02</v>
      </c>
      <c r="C18">
        <v>51.36</v>
      </c>
      <c r="G18">
        <f t="shared" ref="G18:K18" si="24">SUMPRODUCT($B18:$B22,P$2:P$6)</f>
        <v>24.439944776735281</v>
      </c>
      <c r="H18">
        <f t="shared" si="24"/>
        <v>24.459577672211633</v>
      </c>
      <c r="I18">
        <f t="shared" si="24"/>
        <v>24.466065510727969</v>
      </c>
      <c r="J18">
        <f t="shared" si="24"/>
        <v>24.467715087868953</v>
      </c>
      <c r="K18">
        <f t="shared" si="24"/>
        <v>23.715151960750141</v>
      </c>
      <c r="L18">
        <f t="shared" si="7"/>
        <v>51.0626455338775</v>
      </c>
      <c r="M18">
        <f t="shared" si="8"/>
        <v>0.29735446612249916</v>
      </c>
      <c r="N18">
        <f t="shared" si="9"/>
        <v>8.8419678522996495E-2</v>
      </c>
    </row>
    <row r="19" spans="1:14" x14ac:dyDescent="0.45">
      <c r="A19" s="22">
        <v>42849</v>
      </c>
      <c r="B19">
        <v>50.5</v>
      </c>
      <c r="C19">
        <v>50.88</v>
      </c>
      <c r="G19">
        <f t="shared" ref="G19:K19" si="25">SUMPRODUCT($B19:$B23,P$2:P$6)</f>
        <v>24.192475702889851</v>
      </c>
      <c r="H19">
        <f t="shared" si="25"/>
        <v>24.211903540399739</v>
      </c>
      <c r="I19">
        <f t="shared" si="25"/>
        <v>24.21834281258397</v>
      </c>
      <c r="J19">
        <f t="shared" si="25"/>
        <v>24.219964546450804</v>
      </c>
      <c r="K19">
        <f t="shared" si="25"/>
        <v>23.475014323907178</v>
      </c>
      <c r="L19">
        <f t="shared" si="7"/>
        <v>50.54560443078627</v>
      </c>
      <c r="M19">
        <f t="shared" si="8"/>
        <v>0.47439556921373338</v>
      </c>
      <c r="N19">
        <f t="shared" si="9"/>
        <v>0.22505115608962209</v>
      </c>
    </row>
    <row r="20" spans="1:14" x14ac:dyDescent="0.45">
      <c r="A20" s="22">
        <v>42846</v>
      </c>
      <c r="B20">
        <v>49.99</v>
      </c>
      <c r="C20">
        <v>49.87</v>
      </c>
      <c r="G20">
        <f t="shared" ref="G20:K20" si="26">SUMPRODUCT($B20:$B24,P$2:P$6)</f>
        <v>23.951832361198857</v>
      </c>
      <c r="H20">
        <f t="shared" si="26"/>
        <v>23.970907436049359</v>
      </c>
      <c r="I20">
        <f t="shared" si="26"/>
        <v>23.977338665778436</v>
      </c>
      <c r="J20">
        <f t="shared" si="26"/>
        <v>23.978926236807339</v>
      </c>
      <c r="K20">
        <f t="shared" si="26"/>
        <v>23.241382351483086</v>
      </c>
      <c r="L20">
        <f t="shared" si="7"/>
        <v>50.042611794638454</v>
      </c>
      <c r="M20">
        <f t="shared" si="8"/>
        <v>0.45738820536154634</v>
      </c>
      <c r="N20">
        <f t="shared" si="9"/>
        <v>0.20920397040385608</v>
      </c>
    </row>
    <row r="21" spans="1:14" x14ac:dyDescent="0.45">
      <c r="A21" s="22">
        <v>42845</v>
      </c>
      <c r="B21">
        <v>49.64</v>
      </c>
      <c r="C21">
        <v>49.95</v>
      </c>
      <c r="G21">
        <f t="shared" ref="G21:K21" si="27">SUMPRODUCT($B21:$B25,P$2:P$6)</f>
        <v>23.783854149788134</v>
      </c>
      <c r="H21">
        <f t="shared" si="27"/>
        <v>23.802687240664596</v>
      </c>
      <c r="I21">
        <f t="shared" si="27"/>
        <v>23.809083374770452</v>
      </c>
      <c r="J21">
        <f t="shared" si="27"/>
        <v>23.810667502690443</v>
      </c>
      <c r="K21">
        <f t="shared" si="27"/>
        <v>23.078306576886696</v>
      </c>
      <c r="L21">
        <f t="shared" si="7"/>
        <v>49.691496248878153</v>
      </c>
      <c r="M21">
        <f t="shared" si="8"/>
        <v>0.29850375112184935</v>
      </c>
      <c r="N21">
        <f t="shared" si="9"/>
        <v>8.9104489433814979E-2</v>
      </c>
    </row>
    <row r="22" spans="1:14" x14ac:dyDescent="0.45">
      <c r="A22" s="22">
        <v>42844</v>
      </c>
      <c r="B22">
        <v>49.21</v>
      </c>
      <c r="C22">
        <v>49.35</v>
      </c>
      <c r="G22">
        <f t="shared" ref="G22:K22" si="28">SUMPRODUCT($B22:$B26,P$2:P$6)</f>
        <v>23.586663755769496</v>
      </c>
      <c r="H22">
        <f t="shared" si="28"/>
        <v>23.605052815055927</v>
      </c>
      <c r="I22">
        <f t="shared" si="28"/>
        <v>23.611519159776631</v>
      </c>
      <c r="J22">
        <f t="shared" si="28"/>
        <v>23.613042586828072</v>
      </c>
      <c r="K22">
        <f t="shared" si="28"/>
        <v>22.886735935118814</v>
      </c>
      <c r="L22">
        <f t="shared" si="7"/>
        <v>49.279132096625872</v>
      </c>
      <c r="M22">
        <f t="shared" si="8"/>
        <v>0.36086790337412822</v>
      </c>
      <c r="N22">
        <f t="shared" si="9"/>
        <v>0.13022564368563913</v>
      </c>
    </row>
    <row r="23" spans="1:14" x14ac:dyDescent="0.45">
      <c r="A23" s="22">
        <v>42843</v>
      </c>
      <c r="B23">
        <v>48.62</v>
      </c>
      <c r="C23">
        <v>49.17</v>
      </c>
      <c r="G23">
        <f t="shared" ref="G23:K23" si="29">SUMPRODUCT($B23:$B27,P$2:P$6)</f>
        <v>23.317491432616787</v>
      </c>
      <c r="H23">
        <f t="shared" si="29"/>
        <v>23.335315010806994</v>
      </c>
      <c r="I23">
        <f t="shared" si="29"/>
        <v>23.341887018697886</v>
      </c>
      <c r="J23">
        <f t="shared" si="29"/>
        <v>23.343315224850848</v>
      </c>
      <c r="K23">
        <f t="shared" si="29"/>
        <v>22.625262475919349</v>
      </c>
      <c r="L23">
        <f t="shared" si="7"/>
        <v>48.716305453223342</v>
      </c>
      <c r="M23">
        <f t="shared" si="8"/>
        <v>0.49369454677665914</v>
      </c>
      <c r="N23">
        <f t="shared" si="9"/>
        <v>0.24373430551701089</v>
      </c>
    </row>
    <row r="24" spans="1:14" x14ac:dyDescent="0.45">
      <c r="A24" s="22">
        <v>42842</v>
      </c>
      <c r="B24">
        <v>48.56</v>
      </c>
      <c r="C24">
        <v>48.8</v>
      </c>
      <c r="G24">
        <f t="shared" ref="G24:K24" si="30">SUMPRODUCT($B24:$B28,P$2:P$6)</f>
        <v>23.296410408926544</v>
      </c>
      <c r="H24">
        <f t="shared" si="30"/>
        <v>23.313940005440955</v>
      </c>
      <c r="I24">
        <f t="shared" si="30"/>
        <v>23.320616553724768</v>
      </c>
      <c r="J24">
        <f t="shared" si="30"/>
        <v>23.322003138003314</v>
      </c>
      <c r="K24">
        <f t="shared" si="30"/>
        <v>22.604586864228224</v>
      </c>
      <c r="L24">
        <f t="shared" si="7"/>
        <v>48.671895388754962</v>
      </c>
      <c r="M24">
        <f t="shared" si="8"/>
        <v>-5.1895388754964245E-2</v>
      </c>
      <c r="N24">
        <f t="shared" si="9"/>
        <v>2.6931313740288692E-3</v>
      </c>
    </row>
    <row r="25" spans="1:14" x14ac:dyDescent="0.45">
      <c r="A25" s="22">
        <v>42838</v>
      </c>
      <c r="B25">
        <v>48.71</v>
      </c>
      <c r="C25">
        <v>48.42</v>
      </c>
      <c r="G25">
        <f t="shared" ref="G25:K25" si="31">SUMPRODUCT($B25:$B29,P$2:P$6)</f>
        <v>23.363958631516628</v>
      </c>
      <c r="H25">
        <f t="shared" si="31"/>
        <v>23.381692423979135</v>
      </c>
      <c r="I25">
        <f t="shared" si="31"/>
        <v>23.388325685070427</v>
      </c>
      <c r="J25">
        <f t="shared" si="31"/>
        <v>23.389740070473113</v>
      </c>
      <c r="K25">
        <f t="shared" si="31"/>
        <v>22.670251088667339</v>
      </c>
      <c r="L25">
        <f t="shared" si="7"/>
        <v>48.813221678900753</v>
      </c>
      <c r="M25">
        <f t="shared" si="8"/>
        <v>-0.25322167890075065</v>
      </c>
      <c r="N25">
        <f t="shared" si="9"/>
        <v>6.4121218665314866E-2</v>
      </c>
    </row>
    <row r="26" spans="1:14" x14ac:dyDescent="0.45">
      <c r="A26" s="22">
        <v>42837</v>
      </c>
      <c r="B26">
        <v>48.91</v>
      </c>
      <c r="C26">
        <v>48.64</v>
      </c>
      <c r="G26">
        <f t="shared" ref="G26:K26" si="32">SUMPRODUCT($B26:$B30,P$2:P$6)</f>
        <v>23.463385471284866</v>
      </c>
      <c r="H26">
        <f t="shared" si="32"/>
        <v>23.481209541387614</v>
      </c>
      <c r="I26">
        <f t="shared" si="32"/>
        <v>23.487904477600821</v>
      </c>
      <c r="J26">
        <f t="shared" si="32"/>
        <v>23.489299093742165</v>
      </c>
      <c r="K26">
        <f t="shared" si="32"/>
        <v>22.766730691012551</v>
      </c>
      <c r="L26">
        <f t="shared" si="7"/>
        <v>49.020987683408208</v>
      </c>
      <c r="M26">
        <f t="shared" si="8"/>
        <v>-0.31098768340820726</v>
      </c>
      <c r="N26">
        <f t="shared" si="9"/>
        <v>9.6713339231603343E-2</v>
      </c>
    </row>
    <row r="27" spans="1:14" x14ac:dyDescent="0.45">
      <c r="A27" s="22">
        <v>42836</v>
      </c>
      <c r="B27">
        <v>48.9</v>
      </c>
      <c r="C27">
        <v>49.08</v>
      </c>
      <c r="G27">
        <f t="shared" ref="G27:K27" si="33">SUMPRODUCT($B27:$B31,P$2:P$6)</f>
        <v>23.456056871020326</v>
      </c>
      <c r="H27">
        <f t="shared" si="33"/>
        <v>23.473914403492778</v>
      </c>
      <c r="I27">
        <f t="shared" si="33"/>
        <v>23.48057712387698</v>
      </c>
      <c r="J27">
        <f t="shared" si="33"/>
        <v>23.481987161684401</v>
      </c>
      <c r="K27">
        <f t="shared" si="33"/>
        <v>22.759653188621527</v>
      </c>
      <c r="L27">
        <f t="shared" si="7"/>
        <v>49.005720818675371</v>
      </c>
      <c r="M27">
        <f t="shared" si="8"/>
        <v>-9.572081867537463E-2</v>
      </c>
      <c r="N27">
        <f t="shared" si="9"/>
        <v>9.162475127883948E-3</v>
      </c>
    </row>
    <row r="28" spans="1:14" x14ac:dyDescent="0.45">
      <c r="A28" s="22">
        <v>42835</v>
      </c>
      <c r="B28">
        <v>49.5</v>
      </c>
      <c r="C28">
        <v>49.04</v>
      </c>
      <c r="G28">
        <f t="shared" ref="G28:K28" si="34">SUMPRODUCT($B28:$B32,P$2:P$6)</f>
        <v>23.731437474564263</v>
      </c>
      <c r="H28">
        <f t="shared" si="34"/>
        <v>23.749805324248371</v>
      </c>
      <c r="I28">
        <f t="shared" si="34"/>
        <v>23.756385471390917</v>
      </c>
      <c r="J28">
        <f t="shared" si="34"/>
        <v>23.757884291942929</v>
      </c>
      <c r="K28">
        <f t="shared" si="34"/>
        <v>23.02710353599387</v>
      </c>
      <c r="L28">
        <f t="shared" si="7"/>
        <v>49.581438068829861</v>
      </c>
      <c r="M28">
        <f t="shared" si="8"/>
        <v>-0.68143806882986269</v>
      </c>
      <c r="N28">
        <f t="shared" si="9"/>
        <v>0.4643578416505727</v>
      </c>
    </row>
    <row r="29" spans="1:14" x14ac:dyDescent="0.45">
      <c r="A29" s="22">
        <v>42832</v>
      </c>
      <c r="B29">
        <v>49.3</v>
      </c>
      <c r="C29">
        <v>49.61</v>
      </c>
      <c r="G29">
        <f t="shared" ref="G29:K29" si="35">SUMPRODUCT($B29:$B33,P$2:P$6)</f>
        <v>23.642591217157879</v>
      </c>
      <c r="H29">
        <f t="shared" si="35"/>
        <v>23.660616386909698</v>
      </c>
      <c r="I29">
        <f t="shared" si="35"/>
        <v>23.667275331777606</v>
      </c>
      <c r="J29">
        <f t="shared" si="35"/>
        <v>23.668732876825139</v>
      </c>
      <c r="K29">
        <f t="shared" si="35"/>
        <v>22.940677851718352</v>
      </c>
      <c r="L29">
        <f t="shared" si="7"/>
        <v>49.39545041293642</v>
      </c>
      <c r="M29">
        <f t="shared" si="8"/>
        <v>0.10454958706358042</v>
      </c>
      <c r="N29">
        <f t="shared" si="9"/>
        <v>1.0930616155165182E-2</v>
      </c>
    </row>
    <row r="30" spans="1:14" x14ac:dyDescent="0.45">
      <c r="A30" s="22">
        <v>42831</v>
      </c>
      <c r="B30">
        <v>49.19</v>
      </c>
      <c r="C30">
        <v>49.36</v>
      </c>
      <c r="G30">
        <f t="shared" ref="G30:K30" si="36">SUMPRODUCT($B30:$B34,P$2:P$6)</f>
        <v>23.59549869832955</v>
      </c>
      <c r="H30">
        <f t="shared" si="36"/>
        <v>23.613332972991785</v>
      </c>
      <c r="I30">
        <f t="shared" si="36"/>
        <v>23.620054059895761</v>
      </c>
      <c r="J30">
        <f t="shared" si="36"/>
        <v>23.621476942540884</v>
      </c>
      <c r="K30">
        <f t="shared" si="36"/>
        <v>22.894858085900658</v>
      </c>
      <c r="L30">
        <f t="shared" si="7"/>
        <v>49.296864462725047</v>
      </c>
      <c r="M30">
        <f t="shared" si="8"/>
        <v>3.1355372749501953E-3</v>
      </c>
      <c r="N30">
        <f t="shared" si="9"/>
        <v>9.8315940026020965E-6</v>
      </c>
    </row>
    <row r="31" spans="1:14" x14ac:dyDescent="0.45">
      <c r="A31" s="22">
        <v>42830</v>
      </c>
      <c r="B31">
        <v>49.19</v>
      </c>
      <c r="C31">
        <v>49.2</v>
      </c>
      <c r="G31">
        <f t="shared" ref="G31:K31" si="37">SUMPRODUCT($B31:$B35,P$2:P$6)</f>
        <v>23.602820814252354</v>
      </c>
      <c r="H31">
        <f t="shared" si="37"/>
        <v>23.620517932329133</v>
      </c>
      <c r="I31">
        <f t="shared" si="37"/>
        <v>23.627331775044091</v>
      </c>
      <c r="J31">
        <f t="shared" si="37"/>
        <v>23.628710637587368</v>
      </c>
      <c r="K31">
        <f t="shared" si="37"/>
        <v>22.901843661599418</v>
      </c>
      <c r="L31">
        <f t="shared" si="7"/>
        <v>49.311990309859574</v>
      </c>
      <c r="M31">
        <f t="shared" si="8"/>
        <v>-0.12199030985957648</v>
      </c>
      <c r="N31">
        <f t="shared" si="9"/>
        <v>1.4881635699635484E-2</v>
      </c>
    </row>
    <row r="32" spans="1:14" x14ac:dyDescent="0.45">
      <c r="A32" s="22">
        <v>42829</v>
      </c>
      <c r="B32">
        <v>49.37</v>
      </c>
      <c r="C32">
        <v>49.04</v>
      </c>
      <c r="G32">
        <f t="shared" ref="G32:K32" si="38">SUMPRODUCT($B32:$B36,P$2:P$6)</f>
        <v>23.686918483474386</v>
      </c>
      <c r="H32">
        <f t="shared" si="38"/>
        <v>23.704787917257889</v>
      </c>
      <c r="I32">
        <f t="shared" si="38"/>
        <v>23.71159019555256</v>
      </c>
      <c r="J32">
        <f t="shared" si="38"/>
        <v>23.712984438931041</v>
      </c>
      <c r="K32">
        <f t="shared" si="38"/>
        <v>22.983529064837349</v>
      </c>
      <c r="L32">
        <f t="shared" si="7"/>
        <v>49.487838287358279</v>
      </c>
      <c r="M32">
        <f t="shared" si="8"/>
        <v>-0.29783828735828166</v>
      </c>
      <c r="N32">
        <f t="shared" si="9"/>
        <v>8.8707645416514366E-2</v>
      </c>
    </row>
    <row r="33" spans="1:14" x14ac:dyDescent="0.45">
      <c r="A33" s="22">
        <v>42828</v>
      </c>
      <c r="B33">
        <v>49.86</v>
      </c>
      <c r="C33">
        <v>49.53</v>
      </c>
      <c r="G33">
        <f t="shared" ref="G33:K33" si="39">SUMPRODUCT($B33:$B37,P$2:P$6)</f>
        <v>23.908782622549367</v>
      </c>
      <c r="H33">
        <f t="shared" si="39"/>
        <v>23.927322574868739</v>
      </c>
      <c r="I33">
        <f t="shared" si="39"/>
        <v>23.933995640121289</v>
      </c>
      <c r="J33">
        <f t="shared" si="39"/>
        <v>23.935470567390091</v>
      </c>
      <c r="K33">
        <f t="shared" si="39"/>
        <v>23.199202768061927</v>
      </c>
      <c r="L33">
        <f t="shared" si="7"/>
        <v>49.952033957004474</v>
      </c>
      <c r="M33">
        <f t="shared" si="8"/>
        <v>-0.58203395700447658</v>
      </c>
      <c r="N33">
        <f t="shared" si="9"/>
        <v>0.33876352710628888</v>
      </c>
    </row>
    <row r="34" spans="1:14" x14ac:dyDescent="0.45">
      <c r="A34" s="22">
        <v>42825</v>
      </c>
      <c r="B34">
        <v>50.02</v>
      </c>
      <c r="C34">
        <v>49.86</v>
      </c>
      <c r="G34">
        <f t="shared" ref="G34:K34" si="40">SUMPRODUCT($B34:$B38,P$2:P$6)</f>
        <v>23.977406248202321</v>
      </c>
      <c r="H34">
        <f t="shared" si="40"/>
        <v>23.996283450773024</v>
      </c>
      <c r="I34">
        <f t="shared" si="40"/>
        <v>24.002860361807485</v>
      </c>
      <c r="J34">
        <f t="shared" si="40"/>
        <v>24.004381782620683</v>
      </c>
      <c r="K34">
        <f t="shared" si="40"/>
        <v>23.266015464156546</v>
      </c>
      <c r="L34">
        <f t="shared" si="7"/>
        <v>50.095780668609912</v>
      </c>
      <c r="M34">
        <f t="shared" si="8"/>
        <v>-0.23578066860991242</v>
      </c>
      <c r="N34">
        <f t="shared" si="9"/>
        <v>5.5592523690137341E-2</v>
      </c>
    </row>
    <row r="35" spans="1:14" x14ac:dyDescent="0.45">
      <c r="A35" s="22">
        <v>42824</v>
      </c>
      <c r="B35">
        <v>50.12</v>
      </c>
      <c r="C35">
        <v>50.19</v>
      </c>
      <c r="G35">
        <f t="shared" ref="G35:K35" si="41">SUMPRODUCT($B35:$B39,P$2:P$6)</f>
        <v>24.014559757637528</v>
      </c>
      <c r="H35">
        <f t="shared" si="41"/>
        <v>24.033612234768793</v>
      </c>
      <c r="I35">
        <f t="shared" si="41"/>
        <v>24.040073357960534</v>
      </c>
      <c r="J35">
        <f t="shared" si="41"/>
        <v>24.041665642372518</v>
      </c>
      <c r="K35">
        <f t="shared" si="41"/>
        <v>23.302194354675294</v>
      </c>
      <c r="L35">
        <f t="shared" si="7"/>
        <v>50.173565072571293</v>
      </c>
      <c r="M35">
        <f t="shared" si="8"/>
        <v>-0.15356507257128982</v>
      </c>
      <c r="N35">
        <f t="shared" si="9"/>
        <v>2.3582231513825509E-2</v>
      </c>
    </row>
    <row r="36" spans="1:14" x14ac:dyDescent="0.45">
      <c r="A36" s="22">
        <v>42823</v>
      </c>
      <c r="B36">
        <v>49.99</v>
      </c>
      <c r="C36">
        <v>50.14</v>
      </c>
      <c r="G36">
        <f t="shared" ref="G36:K36" si="42">SUMPRODUCT($B36:$B40,P$2:P$6)</f>
        <v>23.945912034623689</v>
      </c>
      <c r="H36">
        <f t="shared" si="42"/>
        <v>23.965060980710014</v>
      </c>
      <c r="I36">
        <f t="shared" si="42"/>
        <v>23.971421610599837</v>
      </c>
      <c r="J36">
        <f t="shared" si="42"/>
        <v>23.973047005379883</v>
      </c>
      <c r="K36">
        <f t="shared" si="42"/>
        <v>23.235706571664405</v>
      </c>
      <c r="L36">
        <f t="shared" si="7"/>
        <v>50.030328137212251</v>
      </c>
      <c r="M36">
        <f t="shared" si="8"/>
        <v>8.9671862787746193E-2</v>
      </c>
      <c r="N36">
        <f t="shared" si="9"/>
        <v>8.0410429758243796E-3</v>
      </c>
    </row>
    <row r="37" spans="1:14" x14ac:dyDescent="0.45">
      <c r="A37" s="22">
        <v>42822</v>
      </c>
      <c r="B37">
        <v>49.24</v>
      </c>
      <c r="C37">
        <v>49.76</v>
      </c>
      <c r="G37">
        <f t="shared" ref="G37:K37" si="43">SUMPRODUCT($B37:$B41,P$2:P$6)</f>
        <v>23.600787107610831</v>
      </c>
      <c r="H37">
        <f t="shared" si="43"/>
        <v>23.619391651454052</v>
      </c>
      <c r="I37">
        <f t="shared" si="43"/>
        <v>23.625835010599367</v>
      </c>
      <c r="J37">
        <f t="shared" si="43"/>
        <v>23.627350718737638</v>
      </c>
      <c r="K37">
        <f t="shared" si="43"/>
        <v>22.900592870843287</v>
      </c>
      <c r="L37">
        <f t="shared" si="7"/>
        <v>49.308935256077582</v>
      </c>
      <c r="M37">
        <f t="shared" si="8"/>
        <v>0.68106474392241978</v>
      </c>
      <c r="N37">
        <f t="shared" si="9"/>
        <v>0.46384918541411124</v>
      </c>
    </row>
    <row r="38" spans="1:14" x14ac:dyDescent="0.45">
      <c r="A38" s="22">
        <v>42821</v>
      </c>
      <c r="B38">
        <v>48.74</v>
      </c>
      <c r="C38">
        <v>49.3</v>
      </c>
      <c r="G38">
        <f t="shared" ref="G38:K38" si="44">SUMPRODUCT($B38:$B42,P$2:P$6)</f>
        <v>23.372939940266406</v>
      </c>
      <c r="H38">
        <f t="shared" si="44"/>
        <v>23.390821991769819</v>
      </c>
      <c r="I38">
        <f t="shared" si="44"/>
        <v>23.397386546992859</v>
      </c>
      <c r="J38">
        <f t="shared" si="44"/>
        <v>23.398831502570648</v>
      </c>
      <c r="K38">
        <f t="shared" si="44"/>
        <v>22.679080546961458</v>
      </c>
      <c r="L38">
        <f t="shared" si="7"/>
        <v>48.832164754442388</v>
      </c>
      <c r="M38">
        <f t="shared" si="8"/>
        <v>0.40783524555761375</v>
      </c>
      <c r="N38">
        <f t="shared" si="9"/>
        <v>0.16632958751903909</v>
      </c>
    </row>
    <row r="39" spans="1:14" x14ac:dyDescent="0.45">
      <c r="A39" s="22">
        <v>42818</v>
      </c>
      <c r="B39">
        <v>48.97</v>
      </c>
      <c r="C39">
        <v>49.12</v>
      </c>
      <c r="G39">
        <f t="shared" ref="G39:K39" si="45">SUMPRODUCT($B39:$B43,P$2:P$6)</f>
        <v>23.471233981630622</v>
      </c>
      <c r="H39">
        <f t="shared" si="45"/>
        <v>23.489427024998008</v>
      </c>
      <c r="I39">
        <f t="shared" si="45"/>
        <v>23.495870318467642</v>
      </c>
      <c r="J39">
        <f t="shared" si="45"/>
        <v>23.497394934381624</v>
      </c>
      <c r="K39">
        <f t="shared" si="45"/>
        <v>22.774653265286322</v>
      </c>
      <c r="L39">
        <f t="shared" si="7"/>
        <v>49.037811437360631</v>
      </c>
      <c r="M39">
        <f t="shared" si="8"/>
        <v>-0.29781143736062887</v>
      </c>
      <c r="N39">
        <f t="shared" si="9"/>
        <v>8.8691652222803771E-2</v>
      </c>
    </row>
    <row r="40" spans="1:14" x14ac:dyDescent="0.45">
      <c r="A40" s="22">
        <v>42817</v>
      </c>
      <c r="B40">
        <v>48.64</v>
      </c>
      <c r="C40">
        <v>48.78</v>
      </c>
      <c r="G40">
        <f t="shared" ref="G40:K40" si="46">SUMPRODUCT($B40:$B44,P$2:P$6)</f>
        <v>23.335084140498338</v>
      </c>
      <c r="H40">
        <f t="shared" si="46"/>
        <v>23.352682175060767</v>
      </c>
      <c r="I40">
        <f t="shared" si="46"/>
        <v>23.359368102154725</v>
      </c>
      <c r="J40">
        <f t="shared" si="46"/>
        <v>23.360753045774555</v>
      </c>
      <c r="K40">
        <f t="shared" si="46"/>
        <v>22.642140899170048</v>
      </c>
      <c r="L40">
        <f t="shared" si="7"/>
        <v>48.752752842590141</v>
      </c>
      <c r="M40">
        <f t="shared" si="8"/>
        <v>0.217247157409858</v>
      </c>
      <c r="N40">
        <f t="shared" si="9"/>
        <v>4.7196327402663621E-2</v>
      </c>
    </row>
    <row r="41" spans="1:14" x14ac:dyDescent="0.45">
      <c r="A41" s="22">
        <v>42816</v>
      </c>
      <c r="B41">
        <v>48.07</v>
      </c>
      <c r="C41">
        <v>48.68</v>
      </c>
      <c r="G41">
        <f t="shared" ref="G41:K41" si="47">SUMPRODUCT($B41:$B45,P$2:P$6)</f>
        <v>23.07337241929493</v>
      </c>
      <c r="H41">
        <f t="shared" si="47"/>
        <v>23.090468519693925</v>
      </c>
      <c r="I41">
        <f t="shared" si="47"/>
        <v>23.097233874267985</v>
      </c>
      <c r="J41">
        <f t="shared" si="47"/>
        <v>23.0985362093646</v>
      </c>
      <c r="K41">
        <f t="shared" si="47"/>
        <v>22.387953362576432</v>
      </c>
      <c r="L41">
        <f t="shared" si="7"/>
        <v>48.205587044073035</v>
      </c>
      <c r="M41">
        <f t="shared" si="8"/>
        <v>0.43441295592696605</v>
      </c>
      <c r="N41">
        <f t="shared" si="9"/>
        <v>0.18871461627720415</v>
      </c>
    </row>
    <row r="42" spans="1:14" x14ac:dyDescent="0.45">
      <c r="A42" s="22">
        <v>42815</v>
      </c>
      <c r="B42">
        <v>49.1</v>
      </c>
      <c r="C42">
        <v>48.22</v>
      </c>
      <c r="G42">
        <f t="shared" ref="G42:K42" si="48">SUMPRODUCT($B42:$B46,P$2:P$6)</f>
        <v>23.548389884600539</v>
      </c>
      <c r="H42">
        <f t="shared" si="48"/>
        <v>23.56645287915282</v>
      </c>
      <c r="I42">
        <f t="shared" si="48"/>
        <v>23.573089513020857</v>
      </c>
      <c r="J42">
        <f t="shared" si="48"/>
        <v>23.574523669190707</v>
      </c>
      <c r="K42">
        <f t="shared" si="48"/>
        <v>22.849351840227722</v>
      </c>
      <c r="L42">
        <f t="shared" si="7"/>
        <v>49.198807033086091</v>
      </c>
      <c r="M42">
        <f t="shared" si="8"/>
        <v>-1.1288070330860904</v>
      </c>
      <c r="N42">
        <f t="shared" si="9"/>
        <v>1.274205317944622</v>
      </c>
    </row>
    <row r="43" spans="1:14" x14ac:dyDescent="0.45">
      <c r="A43" s="22">
        <v>42814</v>
      </c>
      <c r="B43">
        <v>49.16</v>
      </c>
      <c r="C43">
        <v>48.96</v>
      </c>
      <c r="G43">
        <f t="shared" ref="G43:K43" si="49">SUMPRODUCT($B43:$B47,P$2:P$6)</f>
        <v>23.575676124048783</v>
      </c>
      <c r="H43">
        <f t="shared" si="49"/>
        <v>23.593763667350732</v>
      </c>
      <c r="I43">
        <f t="shared" si="49"/>
        <v>23.600392556798933</v>
      </c>
      <c r="J43">
        <f t="shared" si="49"/>
        <v>23.601838514260304</v>
      </c>
      <c r="K43">
        <f t="shared" si="49"/>
        <v>22.875833394408932</v>
      </c>
      <c r="L43">
        <f t="shared" si="7"/>
        <v>49.255813189505858</v>
      </c>
      <c r="M43">
        <f t="shared" si="8"/>
        <v>-0.15581318950585654</v>
      </c>
      <c r="N43">
        <f t="shared" si="9"/>
        <v>2.4277750023987962E-2</v>
      </c>
    </row>
    <row r="44" spans="1:14" x14ac:dyDescent="0.45">
      <c r="A44" s="22">
        <v>42811</v>
      </c>
      <c r="B44">
        <v>49.39</v>
      </c>
      <c r="C44">
        <v>49.13</v>
      </c>
      <c r="G44">
        <f t="shared" ref="G44:K44" si="50">SUMPRODUCT($B44:$B48,P$2:P$6)</f>
        <v>23.67866724150721</v>
      </c>
      <c r="H44">
        <f t="shared" si="50"/>
        <v>23.696985649370948</v>
      </c>
      <c r="I44">
        <f t="shared" si="50"/>
        <v>23.703551845283378</v>
      </c>
      <c r="J44">
        <f t="shared" si="50"/>
        <v>23.705048102607485</v>
      </c>
      <c r="K44">
        <f t="shared" si="50"/>
        <v>22.975893146455121</v>
      </c>
      <c r="L44">
        <f t="shared" si="7"/>
        <v>49.471174072989776</v>
      </c>
      <c r="M44">
        <f t="shared" si="8"/>
        <v>-0.31117407298977895</v>
      </c>
      <c r="N44">
        <f t="shared" si="9"/>
        <v>9.682930370104828E-2</v>
      </c>
    </row>
    <row r="45" spans="1:14" x14ac:dyDescent="0.45">
      <c r="A45" s="22">
        <v>42810</v>
      </c>
      <c r="B45">
        <v>49.3</v>
      </c>
      <c r="C45">
        <v>49.1</v>
      </c>
      <c r="G45">
        <f t="shared" ref="G45:K45" si="51">SUMPRODUCT($B45:$B49,P$2:P$6)</f>
        <v>23.639541590592994</v>
      </c>
      <c r="H45">
        <f t="shared" si="51"/>
        <v>23.657736339651148</v>
      </c>
      <c r="I45">
        <f t="shared" si="51"/>
        <v>23.664343299905639</v>
      </c>
      <c r="J45">
        <f t="shared" si="51"/>
        <v>23.665813473910166</v>
      </c>
      <c r="K45">
        <f t="shared" si="51"/>
        <v>22.937852121488152</v>
      </c>
      <c r="L45">
        <f t="shared" si="7"/>
        <v>49.389313796403741</v>
      </c>
      <c r="M45">
        <f t="shared" si="8"/>
        <v>6.8620359625981564E-4</v>
      </c>
      <c r="N45">
        <f t="shared" si="9"/>
        <v>4.7087537551990406E-7</v>
      </c>
    </row>
    <row r="46" spans="1:14" x14ac:dyDescent="0.45">
      <c r="A46" s="22">
        <v>42809</v>
      </c>
      <c r="B46">
        <v>49.06</v>
      </c>
      <c r="C46">
        <v>49.22</v>
      </c>
      <c r="G46">
        <f t="shared" ref="G46:K46" si="52">SUMPRODUCT($B46:$B50,P$2:P$6)</f>
        <v>23.526331348276468</v>
      </c>
      <c r="H46">
        <f t="shared" si="52"/>
        <v>23.544505025813237</v>
      </c>
      <c r="I46">
        <f t="shared" si="52"/>
        <v>23.551091341863195</v>
      </c>
      <c r="J46">
        <f t="shared" si="52"/>
        <v>23.552538079909127</v>
      </c>
      <c r="K46">
        <f t="shared" si="52"/>
        <v>22.828048177836493</v>
      </c>
      <c r="L46">
        <f t="shared" si="7"/>
        <v>49.152892342279756</v>
      </c>
      <c r="M46">
        <f t="shared" si="8"/>
        <v>0.14710765772024104</v>
      </c>
      <c r="N46">
        <f t="shared" si="9"/>
        <v>2.1640662959935591E-2</v>
      </c>
    </row>
    <row r="47" spans="1:14" x14ac:dyDescent="0.45">
      <c r="A47" s="22">
        <v>42808</v>
      </c>
      <c r="B47">
        <v>49.21</v>
      </c>
      <c r="C47">
        <v>49.08</v>
      </c>
      <c r="G47">
        <f t="shared" ref="G47:K47" si="53">SUMPRODUCT($B47:$B51,P$2:P$6)</f>
        <v>23.592231745368807</v>
      </c>
      <c r="H47">
        <f t="shared" si="53"/>
        <v>23.610715901090877</v>
      </c>
      <c r="I47">
        <f t="shared" si="53"/>
        <v>23.617229101148936</v>
      </c>
      <c r="J47">
        <f t="shared" si="53"/>
        <v>23.618708821751593</v>
      </c>
      <c r="K47">
        <f t="shared" si="53"/>
        <v>22.892196461663261</v>
      </c>
      <c r="L47">
        <f t="shared" si="7"/>
        <v>49.290923678308367</v>
      </c>
      <c r="M47">
        <f t="shared" si="8"/>
        <v>-0.2309236783083648</v>
      </c>
      <c r="N47">
        <f t="shared" si="9"/>
        <v>5.3325745203465148E-2</v>
      </c>
    </row>
    <row r="48" spans="1:14" x14ac:dyDescent="0.45">
      <c r="A48" s="22">
        <v>42807</v>
      </c>
      <c r="B48">
        <v>49.3</v>
      </c>
      <c r="C48">
        <v>49.5</v>
      </c>
      <c r="G48">
        <f t="shared" ref="G48:K48" si="54">SUMPRODUCT($B48:$B52,P$2:P$6)</f>
        <v>23.62213190990591</v>
      </c>
      <c r="H48">
        <f t="shared" si="54"/>
        <v>23.640966417756278</v>
      </c>
      <c r="I48">
        <f t="shared" si="54"/>
        <v>23.647315587846347</v>
      </c>
      <c r="J48">
        <f t="shared" si="54"/>
        <v>23.648873932037464</v>
      </c>
      <c r="K48">
        <f t="shared" si="54"/>
        <v>22.921476141292704</v>
      </c>
      <c r="L48">
        <f t="shared" si="7"/>
        <v>49.353804302241961</v>
      </c>
      <c r="M48">
        <f t="shared" si="8"/>
        <v>-0.14380430224196061</v>
      </c>
      <c r="N48">
        <f t="shared" si="9"/>
        <v>2.0679677343297159E-2</v>
      </c>
    </row>
    <row r="49" spans="1:14" x14ac:dyDescent="0.45">
      <c r="A49" s="22">
        <v>42804</v>
      </c>
      <c r="B49">
        <v>49.33</v>
      </c>
      <c r="C49">
        <v>49.2</v>
      </c>
      <c r="G49">
        <f t="shared" ref="G49:K49" si="55">SUMPRODUCT($B49:$B53,P$2:P$6)</f>
        <v>23.622260456244135</v>
      </c>
      <c r="H49">
        <f t="shared" si="55"/>
        <v>23.641560844899139</v>
      </c>
      <c r="I49">
        <f t="shared" si="55"/>
        <v>23.647711142922244</v>
      </c>
      <c r="J49">
        <f t="shared" si="55"/>
        <v>23.649346490590425</v>
      </c>
      <c r="K49">
        <f t="shared" si="55"/>
        <v>22.921972757822687</v>
      </c>
      <c r="L49">
        <f t="shared" si="7"/>
        <v>49.354680278779831</v>
      </c>
      <c r="M49">
        <f t="shared" si="8"/>
        <v>-5.4680278779834168E-2</v>
      </c>
      <c r="N49">
        <f t="shared" si="9"/>
        <v>2.9899328874403827E-3</v>
      </c>
    </row>
    <row r="50" spans="1:14" x14ac:dyDescent="0.45">
      <c r="A50" s="22">
        <v>42803</v>
      </c>
      <c r="B50">
        <v>48.67</v>
      </c>
      <c r="C50">
        <v>49.02</v>
      </c>
      <c r="G50">
        <f t="shared" ref="G50:K50" si="56">SUMPRODUCT($B50:$B54,P$2:P$6)</f>
        <v>23.312347132855415</v>
      </c>
      <c r="H50">
        <f t="shared" si="56"/>
        <v>23.331195688899832</v>
      </c>
      <c r="I50">
        <f t="shared" si="56"/>
        <v>23.337350767363446</v>
      </c>
      <c r="J50">
        <f t="shared" si="56"/>
        <v>23.338930988676346</v>
      </c>
      <c r="K50">
        <f t="shared" si="56"/>
        <v>22.621088196926735</v>
      </c>
      <c r="L50">
        <f t="shared" si="7"/>
        <v>48.706910439060842</v>
      </c>
      <c r="M50">
        <f t="shared" si="8"/>
        <v>0.62308956093915668</v>
      </c>
      <c r="N50">
        <f t="shared" si="9"/>
        <v>0.38824060095135104</v>
      </c>
    </row>
    <row r="51" spans="1:14" x14ac:dyDescent="0.45">
      <c r="A51" s="22">
        <v>42802</v>
      </c>
      <c r="B51">
        <v>48.12</v>
      </c>
      <c r="C51">
        <v>48.58</v>
      </c>
      <c r="G51">
        <f t="shared" ref="G51:K51" si="57">SUMPRODUCT($B51:$B55,P$2:P$6)</f>
        <v>23.049817705404113</v>
      </c>
      <c r="H51">
        <f t="shared" si="57"/>
        <v>23.0681843223493</v>
      </c>
      <c r="I51">
        <f t="shared" si="57"/>
        <v>23.07431132268745</v>
      </c>
      <c r="J51">
        <f t="shared" si="57"/>
        <v>23.075881188757641</v>
      </c>
      <c r="K51">
        <f t="shared" si="57"/>
        <v>22.366140905552005</v>
      </c>
      <c r="L51">
        <f t="shared" si="7"/>
        <v>48.158016001236412</v>
      </c>
      <c r="M51">
        <f t="shared" si="8"/>
        <v>0.51198399876358991</v>
      </c>
      <c r="N51">
        <f t="shared" si="9"/>
        <v>0.26212761498995563</v>
      </c>
    </row>
    <row r="52" spans="1:14" x14ac:dyDescent="0.45">
      <c r="A52" s="22">
        <v>42801</v>
      </c>
      <c r="B52">
        <v>47.73</v>
      </c>
      <c r="C52">
        <v>48.06</v>
      </c>
      <c r="G52">
        <f t="shared" ref="G52:K52" si="58">SUMPRODUCT($B52:$B56,P$2:P$6)</f>
        <v>22.857436597275345</v>
      </c>
      <c r="H52">
        <f t="shared" si="58"/>
        <v>22.876035462235308</v>
      </c>
      <c r="I52">
        <f t="shared" si="58"/>
        <v>22.882009401727135</v>
      </c>
      <c r="J52">
        <f t="shared" si="58"/>
        <v>22.883586779022011</v>
      </c>
      <c r="K52">
        <f t="shared" si="58"/>
        <v>22.179762854156042</v>
      </c>
      <c r="L52">
        <f t="shared" si="7"/>
        <v>47.756607006135944</v>
      </c>
      <c r="M52">
        <f t="shared" si="8"/>
        <v>0.36339299386405344</v>
      </c>
      <c r="N52">
        <f t="shared" si="9"/>
        <v>0.13205446798947998</v>
      </c>
    </row>
    <row r="53" spans="1:14" x14ac:dyDescent="0.45">
      <c r="A53" s="22">
        <v>42800</v>
      </c>
      <c r="B53">
        <v>46.75</v>
      </c>
      <c r="C53">
        <v>47.81</v>
      </c>
      <c r="G53">
        <f t="shared" ref="G53:K53" si="59">SUMPRODUCT($B53:$B57,P$2:P$6)</f>
        <v>22.415149583332411</v>
      </c>
      <c r="H53">
        <f t="shared" si="59"/>
        <v>22.432723436501718</v>
      </c>
      <c r="I53">
        <f t="shared" si="59"/>
        <v>22.438933329274619</v>
      </c>
      <c r="J53">
        <f t="shared" si="59"/>
        <v>22.440321841961154</v>
      </c>
      <c r="K53">
        <f t="shared" si="59"/>
        <v>21.750045859453824</v>
      </c>
      <c r="L53">
        <f t="shared" si="7"/>
        <v>46.831690281386258</v>
      </c>
      <c r="M53">
        <f t="shared" si="8"/>
        <v>0.89830971861373854</v>
      </c>
      <c r="N53">
        <f t="shared" si="9"/>
        <v>0.8069603505558941</v>
      </c>
    </row>
    <row r="54" spans="1:14" x14ac:dyDescent="0.45">
      <c r="A54" s="22">
        <v>42797</v>
      </c>
      <c r="B54">
        <v>46.55</v>
      </c>
      <c r="C54">
        <v>47.07</v>
      </c>
      <c r="G54">
        <f t="shared" ref="G54:K54" si="60">SUMPRODUCT($B54:$B58,P$2:P$6)</f>
        <v>22.299483905337134</v>
      </c>
      <c r="H54">
        <f t="shared" si="60"/>
        <v>22.317285022178922</v>
      </c>
      <c r="I54">
        <f t="shared" si="60"/>
        <v>22.323225935425636</v>
      </c>
      <c r="J54">
        <f t="shared" si="60"/>
        <v>22.324731300709541</v>
      </c>
      <c r="K54">
        <f t="shared" si="60"/>
        <v>21.638083726516019</v>
      </c>
      <c r="L54">
        <f t="shared" si="7"/>
        <v>46.590397920561436</v>
      </c>
      <c r="M54">
        <f t="shared" si="8"/>
        <v>0.15960207943856375</v>
      </c>
      <c r="N54">
        <f t="shared" si="9"/>
        <v>2.5472823761113612E-2</v>
      </c>
    </row>
    <row r="55" spans="1:14" x14ac:dyDescent="0.45">
      <c r="A55" s="22">
        <v>42796</v>
      </c>
      <c r="B55">
        <v>47.13</v>
      </c>
      <c r="C55">
        <v>46.68</v>
      </c>
      <c r="G55">
        <f t="shared" ref="G55:K55" si="61">SUMPRODUCT($B55:$B59,P$2:P$6)</f>
        <v>22.564011822356715</v>
      </c>
      <c r="H55">
        <f t="shared" si="61"/>
        <v>22.582462270410513</v>
      </c>
      <c r="I55">
        <f t="shared" si="61"/>
        <v>22.588287370291791</v>
      </c>
      <c r="J55">
        <f t="shared" si="61"/>
        <v>22.58988220096931</v>
      </c>
      <c r="K55">
        <f t="shared" si="61"/>
        <v>21.895115485951841</v>
      </c>
      <c r="L55">
        <f t="shared" si="7"/>
        <v>47.143648812662605</v>
      </c>
      <c r="M55">
        <f t="shared" si="8"/>
        <v>-0.59364881266260738</v>
      </c>
      <c r="N55">
        <f t="shared" si="9"/>
        <v>0.35241891277572351</v>
      </c>
    </row>
    <row r="56" spans="1:14" x14ac:dyDescent="0.45">
      <c r="A56" s="22">
        <v>42795</v>
      </c>
      <c r="B56">
        <v>45.47</v>
      </c>
      <c r="C56">
        <v>47.14</v>
      </c>
      <c r="G56">
        <f t="shared" ref="G56:K56" si="62">SUMPRODUCT($B56:$B60,P$2:P$6)</f>
        <v>21.801023697622799</v>
      </c>
      <c r="H56">
        <f t="shared" si="62"/>
        <v>21.817881896536928</v>
      </c>
      <c r="I56">
        <f t="shared" si="62"/>
        <v>21.823945362517932</v>
      </c>
      <c r="J56">
        <f t="shared" si="62"/>
        <v>21.82531111036355</v>
      </c>
      <c r="K56">
        <f t="shared" si="62"/>
        <v>21.153968718554115</v>
      </c>
      <c r="L56">
        <f t="shared" si="7"/>
        <v>45.548263164689082</v>
      </c>
      <c r="M56">
        <f t="shared" si="8"/>
        <v>1.5817368353109202</v>
      </c>
      <c r="N56">
        <f t="shared" si="9"/>
        <v>2.5018914161794052</v>
      </c>
    </row>
    <row r="57" spans="1:14" x14ac:dyDescent="0.45">
      <c r="A57" s="22">
        <v>42794</v>
      </c>
      <c r="B57">
        <v>45.5</v>
      </c>
      <c r="C57">
        <v>45.13</v>
      </c>
      <c r="G57">
        <f t="shared" ref="G57:K57" si="63">SUMPRODUCT($B57:$B61,P$2:P$6)</f>
        <v>21.807915251616265</v>
      </c>
      <c r="H57">
        <f t="shared" si="63"/>
        <v>21.824965804407263</v>
      </c>
      <c r="I57">
        <f t="shared" si="63"/>
        <v>21.830933505254919</v>
      </c>
      <c r="J57">
        <f t="shared" si="63"/>
        <v>21.832343487122206</v>
      </c>
      <c r="K57">
        <f t="shared" si="63"/>
        <v>21.160808165884369</v>
      </c>
      <c r="L57">
        <f t="shared" si="7"/>
        <v>45.562897037620061</v>
      </c>
      <c r="M57">
        <f t="shared" si="8"/>
        <v>-9.2897037620062406E-2</v>
      </c>
      <c r="N57">
        <f t="shared" si="9"/>
        <v>8.6298595985832907E-3</v>
      </c>
    </row>
    <row r="58" spans="1:14" x14ac:dyDescent="0.45">
      <c r="A58" s="22">
        <v>42793</v>
      </c>
      <c r="B58">
        <v>45.33</v>
      </c>
      <c r="C58">
        <v>45.69</v>
      </c>
      <c r="G58">
        <f t="shared" ref="G58:K58" si="64">SUMPRODUCT($B58:$B62,P$2:P$6)</f>
        <v>21.736960567820574</v>
      </c>
      <c r="H58">
        <f t="shared" si="64"/>
        <v>21.753661724397919</v>
      </c>
      <c r="I58">
        <f t="shared" si="64"/>
        <v>21.759750978560042</v>
      </c>
      <c r="J58">
        <f t="shared" si="64"/>
        <v>21.761096676048442</v>
      </c>
      <c r="K58">
        <f t="shared" si="64"/>
        <v>21.091721561721368</v>
      </c>
      <c r="L58">
        <f t="shared" si="7"/>
        <v>45.414276638429726</v>
      </c>
      <c r="M58">
        <f t="shared" si="8"/>
        <v>8.5723361570273937E-2</v>
      </c>
      <c r="N58">
        <f t="shared" si="9"/>
        <v>7.3484947189079181E-3</v>
      </c>
    </row>
    <row r="59" spans="1:14" x14ac:dyDescent="0.45">
      <c r="A59" s="22">
        <v>42790</v>
      </c>
      <c r="B59">
        <v>44.94</v>
      </c>
      <c r="C59">
        <v>45.55</v>
      </c>
      <c r="G59">
        <f t="shared" ref="G59:K59" si="65">SUMPRODUCT($B59:$B63,P$2:P$6)</f>
        <v>21.554241199438991</v>
      </c>
      <c r="H59">
        <f t="shared" si="65"/>
        <v>21.57064400941394</v>
      </c>
      <c r="I59">
        <f t="shared" si="65"/>
        <v>21.576744101793803</v>
      </c>
      <c r="J59">
        <f t="shared" si="65"/>
        <v>21.578056634783479</v>
      </c>
      <c r="K59">
        <f t="shared" si="65"/>
        <v>20.914300855983139</v>
      </c>
      <c r="L59">
        <f t="shared" si="7"/>
        <v>45.032319017356606</v>
      </c>
      <c r="M59">
        <f t="shared" si="8"/>
        <v>0.29768098264339216</v>
      </c>
      <c r="N59">
        <f t="shared" si="9"/>
        <v>8.8613967427535537E-2</v>
      </c>
    </row>
    <row r="60" spans="1:14" x14ac:dyDescent="0.45">
      <c r="A60" s="22">
        <v>42789</v>
      </c>
      <c r="B60">
        <v>45.3</v>
      </c>
      <c r="C60">
        <v>45.08</v>
      </c>
      <c r="G60">
        <f t="shared" ref="G60:K60" si="66">SUMPRODUCT($B60:$B64,P$2:P$6)</f>
        <v>21.72442502740931</v>
      </c>
      <c r="H60">
        <f t="shared" si="66"/>
        <v>21.741088576474009</v>
      </c>
      <c r="I60">
        <f t="shared" si="66"/>
        <v>21.747196276815796</v>
      </c>
      <c r="J60">
        <f t="shared" si="66"/>
        <v>21.748529798560305</v>
      </c>
      <c r="K60">
        <f t="shared" si="66"/>
        <v>21.079534041073341</v>
      </c>
      <c r="L60">
        <f t="shared" si="7"/>
        <v>45.388054975754009</v>
      </c>
      <c r="M60">
        <f t="shared" si="8"/>
        <v>-0.44805497575401176</v>
      </c>
      <c r="N60">
        <f t="shared" si="9"/>
        <v>0.20075326129792806</v>
      </c>
    </row>
    <row r="61" spans="1:14" x14ac:dyDescent="0.45">
      <c r="A61" s="22">
        <v>42788</v>
      </c>
      <c r="B61">
        <v>45.05</v>
      </c>
      <c r="C61">
        <v>45.23</v>
      </c>
      <c r="G61">
        <f t="shared" ref="G61:K61" si="67">SUMPRODUCT($B61:$B65,P$2:P$6)</f>
        <v>21.605315217485565</v>
      </c>
      <c r="H61">
        <f t="shared" si="67"/>
        <v>21.621966601606868</v>
      </c>
      <c r="I61">
        <f t="shared" si="67"/>
        <v>21.628039284819483</v>
      </c>
      <c r="J61">
        <f t="shared" si="67"/>
        <v>21.6293561035694</v>
      </c>
      <c r="K61">
        <f t="shared" si="67"/>
        <v>20.964017598550562</v>
      </c>
      <c r="L61">
        <f t="shared" si="7"/>
        <v>45.13932193962863</v>
      </c>
      <c r="M61">
        <f t="shared" si="8"/>
        <v>0.16067806037136734</v>
      </c>
      <c r="N61">
        <f t="shared" si="9"/>
        <v>2.5817439084704765E-2</v>
      </c>
    </row>
    <row r="62" spans="1:14" x14ac:dyDescent="0.45">
      <c r="A62" s="22">
        <v>42787</v>
      </c>
      <c r="B62">
        <v>45.41</v>
      </c>
      <c r="C62">
        <v>45.34</v>
      </c>
      <c r="G62">
        <f t="shared" ref="G62:K62" si="68">SUMPRODUCT($B62:$B66,P$2:P$6)</f>
        <v>21.773681247074858</v>
      </c>
      <c r="H62">
        <f t="shared" si="68"/>
        <v>21.79049274016246</v>
      </c>
      <c r="I62">
        <f t="shared" si="68"/>
        <v>21.796565993515546</v>
      </c>
      <c r="J62">
        <f t="shared" si="68"/>
        <v>21.797921117114221</v>
      </c>
      <c r="K62">
        <f t="shared" si="68"/>
        <v>21.12741625258414</v>
      </c>
      <c r="L62">
        <f t="shared" si="7"/>
        <v>45.491107054319606</v>
      </c>
      <c r="M62">
        <f t="shared" si="8"/>
        <v>-0.44110705431960895</v>
      </c>
      <c r="N62">
        <f t="shared" si="9"/>
        <v>0.19457543337052244</v>
      </c>
    </row>
    <row r="63" spans="1:14" x14ac:dyDescent="0.45">
      <c r="A63" s="22">
        <v>42783</v>
      </c>
      <c r="B63">
        <v>45.4</v>
      </c>
      <c r="C63">
        <v>45.33</v>
      </c>
      <c r="G63">
        <f t="shared" ref="G63:K63" si="69">SUMPRODUCT($B63:$B67,P$2:P$6)</f>
        <v>21.765157000244415</v>
      </c>
      <c r="H63">
        <f t="shared" si="69"/>
        <v>21.781838710314982</v>
      </c>
      <c r="I63">
        <f t="shared" si="69"/>
        <v>21.78788664829143</v>
      </c>
      <c r="J63">
        <f t="shared" si="69"/>
        <v>21.789274287695331</v>
      </c>
      <c r="K63">
        <f t="shared" si="69"/>
        <v>21.119059846720287</v>
      </c>
      <c r="L63">
        <f t="shared" si="7"/>
        <v>45.473101007755872</v>
      </c>
      <c r="M63">
        <f t="shared" si="8"/>
        <v>-6.3101007755875571E-2</v>
      </c>
      <c r="N63">
        <f t="shared" si="9"/>
        <v>3.9817371798070694E-3</v>
      </c>
    </row>
    <row r="64" spans="1:14" x14ac:dyDescent="0.45">
      <c r="A64" s="22">
        <v>42782</v>
      </c>
      <c r="B64">
        <v>45.37</v>
      </c>
      <c r="C64">
        <v>45.39</v>
      </c>
      <c r="G64">
        <f t="shared" ref="G64:K64" si="70">SUMPRODUCT($B64:$B68,P$2:P$6)</f>
        <v>21.752090512025521</v>
      </c>
      <c r="H64">
        <f t="shared" si="70"/>
        <v>21.768973195635997</v>
      </c>
      <c r="I64">
        <f t="shared" si="70"/>
        <v>21.7750057109503</v>
      </c>
      <c r="J64">
        <f t="shared" si="70"/>
        <v>21.776373105944</v>
      </c>
      <c r="K64">
        <f t="shared" si="70"/>
        <v>21.106536023420514</v>
      </c>
      <c r="L64">
        <f t="shared" si="7"/>
        <v>45.446114540531809</v>
      </c>
      <c r="M64">
        <f t="shared" si="8"/>
        <v>-4.6114540531810633E-2</v>
      </c>
      <c r="N64">
        <f t="shared" si="9"/>
        <v>2.1265508484600059E-3</v>
      </c>
    </row>
    <row r="65" spans="1:14" x14ac:dyDescent="0.45">
      <c r="A65" s="22">
        <v>42781</v>
      </c>
      <c r="B65">
        <v>44.72</v>
      </c>
      <c r="C65">
        <v>45.48</v>
      </c>
      <c r="G65">
        <f t="shared" ref="G65:K65" si="71">SUMPRODUCT($B65:$B69,P$2:P$6)</f>
        <v>21.429102989509641</v>
      </c>
      <c r="H65">
        <f t="shared" si="71"/>
        <v>21.447059432087695</v>
      </c>
      <c r="I65">
        <f t="shared" si="71"/>
        <v>21.452730729092799</v>
      </c>
      <c r="J65">
        <f t="shared" si="71"/>
        <v>21.45409075224185</v>
      </c>
      <c r="K65">
        <f t="shared" si="71"/>
        <v>20.794140144066862</v>
      </c>
      <c r="L65">
        <f t="shared" si="7"/>
        <v>44.773172258251812</v>
      </c>
      <c r="M65">
        <f t="shared" si="8"/>
        <v>0.59682774174818576</v>
      </c>
      <c r="N65">
        <f t="shared" si="9"/>
        <v>0.35620335332023911</v>
      </c>
    </row>
    <row r="66" spans="1:14" x14ac:dyDescent="0.45">
      <c r="A66" s="22">
        <v>42780</v>
      </c>
      <c r="B66">
        <v>45.25</v>
      </c>
      <c r="C66">
        <v>44.98</v>
      </c>
      <c r="G66">
        <f t="shared" ref="G66:K66" si="72">SUMPRODUCT($B66:$B70,P$2:P$6)</f>
        <v>21.66280260116228</v>
      </c>
      <c r="H66">
        <f t="shared" si="72"/>
        <v>21.681236399596763</v>
      </c>
      <c r="I66">
        <f t="shared" si="72"/>
        <v>21.686731821719107</v>
      </c>
      <c r="J66">
        <f t="shared" si="72"/>
        <v>21.688231467383904</v>
      </c>
      <c r="K66">
        <f t="shared" si="72"/>
        <v>21.021160300230147</v>
      </c>
      <c r="L66">
        <f t="shared" si="7"/>
        <v>45.261764747587613</v>
      </c>
      <c r="M66">
        <f t="shared" si="8"/>
        <v>-0.54176474758761373</v>
      </c>
      <c r="N66">
        <f t="shared" si="9"/>
        <v>0.29350904172867082</v>
      </c>
    </row>
    <row r="67" spans="1:14" x14ac:dyDescent="0.45">
      <c r="A67" s="22">
        <v>42779</v>
      </c>
      <c r="B67">
        <v>46.04</v>
      </c>
      <c r="C67">
        <v>45.7</v>
      </c>
      <c r="G67">
        <f t="shared" ref="G67:K67" si="73">SUMPRODUCT($B67:$B71,P$2:P$6)</f>
        <v>21.950253098527718</v>
      </c>
      <c r="H67">
        <f t="shared" si="73"/>
        <v>21.97055681467797</v>
      </c>
      <c r="I67">
        <f t="shared" si="73"/>
        <v>21.975016582495073</v>
      </c>
      <c r="J67">
        <f t="shared" si="73"/>
        <v>21.977097158925325</v>
      </c>
      <c r="K67">
        <f t="shared" si="73"/>
        <v>21.301466701994311</v>
      </c>
      <c r="L67">
        <f t="shared" ref="L67:L130" si="74">(G67+$P$7)*$U$2+(H67+$Q$7)*$U$3+(I67+$R$7)*$U$4+(J67+$S$7)*$U$5+(K67+$T$7)*$U$6+$U$7</f>
        <v>45.864279343112955</v>
      </c>
      <c r="M67">
        <f t="shared" ref="M67:M130" si="75">B66-L67</f>
        <v>-0.61427934311295473</v>
      </c>
      <c r="N67">
        <f t="shared" ref="N67:N130" si="76">M67^2</f>
        <v>0.37733911137528314</v>
      </c>
    </row>
    <row r="68" spans="1:14" x14ac:dyDescent="0.45">
      <c r="A68" s="22">
        <v>42776</v>
      </c>
      <c r="B68">
        <v>45</v>
      </c>
      <c r="C68">
        <v>47.23</v>
      </c>
      <c r="G68">
        <f t="shared" ref="G68:K68" si="77">SUMPRODUCT($B68:$B72,P$2:P$6)</f>
        <v>21.480576678836417</v>
      </c>
      <c r="H68">
        <f t="shared" si="77"/>
        <v>21.499846515587318</v>
      </c>
      <c r="I68">
        <f t="shared" si="77"/>
        <v>21.50454707558454</v>
      </c>
      <c r="J68">
        <f t="shared" si="77"/>
        <v>21.506428055607028</v>
      </c>
      <c r="K68">
        <f t="shared" si="77"/>
        <v>20.845180029188363</v>
      </c>
      <c r="L68">
        <f t="shared" si="74"/>
        <v>44.882163839775245</v>
      </c>
      <c r="M68">
        <f t="shared" si="75"/>
        <v>1.157836160224754</v>
      </c>
      <c r="N68">
        <f t="shared" si="76"/>
        <v>1.3405845739240021</v>
      </c>
    </row>
    <row r="69" spans="1:14" x14ac:dyDescent="0.45">
      <c r="A69" s="22">
        <v>42775</v>
      </c>
      <c r="B69">
        <v>39.409999999999997</v>
      </c>
      <c r="C69">
        <v>39.729999999999997</v>
      </c>
      <c r="G69">
        <f t="shared" ref="G69:K69" si="78">SUMPRODUCT($B69:$B73,P$2:P$6)</f>
        <v>18.917298847341375</v>
      </c>
      <c r="H69">
        <f t="shared" si="78"/>
        <v>18.931237199059073</v>
      </c>
      <c r="I69">
        <f t="shared" si="78"/>
        <v>18.936800147916568</v>
      </c>
      <c r="J69">
        <f t="shared" si="78"/>
        <v>18.937866693293333</v>
      </c>
      <c r="K69">
        <f t="shared" si="78"/>
        <v>18.355280851441819</v>
      </c>
      <c r="L69">
        <f t="shared" si="74"/>
        <v>39.522482026489854</v>
      </c>
      <c r="M69">
        <f t="shared" si="75"/>
        <v>5.477517973510146</v>
      </c>
      <c r="N69">
        <f t="shared" si="76"/>
        <v>30.003203150126698</v>
      </c>
    </row>
    <row r="70" spans="1:14" x14ac:dyDescent="0.45">
      <c r="A70" s="22">
        <v>42774</v>
      </c>
      <c r="B70">
        <v>40.1</v>
      </c>
      <c r="C70">
        <v>39.19</v>
      </c>
      <c r="G70">
        <f t="shared" ref="G70:K70" si="79">SUMPRODUCT($B70:$B74,P$2:P$6)</f>
        <v>19.230390348705853</v>
      </c>
      <c r="H70">
        <f t="shared" si="79"/>
        <v>19.245076829459798</v>
      </c>
      <c r="I70">
        <f t="shared" si="79"/>
        <v>19.250488110424158</v>
      </c>
      <c r="J70">
        <f t="shared" si="79"/>
        <v>19.251674164036125</v>
      </c>
      <c r="K70">
        <f t="shared" si="79"/>
        <v>18.659487759134798</v>
      </c>
      <c r="L70">
        <f t="shared" si="74"/>
        <v>40.177264464552778</v>
      </c>
      <c r="M70">
        <f t="shared" si="75"/>
        <v>-0.76726446455278108</v>
      </c>
      <c r="N70">
        <f t="shared" si="76"/>
        <v>0.58869475856546583</v>
      </c>
    </row>
    <row r="71" spans="1:14" x14ac:dyDescent="0.45">
      <c r="A71" s="22">
        <v>42773</v>
      </c>
      <c r="B71">
        <v>40.22</v>
      </c>
      <c r="C71">
        <v>40.049999999999997</v>
      </c>
      <c r="G71">
        <f t="shared" ref="G71:K71" si="80">SUMPRODUCT($B71:$B75,P$2:P$6)</f>
        <v>19.293818197564644</v>
      </c>
      <c r="H71">
        <f t="shared" si="80"/>
        <v>19.308517107932005</v>
      </c>
      <c r="I71">
        <f t="shared" si="80"/>
        <v>19.314009742501849</v>
      </c>
      <c r="J71">
        <f t="shared" si="80"/>
        <v>19.315159636978166</v>
      </c>
      <c r="K71">
        <f t="shared" si="80"/>
        <v>18.720995438830219</v>
      </c>
      <c r="L71">
        <f t="shared" si="74"/>
        <v>40.309757551579871</v>
      </c>
      <c r="M71">
        <f t="shared" si="75"/>
        <v>-0.20975755157986953</v>
      </c>
      <c r="N71">
        <f t="shared" si="76"/>
        <v>4.3998230444781627E-2</v>
      </c>
    </row>
    <row r="72" spans="1:14" x14ac:dyDescent="0.45">
      <c r="A72" s="22">
        <v>42772</v>
      </c>
      <c r="B72">
        <v>40.04</v>
      </c>
      <c r="C72">
        <v>40.19</v>
      </c>
      <c r="G72">
        <f t="shared" ref="G72:K72" si="81">SUMPRODUCT($B72:$B76,P$2:P$6)</f>
        <v>19.203161701248664</v>
      </c>
      <c r="H72">
        <f t="shared" si="81"/>
        <v>19.217986190152704</v>
      </c>
      <c r="I72">
        <f t="shared" si="81"/>
        <v>19.223386510547879</v>
      </c>
      <c r="J72">
        <f t="shared" si="81"/>
        <v>19.224551652042074</v>
      </c>
      <c r="K72">
        <f t="shared" si="81"/>
        <v>18.633182975172467</v>
      </c>
      <c r="L72">
        <f t="shared" si="74"/>
        <v>40.120614592176345</v>
      </c>
      <c r="M72">
        <f t="shared" si="75"/>
        <v>9.9385407823653793E-2</v>
      </c>
      <c r="N72">
        <f t="shared" si="76"/>
        <v>9.8774592882739844E-3</v>
      </c>
    </row>
    <row r="73" spans="1:14" x14ac:dyDescent="0.45">
      <c r="A73" s="22">
        <v>42769</v>
      </c>
      <c r="B73">
        <v>40.71</v>
      </c>
      <c r="C73">
        <v>40.01</v>
      </c>
      <c r="G73">
        <f t="shared" ref="G73:K73" si="82">SUMPRODUCT($B73:$B77,P$2:P$6)</f>
        <v>19.508987203483262</v>
      </c>
      <c r="H73">
        <f t="shared" si="82"/>
        <v>19.524460968354315</v>
      </c>
      <c r="I73">
        <f t="shared" si="82"/>
        <v>19.529742076346537</v>
      </c>
      <c r="J73">
        <f t="shared" si="82"/>
        <v>19.531013543729372</v>
      </c>
      <c r="K73">
        <f t="shared" si="82"/>
        <v>18.930266032421667</v>
      </c>
      <c r="L73">
        <f t="shared" si="74"/>
        <v>40.760091800276207</v>
      </c>
      <c r="M73">
        <f t="shared" si="75"/>
        <v>-0.72009180027620801</v>
      </c>
      <c r="N73">
        <f t="shared" si="76"/>
        <v>0.51853220082503027</v>
      </c>
    </row>
    <row r="74" spans="1:14" x14ac:dyDescent="0.45">
      <c r="A74" s="22">
        <v>42768</v>
      </c>
      <c r="B74">
        <v>40.46</v>
      </c>
      <c r="C74">
        <v>40.47</v>
      </c>
      <c r="G74">
        <f t="shared" ref="G74:K74" si="83">SUMPRODUCT($B74:$B78,P$2:P$6)</f>
        <v>19.38494113870679</v>
      </c>
      <c r="H74">
        <f t="shared" si="83"/>
        <v>19.400304695198013</v>
      </c>
      <c r="I74">
        <f t="shared" si="83"/>
        <v>19.40551087722163</v>
      </c>
      <c r="J74">
        <f t="shared" si="83"/>
        <v>19.40680505948529</v>
      </c>
      <c r="K74">
        <f t="shared" si="83"/>
        <v>18.809898376669022</v>
      </c>
      <c r="L74">
        <f t="shared" si="74"/>
        <v>40.500885084746891</v>
      </c>
      <c r="M74">
        <f t="shared" si="75"/>
        <v>0.20911491525311021</v>
      </c>
      <c r="N74">
        <f t="shared" si="76"/>
        <v>4.3729047781315464E-2</v>
      </c>
    </row>
    <row r="75" spans="1:14" x14ac:dyDescent="0.45">
      <c r="A75" s="22">
        <v>42767</v>
      </c>
      <c r="B75">
        <v>40.32</v>
      </c>
      <c r="C75">
        <v>40.47</v>
      </c>
      <c r="G75">
        <f t="shared" ref="G75:K75" si="84">SUMPRODUCT($B75:$B79,P$2:P$6)</f>
        <v>19.320188344122872</v>
      </c>
      <c r="H75">
        <f t="shared" si="84"/>
        <v>19.335430944695307</v>
      </c>
      <c r="I75">
        <f t="shared" si="84"/>
        <v>19.340651428338848</v>
      </c>
      <c r="J75">
        <f t="shared" si="84"/>
        <v>19.341928542977215</v>
      </c>
      <c r="K75">
        <f t="shared" si="84"/>
        <v>18.747010504854423</v>
      </c>
      <c r="L75">
        <f t="shared" si="74"/>
        <v>40.365507500249073</v>
      </c>
      <c r="M75">
        <f t="shared" si="75"/>
        <v>9.449249975092755E-2</v>
      </c>
      <c r="N75">
        <f t="shared" si="76"/>
        <v>8.9288325091790438E-3</v>
      </c>
    </row>
    <row r="76" spans="1:14" x14ac:dyDescent="0.45">
      <c r="A76" s="22">
        <v>42766</v>
      </c>
      <c r="B76">
        <v>39.6</v>
      </c>
      <c r="C76">
        <v>40.21</v>
      </c>
      <c r="G76">
        <f t="shared" ref="G76:K76" si="85">SUMPRODUCT($B76:$B80,P$2:P$6)</f>
        <v>18.988904360871349</v>
      </c>
      <c r="H76">
        <f t="shared" si="85"/>
        <v>19.003566830240441</v>
      </c>
      <c r="I76">
        <f t="shared" si="85"/>
        <v>19.008873934511424</v>
      </c>
      <c r="J76">
        <f t="shared" si="85"/>
        <v>19.010048647534493</v>
      </c>
      <c r="K76">
        <f t="shared" si="85"/>
        <v>18.425293328314524</v>
      </c>
      <c r="L76">
        <f t="shared" si="74"/>
        <v>39.672962194746567</v>
      </c>
      <c r="M76">
        <f t="shared" si="75"/>
        <v>0.64703780525343291</v>
      </c>
      <c r="N76">
        <f t="shared" si="76"/>
        <v>0.41865792142717939</v>
      </c>
    </row>
    <row r="77" spans="1:14" x14ac:dyDescent="0.45">
      <c r="A77" s="22">
        <v>42765</v>
      </c>
      <c r="B77">
        <v>39.57</v>
      </c>
      <c r="C77">
        <v>39.61</v>
      </c>
      <c r="G77">
        <f t="shared" ref="G77:K77" si="86">SUMPRODUCT($B77:$B81,P$2:P$6)</f>
        <v>18.969975535548009</v>
      </c>
      <c r="H77">
        <f t="shared" si="86"/>
        <v>18.984879650840018</v>
      </c>
      <c r="I77">
        <f t="shared" si="86"/>
        <v>18.99010527253559</v>
      </c>
      <c r="J77">
        <f t="shared" si="86"/>
        <v>18.991297781483922</v>
      </c>
      <c r="K77">
        <f t="shared" si="86"/>
        <v>18.407125121411532</v>
      </c>
      <c r="L77">
        <f t="shared" si="74"/>
        <v>39.633764787795855</v>
      </c>
      <c r="M77">
        <f t="shared" si="75"/>
        <v>-3.3764787795853124E-2</v>
      </c>
      <c r="N77">
        <f t="shared" si="76"/>
        <v>1.140060894898992E-3</v>
      </c>
    </row>
    <row r="78" spans="1:14" x14ac:dyDescent="0.45">
      <c r="A78" s="22">
        <v>42762</v>
      </c>
      <c r="B78">
        <v>39.68</v>
      </c>
      <c r="C78">
        <v>39.61</v>
      </c>
      <c r="G78">
        <f t="shared" ref="G78:K78" si="87">SUMPRODUCT($B78:$B82,P$2:P$6)</f>
        <v>19.018939406071041</v>
      </c>
      <c r="H78">
        <f t="shared" si="87"/>
        <v>19.033876300010409</v>
      </c>
      <c r="I78">
        <f t="shared" si="87"/>
        <v>19.039078098277834</v>
      </c>
      <c r="J78">
        <f t="shared" si="87"/>
        <v>19.040299987149282</v>
      </c>
      <c r="K78">
        <f t="shared" si="87"/>
        <v>18.454638599916361</v>
      </c>
      <c r="L78">
        <f t="shared" si="74"/>
        <v>39.736037789168122</v>
      </c>
      <c r="M78">
        <f t="shared" si="75"/>
        <v>-0.16603778916812217</v>
      </c>
      <c r="N78">
        <f t="shared" si="76"/>
        <v>2.756854743183779E-2</v>
      </c>
    </row>
    <row r="79" spans="1:14" x14ac:dyDescent="0.45">
      <c r="A79" s="22">
        <v>42761</v>
      </c>
      <c r="B79">
        <v>39.68</v>
      </c>
      <c r="C79">
        <v>39.47</v>
      </c>
      <c r="G79">
        <f t="shared" ref="G79:K79" si="88">SUMPRODUCT($B79:$B83,P$2:P$6)</f>
        <v>19.008048749149445</v>
      </c>
      <c r="H79">
        <f t="shared" si="88"/>
        <v>19.023143883748897</v>
      </c>
      <c r="I79">
        <f t="shared" si="88"/>
        <v>19.028213154149064</v>
      </c>
      <c r="J79">
        <f t="shared" si="88"/>
        <v>19.029503307246724</v>
      </c>
      <c r="K79">
        <f t="shared" si="88"/>
        <v>18.44421443201508</v>
      </c>
      <c r="L79">
        <f t="shared" si="74"/>
        <v>39.713473915325935</v>
      </c>
      <c r="M79">
        <f t="shared" si="75"/>
        <v>-3.3473915325934911E-2</v>
      </c>
      <c r="N79">
        <f t="shared" si="76"/>
        <v>1.1205030072478602E-3</v>
      </c>
    </row>
    <row r="80" spans="1:14" x14ac:dyDescent="0.45">
      <c r="A80" s="22">
        <v>42760</v>
      </c>
      <c r="B80">
        <v>39.380000000000003</v>
      </c>
      <c r="C80">
        <v>39.56</v>
      </c>
      <c r="G80">
        <f t="shared" ref="G80:K80" si="89">SUMPRODUCT($B80:$B84,P$2:P$6)</f>
        <v>18.875887378967221</v>
      </c>
      <c r="H80">
        <f t="shared" si="89"/>
        <v>18.890611293409549</v>
      </c>
      <c r="I80">
        <f t="shared" si="89"/>
        <v>18.89579338086283</v>
      </c>
      <c r="J80">
        <f t="shared" si="89"/>
        <v>18.897006486854309</v>
      </c>
      <c r="K80">
        <f t="shared" si="89"/>
        <v>18.315754777119231</v>
      </c>
      <c r="L80">
        <f t="shared" si="74"/>
        <v>39.437018674913531</v>
      </c>
      <c r="M80">
        <f t="shared" si="75"/>
        <v>0.2429813250864683</v>
      </c>
      <c r="N80">
        <f t="shared" si="76"/>
        <v>5.9039924340775991E-2</v>
      </c>
    </row>
    <row r="81" spans="1:14" x14ac:dyDescent="0.45">
      <c r="A81" s="22">
        <v>42759</v>
      </c>
      <c r="B81">
        <v>38.56</v>
      </c>
      <c r="C81">
        <v>39.1</v>
      </c>
      <c r="G81">
        <f t="shared" ref="G81:K81" si="90">SUMPRODUCT($B81:$B85,P$2:P$6)</f>
        <v>18.499391825805521</v>
      </c>
      <c r="H81">
        <f t="shared" si="90"/>
        <v>18.513375382002359</v>
      </c>
      <c r="I81">
        <f t="shared" si="90"/>
        <v>18.5186739318574</v>
      </c>
      <c r="J81">
        <f t="shared" si="90"/>
        <v>18.5197688987097</v>
      </c>
      <c r="K81">
        <f t="shared" si="90"/>
        <v>17.950069827754145</v>
      </c>
      <c r="L81">
        <f t="shared" si="74"/>
        <v>38.649845476417752</v>
      </c>
      <c r="M81">
        <f t="shared" si="75"/>
        <v>0.73015452358225019</v>
      </c>
      <c r="N81">
        <f t="shared" si="76"/>
        <v>0.53312562830762278</v>
      </c>
    </row>
    <row r="82" spans="1:14" x14ac:dyDescent="0.45">
      <c r="A82" s="22">
        <v>42758</v>
      </c>
      <c r="B82">
        <v>38.96</v>
      </c>
      <c r="C82">
        <v>38.53</v>
      </c>
      <c r="G82">
        <f t="shared" ref="G82:K82" si="91">SUMPRODUCT($B82:$B86,P$2:P$6)</f>
        <v>18.683461608285452</v>
      </c>
      <c r="H82">
        <f t="shared" si="91"/>
        <v>18.697816988923918</v>
      </c>
      <c r="I82">
        <f t="shared" si="91"/>
        <v>18.703061776477497</v>
      </c>
      <c r="J82">
        <f t="shared" si="91"/>
        <v>18.704210923113859</v>
      </c>
      <c r="K82">
        <f t="shared" si="91"/>
        <v>18.128860853992233</v>
      </c>
      <c r="L82">
        <f t="shared" si="74"/>
        <v>39.034713144152001</v>
      </c>
      <c r="M82">
        <f t="shared" si="75"/>
        <v>-0.47471314415199828</v>
      </c>
      <c r="N82">
        <f t="shared" si="76"/>
        <v>0.2253525692306759</v>
      </c>
    </row>
    <row r="83" spans="1:14" x14ac:dyDescent="0.45">
      <c r="A83" s="22">
        <v>42755</v>
      </c>
      <c r="B83">
        <v>39.01</v>
      </c>
      <c r="C83">
        <v>38.97</v>
      </c>
      <c r="G83">
        <f t="shared" ref="G83:K83" si="92">SUMPRODUCT($B83:$B87,P$2:P$6)</f>
        <v>18.704065228193354</v>
      </c>
      <c r="H83">
        <f t="shared" si="92"/>
        <v>18.718565303763725</v>
      </c>
      <c r="I83">
        <f t="shared" si="92"/>
        <v>18.72376659011773</v>
      </c>
      <c r="J83">
        <f t="shared" si="92"/>
        <v>18.724934278694555</v>
      </c>
      <c r="K83">
        <f t="shared" si="92"/>
        <v>18.148954756239252</v>
      </c>
      <c r="L83">
        <f t="shared" si="74"/>
        <v>39.077930370836029</v>
      </c>
      <c r="M83">
        <f t="shared" si="75"/>
        <v>-0.11793037083602798</v>
      </c>
      <c r="N83">
        <f t="shared" si="76"/>
        <v>1.3907572365523077E-2</v>
      </c>
    </row>
    <row r="84" spans="1:14" x14ac:dyDescent="0.45">
      <c r="A84" s="22">
        <v>42754</v>
      </c>
      <c r="B84">
        <v>39.049999999999997</v>
      </c>
      <c r="C84">
        <v>38.86</v>
      </c>
      <c r="G84">
        <f t="shared" ref="G84:K84" si="93">SUMPRODUCT($B84:$B88,P$2:P$6)</f>
        <v>18.723709297068268</v>
      </c>
      <c r="H84">
        <f t="shared" si="93"/>
        <v>18.738154742473249</v>
      </c>
      <c r="I84">
        <f t="shared" si="93"/>
        <v>18.743374474626727</v>
      </c>
      <c r="J84">
        <f t="shared" si="93"/>
        <v>18.744543410032161</v>
      </c>
      <c r="K84">
        <f t="shared" si="93"/>
        <v>18.167962984087278</v>
      </c>
      <c r="L84">
        <f t="shared" si="74"/>
        <v>39.118872967995586</v>
      </c>
      <c r="M84">
        <f t="shared" si="75"/>
        <v>-0.10887296799558754</v>
      </c>
      <c r="N84">
        <f t="shared" si="76"/>
        <v>1.185332316016823E-2</v>
      </c>
    </row>
    <row r="85" spans="1:14" x14ac:dyDescent="0.45">
      <c r="A85" s="22">
        <v>42753</v>
      </c>
      <c r="B85">
        <v>39</v>
      </c>
      <c r="C85">
        <v>39.08</v>
      </c>
      <c r="G85">
        <f t="shared" ref="G85:K85" si="94">SUMPRODUCT($B85:$B89,P$2:P$6)</f>
        <v>18.693780347572311</v>
      </c>
      <c r="H85">
        <f t="shared" si="94"/>
        <v>18.708408352575528</v>
      </c>
      <c r="I85">
        <f t="shared" si="94"/>
        <v>18.713535335824602</v>
      </c>
      <c r="J85">
        <f t="shared" si="94"/>
        <v>18.714734395984202</v>
      </c>
      <c r="K85">
        <f t="shared" si="94"/>
        <v>18.139085963430578</v>
      </c>
      <c r="L85">
        <f t="shared" si="74"/>
        <v>39.056613308922671</v>
      </c>
      <c r="M85">
        <f t="shared" si="75"/>
        <v>-6.6133089226738662E-3</v>
      </c>
      <c r="N85">
        <f t="shared" si="76"/>
        <v>4.3735854906717772E-5</v>
      </c>
    </row>
    <row r="86" spans="1:14" x14ac:dyDescent="0.45">
      <c r="A86" s="22">
        <v>42752</v>
      </c>
      <c r="B86">
        <v>38.950000000000003</v>
      </c>
      <c r="C86">
        <v>38.950000000000003</v>
      </c>
      <c r="G86">
        <f t="shared" ref="G86:K86" si="95">SUMPRODUCT($B86:$B90,P$2:P$6)</f>
        <v>18.670020763865136</v>
      </c>
      <c r="H86">
        <f t="shared" si="95"/>
        <v>18.684799660435321</v>
      </c>
      <c r="I86">
        <f t="shared" si="95"/>
        <v>18.689902088451596</v>
      </c>
      <c r="J86">
        <f t="shared" si="95"/>
        <v>18.691089219712332</v>
      </c>
      <c r="K86">
        <f t="shared" si="95"/>
        <v>18.116157216664885</v>
      </c>
      <c r="L86">
        <f t="shared" si="74"/>
        <v>39.00721965058203</v>
      </c>
      <c r="M86">
        <f t="shared" si="75"/>
        <v>-7.2196505820301127E-3</v>
      </c>
      <c r="N86">
        <f t="shared" si="76"/>
        <v>5.2123354526607746E-5</v>
      </c>
    </row>
    <row r="87" spans="1:14" x14ac:dyDescent="0.45">
      <c r="A87" s="22">
        <v>42748</v>
      </c>
      <c r="B87">
        <v>38.68</v>
      </c>
      <c r="C87">
        <v>38.950000000000003</v>
      </c>
      <c r="G87">
        <f t="shared" ref="G87:K87" si="96">SUMPRODUCT($B87:$B91,P$2:P$6)</f>
        <v>18.541459176414396</v>
      </c>
      <c r="H87">
        <f t="shared" si="96"/>
        <v>18.555965378054985</v>
      </c>
      <c r="I87">
        <f t="shared" si="96"/>
        <v>18.561061611612907</v>
      </c>
      <c r="J87">
        <f t="shared" si="96"/>
        <v>18.562242764351133</v>
      </c>
      <c r="K87">
        <f t="shared" si="96"/>
        <v>17.991280744531831</v>
      </c>
      <c r="L87">
        <f t="shared" si="74"/>
        <v>38.738372158017789</v>
      </c>
      <c r="M87">
        <f t="shared" si="75"/>
        <v>0.21162784198221374</v>
      </c>
      <c r="N87">
        <f t="shared" si="76"/>
        <v>4.4786343502048825E-2</v>
      </c>
    </row>
    <row r="88" spans="1:14" x14ac:dyDescent="0.45">
      <c r="A88" s="22">
        <v>42747</v>
      </c>
      <c r="B88">
        <v>38.99</v>
      </c>
      <c r="C88">
        <v>39.130000000000003</v>
      </c>
      <c r="G88">
        <f t="shared" ref="G88:K88" si="97">SUMPRODUCT($B88:$B92,P$2:P$6)</f>
        <v>18.672124010691608</v>
      </c>
      <c r="H88">
        <f t="shared" si="97"/>
        <v>18.687128580236031</v>
      </c>
      <c r="I88">
        <f t="shared" si="97"/>
        <v>18.692032978273502</v>
      </c>
      <c r="J88">
        <f t="shared" si="97"/>
        <v>18.693329459043888</v>
      </c>
      <c r="K88">
        <f t="shared" si="97"/>
        <v>18.118394895864331</v>
      </c>
      <c r="L88">
        <f t="shared" si="74"/>
        <v>39.011856869413741</v>
      </c>
      <c r="M88">
        <f t="shared" si="75"/>
        <v>-0.33185686941374115</v>
      </c>
      <c r="N88">
        <f t="shared" si="76"/>
        <v>0.11012898177708885</v>
      </c>
    </row>
    <row r="89" spans="1:14" x14ac:dyDescent="0.45">
      <c r="A89" s="22">
        <v>42746</v>
      </c>
      <c r="B89">
        <v>38.47</v>
      </c>
      <c r="C89">
        <v>39.200000000000003</v>
      </c>
      <c r="G89">
        <f t="shared" ref="G89:K89" si="98">SUMPRODUCT($B89:$B93,P$2:P$6)</f>
        <v>18.436053611015357</v>
      </c>
      <c r="H89">
        <f t="shared" si="98"/>
        <v>18.450643242443025</v>
      </c>
      <c r="I89">
        <f t="shared" si="98"/>
        <v>18.455643043170092</v>
      </c>
      <c r="J89">
        <f t="shared" si="98"/>
        <v>18.456842999449876</v>
      </c>
      <c r="K89">
        <f t="shared" si="98"/>
        <v>17.889134740718877</v>
      </c>
      <c r="L89">
        <f t="shared" si="74"/>
        <v>38.518368166726887</v>
      </c>
      <c r="M89">
        <f t="shared" si="75"/>
        <v>0.47163183327311486</v>
      </c>
      <c r="N89">
        <f t="shared" si="76"/>
        <v>0.22243658615655923</v>
      </c>
    </row>
    <row r="90" spans="1:14" x14ac:dyDescent="0.45">
      <c r="A90" s="22">
        <v>42745</v>
      </c>
      <c r="B90">
        <v>37.67</v>
      </c>
      <c r="C90">
        <v>38.380000000000003</v>
      </c>
      <c r="G90">
        <f t="shared" ref="G90:K90" si="99">SUMPRODUCT($B90:$B94,P$2:P$6)</f>
        <v>18.061890485407577</v>
      </c>
      <c r="H90">
        <f t="shared" si="99"/>
        <v>18.076021446374334</v>
      </c>
      <c r="I90">
        <f t="shared" si="99"/>
        <v>18.081032021127804</v>
      </c>
      <c r="J90">
        <f t="shared" si="99"/>
        <v>18.082150791722395</v>
      </c>
      <c r="K90">
        <f t="shared" si="99"/>
        <v>17.525934146533032</v>
      </c>
      <c r="L90">
        <f t="shared" si="74"/>
        <v>37.73643923974393</v>
      </c>
      <c r="M90">
        <f t="shared" si="75"/>
        <v>0.73356076025606853</v>
      </c>
      <c r="N90">
        <f t="shared" si="76"/>
        <v>0.53811138898746125</v>
      </c>
    </row>
    <row r="91" spans="1:14" x14ac:dyDescent="0.45">
      <c r="A91" s="22">
        <v>42744</v>
      </c>
      <c r="B91">
        <v>38.090000000000003</v>
      </c>
      <c r="C91">
        <v>37.700000000000003</v>
      </c>
      <c r="G91">
        <f t="shared" ref="G91:K91" si="100">SUMPRODUCT($B91:$B95,P$2:P$6)</f>
        <v>18.24670145811066</v>
      </c>
      <c r="H91">
        <f t="shared" si="100"/>
        <v>18.261418635277476</v>
      </c>
      <c r="I91">
        <f t="shared" si="100"/>
        <v>18.266261132649245</v>
      </c>
      <c r="J91">
        <f t="shared" si="100"/>
        <v>18.267485413378502</v>
      </c>
      <c r="K91">
        <f t="shared" si="100"/>
        <v>17.705619130354158</v>
      </c>
      <c r="L91">
        <f t="shared" si="74"/>
        <v>38.1231230484374</v>
      </c>
      <c r="M91">
        <f t="shared" si="75"/>
        <v>-0.45312304843739781</v>
      </c>
      <c r="N91">
        <f t="shared" si="76"/>
        <v>0.20532049702520036</v>
      </c>
    </row>
    <row r="92" spans="1:14" x14ac:dyDescent="0.45">
      <c r="A92" s="22">
        <v>42741</v>
      </c>
      <c r="B92">
        <v>37.950000000000003</v>
      </c>
      <c r="C92">
        <v>37.909999999999997</v>
      </c>
      <c r="G92">
        <f t="shared" ref="G92:K92" si="101">SUMPRODUCT($B92:$B96,P$2:P$6)</f>
        <v>18.172948447153622</v>
      </c>
      <c r="H92">
        <f t="shared" si="101"/>
        <v>18.187664206153649</v>
      </c>
      <c r="I92">
        <f t="shared" si="101"/>
        <v>18.192412812531789</v>
      </c>
      <c r="J92">
        <f t="shared" si="101"/>
        <v>18.193676441792533</v>
      </c>
      <c r="K92">
        <f t="shared" si="101"/>
        <v>17.634108182633163</v>
      </c>
      <c r="L92">
        <f t="shared" si="74"/>
        <v>37.96908175640673</v>
      </c>
      <c r="M92">
        <f t="shared" si="75"/>
        <v>0.12091824359327319</v>
      </c>
      <c r="N92">
        <f t="shared" si="76"/>
        <v>1.4621221633682152E-2</v>
      </c>
    </row>
    <row r="93" spans="1:14" x14ac:dyDescent="0.45">
      <c r="A93" s="22">
        <v>42740</v>
      </c>
      <c r="B93">
        <v>37.5</v>
      </c>
      <c r="C93">
        <v>37.94</v>
      </c>
      <c r="G93">
        <f t="shared" ref="G93:K93" si="102">SUMPRODUCT($B93:$B97,P$2:P$6)</f>
        <v>17.961435038572937</v>
      </c>
      <c r="H93">
        <f t="shared" si="102"/>
        <v>17.975821510658989</v>
      </c>
      <c r="I93">
        <f t="shared" si="102"/>
        <v>17.980573716920542</v>
      </c>
      <c r="J93">
        <f t="shared" si="102"/>
        <v>17.981802852376674</v>
      </c>
      <c r="K93">
        <f t="shared" si="102"/>
        <v>17.428741643367342</v>
      </c>
      <c r="L93">
        <f t="shared" si="74"/>
        <v>37.526952787615485</v>
      </c>
      <c r="M93">
        <f t="shared" si="75"/>
        <v>0.42304721238451748</v>
      </c>
      <c r="N93">
        <f t="shared" si="76"/>
        <v>0.17896894390631105</v>
      </c>
    </row>
    <row r="94" spans="1:14" x14ac:dyDescent="0.45">
      <c r="A94" s="22">
        <v>42739</v>
      </c>
      <c r="B94">
        <v>36.770000000000003</v>
      </c>
      <c r="C94">
        <v>37.36</v>
      </c>
      <c r="G94">
        <f t="shared" ref="G94:K94" si="103">SUMPRODUCT($B94:$B98,P$2:P$6)</f>
        <v>17.628165869689717</v>
      </c>
      <c r="H94">
        <f t="shared" si="103"/>
        <v>17.641816513365114</v>
      </c>
      <c r="I94">
        <f t="shared" si="103"/>
        <v>17.646701396743381</v>
      </c>
      <c r="J94">
        <f t="shared" si="103"/>
        <v>17.647815920067558</v>
      </c>
      <c r="K94">
        <f t="shared" si="103"/>
        <v>17.10497848002613</v>
      </c>
      <c r="L94">
        <f t="shared" si="74"/>
        <v>36.830049630079117</v>
      </c>
      <c r="M94">
        <f t="shared" si="75"/>
        <v>0.6699503699208833</v>
      </c>
      <c r="N94">
        <f t="shared" si="76"/>
        <v>0.44883349815712836</v>
      </c>
    </row>
    <row r="95" spans="1:14" x14ac:dyDescent="0.45">
      <c r="A95" s="22">
        <v>42738</v>
      </c>
      <c r="B95">
        <v>36.44</v>
      </c>
      <c r="C95">
        <v>36.64</v>
      </c>
      <c r="G95">
        <f t="shared" ref="G95:K95" si="104">SUMPRODUCT($B95:$B99,P$2:P$6)</f>
        <v>17.475401018599364</v>
      </c>
      <c r="H95">
        <f t="shared" si="104"/>
        <v>17.488793869224271</v>
      </c>
      <c r="I95">
        <f t="shared" si="104"/>
        <v>17.49370781645062</v>
      </c>
      <c r="J95">
        <f t="shared" si="104"/>
        <v>17.49478157647718</v>
      </c>
      <c r="K95">
        <f t="shared" si="104"/>
        <v>16.956634103412672</v>
      </c>
      <c r="L95">
        <f t="shared" si="74"/>
        <v>36.510706008311054</v>
      </c>
      <c r="M95">
        <f t="shared" si="75"/>
        <v>0.25929399168894918</v>
      </c>
      <c r="N95">
        <f t="shared" si="76"/>
        <v>6.7233374125988843E-2</v>
      </c>
    </row>
    <row r="96" spans="1:14" x14ac:dyDescent="0.45">
      <c r="A96" s="22">
        <v>42734</v>
      </c>
      <c r="B96">
        <v>36.53</v>
      </c>
      <c r="C96">
        <v>36.11</v>
      </c>
      <c r="G96">
        <f t="shared" ref="G96:K96" si="105">SUMPRODUCT($B96:$B100,P$2:P$6)</f>
        <v>17.518260792036706</v>
      </c>
      <c r="H96">
        <f t="shared" si="105"/>
        <v>17.531737537242261</v>
      </c>
      <c r="I96">
        <f t="shared" si="105"/>
        <v>17.536654442129382</v>
      </c>
      <c r="J96">
        <f t="shared" si="105"/>
        <v>17.537730231549443</v>
      </c>
      <c r="K96">
        <f t="shared" si="105"/>
        <v>16.998260098983213</v>
      </c>
      <c r="L96">
        <f t="shared" si="74"/>
        <v>36.60032392589838</v>
      </c>
      <c r="M96">
        <f t="shared" si="75"/>
        <v>-0.16032392589838196</v>
      </c>
      <c r="N96">
        <f t="shared" si="76"/>
        <v>2.570376121546987E-2</v>
      </c>
    </row>
    <row r="97" spans="1:14" x14ac:dyDescent="0.45">
      <c r="A97" s="22">
        <v>42733</v>
      </c>
      <c r="B97">
        <v>36.5</v>
      </c>
      <c r="C97">
        <v>36.479999999999997</v>
      </c>
      <c r="G97">
        <f t="shared" ref="G97:K97" si="106">SUMPRODUCT($B97:$B101,P$2:P$6)</f>
        <v>17.505854073099282</v>
      </c>
      <c r="H97">
        <f t="shared" si="106"/>
        <v>17.51917606663082</v>
      </c>
      <c r="I97">
        <f t="shared" si="106"/>
        <v>17.52412667222956</v>
      </c>
      <c r="J97">
        <f t="shared" si="106"/>
        <v>17.52519498903699</v>
      </c>
      <c r="K97">
        <f t="shared" si="106"/>
        <v>16.98611005312506</v>
      </c>
      <c r="L97">
        <f t="shared" si="74"/>
        <v>36.574201701673715</v>
      </c>
      <c r="M97">
        <f t="shared" si="75"/>
        <v>-4.4201701673713956E-2</v>
      </c>
      <c r="N97">
        <f t="shared" si="76"/>
        <v>1.9537904308520072E-3</v>
      </c>
    </row>
    <row r="98" spans="1:14" x14ac:dyDescent="0.45">
      <c r="A98" s="22">
        <v>42732</v>
      </c>
      <c r="B98">
        <v>36.659999999999997</v>
      </c>
      <c r="C98">
        <v>36.43</v>
      </c>
      <c r="G98">
        <f t="shared" ref="G98:K98" si="107">SUMPRODUCT($B98:$B102,P$2:P$6)</f>
        <v>17.578011154861493</v>
      </c>
      <c r="H98">
        <f t="shared" si="107"/>
        <v>17.59149559783906</v>
      </c>
      <c r="I98">
        <f t="shared" si="107"/>
        <v>17.596407709172794</v>
      </c>
      <c r="J98">
        <f t="shared" si="107"/>
        <v>17.597507619009889</v>
      </c>
      <c r="K98">
        <f t="shared" si="107"/>
        <v>17.056212939440389</v>
      </c>
      <c r="L98">
        <f t="shared" si="74"/>
        <v>36.725090446403343</v>
      </c>
      <c r="M98">
        <f t="shared" si="75"/>
        <v>-0.22509044640334253</v>
      </c>
      <c r="N98">
        <f t="shared" si="76"/>
        <v>5.0665709062056016E-2</v>
      </c>
    </row>
    <row r="99" spans="1:14" x14ac:dyDescent="0.45">
      <c r="A99" s="22">
        <v>42731</v>
      </c>
      <c r="B99">
        <v>36.549999999999997</v>
      </c>
      <c r="C99">
        <v>36.53</v>
      </c>
      <c r="G99">
        <f t="shared" ref="G99:K99" si="108">SUMPRODUCT($B99:$B103,P$2:P$6)</f>
        <v>17.532173889633643</v>
      </c>
      <c r="H99">
        <f t="shared" si="108"/>
        <v>17.545542288933042</v>
      </c>
      <c r="I99">
        <f t="shared" si="108"/>
        <v>17.550520764980284</v>
      </c>
      <c r="J99">
        <f t="shared" si="108"/>
        <v>17.551573111794767</v>
      </c>
      <c r="K99">
        <f t="shared" si="108"/>
        <v>17.011663970667328</v>
      </c>
      <c r="L99">
        <f t="shared" si="74"/>
        <v>36.629240190476629</v>
      </c>
      <c r="M99">
        <f t="shared" si="75"/>
        <v>3.075980952336721E-2</v>
      </c>
      <c r="N99">
        <f t="shared" si="76"/>
        <v>9.4616588191383212E-4</v>
      </c>
    </row>
    <row r="100" spans="1:14" x14ac:dyDescent="0.45">
      <c r="A100" s="22">
        <v>42727</v>
      </c>
      <c r="B100">
        <v>36.44</v>
      </c>
      <c r="C100">
        <v>36.5</v>
      </c>
      <c r="G100">
        <f t="shared" ref="G100:K100" si="109">SUMPRODUCT($B100:$B104,P$2:P$6)</f>
        <v>17.479760420718044</v>
      </c>
      <c r="H100">
        <f t="shared" si="109"/>
        <v>17.493135967229918</v>
      </c>
      <c r="I100">
        <f t="shared" si="109"/>
        <v>17.49809749573577</v>
      </c>
      <c r="J100">
        <f t="shared" si="109"/>
        <v>17.499141720341804</v>
      </c>
      <c r="K100">
        <f t="shared" si="109"/>
        <v>16.960841050866424</v>
      </c>
      <c r="L100">
        <f t="shared" si="74"/>
        <v>36.519804936500435</v>
      </c>
      <c r="M100">
        <f t="shared" si="75"/>
        <v>3.0195063499562025E-2</v>
      </c>
      <c r="N100">
        <f t="shared" si="76"/>
        <v>9.1174185974258288E-4</v>
      </c>
    </row>
    <row r="101" spans="1:14" x14ac:dyDescent="0.45">
      <c r="A101" s="22">
        <v>42726</v>
      </c>
      <c r="B101">
        <v>36.9</v>
      </c>
      <c r="C101">
        <v>36.44</v>
      </c>
      <c r="G101">
        <f t="shared" ref="G101:K101" si="110">SUMPRODUCT($B101:$B105,P$2:P$6)</f>
        <v>17.692270872513035</v>
      </c>
      <c r="H101">
        <f t="shared" si="110"/>
        <v>17.705882046370583</v>
      </c>
      <c r="I101">
        <f t="shared" si="110"/>
        <v>17.710813213252521</v>
      </c>
      <c r="J101">
        <f t="shared" si="110"/>
        <v>17.711923479060911</v>
      </c>
      <c r="K101">
        <f t="shared" si="110"/>
        <v>17.167111420688123</v>
      </c>
      <c r="L101">
        <f t="shared" si="74"/>
        <v>36.963861598396733</v>
      </c>
      <c r="M101">
        <f t="shared" si="75"/>
        <v>-0.52386159839673496</v>
      </c>
      <c r="N101">
        <f t="shared" si="76"/>
        <v>0.27443097427478202</v>
      </c>
    </row>
    <row r="102" spans="1:14" x14ac:dyDescent="0.45">
      <c r="A102" s="22">
        <v>42725</v>
      </c>
      <c r="B102">
        <v>36.92</v>
      </c>
      <c r="C102">
        <v>36.9</v>
      </c>
      <c r="G102">
        <f t="shared" ref="G102:K102" si="111">SUMPRODUCT($B102:$B106,P$2:P$6)</f>
        <v>17.695876643389418</v>
      </c>
      <c r="H102">
        <f t="shared" si="111"/>
        <v>17.709627630121698</v>
      </c>
      <c r="I102">
        <f t="shared" si="111"/>
        <v>17.714483255080474</v>
      </c>
      <c r="J102">
        <f t="shared" si="111"/>
        <v>17.715629675055226</v>
      </c>
      <c r="K102">
        <f t="shared" si="111"/>
        <v>17.170722726821982</v>
      </c>
      <c r="L102">
        <f t="shared" si="74"/>
        <v>36.971565374255988</v>
      </c>
      <c r="M102">
        <f t="shared" si="75"/>
        <v>-7.1565374255989411E-2</v>
      </c>
      <c r="N102">
        <f t="shared" si="76"/>
        <v>5.1216027923998318E-3</v>
      </c>
    </row>
    <row r="103" spans="1:14" x14ac:dyDescent="0.45">
      <c r="A103" s="22">
        <v>42724</v>
      </c>
      <c r="B103">
        <v>36.67</v>
      </c>
      <c r="C103">
        <v>36.83</v>
      </c>
      <c r="G103">
        <f t="shared" ref="G103:K103" si="112">SUMPRODUCT($B103:$B107,P$2:P$6)</f>
        <v>17.592885413311087</v>
      </c>
      <c r="H103">
        <f t="shared" si="112"/>
        <v>17.606147387063171</v>
      </c>
      <c r="I103">
        <f t="shared" si="112"/>
        <v>17.611192959967887</v>
      </c>
      <c r="J103">
        <f t="shared" si="112"/>
        <v>17.612234298489941</v>
      </c>
      <c r="K103">
        <f t="shared" si="112"/>
        <v>17.070453794467401</v>
      </c>
      <c r="L103">
        <f t="shared" si="74"/>
        <v>36.755875675370874</v>
      </c>
      <c r="M103">
        <f t="shared" si="75"/>
        <v>0.16412432462912818</v>
      </c>
      <c r="N103">
        <f t="shared" si="76"/>
        <v>2.6936793934967451E-2</v>
      </c>
    </row>
    <row r="104" spans="1:14" x14ac:dyDescent="0.45">
      <c r="A104" s="22">
        <v>42723</v>
      </c>
      <c r="B104">
        <v>36.33</v>
      </c>
      <c r="C104">
        <v>36.630000000000003</v>
      </c>
      <c r="G104">
        <f t="shared" ref="G104:K104" si="113">SUMPRODUCT($B104:$B108,P$2:P$6)</f>
        <v>17.435577842279866</v>
      </c>
      <c r="H104">
        <f t="shared" si="113"/>
        <v>17.448509891349854</v>
      </c>
      <c r="I104">
        <f t="shared" si="113"/>
        <v>17.453593945519707</v>
      </c>
      <c r="J104">
        <f t="shared" si="113"/>
        <v>17.454596063759741</v>
      </c>
      <c r="K104">
        <f t="shared" si="113"/>
        <v>16.917649985756054</v>
      </c>
      <c r="L104">
        <f t="shared" si="74"/>
        <v>36.426942737189286</v>
      </c>
      <c r="M104">
        <f t="shared" si="75"/>
        <v>0.24305726281071571</v>
      </c>
      <c r="N104">
        <f t="shared" si="76"/>
        <v>5.9076833005037327E-2</v>
      </c>
    </row>
    <row r="105" spans="1:14" x14ac:dyDescent="0.45">
      <c r="A105" s="22">
        <v>42720</v>
      </c>
      <c r="B105">
        <v>37.049999999999997</v>
      </c>
      <c r="C105">
        <v>36.47</v>
      </c>
      <c r="G105">
        <f t="shared" ref="G105:K105" si="114">SUMPRODUCT($B105:$B109,P$2:P$6)</f>
        <v>17.767105746814227</v>
      </c>
      <c r="H105">
        <f t="shared" si="114"/>
        <v>17.780825980898832</v>
      </c>
      <c r="I105">
        <f t="shared" si="114"/>
        <v>17.785801259169528</v>
      </c>
      <c r="J105">
        <f t="shared" si="114"/>
        <v>17.786893644154532</v>
      </c>
      <c r="K105">
        <f t="shared" si="114"/>
        <v>17.239758184448874</v>
      </c>
      <c r="L105">
        <f t="shared" si="74"/>
        <v>37.12030060227503</v>
      </c>
      <c r="M105">
        <f t="shared" si="75"/>
        <v>-0.79030060227503185</v>
      </c>
      <c r="N105">
        <f t="shared" si="76"/>
        <v>0.62457504195627811</v>
      </c>
    </row>
    <row r="106" spans="1:14" x14ac:dyDescent="0.45">
      <c r="A106" s="22">
        <v>42719</v>
      </c>
      <c r="B106">
        <v>36.9</v>
      </c>
      <c r="C106">
        <v>36.99</v>
      </c>
      <c r="G106">
        <f t="shared" ref="G106:K106" si="115">SUMPRODUCT($B106:$B110,P$2:P$6)</f>
        <v>17.703049095024575</v>
      </c>
      <c r="H106">
        <f t="shared" si="115"/>
        <v>17.716457726278993</v>
      </c>
      <c r="I106">
        <f t="shared" si="115"/>
        <v>17.721525507095933</v>
      </c>
      <c r="J106">
        <f t="shared" si="115"/>
        <v>17.722571158100038</v>
      </c>
      <c r="K106">
        <f t="shared" si="115"/>
        <v>17.177393771495115</v>
      </c>
      <c r="L106">
        <f t="shared" si="74"/>
        <v>36.986126110209973</v>
      </c>
      <c r="M106">
        <f t="shared" si="75"/>
        <v>6.3873889790023952E-2</v>
      </c>
      <c r="N106">
        <f t="shared" si="76"/>
        <v>4.0798737969081258E-3</v>
      </c>
    </row>
    <row r="107" spans="1:14" x14ac:dyDescent="0.45">
      <c r="A107" s="22">
        <v>42718</v>
      </c>
      <c r="B107">
        <v>37.229999999999997</v>
      </c>
      <c r="C107">
        <v>36.74</v>
      </c>
      <c r="G107">
        <f t="shared" ref="G107:K107" si="116">SUMPRODUCT($B107:$B111,P$2:P$6)</f>
        <v>17.847810387482113</v>
      </c>
      <c r="H107">
        <f t="shared" si="116"/>
        <v>17.861569303198483</v>
      </c>
      <c r="I107">
        <f t="shared" si="116"/>
        <v>17.866513448146947</v>
      </c>
      <c r="J107">
        <f t="shared" si="116"/>
        <v>17.867651453710351</v>
      </c>
      <c r="K107">
        <f t="shared" si="116"/>
        <v>17.318059688338604</v>
      </c>
      <c r="L107">
        <f t="shared" si="74"/>
        <v>37.288853052197553</v>
      </c>
      <c r="M107">
        <f t="shared" si="75"/>
        <v>-0.38885305219755395</v>
      </c>
      <c r="N107">
        <f t="shared" si="76"/>
        <v>0.15120669620335361</v>
      </c>
    </row>
    <row r="108" spans="1:14" x14ac:dyDescent="0.45">
      <c r="A108" s="22">
        <v>42717</v>
      </c>
      <c r="B108">
        <v>37.39</v>
      </c>
      <c r="C108">
        <v>37.32</v>
      </c>
      <c r="G108">
        <f t="shared" ref="G108:K108" si="117">SUMPRODUCT($B108:$B112,P$2:P$6)</f>
        <v>17.922768955211531</v>
      </c>
      <c r="H108">
        <f t="shared" si="117"/>
        <v>17.9368147782343</v>
      </c>
      <c r="I108">
        <f t="shared" si="117"/>
        <v>17.941734912702493</v>
      </c>
      <c r="J108">
        <f t="shared" si="117"/>
        <v>17.94287849777562</v>
      </c>
      <c r="K108">
        <f t="shared" si="117"/>
        <v>17.390967041477211</v>
      </c>
      <c r="L108">
        <f t="shared" si="74"/>
        <v>37.445785780495456</v>
      </c>
      <c r="M108">
        <f t="shared" si="75"/>
        <v>-0.21578578049545882</v>
      </c>
      <c r="N108">
        <f t="shared" si="76"/>
        <v>4.6563503064034339E-2</v>
      </c>
    </row>
    <row r="109" spans="1:14" x14ac:dyDescent="0.45">
      <c r="A109" s="22">
        <v>42716</v>
      </c>
      <c r="B109">
        <v>36.770000000000003</v>
      </c>
      <c r="C109">
        <v>37.17</v>
      </c>
      <c r="G109">
        <f t="shared" ref="G109:K109" si="118">SUMPRODUCT($B109:$B113,P$2:P$6)</f>
        <v>17.640360210397603</v>
      </c>
      <c r="H109">
        <f t="shared" si="118"/>
        <v>17.653834574062468</v>
      </c>
      <c r="I109">
        <f t="shared" si="118"/>
        <v>17.658867739801423</v>
      </c>
      <c r="J109">
        <f t="shared" si="118"/>
        <v>17.65990628674307</v>
      </c>
      <c r="K109">
        <f t="shared" si="118"/>
        <v>17.116651159987612</v>
      </c>
      <c r="L109">
        <f t="shared" si="74"/>
        <v>36.855316070583484</v>
      </c>
      <c r="M109">
        <f t="shared" si="75"/>
        <v>0.53468392941651643</v>
      </c>
      <c r="N109">
        <f t="shared" si="76"/>
        <v>0.28588690437628633</v>
      </c>
    </row>
    <row r="110" spans="1:14" x14ac:dyDescent="0.45">
      <c r="A110" s="22">
        <v>42713</v>
      </c>
      <c r="B110">
        <v>37.200000000000003</v>
      </c>
      <c r="C110">
        <v>36.79</v>
      </c>
      <c r="G110">
        <f t="shared" ref="G110:K110" si="119">SUMPRODUCT($B110:$B114,P$2:P$6)</f>
        <v>17.824584496863157</v>
      </c>
      <c r="H110">
        <f t="shared" si="119"/>
        <v>17.838794800280219</v>
      </c>
      <c r="I110">
        <f t="shared" si="119"/>
        <v>17.84358768058955</v>
      </c>
      <c r="J110">
        <f t="shared" si="119"/>
        <v>17.844762609347736</v>
      </c>
      <c r="K110">
        <f t="shared" si="119"/>
        <v>17.295888150749786</v>
      </c>
      <c r="L110">
        <f t="shared" si="74"/>
        <v>37.24096641468951</v>
      </c>
      <c r="M110">
        <f t="shared" si="75"/>
        <v>-0.47096641468950651</v>
      </c>
      <c r="N110">
        <f t="shared" si="76"/>
        <v>0.22180936376548821</v>
      </c>
    </row>
    <row r="111" spans="1:14" x14ac:dyDescent="0.45">
      <c r="A111" s="22">
        <v>42712</v>
      </c>
      <c r="B111">
        <v>37.450000000000003</v>
      </c>
      <c r="C111">
        <v>37.39</v>
      </c>
      <c r="G111">
        <f t="shared" ref="G111:K111" si="120">SUMPRODUCT($B111:$B115,P$2:P$6)</f>
        <v>17.935375148255837</v>
      </c>
      <c r="H111">
        <f t="shared" si="120"/>
        <v>17.949957562683171</v>
      </c>
      <c r="I111">
        <f t="shared" si="120"/>
        <v>17.954655838780237</v>
      </c>
      <c r="J111">
        <f t="shared" si="120"/>
        <v>17.955886811483087</v>
      </c>
      <c r="K111">
        <f t="shared" si="120"/>
        <v>17.403619774556734</v>
      </c>
      <c r="L111">
        <f t="shared" si="74"/>
        <v>37.472810072458444</v>
      </c>
      <c r="M111">
        <f t="shared" si="75"/>
        <v>-0.2728100724584408</v>
      </c>
      <c r="N111">
        <f t="shared" si="76"/>
        <v>7.4425335634779724E-2</v>
      </c>
    </row>
    <row r="112" spans="1:14" x14ac:dyDescent="0.45">
      <c r="A112" s="22">
        <v>42711</v>
      </c>
      <c r="B112">
        <v>36.74</v>
      </c>
      <c r="C112">
        <v>37.450000000000003</v>
      </c>
      <c r="G112">
        <f t="shared" ref="G112:K112" si="121">SUMPRODUCT($B112:$B116,P$2:P$6)</f>
        <v>17.607210374637567</v>
      </c>
      <c r="H112">
        <f t="shared" si="121"/>
        <v>17.620947731986305</v>
      </c>
      <c r="I112">
        <f t="shared" si="121"/>
        <v>17.625748362530921</v>
      </c>
      <c r="J112">
        <f t="shared" si="121"/>
        <v>17.626902283183572</v>
      </c>
      <c r="K112">
        <f t="shared" si="121"/>
        <v>17.084733129373216</v>
      </c>
      <c r="L112">
        <f t="shared" si="74"/>
        <v>36.78638543421895</v>
      </c>
      <c r="M112">
        <f t="shared" si="75"/>
        <v>0.66361456578105305</v>
      </c>
      <c r="N112">
        <f t="shared" si="76"/>
        <v>0.44038429191677558</v>
      </c>
    </row>
    <row r="113" spans="1:14" x14ac:dyDescent="0.45">
      <c r="A113" s="22">
        <v>42710</v>
      </c>
      <c r="B113">
        <v>36.6</v>
      </c>
      <c r="C113">
        <v>36.700000000000003</v>
      </c>
      <c r="G113">
        <f t="shared" ref="G113:K113" si="122">SUMPRODUCT($B113:$B117,P$2:P$6)</f>
        <v>17.546925391120865</v>
      </c>
      <c r="H113">
        <f t="shared" si="122"/>
        <v>17.560147473699523</v>
      </c>
      <c r="I113">
        <f t="shared" si="122"/>
        <v>17.565055887041481</v>
      </c>
      <c r="J113">
        <f t="shared" si="122"/>
        <v>17.566182208435553</v>
      </c>
      <c r="K113">
        <f t="shared" si="122"/>
        <v>17.025876441069791</v>
      </c>
      <c r="L113">
        <f t="shared" si="74"/>
        <v>36.659786710754879</v>
      </c>
      <c r="M113">
        <f t="shared" si="75"/>
        <v>8.021328924512261E-2</v>
      </c>
      <c r="N113">
        <f t="shared" si="76"/>
        <v>6.4341717715217022E-3</v>
      </c>
    </row>
    <row r="114" spans="1:14" x14ac:dyDescent="0.45">
      <c r="A114" s="22">
        <v>42709</v>
      </c>
      <c r="B114">
        <v>36.01</v>
      </c>
      <c r="C114">
        <v>36.479999999999997</v>
      </c>
      <c r="G114">
        <f t="shared" ref="G114:K114" si="123">SUMPRODUCT($B114:$B118,P$2:P$6)</f>
        <v>17.28452824241111</v>
      </c>
      <c r="H114">
        <f t="shared" si="123"/>
        <v>17.297251962800576</v>
      </c>
      <c r="I114">
        <f t="shared" si="123"/>
        <v>17.302328830764178</v>
      </c>
      <c r="J114">
        <f t="shared" si="123"/>
        <v>17.303310142121173</v>
      </c>
      <c r="K114">
        <f t="shared" si="123"/>
        <v>16.771011229848909</v>
      </c>
      <c r="L114">
        <f t="shared" si="74"/>
        <v>36.111238028997192</v>
      </c>
      <c r="M114">
        <f t="shared" si="75"/>
        <v>0.48876197100280905</v>
      </c>
      <c r="N114">
        <f t="shared" si="76"/>
        <v>0.23888826429855076</v>
      </c>
    </row>
    <row r="115" spans="1:14" x14ac:dyDescent="0.45">
      <c r="A115" s="22">
        <v>42706</v>
      </c>
      <c r="B115">
        <v>35.659999999999997</v>
      </c>
      <c r="C115">
        <v>35.71</v>
      </c>
      <c r="G115">
        <f t="shared" ref="G115:K115" si="124">SUMPRODUCT($B115:$B119,P$2:P$6)</f>
        <v>17.143375661448388</v>
      </c>
      <c r="H115">
        <f t="shared" si="124"/>
        <v>17.155457650711192</v>
      </c>
      <c r="I115">
        <f t="shared" si="124"/>
        <v>17.160827042461857</v>
      </c>
      <c r="J115">
        <f t="shared" si="124"/>
        <v>17.161637477903188</v>
      </c>
      <c r="K115">
        <f t="shared" si="124"/>
        <v>16.633604608525609</v>
      </c>
      <c r="L115">
        <f t="shared" si="74"/>
        <v>35.815686936078869</v>
      </c>
      <c r="M115">
        <f t="shared" si="75"/>
        <v>0.19431306392112901</v>
      </c>
      <c r="N115">
        <f t="shared" si="76"/>
        <v>3.7757566810416768E-2</v>
      </c>
    </row>
    <row r="116" spans="1:14" x14ac:dyDescent="0.45">
      <c r="A116" s="22">
        <v>42705</v>
      </c>
      <c r="B116">
        <v>36.65</v>
      </c>
      <c r="C116">
        <v>35.58</v>
      </c>
      <c r="G116">
        <f t="shared" ref="G116:K116" si="125">SUMPRODUCT($B116:$B120,P$2:P$6)</f>
        <v>17.588488869490295</v>
      </c>
      <c r="H116">
        <f t="shared" si="125"/>
        <v>17.601607162230572</v>
      </c>
      <c r="I116">
        <f t="shared" si="125"/>
        <v>17.606720467998482</v>
      </c>
      <c r="J116">
        <f t="shared" si="125"/>
        <v>17.607732238983111</v>
      </c>
      <c r="K116">
        <f t="shared" si="125"/>
        <v>17.066074139565544</v>
      </c>
      <c r="L116">
        <f t="shared" si="74"/>
        <v>36.746511586300699</v>
      </c>
      <c r="M116">
        <f t="shared" si="75"/>
        <v>-1.086511586300702</v>
      </c>
      <c r="N116">
        <f t="shared" si="76"/>
        <v>1.1805074271656677</v>
      </c>
    </row>
    <row r="117" spans="1:14" x14ac:dyDescent="0.45">
      <c r="A117" s="22">
        <v>42704</v>
      </c>
      <c r="B117">
        <v>38.06</v>
      </c>
      <c r="C117">
        <v>36.61</v>
      </c>
      <c r="G117">
        <f t="shared" ref="G117:K117" si="126">SUMPRODUCT($B117:$B121,P$2:P$6)</f>
        <v>18.23182706491254</v>
      </c>
      <c r="H117">
        <f t="shared" si="126"/>
        <v>18.246508585015054</v>
      </c>
      <c r="I117">
        <f t="shared" si="126"/>
        <v>18.251344875289082</v>
      </c>
      <c r="J117">
        <f t="shared" si="126"/>
        <v>18.252573446212903</v>
      </c>
      <c r="K117">
        <f t="shared" si="126"/>
        <v>17.691169097523641</v>
      </c>
      <c r="L117">
        <f t="shared" si="74"/>
        <v>38.092009207619284</v>
      </c>
      <c r="M117">
        <f t="shared" si="75"/>
        <v>-1.4420092076192859</v>
      </c>
      <c r="N117">
        <f t="shared" si="76"/>
        <v>2.0793905548588008</v>
      </c>
    </row>
    <row r="118" spans="1:14" x14ac:dyDescent="0.45">
      <c r="A118" s="22">
        <v>42703</v>
      </c>
      <c r="B118">
        <v>37.299999999999997</v>
      </c>
      <c r="C118">
        <v>37.950000000000003</v>
      </c>
      <c r="G118">
        <f t="shared" ref="G118:K118" si="127">SUMPRODUCT($B118:$B122,P$2:P$6)</f>
        <v>17.895417249086606</v>
      </c>
      <c r="H118">
        <f t="shared" si="127"/>
        <v>17.908773620835479</v>
      </c>
      <c r="I118">
        <f t="shared" si="127"/>
        <v>17.913924660871555</v>
      </c>
      <c r="J118">
        <f t="shared" si="127"/>
        <v>17.914987967520364</v>
      </c>
      <c r="K118">
        <f t="shared" si="127"/>
        <v>17.363901740926888</v>
      </c>
      <c r="L118">
        <f t="shared" si="74"/>
        <v>37.387746309439805</v>
      </c>
      <c r="M118">
        <f t="shared" si="75"/>
        <v>0.67225369056019701</v>
      </c>
      <c r="N118">
        <f t="shared" si="76"/>
        <v>0.4519250244718051</v>
      </c>
    </row>
    <row r="119" spans="1:14" x14ac:dyDescent="0.45">
      <c r="A119" s="22">
        <v>42702</v>
      </c>
      <c r="B119">
        <v>37.369999999999997</v>
      </c>
      <c r="C119">
        <v>37.369999999999997</v>
      </c>
      <c r="G119">
        <f t="shared" ref="G119:K119" si="128">SUMPRODUCT($B119:$B123,P$2:P$6)</f>
        <v>17.916231912946309</v>
      </c>
      <c r="H119">
        <f t="shared" si="128"/>
        <v>17.929794434355948</v>
      </c>
      <c r="I119">
        <f t="shared" si="128"/>
        <v>17.934800279451984</v>
      </c>
      <c r="J119">
        <f t="shared" si="128"/>
        <v>17.935946833928117</v>
      </c>
      <c r="K119">
        <f t="shared" si="128"/>
        <v>17.384262564059402</v>
      </c>
      <c r="L119">
        <f t="shared" si="74"/>
        <v>37.431448929213502</v>
      </c>
      <c r="M119">
        <f t="shared" si="75"/>
        <v>-0.13144892921350504</v>
      </c>
      <c r="N119">
        <f t="shared" si="76"/>
        <v>1.7278820991377057E-2</v>
      </c>
    </row>
    <row r="120" spans="1:14" x14ac:dyDescent="0.45">
      <c r="A120" s="22">
        <v>42699</v>
      </c>
      <c r="B120">
        <v>37.450000000000003</v>
      </c>
      <c r="C120">
        <v>37.22</v>
      </c>
      <c r="G120">
        <f t="shared" ref="G120:K120" si="129">SUMPRODUCT($B120:$B124,P$2:P$6)</f>
        <v>17.987087982555874</v>
      </c>
      <c r="H120">
        <f t="shared" si="129"/>
        <v>17.999883480130716</v>
      </c>
      <c r="I120">
        <f t="shared" si="129"/>
        <v>18.00533401525842</v>
      </c>
      <c r="J120">
        <f t="shared" si="129"/>
        <v>18.006296651876536</v>
      </c>
      <c r="K120">
        <f t="shared" si="129"/>
        <v>17.452346572167531</v>
      </c>
      <c r="L120">
        <f t="shared" si="74"/>
        <v>37.57844996326785</v>
      </c>
      <c r="M120">
        <f t="shared" si="75"/>
        <v>-0.20844996326785292</v>
      </c>
      <c r="N120">
        <f t="shared" si="76"/>
        <v>4.3451387186369234E-2</v>
      </c>
    </row>
    <row r="121" spans="1:14" x14ac:dyDescent="0.45">
      <c r="A121" s="22">
        <v>42697</v>
      </c>
      <c r="B121">
        <v>36.549999999999997</v>
      </c>
      <c r="C121">
        <v>37.26</v>
      </c>
      <c r="G121">
        <f t="shared" ref="G121:K121" si="130">SUMPRODUCT($B121:$B125,P$2:P$6)</f>
        <v>17.570175832715126</v>
      </c>
      <c r="H121">
        <f t="shared" si="130"/>
        <v>17.582399199436622</v>
      </c>
      <c r="I121">
        <f t="shared" si="130"/>
        <v>17.587910509246576</v>
      </c>
      <c r="J121">
        <f t="shared" si="130"/>
        <v>17.588757953250592</v>
      </c>
      <c r="K121">
        <f t="shared" si="130"/>
        <v>17.047596727208397</v>
      </c>
      <c r="L121">
        <f t="shared" si="74"/>
        <v>36.707115566522454</v>
      </c>
      <c r="M121">
        <f t="shared" si="75"/>
        <v>0.74288443347754907</v>
      </c>
      <c r="N121">
        <f t="shared" si="76"/>
        <v>0.55187728150325899</v>
      </c>
    </row>
    <row r="122" spans="1:14" x14ac:dyDescent="0.45">
      <c r="A122" s="22">
        <v>42696</v>
      </c>
      <c r="B122">
        <v>38.43</v>
      </c>
      <c r="C122">
        <v>37.17</v>
      </c>
      <c r="G122">
        <f t="shared" ref="G122:K122" si="131">SUMPRODUCT($B122:$B126,P$2:P$6)</f>
        <v>18.449006609144789</v>
      </c>
      <c r="H122">
        <f t="shared" si="131"/>
        <v>18.462838823680652</v>
      </c>
      <c r="I122">
        <f t="shared" si="131"/>
        <v>18.468257033692151</v>
      </c>
      <c r="J122">
        <f t="shared" si="131"/>
        <v>18.469270088626519</v>
      </c>
      <c r="K122">
        <f t="shared" si="131"/>
        <v>17.901075361825828</v>
      </c>
      <c r="L122">
        <f t="shared" si="74"/>
        <v>38.544471434874637</v>
      </c>
      <c r="M122">
        <f t="shared" si="75"/>
        <v>-1.9944714348746402</v>
      </c>
      <c r="N122">
        <f t="shared" si="76"/>
        <v>3.9779163045309063</v>
      </c>
    </row>
    <row r="123" spans="1:14" x14ac:dyDescent="0.45">
      <c r="A123" s="22">
        <v>42695</v>
      </c>
      <c r="B123">
        <v>38.58</v>
      </c>
      <c r="C123">
        <v>38.43</v>
      </c>
      <c r="G123">
        <f t="shared" ref="G123:K123" si="132">SUMPRODUCT($B123:$B127,P$2:P$6)</f>
        <v>18.503133917946855</v>
      </c>
      <c r="H123">
        <f t="shared" si="132"/>
        <v>18.517450830091466</v>
      </c>
      <c r="I123">
        <f t="shared" si="132"/>
        <v>18.522652272783002</v>
      </c>
      <c r="J123">
        <f t="shared" si="132"/>
        <v>18.523771697468714</v>
      </c>
      <c r="K123">
        <f t="shared" si="132"/>
        <v>17.953957175918173</v>
      </c>
      <c r="L123">
        <f t="shared" si="74"/>
        <v>38.658115087229319</v>
      </c>
      <c r="M123">
        <f t="shared" si="75"/>
        <v>-0.22811508722931961</v>
      </c>
      <c r="N123">
        <f t="shared" si="76"/>
        <v>5.2036493021640096E-2</v>
      </c>
    </row>
    <row r="124" spans="1:14" x14ac:dyDescent="0.45">
      <c r="A124" s="22">
        <v>42692</v>
      </c>
      <c r="B124">
        <v>39.92</v>
      </c>
      <c r="C124">
        <v>38.39</v>
      </c>
      <c r="G124">
        <f t="shared" ref="G124:K124" si="133">SUMPRODUCT($B124:$B128,P$2:P$6)</f>
        <v>19.118921506850615</v>
      </c>
      <c r="H124">
        <f t="shared" si="133"/>
        <v>19.134180075962568</v>
      </c>
      <c r="I124">
        <f t="shared" si="133"/>
        <v>19.139228675237312</v>
      </c>
      <c r="J124">
        <f t="shared" si="133"/>
        <v>19.140550671332964</v>
      </c>
      <c r="K124">
        <f t="shared" si="133"/>
        <v>18.551861721288159</v>
      </c>
      <c r="L124">
        <f t="shared" si="74"/>
        <v>39.94520946280435</v>
      </c>
      <c r="M124">
        <f t="shared" si="75"/>
        <v>-1.3652094628043514</v>
      </c>
      <c r="N124">
        <f t="shared" si="76"/>
        <v>1.8637968773305458</v>
      </c>
    </row>
    <row r="125" spans="1:14" x14ac:dyDescent="0.45">
      <c r="A125" s="22">
        <v>42691</v>
      </c>
      <c r="B125">
        <v>39.07</v>
      </c>
      <c r="C125">
        <v>39.94</v>
      </c>
      <c r="G125">
        <f t="shared" ref="G125:K125" si="134">SUMPRODUCT($B125:$B129,P$2:P$6)</f>
        <v>18.716409743457088</v>
      </c>
      <c r="H125">
        <f t="shared" si="134"/>
        <v>18.731259391444841</v>
      </c>
      <c r="I125">
        <f t="shared" si="134"/>
        <v>18.736258296243196</v>
      </c>
      <c r="J125">
        <f t="shared" si="134"/>
        <v>18.73752593493079</v>
      </c>
      <c r="K125">
        <f t="shared" si="134"/>
        <v>18.161214955276346</v>
      </c>
      <c r="L125">
        <f t="shared" si="74"/>
        <v>39.104136061585969</v>
      </c>
      <c r="M125">
        <f t="shared" si="75"/>
        <v>0.81586393841403293</v>
      </c>
      <c r="N125">
        <f t="shared" si="76"/>
        <v>0.6656339660044569</v>
      </c>
    </row>
    <row r="126" spans="1:14" x14ac:dyDescent="0.45">
      <c r="A126" s="22">
        <v>42690</v>
      </c>
      <c r="B126">
        <v>38.51</v>
      </c>
      <c r="C126">
        <v>38.97</v>
      </c>
      <c r="G126">
        <f t="shared" ref="G126:K126" si="135">SUMPRODUCT($B126:$B130,P$2:P$6)</f>
        <v>18.487608868186278</v>
      </c>
      <c r="H126">
        <f t="shared" si="135"/>
        <v>18.501061609345783</v>
      </c>
      <c r="I126">
        <f t="shared" si="135"/>
        <v>18.506541635484872</v>
      </c>
      <c r="J126">
        <f t="shared" si="135"/>
        <v>18.507575600767016</v>
      </c>
      <c r="K126">
        <f t="shared" si="135"/>
        <v>17.938226714003296</v>
      </c>
      <c r="L126">
        <f t="shared" si="74"/>
        <v>38.624528873098861</v>
      </c>
      <c r="M126">
        <f t="shared" si="75"/>
        <v>0.44547112690113977</v>
      </c>
      <c r="N126">
        <f t="shared" si="76"/>
        <v>0.19844452490257136</v>
      </c>
    </row>
    <row r="127" spans="1:14" x14ac:dyDescent="0.45">
      <c r="A127" s="22">
        <v>42689</v>
      </c>
      <c r="B127">
        <v>38</v>
      </c>
      <c r="C127">
        <v>38.53</v>
      </c>
      <c r="G127">
        <f t="shared" ref="G127:K127" si="136">SUMPRODUCT($B127:$B131,P$2:P$6)</f>
        <v>18.241556398393854</v>
      </c>
      <c r="H127">
        <f t="shared" si="136"/>
        <v>18.254763630569066</v>
      </c>
      <c r="I127">
        <f t="shared" si="136"/>
        <v>18.260166376823332</v>
      </c>
      <c r="J127">
        <f t="shared" si="136"/>
        <v>18.261200328366691</v>
      </c>
      <c r="K127">
        <f t="shared" si="136"/>
        <v>17.699438634842686</v>
      </c>
      <c r="L127">
        <f t="shared" si="74"/>
        <v>38.110371605562143</v>
      </c>
      <c r="M127">
        <f t="shared" si="75"/>
        <v>0.39962839443785469</v>
      </c>
      <c r="N127">
        <f t="shared" si="76"/>
        <v>0.15970285364097758</v>
      </c>
    </row>
    <row r="128" spans="1:14" x14ac:dyDescent="0.45">
      <c r="A128" s="22">
        <v>42688</v>
      </c>
      <c r="B128">
        <v>39.21</v>
      </c>
      <c r="C128">
        <v>37.770000000000003</v>
      </c>
      <c r="G128">
        <f t="shared" ref="G128:K128" si="137">SUMPRODUCT($B128:$B132,P$2:P$6)</f>
        <v>18.829037548941397</v>
      </c>
      <c r="H128">
        <f t="shared" si="137"/>
        <v>18.842667932483604</v>
      </c>
      <c r="I128">
        <f t="shared" si="137"/>
        <v>18.848311676906757</v>
      </c>
      <c r="J128">
        <f t="shared" si="137"/>
        <v>18.849331086043989</v>
      </c>
      <c r="K128">
        <f t="shared" si="137"/>
        <v>18.269447261016651</v>
      </c>
      <c r="L128">
        <f t="shared" si="74"/>
        <v>39.337769057418335</v>
      </c>
      <c r="M128">
        <f t="shared" si="75"/>
        <v>-1.3377690574183347</v>
      </c>
      <c r="N128">
        <f t="shared" si="76"/>
        <v>1.7896260509859399</v>
      </c>
    </row>
    <row r="129" spans="1:14" x14ac:dyDescent="0.45">
      <c r="A129" s="22">
        <v>42685</v>
      </c>
      <c r="B129">
        <v>38.43</v>
      </c>
      <c r="C129">
        <v>39.409999999999997</v>
      </c>
      <c r="G129">
        <f t="shared" ref="G129:K129" si="138">SUMPRODUCT($B129:$B133,P$2:P$6)</f>
        <v>18.477836981970768</v>
      </c>
      <c r="H129">
        <f t="shared" si="138"/>
        <v>18.490296389604914</v>
      </c>
      <c r="I129">
        <f t="shared" si="138"/>
        <v>18.496178693564147</v>
      </c>
      <c r="J129">
        <f t="shared" si="138"/>
        <v>18.497061615443879</v>
      </c>
      <c r="K129">
        <f t="shared" si="138"/>
        <v>17.927960585003184</v>
      </c>
      <c r="L129">
        <f t="shared" si="74"/>
        <v>38.602820154173465</v>
      </c>
      <c r="M129">
        <f t="shared" si="75"/>
        <v>0.60717984582653628</v>
      </c>
      <c r="N129">
        <f t="shared" si="76"/>
        <v>0.36866736517793636</v>
      </c>
    </row>
    <row r="130" spans="1:14" x14ac:dyDescent="0.45">
      <c r="A130" s="22">
        <v>42684</v>
      </c>
      <c r="B130">
        <v>40.35</v>
      </c>
      <c r="C130">
        <v>38.700000000000003</v>
      </c>
      <c r="G130">
        <f t="shared" ref="G130:K130" si="139">SUMPRODUCT($B130:$B134,P$2:P$6)</f>
        <v>19.362178324424395</v>
      </c>
      <c r="H130">
        <f t="shared" si="139"/>
        <v>19.376695473069702</v>
      </c>
      <c r="I130">
        <f t="shared" si="139"/>
        <v>19.382295728900683</v>
      </c>
      <c r="J130">
        <f t="shared" si="139"/>
        <v>19.383420531960812</v>
      </c>
      <c r="K130">
        <f t="shared" si="139"/>
        <v>18.787141343083036</v>
      </c>
      <c r="L130">
        <f t="shared" si="74"/>
        <v>40.452269481124951</v>
      </c>
      <c r="M130">
        <f t="shared" si="75"/>
        <v>-2.0222694811249511</v>
      </c>
      <c r="N130">
        <f t="shared" si="76"/>
        <v>4.0895738542893785</v>
      </c>
    </row>
    <row r="131" spans="1:14" x14ac:dyDescent="0.45">
      <c r="A131" s="22">
        <v>42683</v>
      </c>
      <c r="B131">
        <v>40.19</v>
      </c>
      <c r="C131">
        <v>40.15</v>
      </c>
      <c r="G131">
        <f t="shared" ref="G131:K131" si="140">SUMPRODUCT($B131:$B135,P$2:P$6)</f>
        <v>19.321313303188852</v>
      </c>
      <c r="H131">
        <f t="shared" si="140"/>
        <v>19.33473353665849</v>
      </c>
      <c r="I131">
        <f t="shared" si="140"/>
        <v>19.340810049166556</v>
      </c>
      <c r="J131">
        <f t="shared" si="140"/>
        <v>19.341731543134077</v>
      </c>
      <c r="K131">
        <f t="shared" si="140"/>
        <v>18.746632926686267</v>
      </c>
      <c r="L131">
        <f t="shared" ref="L131:L194" si="141">(G131+$P$7)*$U$2+(H131+$Q$7)*$U$3+(I131+$R$7)*$U$4+(J131+$S$7)*$U$5+(K131+$T$7)*$U$6+$U$7</f>
        <v>40.365517003173963</v>
      </c>
      <c r="M131">
        <f t="shared" ref="M131:M194" si="142">B130-L131</f>
        <v>-1.5517003173961541E-2</v>
      </c>
      <c r="N131">
        <f t="shared" ref="N131:N194" si="143">M131^2</f>
        <v>2.4077738750073253E-4</v>
      </c>
    </row>
    <row r="132" spans="1:14" x14ac:dyDescent="0.45">
      <c r="A132" s="22">
        <v>42682</v>
      </c>
      <c r="B132">
        <v>41.01</v>
      </c>
      <c r="C132">
        <v>41.01</v>
      </c>
      <c r="G132">
        <f t="shared" ref="G132:K132" si="144">SUMPRODUCT($B132:$B136,P$2:P$6)</f>
        <v>19.675887607496541</v>
      </c>
      <c r="H132">
        <f t="shared" si="144"/>
        <v>19.690477264594882</v>
      </c>
      <c r="I132">
        <f t="shared" si="144"/>
        <v>19.696157413098629</v>
      </c>
      <c r="J132">
        <f t="shared" si="144"/>
        <v>19.697329689835154</v>
      </c>
      <c r="K132">
        <f t="shared" si="144"/>
        <v>19.091417886018622</v>
      </c>
      <c r="L132">
        <f t="shared" si="141"/>
        <v>41.107433327059091</v>
      </c>
      <c r="M132">
        <f t="shared" si="142"/>
        <v>-0.91743332705909353</v>
      </c>
      <c r="N132">
        <f t="shared" si="143"/>
        <v>0.84168390959871764</v>
      </c>
    </row>
    <row r="133" spans="1:14" x14ac:dyDescent="0.45">
      <c r="A133" s="22">
        <v>42681</v>
      </c>
      <c r="B133">
        <v>42.52</v>
      </c>
      <c r="C133">
        <v>41.09</v>
      </c>
      <c r="G133">
        <f t="shared" ref="G133:K133" si="145">SUMPRODUCT($B133:$B137,P$2:P$6)</f>
        <v>20.40011773170334</v>
      </c>
      <c r="H133">
        <f t="shared" si="145"/>
        <v>20.415462572443321</v>
      </c>
      <c r="I133">
        <f t="shared" si="145"/>
        <v>20.421323477459588</v>
      </c>
      <c r="J133">
        <f t="shared" si="145"/>
        <v>20.422528149406848</v>
      </c>
      <c r="K133">
        <f t="shared" si="145"/>
        <v>19.794297737291735</v>
      </c>
      <c r="L133">
        <f t="shared" si="141"/>
        <v>42.620830779376632</v>
      </c>
      <c r="M133">
        <f t="shared" si="142"/>
        <v>-1.6108307793766343</v>
      </c>
      <c r="N133">
        <f t="shared" si="143"/>
        <v>2.594775799787135</v>
      </c>
    </row>
    <row r="134" spans="1:14" x14ac:dyDescent="0.45">
      <c r="A134" s="22">
        <v>42678</v>
      </c>
      <c r="B134">
        <v>41.04</v>
      </c>
      <c r="C134">
        <v>41.7</v>
      </c>
      <c r="G134">
        <f t="shared" ref="G134:K134" si="146">SUMPRODUCT($B134:$B138,P$2:P$6)</f>
        <v>19.716353438589792</v>
      </c>
      <c r="H134">
        <f t="shared" si="146"/>
        <v>19.730372659697135</v>
      </c>
      <c r="I134">
        <f t="shared" si="146"/>
        <v>19.73639825688235</v>
      </c>
      <c r="J134">
        <f t="shared" si="146"/>
        <v>19.737419134458456</v>
      </c>
      <c r="K134">
        <f t="shared" si="146"/>
        <v>19.130188781164062</v>
      </c>
      <c r="L134">
        <f t="shared" si="141"/>
        <v>41.19122954306301</v>
      </c>
      <c r="M134">
        <f t="shared" si="142"/>
        <v>1.3287704569369936</v>
      </c>
      <c r="N134">
        <f t="shared" si="143"/>
        <v>1.7656309272285466</v>
      </c>
    </row>
    <row r="135" spans="1:14" x14ac:dyDescent="0.45">
      <c r="A135" s="22">
        <v>42677</v>
      </c>
      <c r="B135">
        <v>42.96</v>
      </c>
      <c r="C135">
        <v>43.37</v>
      </c>
      <c r="G135">
        <f t="shared" ref="G135:K135" si="147">SUMPRODUCT($B135:$B139,P$2:P$6)</f>
        <v>20.608893660973951</v>
      </c>
      <c r="H135">
        <f t="shared" si="147"/>
        <v>20.624451390520406</v>
      </c>
      <c r="I135">
        <f t="shared" si="147"/>
        <v>20.630342221432905</v>
      </c>
      <c r="J135">
        <f t="shared" si="147"/>
        <v>20.631573100303402</v>
      </c>
      <c r="K135">
        <f t="shared" si="147"/>
        <v>19.996919331309986</v>
      </c>
      <c r="L135">
        <f t="shared" si="141"/>
        <v>43.057084691641954</v>
      </c>
      <c r="M135">
        <f t="shared" si="142"/>
        <v>-2.0170846916419549</v>
      </c>
      <c r="N135">
        <f t="shared" si="143"/>
        <v>4.0686306532563208</v>
      </c>
    </row>
    <row r="136" spans="1:14" x14ac:dyDescent="0.45">
      <c r="A136" s="22">
        <v>42676</v>
      </c>
      <c r="B136">
        <v>42.63</v>
      </c>
      <c r="C136">
        <v>42.6</v>
      </c>
      <c r="G136">
        <f t="shared" ref="G136:K136" si="148">SUMPRODUCT($B136:$B140,P$2:P$6)</f>
        <v>20.465610238044381</v>
      </c>
      <c r="H136">
        <f t="shared" si="148"/>
        <v>20.480504471617547</v>
      </c>
      <c r="I136">
        <f t="shared" si="148"/>
        <v>20.486571558061719</v>
      </c>
      <c r="J136">
        <f t="shared" si="148"/>
        <v>20.487716130340679</v>
      </c>
      <c r="K136">
        <f t="shared" si="148"/>
        <v>19.85745076010366</v>
      </c>
      <c r="L136">
        <f t="shared" si="141"/>
        <v>42.756996436232768</v>
      </c>
      <c r="M136">
        <f t="shared" si="142"/>
        <v>0.20300356376723272</v>
      </c>
      <c r="N136">
        <f t="shared" si="143"/>
        <v>4.1210446902196919E-2</v>
      </c>
    </row>
    <row r="137" spans="1:14" x14ac:dyDescent="0.45">
      <c r="A137" s="22">
        <v>42675</v>
      </c>
      <c r="B137">
        <v>43.27</v>
      </c>
      <c r="C137">
        <v>42.6</v>
      </c>
      <c r="G137">
        <f t="shared" ref="G137:K137" si="149">SUMPRODUCT($B137:$B141,P$2:P$6)</f>
        <v>20.764635860078112</v>
      </c>
      <c r="H137">
        <f t="shared" si="149"/>
        <v>20.779967153472651</v>
      </c>
      <c r="I137">
        <f t="shared" si="149"/>
        <v>20.786014107103707</v>
      </c>
      <c r="J137">
        <f t="shared" si="149"/>
        <v>20.787222676500896</v>
      </c>
      <c r="K137">
        <f t="shared" si="149"/>
        <v>20.147768325297939</v>
      </c>
      <c r="L137">
        <f t="shared" si="141"/>
        <v>43.38200346236404</v>
      </c>
      <c r="M137">
        <f t="shared" si="142"/>
        <v>-0.75200346236403703</v>
      </c>
      <c r="N137">
        <f t="shared" si="143"/>
        <v>0.56550920740749966</v>
      </c>
    </row>
    <row r="138" spans="1:14" x14ac:dyDescent="0.45">
      <c r="A138" s="22">
        <v>42674</v>
      </c>
      <c r="B138">
        <v>43.42</v>
      </c>
      <c r="C138">
        <v>43.17</v>
      </c>
      <c r="G138">
        <f t="shared" ref="G138:K138" si="150">SUMPRODUCT($B138:$B142,P$2:P$6)</f>
        <v>20.851011211185785</v>
      </c>
      <c r="H138">
        <f t="shared" si="150"/>
        <v>20.866073655408925</v>
      </c>
      <c r="I138">
        <f t="shared" si="150"/>
        <v>20.872330118383147</v>
      </c>
      <c r="J138">
        <f t="shared" si="150"/>
        <v>20.873458883520911</v>
      </c>
      <c r="K138">
        <f t="shared" si="150"/>
        <v>20.23130471681722</v>
      </c>
      <c r="L138">
        <f t="shared" si="141"/>
        <v>43.562047424320781</v>
      </c>
      <c r="M138">
        <f t="shared" si="142"/>
        <v>-0.29204742432077779</v>
      </c>
      <c r="N138">
        <f t="shared" si="143"/>
        <v>8.529169805240043E-2</v>
      </c>
    </row>
    <row r="139" spans="1:14" x14ac:dyDescent="0.45">
      <c r="A139" s="22">
        <v>42671</v>
      </c>
      <c r="B139">
        <v>43.64</v>
      </c>
      <c r="C139">
        <v>43.32</v>
      </c>
      <c r="G139">
        <f t="shared" ref="G139:K139" si="151">SUMPRODUCT($B139:$B143,P$2:P$6)</f>
        <v>20.95227067452527</v>
      </c>
      <c r="H139">
        <f t="shared" si="151"/>
        <v>20.967675980878205</v>
      </c>
      <c r="I139">
        <f t="shared" si="151"/>
        <v>20.97388665990858</v>
      </c>
      <c r="J139">
        <f t="shared" si="151"/>
        <v>20.97503850519843</v>
      </c>
      <c r="K139">
        <f t="shared" si="151"/>
        <v>20.329763195913316</v>
      </c>
      <c r="L139">
        <f t="shared" si="141"/>
        <v>43.773969774483334</v>
      </c>
      <c r="M139">
        <f t="shared" si="142"/>
        <v>-0.35396977448333189</v>
      </c>
      <c r="N139">
        <f t="shared" si="143"/>
        <v>0.12529460124778083</v>
      </c>
    </row>
    <row r="140" spans="1:14" x14ac:dyDescent="0.45">
      <c r="A140" s="22">
        <v>42670</v>
      </c>
      <c r="B140">
        <v>44.65</v>
      </c>
      <c r="C140">
        <v>43.72</v>
      </c>
      <c r="G140">
        <f t="shared" ref="G140:K140" si="152">SUMPRODUCT($B140:$B144,P$2:P$6)</f>
        <v>21.420746897147467</v>
      </c>
      <c r="H140">
        <f t="shared" si="152"/>
        <v>21.43713786812188</v>
      </c>
      <c r="I140">
        <f t="shared" si="152"/>
        <v>21.443245880843833</v>
      </c>
      <c r="J140">
        <f t="shared" si="152"/>
        <v>21.444505966798296</v>
      </c>
      <c r="K140">
        <f t="shared" si="152"/>
        <v>20.784826949735674</v>
      </c>
      <c r="L140">
        <f t="shared" si="141"/>
        <v>44.753572408497078</v>
      </c>
      <c r="M140">
        <f t="shared" si="142"/>
        <v>-1.1135724084970775</v>
      </c>
      <c r="N140">
        <f t="shared" si="143"/>
        <v>1.240043508965982</v>
      </c>
    </row>
    <row r="141" spans="1:14" x14ac:dyDescent="0.45">
      <c r="A141" s="22">
        <v>42669</v>
      </c>
      <c r="B141">
        <v>44.95</v>
      </c>
      <c r="C141">
        <v>44.44</v>
      </c>
      <c r="G141">
        <f t="shared" ref="G141:K141" si="153">SUMPRODUCT($B141:$B145,P$2:P$6)</f>
        <v>21.547508577210706</v>
      </c>
      <c r="H141">
        <f t="shared" si="153"/>
        <v>21.564437835228851</v>
      </c>
      <c r="I141">
        <f t="shared" si="153"/>
        <v>21.570356801532583</v>
      </c>
      <c r="J141">
        <f t="shared" si="153"/>
        <v>21.571722751180381</v>
      </c>
      <c r="K141">
        <f t="shared" si="153"/>
        <v>20.908184177289893</v>
      </c>
      <c r="L141">
        <f t="shared" si="141"/>
        <v>45.018968658196592</v>
      </c>
      <c r="M141">
        <f t="shared" si="142"/>
        <v>-0.36896865819659297</v>
      </c>
      <c r="N141">
        <f t="shared" si="143"/>
        <v>0.13613787073139424</v>
      </c>
    </row>
    <row r="142" spans="1:14" x14ac:dyDescent="0.45">
      <c r="A142" s="22">
        <v>42668</v>
      </c>
      <c r="B142">
        <v>45.53</v>
      </c>
      <c r="C142">
        <v>45.06</v>
      </c>
      <c r="G142">
        <f t="shared" ref="G142:K142" si="154">SUMPRODUCT($B142:$B146,P$2:P$6)</f>
        <v>21.808090496879</v>
      </c>
      <c r="H142">
        <f t="shared" si="154"/>
        <v>21.825569348532717</v>
      </c>
      <c r="I142">
        <f t="shared" si="154"/>
        <v>21.831343125880121</v>
      </c>
      <c r="J142">
        <f t="shared" si="154"/>
        <v>21.832830962121342</v>
      </c>
      <c r="K142">
        <f t="shared" si="154"/>
        <v>21.161321998268608</v>
      </c>
      <c r="L142">
        <f t="shared" si="141"/>
        <v>45.563815890347378</v>
      </c>
      <c r="M142">
        <f t="shared" si="142"/>
        <v>-0.61381589034737516</v>
      </c>
      <c r="N142">
        <f t="shared" si="143"/>
        <v>0.37676994724294088</v>
      </c>
    </row>
    <row r="143" spans="1:14" x14ac:dyDescent="0.45">
      <c r="A143" s="22">
        <v>42667</v>
      </c>
      <c r="B143">
        <v>44.9</v>
      </c>
      <c r="C143">
        <v>45.47</v>
      </c>
      <c r="G143">
        <f t="shared" ref="G143:K143" si="155">SUMPRODUCT($B143:$B147,P$2:P$6)</f>
        <v>21.51170289838123</v>
      </c>
      <c r="H143">
        <f t="shared" si="155"/>
        <v>21.528765903818751</v>
      </c>
      <c r="I143">
        <f t="shared" si="155"/>
        <v>21.534536548849005</v>
      </c>
      <c r="J143">
        <f t="shared" si="155"/>
        <v>21.535975814094282</v>
      </c>
      <c r="K143">
        <f t="shared" si="155"/>
        <v>20.87358223968188</v>
      </c>
      <c r="L143">
        <f t="shared" si="141"/>
        <v>44.944338287382386</v>
      </c>
      <c r="M143">
        <f t="shared" si="142"/>
        <v>0.58566171261761468</v>
      </c>
      <c r="N143">
        <f t="shared" si="143"/>
        <v>0.3429996416261975</v>
      </c>
    </row>
    <row r="144" spans="1:14" x14ac:dyDescent="0.45">
      <c r="A144" s="22">
        <v>42664</v>
      </c>
      <c r="B144">
        <v>44.32</v>
      </c>
      <c r="C144">
        <v>44.54</v>
      </c>
      <c r="G144">
        <f t="shared" ref="G144:K144" si="156">SUMPRODUCT($B144:$B148,P$2:P$6)</f>
        <v>21.246992891740163</v>
      </c>
      <c r="H144">
        <f t="shared" si="156"/>
        <v>21.263586813253767</v>
      </c>
      <c r="I144">
        <f t="shared" si="156"/>
        <v>21.26944998115237</v>
      </c>
      <c r="J144">
        <f t="shared" si="156"/>
        <v>21.270791628324368</v>
      </c>
      <c r="K144">
        <f t="shared" si="156"/>
        <v>20.616508446101754</v>
      </c>
      <c r="L144">
        <f t="shared" si="141"/>
        <v>44.390967819378837</v>
      </c>
      <c r="M144">
        <f t="shared" si="142"/>
        <v>0.50903218062116196</v>
      </c>
      <c r="N144">
        <f t="shared" si="143"/>
        <v>0.25911376090793525</v>
      </c>
    </row>
    <row r="145" spans="1:14" x14ac:dyDescent="0.45">
      <c r="A145" s="22">
        <v>42663</v>
      </c>
      <c r="B145">
        <v>43.92</v>
      </c>
      <c r="C145">
        <v>44.32</v>
      </c>
      <c r="G145">
        <f t="shared" ref="G145:K145" si="157">SUMPRODUCT($B145:$B149,P$2:P$6)</f>
        <v>21.059774029287823</v>
      </c>
      <c r="H145">
        <f t="shared" si="157"/>
        <v>21.076070518797216</v>
      </c>
      <c r="I145">
        <f t="shared" si="157"/>
        <v>21.081945724795787</v>
      </c>
      <c r="J145">
        <f t="shared" si="157"/>
        <v>21.083251076261238</v>
      </c>
      <c r="K145">
        <f t="shared" si="157"/>
        <v>20.434724541563291</v>
      </c>
      <c r="L145">
        <f t="shared" si="141"/>
        <v>43.999617101256753</v>
      </c>
      <c r="M145">
        <f t="shared" si="142"/>
        <v>0.32038289874324732</v>
      </c>
      <c r="N145">
        <f t="shared" si="143"/>
        <v>0.10264520180712587</v>
      </c>
    </row>
    <row r="146" spans="1:14" x14ac:dyDescent="0.45">
      <c r="A146" s="22">
        <v>42662</v>
      </c>
      <c r="B146">
        <v>44.23</v>
      </c>
      <c r="C146">
        <v>43.79</v>
      </c>
      <c r="G146">
        <f t="shared" ref="G146:K146" si="158">SUMPRODUCT($B146:$B150,P$2:P$6)</f>
        <v>21.193356252605167</v>
      </c>
      <c r="H146">
        <f t="shared" si="158"/>
        <v>21.210209246041643</v>
      </c>
      <c r="I146">
        <f t="shared" si="158"/>
        <v>21.215916180398594</v>
      </c>
      <c r="J146">
        <f t="shared" si="158"/>
        <v>21.217313200464531</v>
      </c>
      <c r="K146">
        <f t="shared" si="158"/>
        <v>20.564705961764329</v>
      </c>
      <c r="L146">
        <f t="shared" si="141"/>
        <v>44.279292016724582</v>
      </c>
      <c r="M146">
        <f t="shared" si="142"/>
        <v>-0.35929201672458078</v>
      </c>
      <c r="N146">
        <f t="shared" si="143"/>
        <v>0.12909075328201644</v>
      </c>
    </row>
    <row r="147" spans="1:14" x14ac:dyDescent="0.45">
      <c r="A147" s="22">
        <v>42661</v>
      </c>
      <c r="B147">
        <v>44.01</v>
      </c>
      <c r="C147">
        <v>44.18</v>
      </c>
      <c r="G147">
        <f t="shared" ref="G147:K147" si="159">SUMPRODUCT($B147:$B151,P$2:P$6)</f>
        <v>21.090234999466972</v>
      </c>
      <c r="H147">
        <f t="shared" si="159"/>
        <v>21.106962936513842</v>
      </c>
      <c r="I147">
        <f t="shared" si="159"/>
        <v>21.112670344521721</v>
      </c>
      <c r="J147">
        <f t="shared" si="159"/>
        <v>21.114046221561125</v>
      </c>
      <c r="K147">
        <f t="shared" si="159"/>
        <v>20.464607459321858</v>
      </c>
      <c r="L147">
        <f t="shared" si="141"/>
        <v>44.063789153741709</v>
      </c>
      <c r="M147">
        <f t="shared" si="142"/>
        <v>0.16621084625828786</v>
      </c>
      <c r="N147">
        <f t="shared" si="143"/>
        <v>2.7626045413896204E-2</v>
      </c>
    </row>
    <row r="148" spans="1:14" x14ac:dyDescent="0.45">
      <c r="A148" s="22">
        <v>42660</v>
      </c>
      <c r="B148">
        <v>43.63</v>
      </c>
      <c r="C148">
        <v>43.53</v>
      </c>
      <c r="G148">
        <f t="shared" ref="G148:K148" si="160">SUMPRODUCT($B148:$B152,P$2:P$6)</f>
        <v>20.91235620872656</v>
      </c>
      <c r="H148">
        <f t="shared" si="160"/>
        <v>20.928611496671532</v>
      </c>
      <c r="I148">
        <f t="shared" si="160"/>
        <v>20.934352696024899</v>
      </c>
      <c r="J148">
        <f t="shared" si="160"/>
        <v>20.935704004325675</v>
      </c>
      <c r="K148">
        <f t="shared" si="160"/>
        <v>20.291751020029267</v>
      </c>
      <c r="L148">
        <f t="shared" si="141"/>
        <v>43.691686431928261</v>
      </c>
      <c r="M148">
        <f t="shared" si="142"/>
        <v>0.31831356807173705</v>
      </c>
      <c r="N148">
        <f t="shared" si="143"/>
        <v>0.10132352761856038</v>
      </c>
    </row>
    <row r="149" spans="1:14" x14ac:dyDescent="0.45">
      <c r="A149" s="22">
        <v>42657</v>
      </c>
      <c r="B149">
        <v>43.57</v>
      </c>
      <c r="C149">
        <v>43.69</v>
      </c>
      <c r="G149">
        <f t="shared" ref="G149:K149" si="161">SUMPRODUCT($B149:$B153,P$2:P$6)</f>
        <v>20.884692436716954</v>
      </c>
      <c r="H149">
        <f t="shared" si="161"/>
        <v>20.900802430470055</v>
      </c>
      <c r="I149">
        <f t="shared" si="161"/>
        <v>20.90656177083109</v>
      </c>
      <c r="J149">
        <f t="shared" si="161"/>
        <v>20.907910426415366</v>
      </c>
      <c r="K149">
        <f t="shared" si="161"/>
        <v>20.264814124455889</v>
      </c>
      <c r="L149">
        <f t="shared" si="141"/>
        <v>43.633715023348131</v>
      </c>
      <c r="M149">
        <f t="shared" si="142"/>
        <v>-3.7150233481284545E-3</v>
      </c>
      <c r="N149">
        <f t="shared" si="143"/>
        <v>1.3801398477139552E-5</v>
      </c>
    </row>
    <row r="150" spans="1:14" x14ac:dyDescent="0.45">
      <c r="A150" s="22">
        <v>42656</v>
      </c>
      <c r="B150">
        <v>42.98</v>
      </c>
      <c r="C150">
        <v>43.16</v>
      </c>
      <c r="G150">
        <f t="shared" ref="G150:K150" si="162">SUMPRODUCT($B150:$B154,P$2:P$6)</f>
        <v>20.624869261287266</v>
      </c>
      <c r="H150">
        <f t="shared" si="162"/>
        <v>20.640235829263929</v>
      </c>
      <c r="I150">
        <f t="shared" si="162"/>
        <v>20.646219603808156</v>
      </c>
      <c r="J150">
        <f t="shared" si="162"/>
        <v>20.647416972554684</v>
      </c>
      <c r="K150">
        <f t="shared" si="162"/>
        <v>20.012258011843617</v>
      </c>
      <c r="L150">
        <f t="shared" si="141"/>
        <v>43.090197531746355</v>
      </c>
      <c r="M150">
        <f t="shared" si="142"/>
        <v>0.47980246825364503</v>
      </c>
      <c r="N150">
        <f t="shared" si="143"/>
        <v>0.23021040854229005</v>
      </c>
    </row>
    <row r="151" spans="1:14" x14ac:dyDescent="0.45">
      <c r="A151" s="22">
        <v>42655</v>
      </c>
      <c r="B151">
        <v>42.79</v>
      </c>
      <c r="C151">
        <v>43.33</v>
      </c>
      <c r="G151">
        <f t="shared" ref="G151:K151" si="163">SUMPRODUCT($B151:$B155,P$2:P$6)</f>
        <v>20.545896303669245</v>
      </c>
      <c r="H151">
        <f t="shared" si="163"/>
        <v>20.560853902476897</v>
      </c>
      <c r="I151">
        <f t="shared" si="163"/>
        <v>20.566979155195927</v>
      </c>
      <c r="J151">
        <f t="shared" si="163"/>
        <v>20.568103613799</v>
      </c>
      <c r="K151">
        <f t="shared" si="163"/>
        <v>19.935348601958538</v>
      </c>
      <c r="L151">
        <f t="shared" si="141"/>
        <v>42.924754975372309</v>
      </c>
      <c r="M151">
        <f t="shared" si="142"/>
        <v>5.5245024627687656E-2</v>
      </c>
      <c r="N151">
        <f t="shared" si="143"/>
        <v>3.0520127461138155E-3</v>
      </c>
    </row>
    <row r="152" spans="1:14" x14ac:dyDescent="0.45">
      <c r="A152" s="22">
        <v>42654</v>
      </c>
      <c r="B152">
        <v>43.56</v>
      </c>
      <c r="C152">
        <v>42.9</v>
      </c>
      <c r="G152">
        <f t="shared" ref="G152:K152" si="164">SUMPRODUCT($B152:$B156,P$2:P$6)</f>
        <v>20.898736946205211</v>
      </c>
      <c r="H152">
        <f t="shared" si="164"/>
        <v>20.914515029344379</v>
      </c>
      <c r="I152">
        <f t="shared" si="164"/>
        <v>20.92050875324157</v>
      </c>
      <c r="J152">
        <f t="shared" si="164"/>
        <v>20.921743028712786</v>
      </c>
      <c r="K152">
        <f t="shared" si="164"/>
        <v>20.278153429336264</v>
      </c>
      <c r="L152">
        <f t="shared" si="141"/>
        <v>43.662651183088187</v>
      </c>
      <c r="M152">
        <f t="shared" si="142"/>
        <v>-0.87265118308818757</v>
      </c>
      <c r="N152">
        <f t="shared" si="143"/>
        <v>0.76152008734521348</v>
      </c>
    </row>
    <row r="153" spans="1:14" x14ac:dyDescent="0.45">
      <c r="A153" s="22">
        <v>42653</v>
      </c>
      <c r="B153">
        <v>43.96</v>
      </c>
      <c r="C153">
        <v>43.79</v>
      </c>
      <c r="G153">
        <f t="shared" ref="G153:K153" si="165">SUMPRODUCT($B153:$B157,P$2:P$6)</f>
        <v>21.089485870245195</v>
      </c>
      <c r="H153">
        <f t="shared" si="165"/>
        <v>21.105497134222187</v>
      </c>
      <c r="I153">
        <f t="shared" si="165"/>
        <v>21.111523313674308</v>
      </c>
      <c r="J153">
        <f t="shared" si="165"/>
        <v>21.112771898929861</v>
      </c>
      <c r="K153">
        <f t="shared" si="165"/>
        <v>20.46330653372949</v>
      </c>
      <c r="L153">
        <f t="shared" si="141"/>
        <v>44.061296646941557</v>
      </c>
      <c r="M153">
        <f t="shared" si="142"/>
        <v>-0.50129664694155451</v>
      </c>
      <c r="N153">
        <f t="shared" si="143"/>
        <v>0.25129832823484555</v>
      </c>
    </row>
    <row r="154" spans="1:14" x14ac:dyDescent="0.45">
      <c r="A154" s="22">
        <v>42650</v>
      </c>
      <c r="B154">
        <v>44.09</v>
      </c>
      <c r="C154">
        <v>43.92</v>
      </c>
      <c r="G154">
        <f t="shared" ref="G154:K154" si="166">SUMPRODUCT($B154:$B158,P$2:P$6)</f>
        <v>21.143711183858159</v>
      </c>
      <c r="H154">
        <f t="shared" si="166"/>
        <v>21.159903739156849</v>
      </c>
      <c r="I154">
        <f t="shared" si="166"/>
        <v>21.16584680725077</v>
      </c>
      <c r="J154">
        <f t="shared" si="166"/>
        <v>21.167149077901083</v>
      </c>
      <c r="K154">
        <f t="shared" si="166"/>
        <v>20.516040454243399</v>
      </c>
      <c r="L154">
        <f t="shared" si="141"/>
        <v>44.174751359290909</v>
      </c>
      <c r="M154">
        <f t="shared" si="142"/>
        <v>-0.21475135929090783</v>
      </c>
      <c r="N154">
        <f t="shared" si="143"/>
        <v>4.6118146317292587E-2</v>
      </c>
    </row>
    <row r="155" spans="1:14" x14ac:dyDescent="0.45">
      <c r="A155" s="22">
        <v>42649</v>
      </c>
      <c r="B155">
        <v>44.55</v>
      </c>
      <c r="C155">
        <v>43.99</v>
      </c>
      <c r="G155">
        <f t="shared" ref="G155:K155" si="167">SUMPRODUCT($B155:$B159,P$2:P$6)</f>
        <v>21.356928615229961</v>
      </c>
      <c r="H155">
        <f t="shared" si="167"/>
        <v>21.373495476607768</v>
      </c>
      <c r="I155">
        <f t="shared" si="167"/>
        <v>21.379399103318391</v>
      </c>
      <c r="J155">
        <f t="shared" si="167"/>
        <v>21.380755774034803</v>
      </c>
      <c r="K155">
        <f t="shared" si="167"/>
        <v>20.723098430428529</v>
      </c>
      <c r="L155">
        <f t="shared" si="141"/>
        <v>44.620489135215877</v>
      </c>
      <c r="M155">
        <f t="shared" si="142"/>
        <v>-0.53048913521587338</v>
      </c>
      <c r="N155">
        <f t="shared" si="143"/>
        <v>0.28141872258208517</v>
      </c>
    </row>
    <row r="156" spans="1:14" x14ac:dyDescent="0.45">
      <c r="A156" s="22">
        <v>42648</v>
      </c>
      <c r="B156">
        <v>44.1</v>
      </c>
      <c r="C156">
        <v>44.53</v>
      </c>
      <c r="G156">
        <f t="shared" ref="G156:K156" si="168">SUMPRODUCT($B156:$B160,P$2:P$6)</f>
        <v>21.150099355900341</v>
      </c>
      <c r="H156">
        <f t="shared" si="168"/>
        <v>21.166307633828467</v>
      </c>
      <c r="I156">
        <f t="shared" si="168"/>
        <v>21.172267254264419</v>
      </c>
      <c r="J156">
        <f t="shared" si="168"/>
        <v>21.173558214769439</v>
      </c>
      <c r="K156">
        <f t="shared" si="168"/>
        <v>20.522244254607468</v>
      </c>
      <c r="L156">
        <f t="shared" si="141"/>
        <v>44.188121355243361</v>
      </c>
      <c r="M156">
        <f t="shared" si="142"/>
        <v>0.36187864475663645</v>
      </c>
      <c r="N156">
        <f t="shared" si="143"/>
        <v>0.13095615353089987</v>
      </c>
    </row>
    <row r="157" spans="1:14" x14ac:dyDescent="0.45">
      <c r="A157" s="22">
        <v>42647</v>
      </c>
      <c r="B157">
        <v>44.2</v>
      </c>
      <c r="C157">
        <v>44.13</v>
      </c>
      <c r="G157">
        <f t="shared" ref="G157:K157" si="169">SUMPRODUCT($B157:$B161,P$2:P$6)</f>
        <v>21.197328470096103</v>
      </c>
      <c r="H157">
        <f t="shared" si="169"/>
        <v>21.213596423292298</v>
      </c>
      <c r="I157">
        <f t="shared" si="169"/>
        <v>21.219559208789001</v>
      </c>
      <c r="J157">
        <f t="shared" si="169"/>
        <v>21.220856794182883</v>
      </c>
      <c r="K157">
        <f t="shared" si="169"/>
        <v>20.568090106917477</v>
      </c>
      <c r="L157">
        <f t="shared" si="141"/>
        <v>44.286825870651924</v>
      </c>
      <c r="M157">
        <f t="shared" si="142"/>
        <v>-0.1868258706519228</v>
      </c>
      <c r="N157">
        <f t="shared" si="143"/>
        <v>3.490390594484899E-2</v>
      </c>
    </row>
    <row r="158" spans="1:14" x14ac:dyDescent="0.45">
      <c r="A158" s="22">
        <v>42646</v>
      </c>
      <c r="B158">
        <v>44.3</v>
      </c>
      <c r="C158">
        <v>44.1</v>
      </c>
      <c r="G158">
        <f t="shared" ref="G158:K158" si="170">SUMPRODUCT($B158:$B162,P$2:P$6)</f>
        <v>21.238463483338954</v>
      </c>
      <c r="H158">
        <f t="shared" si="170"/>
        <v>21.254964385563074</v>
      </c>
      <c r="I158">
        <f t="shared" si="170"/>
        <v>21.260846116095156</v>
      </c>
      <c r="J158">
        <f t="shared" si="170"/>
        <v>21.262184262044105</v>
      </c>
      <c r="K158">
        <f t="shared" si="170"/>
        <v>20.608165974554318</v>
      </c>
      <c r="L158">
        <f t="shared" si="141"/>
        <v>44.373027279920777</v>
      </c>
      <c r="M158">
        <f t="shared" si="142"/>
        <v>-0.17302727992077394</v>
      </c>
      <c r="N158">
        <f t="shared" si="143"/>
        <v>2.9938439596781861E-2</v>
      </c>
    </row>
    <row r="159" spans="1:14" x14ac:dyDescent="0.45">
      <c r="A159" s="22">
        <v>42643</v>
      </c>
      <c r="B159">
        <v>44.37</v>
      </c>
      <c r="C159">
        <v>44.3</v>
      </c>
      <c r="G159">
        <f t="shared" ref="G159:K159" si="171">SUMPRODUCT($B159:$B163,P$2:P$6)</f>
        <v>21.273261653774856</v>
      </c>
      <c r="H159">
        <f t="shared" si="171"/>
        <v>21.289713934703499</v>
      </c>
      <c r="I159">
        <f t="shared" si="171"/>
        <v>21.295626765155138</v>
      </c>
      <c r="J159">
        <f t="shared" si="171"/>
        <v>21.296961907059174</v>
      </c>
      <c r="K159">
        <f t="shared" si="171"/>
        <v>20.641872925690159</v>
      </c>
      <c r="L159">
        <f t="shared" si="141"/>
        <v>44.44562631709141</v>
      </c>
      <c r="M159">
        <f t="shared" si="142"/>
        <v>-0.14562631709141272</v>
      </c>
      <c r="N159">
        <f t="shared" si="143"/>
        <v>2.1207024229608684E-2</v>
      </c>
    </row>
    <row r="160" spans="1:14" x14ac:dyDescent="0.45">
      <c r="A160" s="22">
        <v>42642</v>
      </c>
      <c r="B160">
        <v>44.15</v>
      </c>
      <c r="C160">
        <v>44.21</v>
      </c>
      <c r="G160">
        <f t="shared" ref="G160:K160" si="172">SUMPRODUCT($B160:$B164,P$2:P$6)</f>
        <v>21.172953928839341</v>
      </c>
      <c r="H160">
        <f t="shared" si="172"/>
        <v>21.189018526092738</v>
      </c>
      <c r="I160">
        <f t="shared" si="172"/>
        <v>21.194992395464343</v>
      </c>
      <c r="J160">
        <f t="shared" si="172"/>
        <v>21.196300741761323</v>
      </c>
      <c r="K160">
        <f t="shared" si="172"/>
        <v>20.544302334139353</v>
      </c>
      <c r="L160">
        <f t="shared" si="141"/>
        <v>44.23563112383043</v>
      </c>
      <c r="M160">
        <f t="shared" si="142"/>
        <v>0.13436887616956739</v>
      </c>
      <c r="N160">
        <f t="shared" si="143"/>
        <v>1.8054994883072533E-2</v>
      </c>
    </row>
    <row r="161" spans="1:14" x14ac:dyDescent="0.45">
      <c r="A161" s="22">
        <v>42641</v>
      </c>
      <c r="B161">
        <v>44.2</v>
      </c>
      <c r="C161">
        <v>44.16</v>
      </c>
      <c r="G161">
        <f t="shared" ref="G161:K161" si="173">SUMPRODUCT($B161:$B165,P$2:P$6)</f>
        <v>21.199416856025746</v>
      </c>
      <c r="H161">
        <f t="shared" si="173"/>
        <v>21.215500302498366</v>
      </c>
      <c r="I161">
        <f t="shared" si="173"/>
        <v>21.221506809438878</v>
      </c>
      <c r="J161">
        <f t="shared" si="173"/>
        <v>21.222799790824215</v>
      </c>
      <c r="K161">
        <f t="shared" si="173"/>
        <v>20.569974265087215</v>
      </c>
      <c r="L161">
        <f t="shared" si="141"/>
        <v>44.290929227283286</v>
      </c>
      <c r="M161">
        <f t="shared" si="142"/>
        <v>-0.14092922728328716</v>
      </c>
      <c r="N161">
        <f t="shared" si="143"/>
        <v>1.9861047102664411E-2</v>
      </c>
    </row>
    <row r="162" spans="1:14" x14ac:dyDescent="0.45">
      <c r="A162" s="22">
        <v>42640</v>
      </c>
      <c r="B162">
        <v>43.91</v>
      </c>
      <c r="C162">
        <v>44.21</v>
      </c>
      <c r="G162">
        <f t="shared" ref="G162:K162" si="174">SUMPRODUCT($B162:$B166,P$2:P$6)</f>
        <v>21.07670764785448</v>
      </c>
      <c r="H162">
        <f t="shared" si="174"/>
        <v>21.09235553088012</v>
      </c>
      <c r="I162">
        <f t="shared" si="174"/>
        <v>21.098532904310982</v>
      </c>
      <c r="J162">
        <f t="shared" si="174"/>
        <v>21.099719955055658</v>
      </c>
      <c r="K162">
        <f t="shared" si="174"/>
        <v>20.450624675165141</v>
      </c>
      <c r="L162">
        <f t="shared" si="141"/>
        <v>44.03414044685919</v>
      </c>
      <c r="M162">
        <f t="shared" si="142"/>
        <v>0.16585955314081247</v>
      </c>
      <c r="N162">
        <f t="shared" si="143"/>
        <v>2.7509391368069996E-2</v>
      </c>
    </row>
    <row r="163" spans="1:14" x14ac:dyDescent="0.45">
      <c r="A163" s="22">
        <v>42639</v>
      </c>
      <c r="B163">
        <v>44.22</v>
      </c>
      <c r="C163">
        <v>43.98</v>
      </c>
      <c r="G163">
        <f t="shared" ref="G163:K163" si="175">SUMPRODUCT($B163:$B167,P$2:P$6)</f>
        <v>21.213591663164454</v>
      </c>
      <c r="H163">
        <f t="shared" si="175"/>
        <v>21.229753750956903</v>
      </c>
      <c r="I163">
        <f t="shared" si="175"/>
        <v>21.235802352357076</v>
      </c>
      <c r="J163">
        <f t="shared" si="175"/>
        <v>21.237060241276609</v>
      </c>
      <c r="K163">
        <f t="shared" si="175"/>
        <v>20.583770675381491</v>
      </c>
      <c r="L163">
        <f t="shared" si="141"/>
        <v>44.320664494713824</v>
      </c>
      <c r="M163">
        <f t="shared" si="142"/>
        <v>-0.41066449471382782</v>
      </c>
      <c r="N163">
        <f t="shared" si="143"/>
        <v>0.16864532721856351</v>
      </c>
    </row>
    <row r="164" spans="1:14" x14ac:dyDescent="0.45">
      <c r="A164" s="22">
        <v>42636</v>
      </c>
      <c r="B164">
        <v>44.98</v>
      </c>
      <c r="C164">
        <v>44.36</v>
      </c>
      <c r="G164">
        <f t="shared" ref="G164:K164" si="176">SUMPRODUCT($B164:$B168,P$2:P$6)</f>
        <v>21.565297601437301</v>
      </c>
      <c r="H164">
        <f t="shared" si="176"/>
        <v>21.582039849126108</v>
      </c>
      <c r="I164">
        <f t="shared" si="176"/>
        <v>21.588021910379787</v>
      </c>
      <c r="J164">
        <f t="shared" si="176"/>
        <v>21.589374983101425</v>
      </c>
      <c r="K164">
        <f t="shared" si="176"/>
        <v>20.925289758150345</v>
      </c>
      <c r="L164">
        <f t="shared" si="141"/>
        <v>45.055859706361346</v>
      </c>
      <c r="M164">
        <f t="shared" si="142"/>
        <v>-0.83585970636134732</v>
      </c>
      <c r="N164">
        <f t="shared" si="143"/>
        <v>0.6986614487184778</v>
      </c>
    </row>
    <row r="165" spans="1:14" x14ac:dyDescent="0.45">
      <c r="A165" s="22">
        <v>42635</v>
      </c>
      <c r="B165">
        <v>44.86</v>
      </c>
      <c r="C165">
        <v>44.51</v>
      </c>
      <c r="G165">
        <f t="shared" ref="G165:K165" si="177">SUMPRODUCT($B165:$B169,P$2:P$6)</f>
        <v>21.502102807230084</v>
      </c>
      <c r="H165">
        <f t="shared" si="177"/>
        <v>21.518840513839788</v>
      </c>
      <c r="I165">
        <f t="shared" si="177"/>
        <v>21.524742719797057</v>
      </c>
      <c r="J165">
        <f t="shared" si="177"/>
        <v>21.526129977222951</v>
      </c>
      <c r="K165">
        <f t="shared" si="177"/>
        <v>20.864013547237793</v>
      </c>
      <c r="L165">
        <f t="shared" si="141"/>
        <v>44.923865866761858</v>
      </c>
      <c r="M165">
        <f t="shared" si="142"/>
        <v>5.6134133238138872E-2</v>
      </c>
      <c r="N165">
        <f t="shared" si="143"/>
        <v>3.1510409143971274E-3</v>
      </c>
    </row>
    <row r="166" spans="1:14" x14ac:dyDescent="0.45">
      <c r="A166" s="22">
        <v>42634</v>
      </c>
      <c r="B166">
        <v>44.89</v>
      </c>
      <c r="C166">
        <v>44.67</v>
      </c>
      <c r="G166">
        <f t="shared" ref="G166:K166" si="178">SUMPRODUCT($B166:$B170,P$2:P$6)</f>
        <v>21.51367978308944</v>
      </c>
      <c r="H166">
        <f t="shared" si="178"/>
        <v>21.530721055139757</v>
      </c>
      <c r="I166">
        <f t="shared" si="178"/>
        <v>21.536563227846724</v>
      </c>
      <c r="J166">
        <f t="shared" si="178"/>
        <v>21.537956187332824</v>
      </c>
      <c r="K166">
        <f t="shared" si="178"/>
        <v>20.875471219537211</v>
      </c>
      <c r="L166">
        <f t="shared" si="141"/>
        <v>44.948467475862735</v>
      </c>
      <c r="M166">
        <f t="shared" si="142"/>
        <v>-8.8467475862735512E-2</v>
      </c>
      <c r="N166">
        <f t="shared" si="143"/>
        <v>7.8264942855236896E-3</v>
      </c>
    </row>
    <row r="167" spans="1:14" x14ac:dyDescent="0.45">
      <c r="A167" s="22">
        <v>42633</v>
      </c>
      <c r="B167">
        <v>44.26</v>
      </c>
      <c r="C167">
        <v>44.13</v>
      </c>
      <c r="G167">
        <f t="shared" ref="G167:K167" si="179">SUMPRODUCT($B167:$B171,P$2:P$6)</f>
        <v>21.224488944495747</v>
      </c>
      <c r="H167">
        <f t="shared" si="179"/>
        <v>21.240983737333377</v>
      </c>
      <c r="I167">
        <f t="shared" si="179"/>
        <v>21.246913444927511</v>
      </c>
      <c r="J167">
        <f t="shared" si="179"/>
        <v>21.24821323693423</v>
      </c>
      <c r="K167">
        <f t="shared" si="179"/>
        <v>20.594600537417019</v>
      </c>
      <c r="L167">
        <f t="shared" si="141"/>
        <v>44.343862340336734</v>
      </c>
      <c r="M167">
        <f t="shared" si="142"/>
        <v>0.54613765966326611</v>
      </c>
      <c r="N167">
        <f t="shared" si="143"/>
        <v>0.29826634330246948</v>
      </c>
    </row>
    <row r="168" spans="1:14" x14ac:dyDescent="0.45">
      <c r="A168" s="22">
        <v>42632</v>
      </c>
      <c r="B168">
        <v>44.58</v>
      </c>
      <c r="C168">
        <v>44.12</v>
      </c>
      <c r="G168">
        <f t="shared" ref="G168:K168" si="180">SUMPRODUCT($B168:$B172,P$2:P$6)</f>
        <v>21.35558148387398</v>
      </c>
      <c r="H168">
        <f t="shared" si="180"/>
        <v>21.372676309902435</v>
      </c>
      <c r="I168">
        <f t="shared" si="180"/>
        <v>21.378358272947931</v>
      </c>
      <c r="J168">
        <f t="shared" si="180"/>
        <v>21.379798776647814</v>
      </c>
      <c r="K168">
        <f t="shared" si="180"/>
        <v>20.722212822537738</v>
      </c>
      <c r="L168">
        <f t="shared" si="141"/>
        <v>44.618366546668419</v>
      </c>
      <c r="M168">
        <f t="shared" si="142"/>
        <v>-0.35836654666842094</v>
      </c>
      <c r="N168">
        <f t="shared" si="143"/>
        <v>0.12842658177104951</v>
      </c>
    </row>
    <row r="169" spans="1:14" x14ac:dyDescent="0.45">
      <c r="A169" s="22">
        <v>42629</v>
      </c>
      <c r="B169">
        <v>44.67</v>
      </c>
      <c r="C169">
        <v>44.42</v>
      </c>
      <c r="G169">
        <f t="shared" ref="G169:K169" si="181">SUMPRODUCT($B169:$B173,P$2:P$6)</f>
        <v>21.387069393426707</v>
      </c>
      <c r="H169">
        <f t="shared" si="181"/>
        <v>21.404692515042054</v>
      </c>
      <c r="I169">
        <f t="shared" si="181"/>
        <v>21.410205908724762</v>
      </c>
      <c r="J169">
        <f t="shared" si="181"/>
        <v>21.411705148715892</v>
      </c>
      <c r="K169">
        <f t="shared" si="181"/>
        <v>20.753161917280469</v>
      </c>
      <c r="L169">
        <f t="shared" si="141"/>
        <v>44.684828642457184</v>
      </c>
      <c r="M169">
        <f t="shared" si="142"/>
        <v>-0.10482864245718559</v>
      </c>
      <c r="N169">
        <f t="shared" si="143"/>
        <v>1.0989044279416453E-2</v>
      </c>
    </row>
    <row r="170" spans="1:14" x14ac:dyDescent="0.45">
      <c r="A170" s="22">
        <v>42628</v>
      </c>
      <c r="B170">
        <v>43.62</v>
      </c>
      <c r="C170">
        <v>44.59</v>
      </c>
      <c r="G170">
        <f t="shared" ref="G170:K170" si="182">SUMPRODUCT($B170:$B174,P$2:P$6)</f>
        <v>20.906211944566216</v>
      </c>
      <c r="H170">
        <f t="shared" si="182"/>
        <v>20.922659577094027</v>
      </c>
      <c r="I170">
        <f t="shared" si="182"/>
        <v>20.928362068756655</v>
      </c>
      <c r="J170">
        <f t="shared" si="182"/>
        <v>20.929711941465232</v>
      </c>
      <c r="K170">
        <f t="shared" si="182"/>
        <v>20.285938238760686</v>
      </c>
      <c r="L170">
        <f t="shared" si="141"/>
        <v>43.679128730039096</v>
      </c>
      <c r="M170">
        <f t="shared" si="142"/>
        <v>0.99087126996090547</v>
      </c>
      <c r="N170">
        <f t="shared" si="143"/>
        <v>0.98182587363393758</v>
      </c>
    </row>
    <row r="171" spans="1:14" x14ac:dyDescent="0.45">
      <c r="A171" s="22">
        <v>42627</v>
      </c>
      <c r="B171">
        <v>43.48</v>
      </c>
      <c r="C171">
        <v>43.66</v>
      </c>
      <c r="G171">
        <f t="shared" ref="G171:K171" si="183">SUMPRODUCT($B171:$B175,P$2:P$6)</f>
        <v>20.82809003014923</v>
      </c>
      <c r="H171">
        <f t="shared" si="183"/>
        <v>20.844493798770593</v>
      </c>
      <c r="I171">
        <f t="shared" si="183"/>
        <v>20.850061809923005</v>
      </c>
      <c r="J171">
        <f t="shared" si="183"/>
        <v>20.851484530164356</v>
      </c>
      <c r="K171">
        <f t="shared" si="183"/>
        <v>20.210166657339446</v>
      </c>
      <c r="L171">
        <f t="shared" si="141"/>
        <v>43.515882260045728</v>
      </c>
      <c r="M171">
        <f t="shared" si="142"/>
        <v>0.10411773995426898</v>
      </c>
      <c r="N171">
        <f t="shared" si="143"/>
        <v>1.084050377318478E-2</v>
      </c>
    </row>
    <row r="172" spans="1:14" x14ac:dyDescent="0.45">
      <c r="A172" s="22">
        <v>42626</v>
      </c>
      <c r="B172">
        <v>43.22</v>
      </c>
      <c r="C172">
        <v>43.41</v>
      </c>
      <c r="G172">
        <f t="shared" ref="G172:K172" si="184">SUMPRODUCT($B172:$B176,P$2:P$6)</f>
        <v>20.72245594309873</v>
      </c>
      <c r="H172">
        <f t="shared" si="184"/>
        <v>20.738319692973946</v>
      </c>
      <c r="I172">
        <f t="shared" si="184"/>
        <v>20.744104413218523</v>
      </c>
      <c r="J172">
        <f t="shared" si="184"/>
        <v>20.745409674852834</v>
      </c>
      <c r="K172">
        <f t="shared" si="184"/>
        <v>20.107293080595365</v>
      </c>
      <c r="L172">
        <f t="shared" si="141"/>
        <v>43.294610432121587</v>
      </c>
      <c r="M172">
        <f t="shared" si="142"/>
        <v>0.18538956787840988</v>
      </c>
      <c r="N172">
        <f t="shared" si="143"/>
        <v>3.436929187814354E-2</v>
      </c>
    </row>
    <row r="173" spans="1:14" x14ac:dyDescent="0.45">
      <c r="A173" s="22">
        <v>42625</v>
      </c>
      <c r="B173">
        <v>41.95</v>
      </c>
      <c r="C173">
        <v>43.46</v>
      </c>
      <c r="G173">
        <f t="shared" ref="G173:K173" si="185">SUMPRODUCT($B173:$B177,P$2:P$6)</f>
        <v>20.141923129751678</v>
      </c>
      <c r="H173">
        <f t="shared" si="185"/>
        <v>20.156752631421075</v>
      </c>
      <c r="I173">
        <f t="shared" si="185"/>
        <v>20.162731283275463</v>
      </c>
      <c r="J173">
        <f t="shared" si="185"/>
        <v>20.163830130430831</v>
      </c>
      <c r="K173">
        <f t="shared" si="185"/>
        <v>19.543504733407428</v>
      </c>
      <c r="L173">
        <f t="shared" si="141"/>
        <v>42.081006974421591</v>
      </c>
      <c r="M173">
        <f t="shared" si="142"/>
        <v>1.138993025578408</v>
      </c>
      <c r="N173">
        <f t="shared" si="143"/>
        <v>1.297305112316256</v>
      </c>
    </row>
    <row r="174" spans="1:14" x14ac:dyDescent="0.45">
      <c r="A174" s="22">
        <v>42622</v>
      </c>
      <c r="B174">
        <v>42.79</v>
      </c>
      <c r="C174">
        <v>42.29</v>
      </c>
      <c r="G174">
        <f t="shared" ref="G174:K174" si="186">SUMPRODUCT($B174:$B178,P$2:P$6)</f>
        <v>20.528720999498862</v>
      </c>
      <c r="H174">
        <f t="shared" si="186"/>
        <v>20.544466704482186</v>
      </c>
      <c r="I174">
        <f t="shared" si="186"/>
        <v>20.550319003412039</v>
      </c>
      <c r="J174">
        <f t="shared" si="186"/>
        <v>20.551522540931465</v>
      </c>
      <c r="K174">
        <f t="shared" si="186"/>
        <v>19.919309953064946</v>
      </c>
      <c r="L174">
        <f t="shared" si="141"/>
        <v>42.889951381323939</v>
      </c>
      <c r="M174">
        <f t="shared" si="142"/>
        <v>-0.93995138132393663</v>
      </c>
      <c r="N174">
        <f t="shared" si="143"/>
        <v>0.88350859925277647</v>
      </c>
    </row>
    <row r="175" spans="1:14" x14ac:dyDescent="0.45">
      <c r="A175" s="22">
        <v>42621</v>
      </c>
      <c r="B175">
        <v>43.36</v>
      </c>
      <c r="C175">
        <v>43.3</v>
      </c>
      <c r="G175">
        <f t="shared" ref="G175:K175" si="187">SUMPRODUCT($B175:$B179,P$2:P$6)</f>
        <v>20.775248139117263</v>
      </c>
      <c r="H175">
        <f t="shared" si="187"/>
        <v>20.791948823225301</v>
      </c>
      <c r="I175">
        <f t="shared" si="187"/>
        <v>20.797509305809072</v>
      </c>
      <c r="J175">
        <f t="shared" si="187"/>
        <v>20.798878076917383</v>
      </c>
      <c r="K175">
        <f t="shared" si="187"/>
        <v>20.159136342805898</v>
      </c>
      <c r="L175">
        <f t="shared" si="141"/>
        <v>43.405993915948635</v>
      </c>
      <c r="M175">
        <f t="shared" si="142"/>
        <v>-0.61599391594863562</v>
      </c>
      <c r="N175">
        <f t="shared" si="143"/>
        <v>0.37944850448573475</v>
      </c>
    </row>
    <row r="176" spans="1:14" x14ac:dyDescent="0.45">
      <c r="A176" s="22">
        <v>42620</v>
      </c>
      <c r="B176">
        <v>43.74</v>
      </c>
      <c r="C176">
        <v>43.38</v>
      </c>
      <c r="G176">
        <f t="shared" ref="G176:K176" si="188">SUMPRODUCT($B176:$B180,P$2:P$6)</f>
        <v>20.940003764896716</v>
      </c>
      <c r="H176">
        <f t="shared" si="188"/>
        <v>20.957211274509433</v>
      </c>
      <c r="I176">
        <f t="shared" si="188"/>
        <v>20.962596856211466</v>
      </c>
      <c r="J176">
        <f t="shared" si="188"/>
        <v>20.96407927145356</v>
      </c>
      <c r="K176">
        <f t="shared" si="188"/>
        <v>20.319315207941298</v>
      </c>
      <c r="L176">
        <f t="shared" si="141"/>
        <v>43.750679693374032</v>
      </c>
      <c r="M176">
        <f t="shared" si="142"/>
        <v>-0.39067969337403241</v>
      </c>
      <c r="N176">
        <f t="shared" si="143"/>
        <v>0.15263062281482798</v>
      </c>
    </row>
    <row r="177" spans="1:14" x14ac:dyDescent="0.45">
      <c r="A177" s="22">
        <v>42619</v>
      </c>
      <c r="B177">
        <v>43</v>
      </c>
      <c r="C177">
        <v>43.51</v>
      </c>
      <c r="G177">
        <f t="shared" ref="G177:K177" si="189">SUMPRODUCT($B177:$B181,P$2:P$6)</f>
        <v>20.587790203594299</v>
      </c>
      <c r="H177">
        <f t="shared" si="189"/>
        <v>20.60453170134824</v>
      </c>
      <c r="I177">
        <f t="shared" si="189"/>
        <v>20.60986837262509</v>
      </c>
      <c r="J177">
        <f t="shared" si="189"/>
        <v>20.611320748282875</v>
      </c>
      <c r="K177">
        <f t="shared" si="189"/>
        <v>19.977406620775451</v>
      </c>
      <c r="L177">
        <f t="shared" si="141"/>
        <v>43.0145414182671</v>
      </c>
      <c r="M177">
        <f t="shared" si="142"/>
        <v>0.72545858173290156</v>
      </c>
      <c r="N177">
        <f t="shared" si="143"/>
        <v>0.52629015380991306</v>
      </c>
    </row>
    <row r="178" spans="1:14" x14ac:dyDescent="0.45">
      <c r="A178" s="22">
        <v>42615</v>
      </c>
      <c r="B178">
        <v>42.29</v>
      </c>
      <c r="C178">
        <v>42.8</v>
      </c>
      <c r="G178">
        <f t="shared" ref="G178:K178" si="190">SUMPRODUCT($B178:$B182,P$2:P$6)</f>
        <v>20.259690766278855</v>
      </c>
      <c r="H178">
        <f t="shared" si="190"/>
        <v>20.275864848294809</v>
      </c>
      <c r="I178">
        <f t="shared" si="190"/>
        <v>20.281271594405727</v>
      </c>
      <c r="J178">
        <f t="shared" si="190"/>
        <v>20.282632582454614</v>
      </c>
      <c r="K178">
        <f t="shared" si="190"/>
        <v>19.658789948293673</v>
      </c>
      <c r="L178">
        <f t="shared" si="141"/>
        <v>42.328656615463601</v>
      </c>
      <c r="M178">
        <f t="shared" si="142"/>
        <v>0.67134338453639941</v>
      </c>
      <c r="N178">
        <f t="shared" si="143"/>
        <v>0.45070193996078783</v>
      </c>
    </row>
    <row r="179" spans="1:14" x14ac:dyDescent="0.45">
      <c r="A179" s="22">
        <v>42614</v>
      </c>
      <c r="B179">
        <v>41.44</v>
      </c>
      <c r="C179">
        <v>42.15</v>
      </c>
      <c r="G179">
        <f t="shared" ref="G179:K179" si="191">SUMPRODUCT($B179:$B183,P$2:P$6)</f>
        <v>19.866941517485682</v>
      </c>
      <c r="H179">
        <f t="shared" si="191"/>
        <v>19.882411729897807</v>
      </c>
      <c r="I179">
        <f t="shared" si="191"/>
        <v>19.88790575810317</v>
      </c>
      <c r="J179">
        <f t="shared" si="191"/>
        <v>19.889158170845818</v>
      </c>
      <c r="K179">
        <f t="shared" si="191"/>
        <v>19.277373532671735</v>
      </c>
      <c r="L179">
        <f t="shared" si="141"/>
        <v>41.507587176832793</v>
      </c>
      <c r="M179">
        <f t="shared" si="142"/>
        <v>0.78241282316720628</v>
      </c>
      <c r="N179">
        <f t="shared" si="143"/>
        <v>0.61216982585647806</v>
      </c>
    </row>
    <row r="180" spans="1:14" x14ac:dyDescent="0.45">
      <c r="A180" s="22">
        <v>42613</v>
      </c>
      <c r="B180">
        <v>41.41</v>
      </c>
      <c r="C180">
        <v>41.37</v>
      </c>
      <c r="G180">
        <f t="shared" ref="G180:K180" si="192">SUMPRODUCT($B180:$B184,P$2:P$6)</f>
        <v>19.84713836465238</v>
      </c>
      <c r="H180">
        <f t="shared" si="192"/>
        <v>19.862785568371756</v>
      </c>
      <c r="I180">
        <f t="shared" si="192"/>
        <v>19.868196660863937</v>
      </c>
      <c r="J180">
        <f t="shared" si="192"/>
        <v>19.869476352772978</v>
      </c>
      <c r="K180">
        <f t="shared" si="192"/>
        <v>19.258310853704302</v>
      </c>
      <c r="L180">
        <f t="shared" si="141"/>
        <v>41.466466038656897</v>
      </c>
      <c r="M180">
        <f t="shared" si="142"/>
        <v>-2.6466038656899116E-2</v>
      </c>
      <c r="N180">
        <f t="shared" si="143"/>
        <v>7.0045120218847835E-4</v>
      </c>
    </row>
    <row r="181" spans="1:14" x14ac:dyDescent="0.45">
      <c r="A181" s="22">
        <v>42612</v>
      </c>
      <c r="B181">
        <v>41.33</v>
      </c>
      <c r="C181">
        <v>41.58</v>
      </c>
      <c r="G181">
        <f t="shared" ref="G181:K181" si="193">SUMPRODUCT($B181:$B185,P$2:P$6)</f>
        <v>19.809501456936161</v>
      </c>
      <c r="H181">
        <f t="shared" si="193"/>
        <v>19.825041079095968</v>
      </c>
      <c r="I181">
        <f t="shared" si="193"/>
        <v>19.830458274686031</v>
      </c>
      <c r="J181">
        <f t="shared" si="193"/>
        <v>19.831734197459561</v>
      </c>
      <c r="K181">
        <f t="shared" si="193"/>
        <v>19.22173131307315</v>
      </c>
      <c r="L181">
        <f t="shared" si="141"/>
        <v>41.387721737554642</v>
      </c>
      <c r="M181">
        <f t="shared" si="142"/>
        <v>2.2278262445354358E-2</v>
      </c>
      <c r="N181">
        <f t="shared" si="143"/>
        <v>4.9632097758408635E-4</v>
      </c>
    </row>
    <row r="182" spans="1:14" x14ac:dyDescent="0.45">
      <c r="A182" s="22">
        <v>42611</v>
      </c>
      <c r="B182">
        <v>41.11</v>
      </c>
      <c r="C182">
        <v>41.29</v>
      </c>
      <c r="G182">
        <f t="shared" ref="G182:K182" si="194">SUMPRODUCT($B182:$B186,P$2:P$6)</f>
        <v>19.699011420883778</v>
      </c>
      <c r="H182">
        <f t="shared" si="194"/>
        <v>19.714600693248233</v>
      </c>
      <c r="I182">
        <f t="shared" si="194"/>
        <v>19.71992065810873</v>
      </c>
      <c r="J182">
        <f t="shared" si="194"/>
        <v>19.721218584981173</v>
      </c>
      <c r="K182">
        <f t="shared" si="194"/>
        <v>19.114630018967166</v>
      </c>
      <c r="L182">
        <f t="shared" si="141"/>
        <v>41.157050155342937</v>
      </c>
      <c r="M182">
        <f t="shared" si="142"/>
        <v>0.17294984465706165</v>
      </c>
      <c r="N182">
        <f t="shared" si="143"/>
        <v>2.9911648766901756E-2</v>
      </c>
    </row>
    <row r="183" spans="1:14" x14ac:dyDescent="0.45">
      <c r="A183" s="22">
        <v>42608</v>
      </c>
      <c r="B183">
        <v>40.950000000000003</v>
      </c>
      <c r="C183">
        <v>41.05</v>
      </c>
      <c r="G183">
        <f t="shared" ref="G183:K183" si="195">SUMPRODUCT($B183:$B187,P$2:P$6)</f>
        <v>19.626841352228077</v>
      </c>
      <c r="H183">
        <f t="shared" si="195"/>
        <v>19.642319065963328</v>
      </c>
      <c r="I183">
        <f t="shared" si="195"/>
        <v>19.647671350634273</v>
      </c>
      <c r="J183">
        <f t="shared" si="195"/>
        <v>19.64893520295686</v>
      </c>
      <c r="K183">
        <f t="shared" si="195"/>
        <v>19.044552459244169</v>
      </c>
      <c r="L183">
        <f t="shared" si="141"/>
        <v>41.00620810738134</v>
      </c>
      <c r="M183">
        <f t="shared" si="142"/>
        <v>0.10379189261865918</v>
      </c>
      <c r="N183">
        <f t="shared" si="143"/>
        <v>1.0772756973363277E-2</v>
      </c>
    </row>
    <row r="184" spans="1:14" x14ac:dyDescent="0.45">
      <c r="A184" s="22">
        <v>42607</v>
      </c>
      <c r="B184">
        <v>40.47</v>
      </c>
      <c r="C184">
        <v>40.99</v>
      </c>
      <c r="G184">
        <f t="shared" ref="G184:K184" si="196">SUMPRODUCT($B184:$B188,P$2:P$6)</f>
        <v>19.400966442796822</v>
      </c>
      <c r="H184">
        <f t="shared" si="196"/>
        <v>19.416057323560597</v>
      </c>
      <c r="I184">
        <f t="shared" si="196"/>
        <v>19.421414946187241</v>
      </c>
      <c r="J184">
        <f t="shared" si="196"/>
        <v>19.42264537917633</v>
      </c>
      <c r="K184">
        <f t="shared" si="196"/>
        <v>18.825216039978447</v>
      </c>
      <c r="L184">
        <f t="shared" si="141"/>
        <v>40.534006654253105</v>
      </c>
      <c r="M184">
        <f t="shared" si="142"/>
        <v>0.41599334574689806</v>
      </c>
      <c r="N184">
        <f t="shared" si="143"/>
        <v>0.17305046370569827</v>
      </c>
    </row>
    <row r="185" spans="1:14" x14ac:dyDescent="0.45">
      <c r="A185" s="22">
        <v>42606</v>
      </c>
      <c r="B185">
        <v>40.68</v>
      </c>
      <c r="C185">
        <v>40.67</v>
      </c>
      <c r="G185">
        <f t="shared" ref="G185:K185" si="197">SUMPRODUCT($B185:$B189,P$2:P$6)</f>
        <v>19.493323696714324</v>
      </c>
      <c r="H185">
        <f t="shared" si="197"/>
        <v>19.50870269945176</v>
      </c>
      <c r="I185">
        <f t="shared" si="197"/>
        <v>19.513976374216451</v>
      </c>
      <c r="J185">
        <f t="shared" si="197"/>
        <v>19.515260524203036</v>
      </c>
      <c r="K185">
        <f t="shared" si="197"/>
        <v>18.915008137312704</v>
      </c>
      <c r="L185">
        <f t="shared" si="141"/>
        <v>40.727240535062812</v>
      </c>
      <c r="M185">
        <f t="shared" si="142"/>
        <v>-0.25724053506281308</v>
      </c>
      <c r="N185">
        <f t="shared" si="143"/>
        <v>6.6172692879402362E-2</v>
      </c>
    </row>
    <row r="186" spans="1:14" x14ac:dyDescent="0.45">
      <c r="A186" s="22">
        <v>42605</v>
      </c>
      <c r="B186">
        <v>40.229999999999997</v>
      </c>
      <c r="C186">
        <v>40.64</v>
      </c>
      <c r="G186">
        <f t="shared" ref="G186:K186" si="198">SUMPRODUCT($B186:$B190,P$2:P$6)</f>
        <v>19.285661649294415</v>
      </c>
      <c r="H186">
        <f t="shared" si="198"/>
        <v>19.30074572420536</v>
      </c>
      <c r="I186">
        <f t="shared" si="198"/>
        <v>19.306059139020281</v>
      </c>
      <c r="J186">
        <f t="shared" si="198"/>
        <v>19.307280007964994</v>
      </c>
      <c r="K186">
        <f t="shared" si="198"/>
        <v>18.713395233362057</v>
      </c>
      <c r="L186">
        <f t="shared" si="141"/>
        <v>40.293222098771984</v>
      </c>
      <c r="M186">
        <f t="shared" si="142"/>
        <v>0.38677790122801525</v>
      </c>
      <c r="N186">
        <f t="shared" si="143"/>
        <v>0.14959714487834833</v>
      </c>
    </row>
    <row r="187" spans="1:14" x14ac:dyDescent="0.45">
      <c r="A187" s="22">
        <v>42604</v>
      </c>
      <c r="B187">
        <v>39.99</v>
      </c>
      <c r="C187">
        <v>40.119999999999997</v>
      </c>
      <c r="G187">
        <f t="shared" ref="G187:K187" si="199">SUMPRODUCT($B187:$B191,P$2:P$6)</f>
        <v>19.177835451007166</v>
      </c>
      <c r="H187">
        <f t="shared" si="199"/>
        <v>19.192501376094619</v>
      </c>
      <c r="I187">
        <f t="shared" si="199"/>
        <v>19.19789752539322</v>
      </c>
      <c r="J187">
        <f t="shared" si="199"/>
        <v>19.199077180044707</v>
      </c>
      <c r="K187">
        <f t="shared" si="199"/>
        <v>18.608507315033243</v>
      </c>
      <c r="L187">
        <f t="shared" si="141"/>
        <v>40.067492716533366</v>
      </c>
      <c r="M187">
        <f t="shared" si="142"/>
        <v>0.16250728346663124</v>
      </c>
      <c r="N187">
        <f t="shared" si="143"/>
        <v>2.6408617179704039E-2</v>
      </c>
    </row>
    <row r="188" spans="1:14" x14ac:dyDescent="0.45">
      <c r="A188" s="22">
        <v>42601</v>
      </c>
      <c r="B188">
        <v>40.130000000000003</v>
      </c>
      <c r="C188">
        <v>39.979999999999997</v>
      </c>
      <c r="G188">
        <f t="shared" ref="G188:K188" si="200">SUMPRODUCT($B188:$B192,P$2:P$6)</f>
        <v>19.244692991607941</v>
      </c>
      <c r="H188">
        <f t="shared" si="200"/>
        <v>19.259133946762763</v>
      </c>
      <c r="I188">
        <f t="shared" si="200"/>
        <v>19.264578856447834</v>
      </c>
      <c r="J188">
        <f t="shared" si="200"/>
        <v>19.265779032875439</v>
      </c>
      <c r="K188">
        <f t="shared" si="200"/>
        <v>18.673175001239702</v>
      </c>
      <c r="L188">
        <f t="shared" si="141"/>
        <v>40.206773597456859</v>
      </c>
      <c r="M188">
        <f t="shared" si="142"/>
        <v>-0.2167735974568572</v>
      </c>
      <c r="N188">
        <f t="shared" si="143"/>
        <v>4.6990792554387567E-2</v>
      </c>
    </row>
    <row r="189" spans="1:14" x14ac:dyDescent="0.45">
      <c r="A189" s="22">
        <v>42600</v>
      </c>
      <c r="B189">
        <v>39.99</v>
      </c>
      <c r="C189">
        <v>40.020000000000003</v>
      </c>
      <c r="G189">
        <f t="shared" ref="G189:K189" si="201">SUMPRODUCT($B189:$B193,P$2:P$6)</f>
        <v>19.186967898089314</v>
      </c>
      <c r="H189">
        <f t="shared" si="201"/>
        <v>19.201286576910913</v>
      </c>
      <c r="I189">
        <f t="shared" si="201"/>
        <v>19.20681933965691</v>
      </c>
      <c r="J189">
        <f t="shared" si="201"/>
        <v>19.207954396129725</v>
      </c>
      <c r="K189">
        <f t="shared" si="201"/>
        <v>18.617088856242809</v>
      </c>
      <c r="L189">
        <f t="shared" si="141"/>
        <v>40.08610316864813</v>
      </c>
      <c r="M189">
        <f t="shared" si="142"/>
        <v>4.3896831351872834E-2</v>
      </c>
      <c r="N189">
        <f t="shared" si="143"/>
        <v>1.9269318027347658E-3</v>
      </c>
    </row>
    <row r="190" spans="1:14" x14ac:dyDescent="0.45">
      <c r="A190" s="22">
        <v>42599</v>
      </c>
      <c r="B190">
        <v>39.549999999999997</v>
      </c>
      <c r="C190">
        <v>39.880000000000003</v>
      </c>
      <c r="G190">
        <f t="shared" ref="G190:K190" si="202">SUMPRODUCT($B190:$B194,P$2:P$6)</f>
        <v>19.003329990408776</v>
      </c>
      <c r="H190">
        <f t="shared" si="202"/>
        <v>19.016958671651473</v>
      </c>
      <c r="I190">
        <f t="shared" si="202"/>
        <v>19.022780682882999</v>
      </c>
      <c r="J190">
        <f t="shared" si="202"/>
        <v>19.023738547579669</v>
      </c>
      <c r="K190">
        <f t="shared" si="202"/>
        <v>18.438445229485566</v>
      </c>
      <c r="L190">
        <f t="shared" si="141"/>
        <v>39.701769633638612</v>
      </c>
      <c r="M190">
        <f t="shared" si="142"/>
        <v>0.28823036636138966</v>
      </c>
      <c r="N190">
        <f t="shared" si="143"/>
        <v>8.3076744092820898E-2</v>
      </c>
    </row>
    <row r="191" spans="1:14" x14ac:dyDescent="0.45">
      <c r="A191" s="22">
        <v>42598</v>
      </c>
      <c r="B191">
        <v>40.25</v>
      </c>
      <c r="C191">
        <v>39.31</v>
      </c>
      <c r="G191">
        <f t="shared" ref="G191:K191" si="203">SUMPRODUCT($B191:$B195,P$2:P$6)</f>
        <v>19.31862244049638</v>
      </c>
      <c r="H191">
        <f t="shared" si="203"/>
        <v>19.332988048130527</v>
      </c>
      <c r="I191">
        <f t="shared" si="203"/>
        <v>19.33863439957868</v>
      </c>
      <c r="J191">
        <f t="shared" si="203"/>
        <v>19.339730424125271</v>
      </c>
      <c r="K191">
        <f t="shared" si="203"/>
        <v>18.744782700165544</v>
      </c>
      <c r="L191">
        <f t="shared" si="141"/>
        <v>40.361119021868888</v>
      </c>
      <c r="M191">
        <f t="shared" si="142"/>
        <v>-0.8111190218688904</v>
      </c>
      <c r="N191">
        <f t="shared" si="143"/>
        <v>0.65791406763754545</v>
      </c>
    </row>
    <row r="192" spans="1:14" x14ac:dyDescent="0.45">
      <c r="A192" s="22">
        <v>42597</v>
      </c>
      <c r="B192">
        <v>41.61</v>
      </c>
      <c r="C192">
        <v>41.48</v>
      </c>
      <c r="G192">
        <f t="shared" ref="G192:K192" si="204">SUMPRODUCT($B192:$B196,P$2:P$6)</f>
        <v>19.939780101140787</v>
      </c>
      <c r="H192">
        <f t="shared" si="204"/>
        <v>19.955586499509216</v>
      </c>
      <c r="I192">
        <f t="shared" si="204"/>
        <v>19.960980222483567</v>
      </c>
      <c r="J192">
        <f t="shared" si="204"/>
        <v>19.962284283406078</v>
      </c>
      <c r="K192">
        <f t="shared" si="204"/>
        <v>19.348273894391244</v>
      </c>
      <c r="L192">
        <f t="shared" si="141"/>
        <v>41.660131263309296</v>
      </c>
      <c r="M192">
        <f t="shared" si="142"/>
        <v>-1.4101312633092959</v>
      </c>
      <c r="N192">
        <f t="shared" si="143"/>
        <v>1.988470179762271</v>
      </c>
    </row>
    <row r="193" spans="1:14" x14ac:dyDescent="0.45">
      <c r="A193" s="22">
        <v>42594</v>
      </c>
      <c r="B193">
        <v>41.14</v>
      </c>
      <c r="C193">
        <v>41.14</v>
      </c>
      <c r="G193">
        <f t="shared" ref="G193:K193" si="205">SUMPRODUCT($B193:$B197,P$2:P$6)</f>
        <v>19.725088574934684</v>
      </c>
      <c r="H193">
        <f t="shared" si="205"/>
        <v>19.740398460132297</v>
      </c>
      <c r="I193">
        <f t="shared" si="205"/>
        <v>19.745879043142992</v>
      </c>
      <c r="J193">
        <f t="shared" si="205"/>
        <v>19.747110868471733</v>
      </c>
      <c r="K193">
        <f t="shared" si="205"/>
        <v>19.139689594725272</v>
      </c>
      <c r="L193">
        <f t="shared" si="141"/>
        <v>41.211153786235556</v>
      </c>
      <c r="M193">
        <f t="shared" si="142"/>
        <v>0.39884621376444329</v>
      </c>
      <c r="N193">
        <f t="shared" si="143"/>
        <v>0.159078302234232</v>
      </c>
    </row>
    <row r="194" spans="1:14" x14ac:dyDescent="0.45">
      <c r="A194" s="22">
        <v>42593</v>
      </c>
      <c r="B194">
        <v>41.14</v>
      </c>
      <c r="C194">
        <v>41.31</v>
      </c>
      <c r="G194">
        <f t="shared" ref="G194:K194" si="206">SUMPRODUCT($B194:$B198,P$2:P$6)</f>
        <v>19.726146966834968</v>
      </c>
      <c r="H194">
        <f t="shared" si="206"/>
        <v>19.741090348759748</v>
      </c>
      <c r="I194">
        <f t="shared" si="206"/>
        <v>19.746625503446214</v>
      </c>
      <c r="J194">
        <f t="shared" si="206"/>
        <v>19.747868684331696</v>
      </c>
      <c r="K194">
        <f t="shared" si="206"/>
        <v>19.140441221192653</v>
      </c>
      <c r="L194">
        <f t="shared" si="141"/>
        <v>41.21283704177204</v>
      </c>
      <c r="M194">
        <f t="shared" si="142"/>
        <v>-7.2837041772039868E-2</v>
      </c>
      <c r="N194">
        <f t="shared" si="143"/>
        <v>5.305234654101881E-3</v>
      </c>
    </row>
    <row r="195" spans="1:14" x14ac:dyDescent="0.45">
      <c r="A195" s="22">
        <v>42592</v>
      </c>
      <c r="B195">
        <v>41.14</v>
      </c>
      <c r="C195">
        <v>41.1</v>
      </c>
      <c r="G195">
        <f t="shared" ref="G195:K195" si="207">SUMPRODUCT($B195:$B199,P$2:P$6)</f>
        <v>19.720803100174816</v>
      </c>
      <c r="H195">
        <f t="shared" si="207"/>
        <v>19.736131451976842</v>
      </c>
      <c r="I195">
        <f t="shared" si="207"/>
        <v>19.74156508950329</v>
      </c>
      <c r="J195">
        <f t="shared" si="207"/>
        <v>19.742827156588703</v>
      </c>
      <c r="K195">
        <f t="shared" si="207"/>
        <v>19.135555082516461</v>
      </c>
      <c r="L195">
        <f t="shared" ref="L195:L247" si="208">(G195+$P$7)*$U$2+(H195+$Q$7)*$U$3+(I195+$R$7)*$U$4+(J195+$S$7)*$U$5+(K195+$T$7)*$U$6+$U$7</f>
        <v>41.202211819713796</v>
      </c>
      <c r="M195">
        <f t="shared" ref="M195:M247" si="209">B194-L195</f>
        <v>-6.221181971379508E-2</v>
      </c>
      <c r="N195">
        <f t="shared" ref="N195:N247" si="210">M195^2</f>
        <v>3.8703105121017422E-3</v>
      </c>
    </row>
    <row r="196" spans="1:14" x14ac:dyDescent="0.45">
      <c r="A196" s="22">
        <v>42591</v>
      </c>
      <c r="B196">
        <v>40.520000000000003</v>
      </c>
      <c r="C196">
        <v>41.25</v>
      </c>
      <c r="G196">
        <f t="shared" ref="G196:K196" si="211">SUMPRODUCT($B196:$B200,P$2:P$6)</f>
        <v>19.44847432671121</v>
      </c>
      <c r="H196">
        <f t="shared" si="211"/>
        <v>19.463341237142959</v>
      </c>
      <c r="I196">
        <f t="shared" si="211"/>
        <v>19.468980117945129</v>
      </c>
      <c r="J196">
        <f t="shared" si="211"/>
        <v>19.470060789405203</v>
      </c>
      <c r="K196">
        <f t="shared" si="211"/>
        <v>18.871078375892768</v>
      </c>
      <c r="L196">
        <f t="shared" si="208"/>
        <v>40.632998573746299</v>
      </c>
      <c r="M196">
        <f t="shared" si="209"/>
        <v>0.50700142625370148</v>
      </c>
      <c r="N196">
        <f t="shared" si="210"/>
        <v>0.25705044622328749</v>
      </c>
    </row>
    <row r="197" spans="1:14" x14ac:dyDescent="0.45">
      <c r="A197" s="22">
        <v>42590</v>
      </c>
      <c r="B197">
        <v>40.729999999999997</v>
      </c>
      <c r="C197">
        <v>40.61</v>
      </c>
      <c r="G197">
        <f t="shared" ref="G197:K197" si="212">SUMPRODUCT($B197:$B201,P$2:P$6)</f>
        <v>19.529785342585914</v>
      </c>
      <c r="H197">
        <f t="shared" si="212"/>
        <v>19.544981188319625</v>
      </c>
      <c r="I197">
        <f t="shared" si="212"/>
        <v>19.550415896662134</v>
      </c>
      <c r="J197">
        <f t="shared" si="212"/>
        <v>19.551624230806766</v>
      </c>
      <c r="K197">
        <f t="shared" si="212"/>
        <v>18.950208241709483</v>
      </c>
      <c r="L197">
        <f t="shared" si="208"/>
        <v>40.803171908783249</v>
      </c>
      <c r="M197">
        <f t="shared" si="209"/>
        <v>-0.28317190878324539</v>
      </c>
      <c r="N197">
        <f t="shared" si="210"/>
        <v>8.0186329923946642E-2</v>
      </c>
    </row>
    <row r="198" spans="1:14" x14ac:dyDescent="0.45">
      <c r="A198" s="22">
        <v>42587</v>
      </c>
      <c r="B198">
        <v>42.25</v>
      </c>
      <c r="C198">
        <v>40.56</v>
      </c>
      <c r="G198">
        <f t="shared" ref="G198:K198" si="213">SUMPRODUCT($B198:$B202,P$2:P$6)</f>
        <v>20.212608444934816</v>
      </c>
      <c r="H198">
        <f t="shared" si="213"/>
        <v>20.229359240932027</v>
      </c>
      <c r="I198">
        <f t="shared" si="213"/>
        <v>20.234398991817788</v>
      </c>
      <c r="J198">
        <f t="shared" si="213"/>
        <v>20.235922593495264</v>
      </c>
      <c r="K198">
        <f t="shared" si="213"/>
        <v>19.613610626682497</v>
      </c>
      <c r="L198">
        <f t="shared" si="208"/>
        <v>42.23104423738684</v>
      </c>
      <c r="M198">
        <f t="shared" si="209"/>
        <v>-1.5010442373868429</v>
      </c>
      <c r="N198">
        <f t="shared" si="210"/>
        <v>2.2531338025922487</v>
      </c>
    </row>
    <row r="199" spans="1:14" x14ac:dyDescent="0.45">
      <c r="A199" s="22">
        <v>42586</v>
      </c>
      <c r="B199">
        <v>40.94</v>
      </c>
      <c r="C199">
        <v>40.83</v>
      </c>
      <c r="G199">
        <f t="shared" ref="G199:K199" si="214">SUMPRODUCT($B199:$B203,P$2:P$6)</f>
        <v>19.6158541963602</v>
      </c>
      <c r="H199">
        <f t="shared" si="214"/>
        <v>19.631351082061844</v>
      </c>
      <c r="I199">
        <f t="shared" si="214"/>
        <v>19.636634647612464</v>
      </c>
      <c r="J199">
        <f t="shared" si="214"/>
        <v>19.637940377245918</v>
      </c>
      <c r="K199">
        <f t="shared" si="214"/>
        <v>19.03392290743151</v>
      </c>
      <c r="L199">
        <f t="shared" si="208"/>
        <v>40.983263396799551</v>
      </c>
      <c r="M199">
        <f t="shared" si="209"/>
        <v>1.2667366032004495</v>
      </c>
      <c r="N199">
        <f t="shared" si="210"/>
        <v>1.6046216218878129</v>
      </c>
    </row>
    <row r="200" spans="1:14" x14ac:dyDescent="0.45">
      <c r="A200" s="22">
        <v>42585</v>
      </c>
      <c r="B200">
        <v>39.64</v>
      </c>
      <c r="C200">
        <v>40.380000000000003</v>
      </c>
      <c r="G200">
        <f t="shared" ref="G200:K200" si="215">SUMPRODUCT($B200:$B204,P$2:P$6)</f>
        <v>19.022694529826683</v>
      </c>
      <c r="H200">
        <f t="shared" si="215"/>
        <v>19.036943702788314</v>
      </c>
      <c r="I200">
        <f t="shared" si="215"/>
        <v>19.042459576779883</v>
      </c>
      <c r="J200">
        <f t="shared" si="215"/>
        <v>19.043555669197659</v>
      </c>
      <c r="K200">
        <f t="shared" si="215"/>
        <v>18.457727717978795</v>
      </c>
      <c r="L200">
        <f t="shared" si="208"/>
        <v>39.742991654931771</v>
      </c>
      <c r="M200">
        <f t="shared" si="209"/>
        <v>1.1970083450682267</v>
      </c>
      <c r="N200">
        <f t="shared" si="210"/>
        <v>1.4328289781629751</v>
      </c>
    </row>
    <row r="201" spans="1:14" x14ac:dyDescent="0.45">
      <c r="A201" s="22">
        <v>42584</v>
      </c>
      <c r="B201">
        <v>40.07</v>
      </c>
      <c r="C201">
        <v>39.75</v>
      </c>
      <c r="G201">
        <f t="shared" ref="G201:K201" si="216">SUMPRODUCT($B201:$B205,P$2:P$6)</f>
        <v>19.226800912364709</v>
      </c>
      <c r="H201">
        <f t="shared" si="216"/>
        <v>19.241057056148893</v>
      </c>
      <c r="I201">
        <f t="shared" si="216"/>
        <v>19.246626846833777</v>
      </c>
      <c r="J201">
        <f t="shared" si="216"/>
        <v>19.247757649158814</v>
      </c>
      <c r="K201">
        <f t="shared" si="216"/>
        <v>18.65566752024764</v>
      </c>
      <c r="L201">
        <f t="shared" si="208"/>
        <v>40.169196333965473</v>
      </c>
      <c r="M201">
        <f t="shared" si="209"/>
        <v>-0.52919633396547283</v>
      </c>
      <c r="N201">
        <f t="shared" si="210"/>
        <v>0.28004875988249628</v>
      </c>
    </row>
    <row r="202" spans="1:14" x14ac:dyDescent="0.45">
      <c r="A202" s="22">
        <v>42583</v>
      </c>
      <c r="B202">
        <v>40.39</v>
      </c>
      <c r="C202">
        <v>40.07</v>
      </c>
      <c r="G202">
        <f t="shared" ref="G202:K202" si="217">SUMPRODUCT($B202:$B206,P$2:P$6)</f>
        <v>19.379250900024076</v>
      </c>
      <c r="H202">
        <f t="shared" si="217"/>
        <v>19.393511707981897</v>
      </c>
      <c r="I202">
        <f t="shared" si="217"/>
        <v>19.399127502924216</v>
      </c>
      <c r="J202">
        <f t="shared" si="217"/>
        <v>19.400281188116164</v>
      </c>
      <c r="K202">
        <f t="shared" si="217"/>
        <v>18.803510215299216</v>
      </c>
      <c r="L202">
        <f t="shared" si="208"/>
        <v>40.487537037062282</v>
      </c>
      <c r="M202">
        <f t="shared" si="209"/>
        <v>-0.41753703706228151</v>
      </c>
      <c r="N202">
        <f t="shared" si="210"/>
        <v>0.17433717731874904</v>
      </c>
    </row>
    <row r="203" spans="1:14" x14ac:dyDescent="0.45">
      <c r="A203" s="22">
        <v>42580</v>
      </c>
      <c r="B203">
        <v>40.299999999999997</v>
      </c>
      <c r="C203">
        <v>40.159999999999997</v>
      </c>
      <c r="G203">
        <f t="shared" ref="G203:K203" si="218">SUMPRODUCT($B203:$B207,P$2:P$6)</f>
        <v>19.351935194765769</v>
      </c>
      <c r="H203">
        <f t="shared" si="218"/>
        <v>19.365996491190476</v>
      </c>
      <c r="I203">
        <f t="shared" si="218"/>
        <v>19.371785397207319</v>
      </c>
      <c r="J203">
        <f t="shared" si="218"/>
        <v>19.372835017993811</v>
      </c>
      <c r="K203">
        <f t="shared" si="218"/>
        <v>18.776844563272654</v>
      </c>
      <c r="L203">
        <f t="shared" si="208"/>
        <v>40.430284626656771</v>
      </c>
      <c r="M203">
        <f t="shared" si="209"/>
        <v>-4.0284626656770683E-2</v>
      </c>
      <c r="N203">
        <f t="shared" si="210"/>
        <v>1.622851144875399E-3</v>
      </c>
    </row>
    <row r="204" spans="1:14" x14ac:dyDescent="0.45">
      <c r="A204" s="22">
        <v>42579</v>
      </c>
      <c r="B204">
        <v>40.29</v>
      </c>
      <c r="C204">
        <v>40.270000000000003</v>
      </c>
      <c r="G204">
        <f t="shared" ref="G204:K204" si="219">SUMPRODUCT($B204:$B208,P$2:P$6)</f>
        <v>19.355538815289343</v>
      </c>
      <c r="H204">
        <f t="shared" si="219"/>
        <v>19.369603619215692</v>
      </c>
      <c r="I204">
        <f t="shared" si="219"/>
        <v>19.3754780367724</v>
      </c>
      <c r="J204">
        <f t="shared" si="219"/>
        <v>19.376468070040669</v>
      </c>
      <c r="K204">
        <f t="shared" si="219"/>
        <v>18.780326974264895</v>
      </c>
      <c r="L204">
        <f t="shared" si="208"/>
        <v>40.437854852493992</v>
      </c>
      <c r="M204">
        <f t="shared" si="209"/>
        <v>-0.13785485249399443</v>
      </c>
      <c r="N204">
        <f t="shared" si="210"/>
        <v>1.9003960356140961E-2</v>
      </c>
    </row>
    <row r="205" spans="1:14" x14ac:dyDescent="0.45">
      <c r="A205" s="22">
        <v>42578</v>
      </c>
      <c r="B205">
        <v>41.52</v>
      </c>
      <c r="C205">
        <v>40.89</v>
      </c>
      <c r="G205">
        <f t="shared" ref="G205:K205" si="220">SUMPRODUCT($B205:$B209,P$2:P$6)</f>
        <v>19.915200975131146</v>
      </c>
      <c r="H205">
        <f t="shared" si="220"/>
        <v>19.930458890629023</v>
      </c>
      <c r="I205">
        <f t="shared" si="220"/>
        <v>19.936095733048653</v>
      </c>
      <c r="J205">
        <f t="shared" si="220"/>
        <v>19.937293835325441</v>
      </c>
      <c r="K205">
        <f t="shared" si="220"/>
        <v>19.323997364766662</v>
      </c>
      <c r="L205">
        <f t="shared" si="208"/>
        <v>41.6080996423645</v>
      </c>
      <c r="M205">
        <f t="shared" si="209"/>
        <v>-1.3180996423645013</v>
      </c>
      <c r="N205">
        <f t="shared" si="210"/>
        <v>1.7373866672014262</v>
      </c>
    </row>
    <row r="206" spans="1:14" x14ac:dyDescent="0.45">
      <c r="A206" s="22">
        <v>42577</v>
      </c>
      <c r="B206">
        <v>42.4</v>
      </c>
      <c r="C206">
        <v>41.56</v>
      </c>
      <c r="G206">
        <f t="shared" ref="G206:K206" si="221">SUMPRODUCT($B206:$B210,P$2:P$6)</f>
        <v>20.312999751693418</v>
      </c>
      <c r="H206">
        <f t="shared" si="221"/>
        <v>20.329099718679906</v>
      </c>
      <c r="I206">
        <f t="shared" si="221"/>
        <v>20.334540710204912</v>
      </c>
      <c r="J206">
        <f t="shared" si="221"/>
        <v>20.335906840461142</v>
      </c>
      <c r="K206">
        <f t="shared" si="221"/>
        <v>19.710429841640902</v>
      </c>
      <c r="L206">
        <f t="shared" si="208"/>
        <v>42.439868879977375</v>
      </c>
      <c r="M206">
        <f t="shared" si="209"/>
        <v>-0.91986887997737199</v>
      </c>
      <c r="N206">
        <f t="shared" si="210"/>
        <v>0.84615875635082483</v>
      </c>
    </row>
    <row r="207" spans="1:14" x14ac:dyDescent="0.45">
      <c r="A207" s="22">
        <v>42576</v>
      </c>
      <c r="B207">
        <v>41.96</v>
      </c>
      <c r="C207">
        <v>42.4</v>
      </c>
      <c r="G207">
        <f t="shared" ref="G207:K207" si="222">SUMPRODUCT($B207:$B211,P$2:P$6)</f>
        <v>20.11360541910754</v>
      </c>
      <c r="H207">
        <f t="shared" si="222"/>
        <v>20.129187343837287</v>
      </c>
      <c r="I207">
        <f t="shared" si="222"/>
        <v>20.134732616697569</v>
      </c>
      <c r="J207">
        <f t="shared" si="222"/>
        <v>20.136023329238053</v>
      </c>
      <c r="K207">
        <f t="shared" si="222"/>
        <v>19.516662280989049</v>
      </c>
      <c r="L207">
        <f t="shared" si="208"/>
        <v>42.022807646954504</v>
      </c>
      <c r="M207">
        <f t="shared" si="209"/>
        <v>0.37719235304549414</v>
      </c>
      <c r="N207">
        <f t="shared" si="210"/>
        <v>0.14227407119599669</v>
      </c>
    </row>
    <row r="208" spans="1:14" x14ac:dyDescent="0.45">
      <c r="A208" s="22">
        <v>42573</v>
      </c>
      <c r="B208">
        <v>41.35</v>
      </c>
      <c r="C208">
        <v>41.44</v>
      </c>
      <c r="G208">
        <f t="shared" ref="G208:K208" si="223">SUMPRODUCT($B208:$B212,P$2:P$6)</f>
        <v>19.839451432308135</v>
      </c>
      <c r="H208">
        <f t="shared" si="223"/>
        <v>19.854289643992562</v>
      </c>
      <c r="I208">
        <f t="shared" si="223"/>
        <v>19.860006315010672</v>
      </c>
      <c r="J208">
        <f t="shared" si="223"/>
        <v>19.861177820176191</v>
      </c>
      <c r="K208">
        <f t="shared" si="223"/>
        <v>19.2502170716376</v>
      </c>
      <c r="L208">
        <f t="shared" si="208"/>
        <v>41.449342040762183</v>
      </c>
      <c r="M208">
        <f t="shared" si="209"/>
        <v>0.5106579592378182</v>
      </c>
      <c r="N208">
        <f t="shared" si="210"/>
        <v>0.26077155133293317</v>
      </c>
    </row>
    <row r="209" spans="1:14" x14ac:dyDescent="0.45">
      <c r="A209" s="22">
        <v>42572</v>
      </c>
      <c r="B209">
        <v>41.41</v>
      </c>
      <c r="C209">
        <v>41.27</v>
      </c>
      <c r="G209">
        <f t="shared" ref="G209:K209" si="224">SUMPRODUCT($B209:$B213,P$2:P$6)</f>
        <v>19.868640667422053</v>
      </c>
      <c r="H209">
        <f t="shared" si="224"/>
        <v>19.883609624180458</v>
      </c>
      <c r="I209">
        <f t="shared" si="224"/>
        <v>19.889325815635043</v>
      </c>
      <c r="J209">
        <f t="shared" si="224"/>
        <v>19.890490928601732</v>
      </c>
      <c r="K209">
        <f t="shared" si="224"/>
        <v>19.278619767729676</v>
      </c>
      <c r="L209">
        <f t="shared" si="208"/>
        <v>41.510485431478223</v>
      </c>
      <c r="M209">
        <f t="shared" si="209"/>
        <v>-0.16048543147822159</v>
      </c>
      <c r="N209">
        <f t="shared" si="210"/>
        <v>2.5755573716750954E-2</v>
      </c>
    </row>
    <row r="210" spans="1:14" x14ac:dyDescent="0.45">
      <c r="A210" s="22">
        <v>42571</v>
      </c>
      <c r="B210">
        <v>41.68</v>
      </c>
      <c r="C210">
        <v>41.38</v>
      </c>
      <c r="G210">
        <f t="shared" ref="G210:K210" si="225">SUMPRODUCT($B210:$B214,P$2:P$6)</f>
        <v>20.000703735851335</v>
      </c>
      <c r="H210">
        <f t="shared" si="225"/>
        <v>20.015701963400176</v>
      </c>
      <c r="I210">
        <f t="shared" si="225"/>
        <v>20.021489817890366</v>
      </c>
      <c r="J210">
        <f t="shared" si="225"/>
        <v>20.022647907060726</v>
      </c>
      <c r="K210">
        <f t="shared" si="225"/>
        <v>19.406704366427569</v>
      </c>
      <c r="L210">
        <f t="shared" si="208"/>
        <v>41.786307651424394</v>
      </c>
      <c r="M210">
        <f t="shared" si="209"/>
        <v>-0.3763076514243977</v>
      </c>
      <c r="N210">
        <f t="shared" si="210"/>
        <v>0.14160744852054602</v>
      </c>
    </row>
    <row r="211" spans="1:14" x14ac:dyDescent="0.45">
      <c r="A211" s="22">
        <v>42570</v>
      </c>
      <c r="B211">
        <v>42</v>
      </c>
      <c r="C211">
        <v>41.52</v>
      </c>
      <c r="G211">
        <f t="shared" ref="G211:K211" si="226">SUMPRODUCT($B211:$B215,P$2:P$6)</f>
        <v>20.144457093063128</v>
      </c>
      <c r="H211">
        <f t="shared" si="226"/>
        <v>20.159699124765428</v>
      </c>
      <c r="I211">
        <f t="shared" si="226"/>
        <v>20.165413758690804</v>
      </c>
      <c r="J211">
        <f t="shared" si="226"/>
        <v>20.166642675624605</v>
      </c>
      <c r="K211">
        <f t="shared" si="226"/>
        <v>19.546306898645241</v>
      </c>
      <c r="L211">
        <f t="shared" si="208"/>
        <v>42.086793517936968</v>
      </c>
      <c r="M211">
        <f t="shared" si="209"/>
        <v>-0.40679351793696839</v>
      </c>
      <c r="N211">
        <f t="shared" si="210"/>
        <v>0.16548096623553463</v>
      </c>
    </row>
    <row r="212" spans="1:14" x14ac:dyDescent="0.45">
      <c r="A212" s="22">
        <v>42569</v>
      </c>
      <c r="B212">
        <v>42.4</v>
      </c>
      <c r="C212">
        <v>42.14</v>
      </c>
      <c r="G212">
        <f t="shared" ref="G212:K212" si="227">SUMPRODUCT($B212:$B216,P$2:P$6)</f>
        <v>20.331376763700224</v>
      </c>
      <c r="H212">
        <f t="shared" si="227"/>
        <v>20.347022214938512</v>
      </c>
      <c r="I212">
        <f t="shared" si="227"/>
        <v>20.352709102124184</v>
      </c>
      <c r="J212">
        <f t="shared" si="227"/>
        <v>20.353971064672482</v>
      </c>
      <c r="K212">
        <f t="shared" si="227"/>
        <v>19.727880105175039</v>
      </c>
      <c r="L212">
        <f t="shared" si="208"/>
        <v>42.477671898297032</v>
      </c>
      <c r="M212">
        <f t="shared" si="209"/>
        <v>-0.47767189829703227</v>
      </c>
      <c r="N212">
        <f t="shared" si="210"/>
        <v>0.22817044242269033</v>
      </c>
    </row>
    <row r="213" spans="1:14" x14ac:dyDescent="0.45">
      <c r="A213" s="22">
        <v>42566</v>
      </c>
      <c r="B213">
        <v>41.96</v>
      </c>
      <c r="C213">
        <v>42.2</v>
      </c>
      <c r="G213">
        <f t="shared" ref="G213:K213" si="228">SUMPRODUCT($B213:$B217,P$2:P$6)</f>
        <v>20.128950208814597</v>
      </c>
      <c r="H213">
        <f t="shared" si="228"/>
        <v>20.144421872783905</v>
      </c>
      <c r="I213">
        <f t="shared" si="228"/>
        <v>20.150140490276247</v>
      </c>
      <c r="J213">
        <f t="shared" si="228"/>
        <v>20.151330254957234</v>
      </c>
      <c r="K213">
        <f t="shared" si="228"/>
        <v>19.53143370191723</v>
      </c>
      <c r="L213">
        <f t="shared" si="208"/>
        <v>42.054763822975694</v>
      </c>
      <c r="M213">
        <f t="shared" si="209"/>
        <v>0.34523617702430442</v>
      </c>
      <c r="N213">
        <f t="shared" si="210"/>
        <v>0.11918801792635686</v>
      </c>
    </row>
    <row r="214" spans="1:14" x14ac:dyDescent="0.45">
      <c r="A214" s="22">
        <v>42565</v>
      </c>
      <c r="B214">
        <v>42.36</v>
      </c>
      <c r="C214">
        <v>41.85</v>
      </c>
      <c r="G214">
        <f t="shared" ref="G214:K214" si="229">SUMPRODUCT($B214:$B218,P$2:P$6)</f>
        <v>20.302579109055415</v>
      </c>
      <c r="H214">
        <f t="shared" si="229"/>
        <v>20.318758008856356</v>
      </c>
      <c r="I214">
        <f t="shared" si="229"/>
        <v>20.324273992098252</v>
      </c>
      <c r="J214">
        <f t="shared" si="229"/>
        <v>20.325573104510241</v>
      </c>
      <c r="K214">
        <f t="shared" si="229"/>
        <v>19.700367836145855</v>
      </c>
      <c r="L214">
        <f t="shared" si="208"/>
        <v>42.418265719320637</v>
      </c>
      <c r="M214">
        <f t="shared" si="209"/>
        <v>-0.45826571932063587</v>
      </c>
      <c r="N214">
        <f t="shared" si="210"/>
        <v>0.21000746950445981</v>
      </c>
    </row>
    <row r="215" spans="1:14" x14ac:dyDescent="0.45">
      <c r="A215" s="22">
        <v>42564</v>
      </c>
      <c r="B215">
        <v>42.79</v>
      </c>
      <c r="C215">
        <v>42.11</v>
      </c>
      <c r="G215">
        <f t="shared" ref="G215:K215" si="230">SUMPRODUCT($B215:$B219,P$2:P$6)</f>
        <v>20.486197551740837</v>
      </c>
      <c r="H215">
        <f t="shared" si="230"/>
        <v>20.503013639481637</v>
      </c>
      <c r="I215">
        <f t="shared" si="230"/>
        <v>20.508294739642054</v>
      </c>
      <c r="J215">
        <f t="shared" si="230"/>
        <v>20.50973898501481</v>
      </c>
      <c r="K215">
        <f t="shared" si="230"/>
        <v>19.878944857903907</v>
      </c>
      <c r="L215">
        <f t="shared" si="208"/>
        <v>42.80250451973378</v>
      </c>
      <c r="M215">
        <f t="shared" si="209"/>
        <v>-0.44250451973378091</v>
      </c>
      <c r="N215">
        <f t="shared" si="210"/>
        <v>0.1958102499848241</v>
      </c>
    </row>
    <row r="216" spans="1:14" x14ac:dyDescent="0.45">
      <c r="A216" s="22">
        <v>42563</v>
      </c>
      <c r="B216">
        <v>42.41</v>
      </c>
      <c r="C216">
        <v>42.66</v>
      </c>
      <c r="G216">
        <f t="shared" ref="G216:K216" si="231">SUMPRODUCT($B216:$B220,P$2:P$6)</f>
        <v>20.295982261340693</v>
      </c>
      <c r="H216">
        <f t="shared" si="231"/>
        <v>20.312865723825769</v>
      </c>
      <c r="I216">
        <f t="shared" si="231"/>
        <v>20.317987658979476</v>
      </c>
      <c r="J216">
        <f t="shared" si="231"/>
        <v>20.319466086029109</v>
      </c>
      <c r="K216">
        <f t="shared" si="231"/>
        <v>19.69454896088256</v>
      </c>
      <c r="L216">
        <f t="shared" si="208"/>
        <v>42.405365898192471</v>
      </c>
      <c r="M216">
        <f t="shared" si="209"/>
        <v>0.38463410180752788</v>
      </c>
      <c r="N216">
        <f t="shared" si="210"/>
        <v>0.14794339227328374</v>
      </c>
    </row>
    <row r="217" spans="1:14" x14ac:dyDescent="0.45">
      <c r="A217" s="22">
        <v>42562</v>
      </c>
      <c r="B217">
        <v>41.44</v>
      </c>
      <c r="C217">
        <v>42.2</v>
      </c>
      <c r="G217">
        <f t="shared" ref="G217:K217" si="232">SUMPRODUCT($B217:$B221,P$2:P$6)</f>
        <v>19.846156102173378</v>
      </c>
      <c r="H217">
        <f t="shared" si="232"/>
        <v>19.862307225320396</v>
      </c>
      <c r="I217">
        <f t="shared" si="232"/>
        <v>19.867503328110981</v>
      </c>
      <c r="J217">
        <f t="shared" si="232"/>
        <v>19.868865271583719</v>
      </c>
      <c r="K217">
        <f t="shared" si="232"/>
        <v>19.257760543404572</v>
      </c>
      <c r="L217">
        <f t="shared" si="208"/>
        <v>41.465072108146515</v>
      </c>
      <c r="M217">
        <f t="shared" si="209"/>
        <v>0.94492789185348158</v>
      </c>
      <c r="N217">
        <f t="shared" si="210"/>
        <v>0.89288872080266501</v>
      </c>
    </row>
    <row r="218" spans="1:14" x14ac:dyDescent="0.45">
      <c r="A218" s="22">
        <v>42559</v>
      </c>
      <c r="B218">
        <v>40.64</v>
      </c>
      <c r="C218">
        <v>41.29</v>
      </c>
      <c r="G218">
        <f t="shared" ref="G218:K218" si="233">SUMPRODUCT($B218:$B222,P$2:P$6)</f>
        <v>19.470189809278146</v>
      </c>
      <c r="H218">
        <f t="shared" si="233"/>
        <v>19.485675519265246</v>
      </c>
      <c r="I218">
        <f t="shared" si="233"/>
        <v>19.490888115836611</v>
      </c>
      <c r="J218">
        <f t="shared" si="233"/>
        <v>19.49219199314663</v>
      </c>
      <c r="K218">
        <f t="shared" si="233"/>
        <v>18.892660585647644</v>
      </c>
      <c r="L218">
        <f t="shared" si="208"/>
        <v>40.679069168048947</v>
      </c>
      <c r="M218">
        <f t="shared" si="209"/>
        <v>0.76093083195105038</v>
      </c>
      <c r="N218">
        <f t="shared" si="210"/>
        <v>0.57901573101371773</v>
      </c>
    </row>
    <row r="219" spans="1:14" x14ac:dyDescent="0.45">
      <c r="A219" s="22">
        <v>42558</v>
      </c>
      <c r="B219">
        <v>40.520000000000003</v>
      </c>
      <c r="C219">
        <v>40.39</v>
      </c>
      <c r="G219">
        <f t="shared" ref="G219:K219" si="234">SUMPRODUCT($B219:$B223,P$2:P$6)</f>
        <v>19.400692977478197</v>
      </c>
      <c r="H219">
        <f t="shared" si="234"/>
        <v>19.416629322299162</v>
      </c>
      <c r="I219">
        <f t="shared" si="234"/>
        <v>19.421642204149016</v>
      </c>
      <c r="J219">
        <f t="shared" si="234"/>
        <v>19.423001137628383</v>
      </c>
      <c r="K219">
        <f t="shared" si="234"/>
        <v>18.82562300936015</v>
      </c>
      <c r="L219">
        <f t="shared" si="208"/>
        <v>40.534546115402946</v>
      </c>
      <c r="M219">
        <f t="shared" si="209"/>
        <v>0.10545388459705407</v>
      </c>
      <c r="N219">
        <f t="shared" si="210"/>
        <v>1.1120521776608798E-2</v>
      </c>
    </row>
    <row r="220" spans="1:14" x14ac:dyDescent="0.45">
      <c r="A220" s="22">
        <v>42557</v>
      </c>
      <c r="B220">
        <v>39.78</v>
      </c>
      <c r="C220">
        <v>40.51</v>
      </c>
      <c r="G220">
        <f t="shared" ref="G220:K220" si="235">SUMPRODUCT($B220:$B224,P$2:P$6)</f>
        <v>19.061924228921178</v>
      </c>
      <c r="H220">
        <f t="shared" si="235"/>
        <v>19.077263289250244</v>
      </c>
      <c r="I220">
        <f t="shared" si="235"/>
        <v>19.082383261428461</v>
      </c>
      <c r="J220">
        <f t="shared" si="235"/>
        <v>19.083623942698843</v>
      </c>
      <c r="K220">
        <f t="shared" si="235"/>
        <v>18.496631049483423</v>
      </c>
      <c r="L220">
        <f t="shared" si="208"/>
        <v>39.826356276729911</v>
      </c>
      <c r="M220">
        <f t="shared" si="209"/>
        <v>0.69364372327009249</v>
      </c>
      <c r="N220">
        <f t="shared" si="210"/>
        <v>0.48114161483199663</v>
      </c>
    </row>
    <row r="221" spans="1:14" x14ac:dyDescent="0.45">
      <c r="A221" s="22">
        <v>42556</v>
      </c>
      <c r="B221">
        <v>39.4</v>
      </c>
      <c r="C221">
        <v>40.15</v>
      </c>
      <c r="G221">
        <f t="shared" ref="G221:K221" si="236">SUMPRODUCT($B221:$B225,P$2:P$6)</f>
        <v>18.860120511876431</v>
      </c>
      <c r="H221">
        <f t="shared" si="236"/>
        <v>18.875801908489485</v>
      </c>
      <c r="I221">
        <f t="shared" si="236"/>
        <v>18.880609030885388</v>
      </c>
      <c r="J221">
        <f t="shared" si="236"/>
        <v>18.881950589162081</v>
      </c>
      <c r="K221">
        <f t="shared" si="236"/>
        <v>18.301222438852491</v>
      </c>
      <c r="L221">
        <f t="shared" si="208"/>
        <v>39.405362562642296</v>
      </c>
      <c r="M221">
        <f t="shared" si="209"/>
        <v>0.37463743735770549</v>
      </c>
      <c r="N221">
        <f t="shared" si="210"/>
        <v>0.1403532094699487</v>
      </c>
    </row>
    <row r="222" spans="1:14" x14ac:dyDescent="0.45">
      <c r="A222" s="22">
        <v>42552</v>
      </c>
      <c r="B222">
        <v>39.69</v>
      </c>
      <c r="C222">
        <v>39.61</v>
      </c>
      <c r="G222">
        <f t="shared" ref="G222:K222" si="237">SUMPRODUCT($B222:$B226,P$2:P$6)</f>
        <v>18.987287184836248</v>
      </c>
      <c r="H222">
        <f t="shared" si="237"/>
        <v>19.003341637675536</v>
      </c>
      <c r="I222">
        <f t="shared" si="237"/>
        <v>19.008031876232224</v>
      </c>
      <c r="J222">
        <f t="shared" si="237"/>
        <v>19.009450499152436</v>
      </c>
      <c r="K222">
        <f t="shared" si="237"/>
        <v>18.424840255811986</v>
      </c>
      <c r="L222">
        <f t="shared" si="208"/>
        <v>39.671389516139101</v>
      </c>
      <c r="M222">
        <f t="shared" si="209"/>
        <v>-0.27138951613910223</v>
      </c>
      <c r="N222">
        <f t="shared" si="210"/>
        <v>7.3652269470216025E-2</v>
      </c>
    </row>
    <row r="223" spans="1:14" x14ac:dyDescent="0.45">
      <c r="A223" s="22">
        <v>42551</v>
      </c>
      <c r="B223">
        <v>38.229999999999997</v>
      </c>
      <c r="C223">
        <v>39.630000000000003</v>
      </c>
      <c r="G223">
        <f t="shared" ref="G223:K223" si="238">SUMPRODUCT($B223:$B227,P$2:P$6)</f>
        <v>18.30621269123036</v>
      </c>
      <c r="H223">
        <f t="shared" si="238"/>
        <v>18.3208884768963</v>
      </c>
      <c r="I223">
        <f t="shared" si="238"/>
        <v>18.325681212921179</v>
      </c>
      <c r="J223">
        <f t="shared" si="238"/>
        <v>18.326967327218856</v>
      </c>
      <c r="K223">
        <f t="shared" si="238"/>
        <v>17.763312382783095</v>
      </c>
      <c r="L223">
        <f t="shared" si="208"/>
        <v>38.247294607449959</v>
      </c>
      <c r="M223">
        <f t="shared" si="209"/>
        <v>1.4427053925500388</v>
      </c>
      <c r="N223">
        <f t="shared" si="210"/>
        <v>2.0813988496929614</v>
      </c>
    </row>
    <row r="224" spans="1:14" x14ac:dyDescent="0.45">
      <c r="A224" s="22">
        <v>42550</v>
      </c>
      <c r="B224">
        <v>37.81</v>
      </c>
      <c r="C224">
        <v>38.020000000000003</v>
      </c>
      <c r="G224">
        <f t="shared" ref="G224:K224" si="239">SUMPRODUCT($B224:$B228,P$2:P$6)</f>
        <v>18.119637008805071</v>
      </c>
      <c r="H224">
        <f t="shared" si="239"/>
        <v>18.133563024509606</v>
      </c>
      <c r="I224">
        <f t="shared" si="239"/>
        <v>18.13852483605617</v>
      </c>
      <c r="J224">
        <f t="shared" si="239"/>
        <v>18.13972617642213</v>
      </c>
      <c r="K224">
        <f t="shared" si="239"/>
        <v>17.581797427112438</v>
      </c>
      <c r="L224">
        <f t="shared" si="208"/>
        <v>37.856680004166861</v>
      </c>
      <c r="M224">
        <f t="shared" si="209"/>
        <v>0.37331999583313547</v>
      </c>
      <c r="N224">
        <f t="shared" si="210"/>
        <v>0.13936781928885228</v>
      </c>
    </row>
    <row r="225" spans="1:14" x14ac:dyDescent="0.45">
      <c r="A225" s="22">
        <v>42549</v>
      </c>
      <c r="B225">
        <v>36.659999999999997</v>
      </c>
      <c r="C225">
        <v>37.18</v>
      </c>
      <c r="G225">
        <f t="shared" ref="G225:K225" si="240">SUMPRODUCT($B225:$B229,P$2:P$6)</f>
        <v>17.603905218317664</v>
      </c>
      <c r="H225">
        <f t="shared" si="240"/>
        <v>17.616566991845065</v>
      </c>
      <c r="I225">
        <f t="shared" si="240"/>
        <v>17.621847219587259</v>
      </c>
      <c r="J225">
        <f t="shared" si="240"/>
        <v>17.622809458056906</v>
      </c>
      <c r="K225">
        <f t="shared" si="240"/>
        <v>17.08066548563588</v>
      </c>
      <c r="L225">
        <f t="shared" si="208"/>
        <v>36.778092081348774</v>
      </c>
      <c r="M225">
        <f t="shared" si="209"/>
        <v>1.0319079186512283</v>
      </c>
      <c r="N225">
        <f t="shared" si="210"/>
        <v>1.06483395257511</v>
      </c>
    </row>
    <row r="226" spans="1:14" x14ac:dyDescent="0.45">
      <c r="A226" s="22">
        <v>42548</v>
      </c>
      <c r="B226">
        <v>36.6</v>
      </c>
      <c r="C226">
        <v>36.15</v>
      </c>
      <c r="G226">
        <f t="shared" ref="G226:K226" si="241">SUMPRODUCT($B226:$B230,P$2:P$6)</f>
        <v>17.592242186104578</v>
      </c>
      <c r="H226">
        <f t="shared" si="241"/>
        <v>17.604599012047963</v>
      </c>
      <c r="I226">
        <f t="shared" si="241"/>
        <v>17.610083437656314</v>
      </c>
      <c r="J226">
        <f t="shared" si="241"/>
        <v>17.610938957078492</v>
      </c>
      <c r="K226">
        <f t="shared" si="241"/>
        <v>17.06909817468518</v>
      </c>
      <c r="L226">
        <f t="shared" si="208"/>
        <v>36.753377581545152</v>
      </c>
      <c r="M226">
        <f t="shared" si="209"/>
        <v>-9.3377581545155408E-2</v>
      </c>
      <c r="N226">
        <f t="shared" si="210"/>
        <v>8.7193727352221483E-3</v>
      </c>
    </row>
    <row r="227" spans="1:14" x14ac:dyDescent="0.45">
      <c r="A227" s="22">
        <v>42545</v>
      </c>
      <c r="B227">
        <v>37.5</v>
      </c>
      <c r="C227">
        <v>36.979999999999997</v>
      </c>
      <c r="G227">
        <f t="shared" ref="G227:K227" si="242">SUMPRODUCT($B227:$B231,P$2:P$6)</f>
        <v>18.005776719717627</v>
      </c>
      <c r="H227">
        <f t="shared" si="242"/>
        <v>18.018997645891087</v>
      </c>
      <c r="I227">
        <f t="shared" si="242"/>
        <v>18.024351333661333</v>
      </c>
      <c r="J227">
        <f t="shared" si="242"/>
        <v>18.025331794660339</v>
      </c>
      <c r="K227">
        <f t="shared" si="242"/>
        <v>17.470795895692099</v>
      </c>
      <c r="L227">
        <f t="shared" si="208"/>
        <v>37.618066951810746</v>
      </c>
      <c r="M227">
        <f t="shared" si="209"/>
        <v>-1.018066951810745</v>
      </c>
      <c r="N227">
        <f t="shared" si="210"/>
        <v>1.0364603183692218</v>
      </c>
    </row>
    <row r="228" spans="1:14" x14ac:dyDescent="0.45">
      <c r="A228" s="22">
        <v>42544</v>
      </c>
      <c r="B228">
        <v>38.659999999999997</v>
      </c>
      <c r="C228">
        <v>38.92</v>
      </c>
      <c r="G228">
        <f t="shared" ref="G228:K228" si="243">SUMPRODUCT($B228:$B232,P$2:P$6)</f>
        <v>18.541986555608535</v>
      </c>
      <c r="H228">
        <f t="shared" si="243"/>
        <v>18.556106638889041</v>
      </c>
      <c r="I228">
        <f t="shared" si="243"/>
        <v>18.561350829713362</v>
      </c>
      <c r="J228">
        <f t="shared" si="243"/>
        <v>18.562480664388332</v>
      </c>
      <c r="K228">
        <f t="shared" si="243"/>
        <v>17.991486888923152</v>
      </c>
      <c r="L228">
        <f t="shared" si="208"/>
        <v>38.738961888901102</v>
      </c>
      <c r="M228">
        <f t="shared" si="209"/>
        <v>-1.2389618889011018</v>
      </c>
      <c r="N228">
        <f t="shared" si="210"/>
        <v>1.5350265621493862</v>
      </c>
    </row>
    <row r="229" spans="1:14" x14ac:dyDescent="0.45">
      <c r="A229" s="22">
        <v>42543</v>
      </c>
      <c r="B229">
        <v>38.74</v>
      </c>
      <c r="C229">
        <v>38.32</v>
      </c>
      <c r="G229">
        <f t="shared" ref="G229:K229" si="244">SUMPRODUCT($B229:$B233,P$2:P$6)</f>
        <v>18.571267529957936</v>
      </c>
      <c r="H229">
        <f t="shared" si="244"/>
        <v>18.585756691639084</v>
      </c>
      <c r="I229">
        <f t="shared" si="244"/>
        <v>18.590876462758825</v>
      </c>
      <c r="J229">
        <f t="shared" si="244"/>
        <v>18.592055105387427</v>
      </c>
      <c r="K229">
        <f t="shared" si="244"/>
        <v>18.020172713157976</v>
      </c>
      <c r="L229">
        <f t="shared" si="208"/>
        <v>38.800597133624713</v>
      </c>
      <c r="M229">
        <f t="shared" si="209"/>
        <v>-0.14059713362471626</v>
      </c>
      <c r="N229">
        <f t="shared" si="210"/>
        <v>1.976755398348632E-2</v>
      </c>
    </row>
    <row r="230" spans="1:14" x14ac:dyDescent="0.45">
      <c r="A230" s="22">
        <v>42542</v>
      </c>
      <c r="B230">
        <v>38.75</v>
      </c>
      <c r="C230">
        <v>38.659999999999997</v>
      </c>
      <c r="G230">
        <f t="shared" ref="G230:K230" si="245">SUMPRODUCT($B230:$B234,P$2:P$6)</f>
        <v>18.583601930215142</v>
      </c>
      <c r="H230">
        <f t="shared" si="245"/>
        <v>18.597931233803369</v>
      </c>
      <c r="I230">
        <f t="shared" si="245"/>
        <v>18.603150505959736</v>
      </c>
      <c r="J230">
        <f t="shared" si="245"/>
        <v>18.604284550861227</v>
      </c>
      <c r="K230">
        <f t="shared" si="245"/>
        <v>18.032001638019537</v>
      </c>
      <c r="L230">
        <f t="shared" si="208"/>
        <v>38.826157181405598</v>
      </c>
      <c r="M230">
        <f t="shared" si="209"/>
        <v>-8.6157181405596361E-2</v>
      </c>
      <c r="N230">
        <f t="shared" si="210"/>
        <v>7.4230599077568394E-3</v>
      </c>
    </row>
    <row r="231" spans="1:14" x14ac:dyDescent="0.45">
      <c r="A231" s="22">
        <v>42541</v>
      </c>
      <c r="B231">
        <v>38.56</v>
      </c>
      <c r="C231">
        <v>38.69</v>
      </c>
      <c r="G231">
        <f t="shared" ref="G231:K231" si="246">SUMPRODUCT($B231:$B235,P$2:P$6)</f>
        <v>18.479352327515549</v>
      </c>
      <c r="H231">
        <f t="shared" si="246"/>
        <v>18.494002823965186</v>
      </c>
      <c r="I231">
        <f t="shared" si="246"/>
        <v>18.499012892040383</v>
      </c>
      <c r="J231">
        <f t="shared" si="246"/>
        <v>18.50021343592195</v>
      </c>
      <c r="K231">
        <f t="shared" si="246"/>
        <v>17.931168466289012</v>
      </c>
      <c r="L231">
        <f t="shared" si="208"/>
        <v>38.608871524959973</v>
      </c>
      <c r="M231">
        <f t="shared" si="209"/>
        <v>0.14112847504002701</v>
      </c>
      <c r="N231">
        <f t="shared" si="210"/>
        <v>1.9917246467123527E-2</v>
      </c>
    </row>
    <row r="232" spans="1:14" x14ac:dyDescent="0.45">
      <c r="A232" s="22">
        <v>42538</v>
      </c>
      <c r="B232">
        <v>39.03</v>
      </c>
      <c r="C232">
        <v>38.08</v>
      </c>
      <c r="G232">
        <f t="shared" ref="G232:K232" si="247">SUMPRODUCT($B232:$B236,P$2:P$6)</f>
        <v>18.698668651801015</v>
      </c>
      <c r="H232">
        <f t="shared" si="247"/>
        <v>18.71367914472529</v>
      </c>
      <c r="I232">
        <f t="shared" si="247"/>
        <v>18.718666868333763</v>
      </c>
      <c r="J232">
        <f t="shared" si="247"/>
        <v>18.719913108983537</v>
      </c>
      <c r="K232">
        <f t="shared" si="247"/>
        <v>18.144127859540664</v>
      </c>
      <c r="L232">
        <f t="shared" si="208"/>
        <v>39.067329858127756</v>
      </c>
      <c r="M232">
        <f t="shared" si="209"/>
        <v>-0.50732985812775411</v>
      </c>
      <c r="N232">
        <f t="shared" si="210"/>
        <v>0.25738358494792712</v>
      </c>
    </row>
    <row r="233" spans="1:14" x14ac:dyDescent="0.45">
      <c r="A233" s="22">
        <v>42537</v>
      </c>
      <c r="B233">
        <v>38.25</v>
      </c>
      <c r="C233">
        <v>39.03</v>
      </c>
      <c r="G233">
        <f t="shared" ref="G233:K233" si="248">SUMPRODUCT($B233:$B237,P$2:P$6)</f>
        <v>18.330285263002494</v>
      </c>
      <c r="H233">
        <f t="shared" si="248"/>
        <v>18.344602216826363</v>
      </c>
      <c r="I233">
        <f t="shared" si="248"/>
        <v>18.349592365911363</v>
      </c>
      <c r="J233">
        <f t="shared" si="248"/>
        <v>18.350797259131316</v>
      </c>
      <c r="K233">
        <f t="shared" si="248"/>
        <v>17.786363965698822</v>
      </c>
      <c r="L233">
        <f t="shared" si="208"/>
        <v>38.29711081276831</v>
      </c>
      <c r="M233">
        <f t="shared" si="209"/>
        <v>0.73288918723169161</v>
      </c>
      <c r="N233">
        <f t="shared" si="210"/>
        <v>0.53712656076112952</v>
      </c>
    </row>
    <row r="234" spans="1:14" x14ac:dyDescent="0.45">
      <c r="A234" s="22">
        <v>42536</v>
      </c>
      <c r="B234">
        <v>38.46</v>
      </c>
      <c r="C234">
        <v>38.33</v>
      </c>
      <c r="G234">
        <f t="shared" ref="G234:K234" si="249">SUMPRODUCT($B234:$B238,P$2:P$6)</f>
        <v>18.426878193860791</v>
      </c>
      <c r="H234">
        <f t="shared" si="249"/>
        <v>18.441417280734768</v>
      </c>
      <c r="I234">
        <f t="shared" si="249"/>
        <v>18.446375557867857</v>
      </c>
      <c r="J234">
        <f t="shared" si="249"/>
        <v>18.44760829817222</v>
      </c>
      <c r="K234">
        <f t="shared" si="249"/>
        <v>17.880207009937067</v>
      </c>
      <c r="L234">
        <f t="shared" si="208"/>
        <v>38.49911415514417</v>
      </c>
      <c r="M234">
        <f t="shared" si="209"/>
        <v>-0.24911415514417001</v>
      </c>
      <c r="N234">
        <f t="shared" si="210"/>
        <v>6.2057862293193607E-2</v>
      </c>
    </row>
    <row r="235" spans="1:14" x14ac:dyDescent="0.45">
      <c r="A235" s="22">
        <v>42535</v>
      </c>
      <c r="B235">
        <v>37.46</v>
      </c>
      <c r="C235">
        <v>38.409999999999997</v>
      </c>
      <c r="G235">
        <f t="shared" ref="G235:K235" si="250">SUMPRODUCT($B235:$B239,P$2:P$6)</f>
        <v>17.976174197880212</v>
      </c>
      <c r="H235">
        <f t="shared" si="250"/>
        <v>17.989639563663587</v>
      </c>
      <c r="I235">
        <f t="shared" si="250"/>
        <v>17.99484827084477</v>
      </c>
      <c r="J235">
        <f t="shared" si="250"/>
        <v>17.995886592982263</v>
      </c>
      <c r="K235">
        <f t="shared" si="250"/>
        <v>17.442289368775239</v>
      </c>
      <c r="L235">
        <f t="shared" si="208"/>
        <v>37.55655692895909</v>
      </c>
      <c r="M235">
        <f t="shared" si="209"/>
        <v>0.90344307104091115</v>
      </c>
      <c r="N235">
        <f t="shared" si="210"/>
        <v>0.81620938261183285</v>
      </c>
    </row>
    <row r="236" spans="1:14" x14ac:dyDescent="0.45">
      <c r="A236" s="22">
        <v>42534</v>
      </c>
      <c r="B236">
        <v>37.53</v>
      </c>
      <c r="C236">
        <v>37.630000000000003</v>
      </c>
      <c r="G236">
        <f t="shared" ref="G236:K236" si="251">SUMPRODUCT($B236:$B240,P$2:P$6)</f>
        <v>18.005492314118282</v>
      </c>
      <c r="H236">
        <f t="shared" si="251"/>
        <v>18.0191003516831</v>
      </c>
      <c r="I236">
        <f t="shared" si="251"/>
        <v>18.024260206643401</v>
      </c>
      <c r="J236">
        <f t="shared" si="251"/>
        <v>18.025324355625674</v>
      </c>
      <c r="K236">
        <f t="shared" si="251"/>
        <v>17.470834130437609</v>
      </c>
      <c r="L236">
        <f t="shared" si="208"/>
        <v>37.617964220461943</v>
      </c>
      <c r="M236">
        <f t="shared" si="209"/>
        <v>-0.15796422046194181</v>
      </c>
      <c r="N236">
        <f t="shared" si="210"/>
        <v>2.4952694946148955E-2</v>
      </c>
    </row>
    <row r="237" spans="1:14" x14ac:dyDescent="0.45">
      <c r="A237" s="22">
        <v>42531</v>
      </c>
      <c r="B237">
        <v>38.130000000000003</v>
      </c>
      <c r="C237">
        <v>37.770000000000003</v>
      </c>
      <c r="G237">
        <f t="shared" ref="G237:K237" si="252">SUMPRODUCT($B237:$B241,P$2:P$6)</f>
        <v>18.280869493726208</v>
      </c>
      <c r="H237">
        <f t="shared" si="252"/>
        <v>18.295098427555988</v>
      </c>
      <c r="I237">
        <f t="shared" si="252"/>
        <v>18.300162543151774</v>
      </c>
      <c r="J237">
        <f t="shared" si="252"/>
        <v>18.301309780481919</v>
      </c>
      <c r="K237">
        <f t="shared" si="252"/>
        <v>17.738363494406109</v>
      </c>
      <c r="L237">
        <f t="shared" si="208"/>
        <v>38.193834762528489</v>
      </c>
      <c r="M237">
        <f t="shared" si="209"/>
        <v>-0.66383476252848794</v>
      </c>
      <c r="N237">
        <f t="shared" si="210"/>
        <v>0.44067659194125397</v>
      </c>
    </row>
    <row r="238" spans="1:14" x14ac:dyDescent="0.45">
      <c r="A238" s="22">
        <v>42530</v>
      </c>
      <c r="B238">
        <v>37.99</v>
      </c>
      <c r="C238">
        <v>38.54</v>
      </c>
      <c r="G238">
        <f t="shared" ref="G238:K238" si="253">SUMPRODUCT($B238:$B242,P$2:P$6)</f>
        <v>18.220997503819198</v>
      </c>
      <c r="H238">
        <f t="shared" si="253"/>
        <v>18.234789890620046</v>
      </c>
      <c r="I238">
        <f t="shared" si="253"/>
        <v>18.239956749612386</v>
      </c>
      <c r="J238">
        <f t="shared" si="253"/>
        <v>18.241068562401722</v>
      </c>
      <c r="K238">
        <f t="shared" si="253"/>
        <v>17.679965182177483</v>
      </c>
      <c r="L238">
        <f t="shared" si="208"/>
        <v>38.068214279272027</v>
      </c>
      <c r="M238">
        <f t="shared" si="209"/>
        <v>6.1785720727975502E-2</v>
      </c>
      <c r="N238">
        <f t="shared" si="210"/>
        <v>3.8174752858753814E-3</v>
      </c>
    </row>
    <row r="239" spans="1:14" x14ac:dyDescent="0.45">
      <c r="A239" s="22">
        <v>42529</v>
      </c>
      <c r="B239">
        <v>38.1</v>
      </c>
      <c r="C239">
        <v>38.119999999999997</v>
      </c>
      <c r="G239">
        <f t="shared" ref="G239:K239" si="254">SUMPRODUCT($B239:$B243,P$2:P$6)</f>
        <v>18.267641612975378</v>
      </c>
      <c r="H239">
        <f t="shared" si="254"/>
        <v>18.28158813983984</v>
      </c>
      <c r="I239">
        <f t="shared" si="254"/>
        <v>18.286692538961628</v>
      </c>
      <c r="J239">
        <f t="shared" si="254"/>
        <v>18.287845133430846</v>
      </c>
      <c r="K239">
        <f t="shared" si="254"/>
        <v>17.725323535322236</v>
      </c>
      <c r="L239">
        <f t="shared" si="208"/>
        <v>38.165808857425652</v>
      </c>
      <c r="M239">
        <f t="shared" si="209"/>
        <v>-0.17580885742565044</v>
      </c>
      <c r="N239">
        <f t="shared" si="210"/>
        <v>3.0908754349312687E-2</v>
      </c>
    </row>
    <row r="240" spans="1:14" x14ac:dyDescent="0.45">
      <c r="A240" s="22">
        <v>42528</v>
      </c>
      <c r="B240">
        <v>37.950000000000003</v>
      </c>
      <c r="C240">
        <v>38.130000000000003</v>
      </c>
      <c r="G240">
        <f t="shared" ref="G240:K240" si="255">SUMPRODUCT($B240:$B244,P$2:P$6)</f>
        <v>18.21629852202113</v>
      </c>
      <c r="H240">
        <f t="shared" si="255"/>
        <v>18.229709997310042</v>
      </c>
      <c r="I240">
        <f t="shared" si="255"/>
        <v>18.235066213868237</v>
      </c>
      <c r="J240">
        <f t="shared" si="255"/>
        <v>18.236095171788641</v>
      </c>
      <c r="K240">
        <f t="shared" si="255"/>
        <v>17.675099297113622</v>
      </c>
      <c r="L240">
        <f t="shared" si="208"/>
        <v>38.057919190133688</v>
      </c>
      <c r="M240">
        <f t="shared" si="209"/>
        <v>4.2080809866313018E-2</v>
      </c>
      <c r="N240">
        <f t="shared" si="210"/>
        <v>1.7707945590047871E-3</v>
      </c>
    </row>
    <row r="241" spans="1:14" x14ac:dyDescent="0.45">
      <c r="A241" s="22">
        <v>42527</v>
      </c>
      <c r="B241">
        <v>37.65</v>
      </c>
      <c r="C241">
        <v>37.76</v>
      </c>
      <c r="G241">
        <f t="shared" ref="G241:K241" si="256">SUMPRODUCT($B241:$B245,P$2:P$6)</f>
        <v>18.080586433213213</v>
      </c>
      <c r="H241">
        <f t="shared" si="256"/>
        <v>18.093626671720166</v>
      </c>
      <c r="I241">
        <f t="shared" si="256"/>
        <v>18.099058611897476</v>
      </c>
      <c r="J241">
        <f t="shared" si="256"/>
        <v>18.100035656637662</v>
      </c>
      <c r="K241">
        <f t="shared" si="256"/>
        <v>17.543202568498504</v>
      </c>
      <c r="L241">
        <f t="shared" si="208"/>
        <v>37.774032552887775</v>
      </c>
      <c r="M241">
        <f t="shared" si="209"/>
        <v>0.17596744711222811</v>
      </c>
      <c r="N241">
        <f t="shared" si="210"/>
        <v>3.0964542443194798E-2</v>
      </c>
    </row>
    <row r="242" spans="1:14" x14ac:dyDescent="0.45">
      <c r="A242" s="22">
        <v>42524</v>
      </c>
      <c r="B242">
        <v>38.69</v>
      </c>
      <c r="C242">
        <v>37.81</v>
      </c>
      <c r="G242">
        <f t="shared" ref="G242:K242" si="257">SUMPRODUCT($B242:$B246,P$2:P$6)</f>
        <v>18.563369686707933</v>
      </c>
      <c r="H242">
        <f t="shared" si="257"/>
        <v>18.57737566013671</v>
      </c>
      <c r="I242">
        <f t="shared" si="257"/>
        <v>18.582711822036501</v>
      </c>
      <c r="J242">
        <f t="shared" si="257"/>
        <v>18.583800767438188</v>
      </c>
      <c r="K242">
        <f t="shared" si="257"/>
        <v>18.012125785788641</v>
      </c>
      <c r="L242">
        <f t="shared" si="208"/>
        <v>38.783481385772561</v>
      </c>
      <c r="M242">
        <f t="shared" si="209"/>
        <v>-1.1334813857725621</v>
      </c>
      <c r="N242">
        <f t="shared" si="210"/>
        <v>1.2847800518928878</v>
      </c>
    </row>
    <row r="243" spans="1:14" x14ac:dyDescent="0.45">
      <c r="A243" s="22">
        <v>42523</v>
      </c>
      <c r="B243">
        <v>38.72</v>
      </c>
      <c r="C243">
        <v>38.69</v>
      </c>
      <c r="G243">
        <f t="shared" ref="G243:K243" si="258">SUMPRODUCT($B243:$B247,P$2:P$6)</f>
        <v>18.579603952265021</v>
      </c>
      <c r="H243">
        <f t="shared" si="258"/>
        <v>18.593649723011524</v>
      </c>
      <c r="I243">
        <f t="shared" si="258"/>
        <v>18.599005803473247</v>
      </c>
      <c r="J243">
        <f t="shared" si="258"/>
        <v>18.600080958612324</v>
      </c>
      <c r="K243">
        <f t="shared" si="258"/>
        <v>18.027895239410686</v>
      </c>
      <c r="L243">
        <f t="shared" si="208"/>
        <v>38.817447477828011</v>
      </c>
      <c r="M243">
        <f t="shared" si="209"/>
        <v>-0.12744747782801369</v>
      </c>
      <c r="N243">
        <f t="shared" si="210"/>
        <v>1.6242859604722042E-2</v>
      </c>
    </row>
    <row r="244" spans="1:14" x14ac:dyDescent="0.45">
      <c r="A244" s="22">
        <v>42522</v>
      </c>
      <c r="B244">
        <v>39.26</v>
      </c>
      <c r="C244">
        <v>38.65</v>
      </c>
      <c r="G244">
        <f t="shared" ref="G244:K244" si="259">SUMPRODUCT($B244:$B248,P$2:P$6)</f>
        <v>18.823936963968908</v>
      </c>
      <c r="H244">
        <f t="shared" si="259"/>
        <v>18.838469524403404</v>
      </c>
      <c r="I244">
        <f t="shared" si="259"/>
        <v>18.843711367020656</v>
      </c>
      <c r="J244">
        <f t="shared" si="259"/>
        <v>18.844889358064783</v>
      </c>
      <c r="K244">
        <f t="shared" si="259"/>
        <v>18.265223850895765</v>
      </c>
      <c r="L244">
        <f t="shared" si="208"/>
        <v>39.32828754891645</v>
      </c>
      <c r="M244">
        <f t="shared" si="209"/>
        <v>-0.60828754891645076</v>
      </c>
      <c r="N244">
        <f t="shared" si="210"/>
        <v>0.37001374216678345</v>
      </c>
    </row>
    <row r="245" spans="1:14" x14ac:dyDescent="0.45">
      <c r="A245" s="22">
        <v>42521</v>
      </c>
      <c r="B245">
        <v>39.54</v>
      </c>
      <c r="C245">
        <v>39.26</v>
      </c>
      <c r="G245">
        <f t="shared" ref="G245:K245" si="260">SUMPRODUCT($B245:$B249,P$2:P$6)</f>
        <v>18.94165426194413</v>
      </c>
      <c r="H245">
        <f t="shared" si="260"/>
        <v>18.956904996296899</v>
      </c>
      <c r="I245">
        <f t="shared" si="260"/>
        <v>18.961938581883214</v>
      </c>
      <c r="J245">
        <f t="shared" si="260"/>
        <v>18.963209185328772</v>
      </c>
      <c r="K245">
        <f t="shared" si="260"/>
        <v>18.379943332413504</v>
      </c>
      <c r="L245">
        <f t="shared" si="208"/>
        <v>39.575061790283485</v>
      </c>
      <c r="M245">
        <f t="shared" si="209"/>
        <v>-0.31506179028348669</v>
      </c>
      <c r="N245">
        <f t="shared" si="210"/>
        <v>9.9263931696635749E-2</v>
      </c>
    </row>
    <row r="246" spans="1:14" x14ac:dyDescent="0.45">
      <c r="A246" s="22">
        <v>42517</v>
      </c>
      <c r="B246">
        <v>39.130000000000003</v>
      </c>
      <c r="C246">
        <v>39.340000000000003</v>
      </c>
      <c r="G246">
        <f t="shared" ref="G246:K246" si="261">SUMPRODUCT($B246:$B250,P$2:P$6)</f>
        <v>18.755229226824088</v>
      </c>
      <c r="H246">
        <f t="shared" si="261"/>
        <v>18.770142415558293</v>
      </c>
      <c r="I246">
        <f t="shared" si="261"/>
        <v>18.775249396656267</v>
      </c>
      <c r="J246">
        <f t="shared" si="261"/>
        <v>18.776445608207698</v>
      </c>
      <c r="K246">
        <f t="shared" si="261"/>
        <v>18.198889541464904</v>
      </c>
      <c r="L246">
        <f t="shared" si="208"/>
        <v>39.185337081049319</v>
      </c>
      <c r="M246">
        <f t="shared" si="209"/>
        <v>0.35466291895068025</v>
      </c>
      <c r="N246">
        <f t="shared" si="210"/>
        <v>0.12578578607861679</v>
      </c>
    </row>
    <row r="247" spans="1:14" x14ac:dyDescent="0.45">
      <c r="A247" s="22">
        <v>42516</v>
      </c>
      <c r="B247">
        <v>38.909999999999997</v>
      </c>
      <c r="C247">
        <v>39.1</v>
      </c>
      <c r="G247">
        <f t="shared" ref="G247:K247" si="262">SUMPRODUCT($B247:$B251,P$2:P$6)</f>
        <v>18.637894849568664</v>
      </c>
      <c r="H247">
        <f t="shared" si="262"/>
        <v>18.652819272107362</v>
      </c>
      <c r="I247">
        <f t="shared" si="262"/>
        <v>18.657762099629586</v>
      </c>
      <c r="J247">
        <f t="shared" si="262"/>
        <v>18.659029653684971</v>
      </c>
      <c r="K247">
        <f t="shared" si="262"/>
        <v>18.085134418456942</v>
      </c>
      <c r="L247">
        <f t="shared" si="208"/>
        <v>38.94028465638057</v>
      </c>
      <c r="M247">
        <f t="shared" si="209"/>
        <v>0.18971534361943299</v>
      </c>
      <c r="N247">
        <f t="shared" si="210"/>
        <v>3.5991911604639534E-2</v>
      </c>
    </row>
    <row r="248" spans="1:14" x14ac:dyDescent="0.45">
      <c r="A248" s="22">
        <v>42515</v>
      </c>
      <c r="B248">
        <v>39.19</v>
      </c>
      <c r="C248">
        <v>38.950000000000003</v>
      </c>
      <c r="G248">
        <f>SUMPRODUCT($B248:$B252,P$2:P$6)</f>
        <v>18.765251288754829</v>
      </c>
      <c r="H248">
        <f>SUMPRODUCT($B248:$B252,Q$2:Q$6)</f>
        <v>18.780354541860248</v>
      </c>
      <c r="I248">
        <f>SUMPRODUCT($B248:$B252,R$2:R$6)</f>
        <v>18.785253828624697</v>
      </c>
      <c r="J248">
        <f>SUMPRODUCT($B248:$B252,S$2:S$6)</f>
        <v>18.786574013915235</v>
      </c>
      <c r="K248">
        <f>SUMPRODUCT($B248:$B252,T$2:T$6)</f>
        <v>18.208782882036743</v>
      </c>
      <c r="L248">
        <f>(G248+$P$7)*$U$2+(H248+$Q$7)*$U$3+(I248+$R$7)*$U$4+(J248+$S$7)*$U$5+(K248+$T$7)*$U$6+$U$7</f>
        <v>39.206450337181423</v>
      </c>
      <c r="M248">
        <f>B247-L248</f>
        <v>-0.29645033718142599</v>
      </c>
      <c r="N248">
        <f>M248^2</f>
        <v>8.7882802414981157E-2</v>
      </c>
    </row>
    <row r="249" spans="1:14" x14ac:dyDescent="0.45">
      <c r="A249" s="22">
        <v>42514</v>
      </c>
      <c r="B249">
        <v>37.92</v>
      </c>
      <c r="C249">
        <v>39.020000000000003</v>
      </c>
    </row>
    <row r="250" spans="1:14" x14ac:dyDescent="0.45">
      <c r="A250" s="22">
        <v>42513</v>
      </c>
      <c r="B250">
        <v>37.630000000000003</v>
      </c>
      <c r="C250">
        <v>37.729999999999997</v>
      </c>
    </row>
    <row r="251" spans="1:14" x14ac:dyDescent="0.45">
      <c r="A251" s="22">
        <v>42510</v>
      </c>
      <c r="B251">
        <v>37.81</v>
      </c>
      <c r="C251">
        <v>37.53</v>
      </c>
    </row>
    <row r="252" spans="1:14" x14ac:dyDescent="0.45">
      <c r="A252" s="22">
        <v>42509</v>
      </c>
      <c r="B252">
        <v>38.229999999999997</v>
      </c>
      <c r="C252">
        <v>37.799999999999997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954.7</v>
      </c>
      <c r="C2">
        <v>944.76</v>
      </c>
      <c r="G2">
        <f t="shared" ref="G2" si="0">SUMPRODUCT($B2:$B6,P$2:P$6)</f>
        <v>571.38420097138453</v>
      </c>
      <c r="H2">
        <f t="shared" ref="H2" si="1">SUMPRODUCT($B2:$B6,Q$2:Q$6)</f>
        <v>487.00190654446288</v>
      </c>
      <c r="I2">
        <f t="shared" ref="I2" si="2">SUMPRODUCT($B2:$B6,R$2:R$6)</f>
        <v>409.03516300285298</v>
      </c>
      <c r="J2">
        <f t="shared" ref="J2" si="3">SUMPRODUCT($B2:$B6,S$2:S$6)</f>
        <v>375.14675306367059</v>
      </c>
      <c r="K2">
        <f t="shared" ref="K2" si="4">SUMPRODUCT($B2:$B6,T$2:T$6)</f>
        <v>292.39704885372328</v>
      </c>
      <c r="L2">
        <f t="shared" ref="L2" si="5">(G2+$P$7)*$U$2+(H2+$Q$7)*$U$3+(I2+$R$7)*$U$4+(J2+$S$7)*$U$5+(K2+$T$7)*$U$6+$U$7</f>
        <v>956.16424380048079</v>
      </c>
      <c r="P2">
        <v>0.55248187393880321</v>
      </c>
      <c r="Q2">
        <v>0.45764423123066889</v>
      </c>
      <c r="R2">
        <v>0.3804079903650805</v>
      </c>
      <c r="S2">
        <v>0.33764163813221959</v>
      </c>
      <c r="T2">
        <v>0.26801814446224875</v>
      </c>
      <c r="U2">
        <v>0.5610129438567486</v>
      </c>
      <c r="W2" t="s">
        <v>30</v>
      </c>
    </row>
    <row r="3" spans="1:23" x14ac:dyDescent="0.45">
      <c r="A3" s="22">
        <v>42871</v>
      </c>
      <c r="B3">
        <v>961</v>
      </c>
      <c r="C3">
        <v>966.07</v>
      </c>
      <c r="G3">
        <f t="shared" ref="G3:K3" si="6">SUMPRODUCT($B3:$B7,P$2:P$6)</f>
        <v>574.63152137499083</v>
      </c>
      <c r="H3">
        <f t="shared" si="6"/>
        <v>489.60994230722861</v>
      </c>
      <c r="I3">
        <f t="shared" si="6"/>
        <v>411.17732863606699</v>
      </c>
      <c r="J3">
        <f t="shared" si="6"/>
        <v>376.97871585420808</v>
      </c>
      <c r="K3">
        <f t="shared" si="6"/>
        <v>293.88311755412678</v>
      </c>
      <c r="L3">
        <f t="shared" ref="L3:L66" si="7">(G3+$P$7)*$U$2+(H3+$Q$7)*$U$3+(I3+$R$7)*$U$4+(J3+$S$7)*$U$5+(K3+$T$7)*$U$6+$U$7</f>
        <v>961.26826481211685</v>
      </c>
      <c r="M3">
        <f t="shared" ref="M3:M66" si="8">B2-L3</f>
        <v>-6.5682648121168086</v>
      </c>
      <c r="N3">
        <f t="shared" ref="N3:N66" si="9">M3^2</f>
        <v>43.142102642091857</v>
      </c>
      <c r="P3">
        <v>2.7679565514438981E-2</v>
      </c>
      <c r="Q3">
        <v>3.0293249996382849E-2</v>
      </c>
      <c r="R3">
        <v>2.738654321094075E-2</v>
      </c>
      <c r="S3">
        <v>3.1214380783811016E-2</v>
      </c>
      <c r="T3">
        <v>2.1829956916692667E-2</v>
      </c>
      <c r="U3">
        <v>0.48199279603865852</v>
      </c>
      <c r="V3" t="s">
        <v>28</v>
      </c>
      <c r="W3">
        <f>SUM(N3:N252)</f>
        <v>22306.227532061603</v>
      </c>
    </row>
    <row r="4" spans="1:23" x14ac:dyDescent="0.45">
      <c r="A4" s="22">
        <v>42870</v>
      </c>
      <c r="B4">
        <v>958.73</v>
      </c>
      <c r="C4">
        <v>957.97</v>
      </c>
      <c r="G4">
        <f t="shared" ref="G4:K4" si="10">SUMPRODUCT($B4:$B8,P$2:P$6)</f>
        <v>573.41262996599232</v>
      </c>
      <c r="H4">
        <f t="shared" si="10"/>
        <v>488.6273280848194</v>
      </c>
      <c r="I4">
        <f t="shared" si="10"/>
        <v>410.36971871654202</v>
      </c>
      <c r="J4">
        <f t="shared" si="10"/>
        <v>376.28066067463186</v>
      </c>
      <c r="K4">
        <f t="shared" si="10"/>
        <v>293.31898486963155</v>
      </c>
      <c r="L4">
        <f t="shared" si="7"/>
        <v>959.34330989061039</v>
      </c>
      <c r="M4">
        <f t="shared" si="8"/>
        <v>1.6566901093896149</v>
      </c>
      <c r="N4">
        <f t="shared" si="9"/>
        <v>2.7446221185493744</v>
      </c>
      <c r="P4">
        <v>0</v>
      </c>
      <c r="Q4">
        <v>3.4976913290981827E-7</v>
      </c>
      <c r="R4">
        <v>2.5860517439489616E-7</v>
      </c>
      <c r="S4">
        <v>5.1109728921608581E-7</v>
      </c>
      <c r="T4">
        <v>0</v>
      </c>
      <c r="U4">
        <v>0.40761865028174471</v>
      </c>
      <c r="V4" t="s">
        <v>29</v>
      </c>
      <c r="W4">
        <f>MAX(N3:N252)</f>
        <v>2524.1322148218396</v>
      </c>
    </row>
    <row r="5" spans="1:23" x14ac:dyDescent="0.45">
      <c r="A5" s="22">
        <v>42867</v>
      </c>
      <c r="B5">
        <v>954.5</v>
      </c>
      <c r="C5">
        <v>961.35</v>
      </c>
      <c r="G5">
        <f t="shared" ref="G5:K5" si="11">SUMPRODUCT($B5:$B9,P$2:P$6)</f>
        <v>570.8030114719852</v>
      </c>
      <c r="H5">
        <f t="shared" si="11"/>
        <v>486.39165481095409</v>
      </c>
      <c r="I5">
        <f t="shared" si="11"/>
        <v>408.4891047421583</v>
      </c>
      <c r="J5">
        <f t="shared" si="11"/>
        <v>374.54261239792493</v>
      </c>
      <c r="K5">
        <f t="shared" si="11"/>
        <v>291.96888715268727</v>
      </c>
      <c r="L5">
        <f t="shared" si="7"/>
        <v>954.95983040403553</v>
      </c>
      <c r="M5">
        <f t="shared" si="8"/>
        <v>3.7701695959644894</v>
      </c>
      <c r="N5">
        <f t="shared" si="9"/>
        <v>14.214178782335042</v>
      </c>
      <c r="P5">
        <v>1.8155781521878769E-2</v>
      </c>
      <c r="Q5">
        <v>2.1976418424989191E-2</v>
      </c>
      <c r="R5">
        <v>2.0472434408651329E-2</v>
      </c>
      <c r="S5">
        <v>2.3889526845927548E-2</v>
      </c>
      <c r="T5">
        <v>1.6282386316053128E-2</v>
      </c>
      <c r="U5">
        <v>0.3895368098785435</v>
      </c>
    </row>
    <row r="6" spans="1:23" x14ac:dyDescent="0.45">
      <c r="A6" s="22">
        <v>42866</v>
      </c>
      <c r="B6">
        <v>945.11</v>
      </c>
      <c r="C6">
        <v>947.62</v>
      </c>
      <c r="G6">
        <f t="shared" ref="G6:K6" si="12">SUMPRODUCT($B6:$B10,P$2:P$6)</f>
        <v>565.63229221933159</v>
      </c>
      <c r="H6">
        <f t="shared" si="12"/>
        <v>482.08811489884704</v>
      </c>
      <c r="I6">
        <f t="shared" si="12"/>
        <v>404.90424828140385</v>
      </c>
      <c r="J6">
        <f t="shared" si="12"/>
        <v>371.35095472064182</v>
      </c>
      <c r="K6">
        <f t="shared" si="12"/>
        <v>289.44240383687253</v>
      </c>
      <c r="L6">
        <f t="shared" si="7"/>
        <v>946.53490701235535</v>
      </c>
      <c r="M6">
        <f t="shared" si="8"/>
        <v>7.9650929876446526</v>
      </c>
      <c r="N6">
        <f t="shared" si="9"/>
        <v>63.442706301826014</v>
      </c>
      <c r="P6">
        <v>0</v>
      </c>
      <c r="Q6">
        <v>3.3754928667568052E-7</v>
      </c>
      <c r="R6">
        <v>0</v>
      </c>
      <c r="S6">
        <v>2.3047778169665679E-7</v>
      </c>
      <c r="T6">
        <v>0</v>
      </c>
      <c r="U6">
        <v>0.29498917341222086</v>
      </c>
    </row>
    <row r="7" spans="1:23" x14ac:dyDescent="0.45">
      <c r="A7" s="22">
        <v>42865</v>
      </c>
      <c r="B7">
        <v>953.5</v>
      </c>
      <c r="C7">
        <v>948.95</v>
      </c>
      <c r="G7">
        <f t="shared" ref="G7:K7" si="13">SUMPRODUCT($B7:$B11,P$2:P$6)</f>
        <v>570.24043245976384</v>
      </c>
      <c r="H7">
        <f t="shared" si="13"/>
        <v>485.89709214702145</v>
      </c>
      <c r="I7">
        <f t="shared" si="13"/>
        <v>408.06789452905218</v>
      </c>
      <c r="J7">
        <f t="shared" si="13"/>
        <v>374.15164041989681</v>
      </c>
      <c r="K7">
        <f t="shared" si="13"/>
        <v>291.66879367295326</v>
      </c>
      <c r="L7">
        <f t="shared" si="7"/>
        <v>953.99332521187455</v>
      </c>
      <c r="M7">
        <f t="shared" si="8"/>
        <v>-8.8833252118745349</v>
      </c>
      <c r="N7">
        <f t="shared" si="9"/>
        <v>78.913466819925745</v>
      </c>
      <c r="O7" t="s">
        <v>27</v>
      </c>
      <c r="P7">
        <v>0.5021627446954543</v>
      </c>
      <c r="Q7">
        <v>0.43161963062521802</v>
      </c>
      <c r="R7">
        <v>0.3650192963270687</v>
      </c>
      <c r="S7">
        <v>0.34894734424822849</v>
      </c>
      <c r="T7">
        <v>0.26418059384278569</v>
      </c>
      <c r="U7">
        <v>0.90870201803432649</v>
      </c>
    </row>
    <row r="8" spans="1:23" x14ac:dyDescent="0.45">
      <c r="A8" s="22">
        <v>42864</v>
      </c>
      <c r="B8">
        <v>952.8</v>
      </c>
      <c r="C8">
        <v>952.82</v>
      </c>
      <c r="G8">
        <f t="shared" ref="G8:K8" si="14">SUMPRODUCT($B8:$B12,P$2:P$6)</f>
        <v>569.602491252498</v>
      </c>
      <c r="H8">
        <f t="shared" si="14"/>
        <v>485.31072669417631</v>
      </c>
      <c r="I8">
        <f t="shared" si="14"/>
        <v>407.56367668509529</v>
      </c>
      <c r="J8">
        <f t="shared" si="14"/>
        <v>373.64645362779976</v>
      </c>
      <c r="K8">
        <f t="shared" si="14"/>
        <v>291.29137047648379</v>
      </c>
      <c r="L8">
        <f t="shared" si="7"/>
        <v>952.83915480792052</v>
      </c>
      <c r="M8">
        <f t="shared" si="8"/>
        <v>0.66084519207947778</v>
      </c>
      <c r="N8">
        <f t="shared" si="9"/>
        <v>0.43671636789456186</v>
      </c>
    </row>
    <row r="9" spans="1:23" x14ac:dyDescent="0.45">
      <c r="A9" s="22">
        <v>42863</v>
      </c>
      <c r="B9">
        <v>940.95</v>
      </c>
      <c r="C9">
        <v>949.04</v>
      </c>
      <c r="G9">
        <f t="shared" ref="G9:K9" si="15">SUMPRODUCT($B9:$B13,P$2:P$6)</f>
        <v>563.06637356005444</v>
      </c>
      <c r="H9">
        <f t="shared" si="15"/>
        <v>479.90208867518078</v>
      </c>
      <c r="I9">
        <f t="shared" si="15"/>
        <v>403.06965742259922</v>
      </c>
      <c r="J9">
        <f t="shared" si="15"/>
        <v>369.66184225020066</v>
      </c>
      <c r="K9">
        <f t="shared" si="15"/>
        <v>288.12632156602706</v>
      </c>
      <c r="L9">
        <f t="shared" si="7"/>
        <v>942.24772958569247</v>
      </c>
      <c r="M9">
        <f t="shared" si="8"/>
        <v>10.552270414307486</v>
      </c>
      <c r="N9">
        <f t="shared" si="9"/>
        <v>111.35041089666909</v>
      </c>
    </row>
    <row r="10" spans="1:23" x14ac:dyDescent="0.45">
      <c r="A10" s="22">
        <v>42860</v>
      </c>
      <c r="B10">
        <v>940.52</v>
      </c>
      <c r="C10">
        <v>934.15</v>
      </c>
      <c r="G10">
        <f t="shared" ref="G10:K10" si="16">SUMPRODUCT($B10:$B14,P$2:P$6)</f>
        <v>562.95751061656074</v>
      </c>
      <c r="H10">
        <f t="shared" si="16"/>
        <v>479.84750108881099</v>
      </c>
      <c r="I10">
        <f t="shared" si="16"/>
        <v>403.03502974580249</v>
      </c>
      <c r="J10">
        <f t="shared" si="16"/>
        <v>369.66397877037093</v>
      </c>
      <c r="K10">
        <f t="shared" si="16"/>
        <v>288.11383520890814</v>
      </c>
      <c r="L10">
        <f t="shared" si="7"/>
        <v>942.14337926811049</v>
      </c>
      <c r="M10">
        <f t="shared" si="8"/>
        <v>-1.1933792681104478</v>
      </c>
      <c r="N10">
        <f t="shared" si="9"/>
        <v>1.4241540775558281</v>
      </c>
    </row>
    <row r="11" spans="1:23" x14ac:dyDescent="0.45">
      <c r="A11" s="22">
        <v>42859</v>
      </c>
      <c r="B11">
        <v>944.75</v>
      </c>
      <c r="C11">
        <v>937.53</v>
      </c>
      <c r="G11">
        <f t="shared" ref="G11:K11" si="17">SUMPRODUCT($B11:$B15,P$2:P$6)</f>
        <v>564.98705347634268</v>
      </c>
      <c r="H11">
        <f t="shared" si="17"/>
        <v>481.40717434879923</v>
      </c>
      <c r="I11">
        <f t="shared" si="17"/>
        <v>404.29268822530872</v>
      </c>
      <c r="J11">
        <f t="shared" si="17"/>
        <v>370.68114736392272</v>
      </c>
      <c r="K11">
        <f t="shared" si="17"/>
        <v>288.9680792479349</v>
      </c>
      <c r="L11">
        <f t="shared" si="7"/>
        <v>945.19459276198609</v>
      </c>
      <c r="M11">
        <f t="shared" si="8"/>
        <v>-4.674592761986105</v>
      </c>
      <c r="N11">
        <f t="shared" si="9"/>
        <v>21.851817490412881</v>
      </c>
    </row>
    <row r="12" spans="1:23" x14ac:dyDescent="0.45">
      <c r="A12" s="22">
        <v>42858</v>
      </c>
      <c r="B12">
        <v>946</v>
      </c>
      <c r="C12">
        <v>941.03</v>
      </c>
      <c r="G12">
        <f t="shared" ref="G12:K12" si="18">SUMPRODUCT($B12:$B16,P$2:P$6)</f>
        <v>566.0771868261005</v>
      </c>
      <c r="H12">
        <f t="shared" si="18"/>
        <v>482.46076318246486</v>
      </c>
      <c r="I12">
        <f t="shared" si="18"/>
        <v>405.21625602441247</v>
      </c>
      <c r="J12">
        <f t="shared" si="18"/>
        <v>371.62555579813181</v>
      </c>
      <c r="K12">
        <f t="shared" si="18"/>
        <v>289.65949168516596</v>
      </c>
      <c r="L12">
        <f t="shared" si="7"/>
        <v>947.26229840128804</v>
      </c>
      <c r="M12">
        <f t="shared" si="8"/>
        <v>-2.5122984012880352</v>
      </c>
      <c r="N12">
        <f t="shared" si="9"/>
        <v>6.311643257114417</v>
      </c>
    </row>
    <row r="13" spans="1:23" x14ac:dyDescent="0.45">
      <c r="A13" s="22">
        <v>42857</v>
      </c>
      <c r="B13">
        <v>946.64</v>
      </c>
      <c r="C13">
        <v>946.94</v>
      </c>
      <c r="G13">
        <f t="shared" ref="G13:K13" si="19">SUMPRODUCT($B13:$B17,P$2:P$6)</f>
        <v>565.2840070955159</v>
      </c>
      <c r="H13">
        <f t="shared" si="19"/>
        <v>481.42606878503233</v>
      </c>
      <c r="I13">
        <f t="shared" si="19"/>
        <v>404.23868946158495</v>
      </c>
      <c r="J13">
        <f t="shared" si="19"/>
        <v>370.43082201371755</v>
      </c>
      <c r="K13">
        <f t="shared" si="19"/>
        <v>288.85898152458645</v>
      </c>
      <c r="L13">
        <f t="shared" si="7"/>
        <v>945.2185900794484</v>
      </c>
      <c r="M13">
        <f t="shared" si="8"/>
        <v>0.78140992055159586</v>
      </c>
      <c r="N13">
        <f t="shared" si="9"/>
        <v>0.61060146393645132</v>
      </c>
    </row>
    <row r="14" spans="1:23" x14ac:dyDescent="0.45">
      <c r="A14" s="22">
        <v>42856</v>
      </c>
      <c r="B14">
        <v>927.8</v>
      </c>
      <c r="C14">
        <v>948.23</v>
      </c>
      <c r="G14">
        <f t="shared" ref="G14:K14" si="20">SUMPRODUCT($B14:$B18,P$2:P$6)</f>
        <v>555.38309270685295</v>
      </c>
      <c r="H14">
        <f t="shared" si="20"/>
        <v>473.35122181825255</v>
      </c>
      <c r="I14">
        <f t="shared" si="20"/>
        <v>397.56400076373933</v>
      </c>
      <c r="J14">
        <f t="shared" si="20"/>
        <v>364.62836546084196</v>
      </c>
      <c r="K14">
        <f t="shared" si="20"/>
        <v>284.20200871684307</v>
      </c>
      <c r="L14">
        <f t="shared" si="7"/>
        <v>929.41727631199649</v>
      </c>
      <c r="M14">
        <f t="shared" si="8"/>
        <v>17.222723688003498</v>
      </c>
      <c r="N14">
        <f t="shared" si="9"/>
        <v>296.62221123331682</v>
      </c>
    </row>
    <row r="15" spans="1:23" x14ac:dyDescent="0.45">
      <c r="A15" s="22">
        <v>42853</v>
      </c>
      <c r="B15">
        <v>948.83</v>
      </c>
      <c r="C15">
        <v>924.99</v>
      </c>
      <c r="G15">
        <f t="shared" ref="G15:K15" si="21">SUMPRODUCT($B15:$B19,P$2:P$6)</f>
        <v>565.9893144317075</v>
      </c>
      <c r="H15">
        <f t="shared" si="21"/>
        <v>481.86053647011784</v>
      </c>
      <c r="I15">
        <f t="shared" si="21"/>
        <v>404.55404705906489</v>
      </c>
      <c r="J15">
        <f t="shared" si="21"/>
        <v>370.57606426664603</v>
      </c>
      <c r="K15">
        <f t="shared" si="21"/>
        <v>289.03352599928292</v>
      </c>
      <c r="L15">
        <f t="shared" si="7"/>
        <v>946.0602984911925</v>
      </c>
      <c r="M15">
        <f t="shared" si="8"/>
        <v>-18.260298491192543</v>
      </c>
      <c r="N15">
        <f t="shared" si="9"/>
        <v>333.43850098744866</v>
      </c>
    </row>
    <row r="16" spans="1:23" x14ac:dyDescent="0.45">
      <c r="A16" s="22">
        <v>42852</v>
      </c>
      <c r="B16">
        <v>914.39</v>
      </c>
      <c r="C16">
        <v>918.38</v>
      </c>
      <c r="G16">
        <f t="shared" ref="G16:K16" si="22">SUMPRODUCT($B16:$B20,P$2:P$6)</f>
        <v>546.87840475199687</v>
      </c>
      <c r="H16">
        <f t="shared" si="22"/>
        <v>466.01140791134674</v>
      </c>
      <c r="I16">
        <f t="shared" si="22"/>
        <v>391.37435885853597</v>
      </c>
      <c r="J16">
        <f t="shared" si="22"/>
        <v>358.85919520464535</v>
      </c>
      <c r="K16">
        <f t="shared" si="22"/>
        <v>279.74039969377208</v>
      </c>
      <c r="L16">
        <f t="shared" si="7"/>
        <v>915.02185484429117</v>
      </c>
      <c r="M16">
        <f t="shared" si="8"/>
        <v>33.808145155708871</v>
      </c>
      <c r="N16">
        <f t="shared" si="9"/>
        <v>1142.9906788694811</v>
      </c>
    </row>
    <row r="17" spans="1:14" x14ac:dyDescent="0.45">
      <c r="A17" s="22">
        <v>42851</v>
      </c>
      <c r="B17">
        <v>910.3</v>
      </c>
      <c r="C17">
        <v>909.29</v>
      </c>
      <c r="G17">
        <f t="shared" ref="G17:K17" si="23">SUMPRODUCT($B17:$B21,P$2:P$6)</f>
        <v>544.41940225706367</v>
      </c>
      <c r="H17">
        <f t="shared" si="23"/>
        <v>463.90880830699086</v>
      </c>
      <c r="I17">
        <f t="shared" si="23"/>
        <v>389.60617114039161</v>
      </c>
      <c r="J17">
        <f t="shared" si="23"/>
        <v>357.23290612066575</v>
      </c>
      <c r="K17">
        <f t="shared" si="23"/>
        <v>278.47518268161366</v>
      </c>
      <c r="L17">
        <f t="shared" si="7"/>
        <v>910.90141367997228</v>
      </c>
      <c r="M17">
        <f t="shared" si="8"/>
        <v>3.4885863200277072</v>
      </c>
      <c r="N17">
        <f t="shared" si="9"/>
        <v>12.170234512284461</v>
      </c>
    </row>
    <row r="18" spans="1:14" x14ac:dyDescent="0.45">
      <c r="A18" s="22">
        <v>42850</v>
      </c>
      <c r="B18">
        <v>907.04</v>
      </c>
      <c r="C18">
        <v>907.62</v>
      </c>
      <c r="G18">
        <f t="shared" ref="G18:K18" si="24">SUMPRODUCT($B18:$B22,P$2:P$6)</f>
        <v>542.60978316434671</v>
      </c>
      <c r="H18">
        <f t="shared" si="24"/>
        <v>462.40129972598947</v>
      </c>
      <c r="I18">
        <f t="shared" si="24"/>
        <v>388.35015033825658</v>
      </c>
      <c r="J18">
        <f t="shared" si="24"/>
        <v>356.11243287450225</v>
      </c>
      <c r="K18">
        <f t="shared" si="24"/>
        <v>277.58888597265138</v>
      </c>
      <c r="L18">
        <f t="shared" si="7"/>
        <v>907.94969465796692</v>
      </c>
      <c r="M18">
        <f t="shared" si="8"/>
        <v>2.3503053420330389</v>
      </c>
      <c r="N18">
        <f t="shared" si="9"/>
        <v>5.5239352007890394</v>
      </c>
    </row>
    <row r="19" spans="1:14" x14ac:dyDescent="0.45">
      <c r="A19" s="22">
        <v>42849</v>
      </c>
      <c r="B19">
        <v>908.68</v>
      </c>
      <c r="C19">
        <v>907.41</v>
      </c>
      <c r="G19">
        <f t="shared" ref="G19:K19" si="25">SUMPRODUCT($B19:$B23,P$2:P$6)</f>
        <v>543.49728731045275</v>
      </c>
      <c r="H19">
        <f t="shared" si="25"/>
        <v>463.14865852768202</v>
      </c>
      <c r="I19">
        <f t="shared" si="25"/>
        <v>388.97607116578661</v>
      </c>
      <c r="J19">
        <f t="shared" si="25"/>
        <v>356.67302438432239</v>
      </c>
      <c r="K19">
        <f t="shared" si="25"/>
        <v>278.02977631311279</v>
      </c>
      <c r="L19">
        <f t="shared" si="7"/>
        <v>909.41138343851026</v>
      </c>
      <c r="M19">
        <f t="shared" si="8"/>
        <v>-2.3713834385102928</v>
      </c>
      <c r="N19">
        <f t="shared" si="9"/>
        <v>5.6234594124408996</v>
      </c>
    </row>
    <row r="20" spans="1:14" x14ac:dyDescent="0.45">
      <c r="A20" s="22">
        <v>42846</v>
      </c>
      <c r="B20">
        <v>902.67</v>
      </c>
      <c r="C20">
        <v>898.53</v>
      </c>
      <c r="G20">
        <f t="shared" ref="G20:K20" si="26">SUMPRODUCT($B20:$B24,P$2:P$6)</f>
        <v>539.97029583507776</v>
      </c>
      <c r="H20">
        <f t="shared" si="26"/>
        <v>460.15770557286606</v>
      </c>
      <c r="I20">
        <f t="shared" si="26"/>
        <v>386.46824703970287</v>
      </c>
      <c r="J20">
        <f t="shared" si="26"/>
        <v>354.387449220512</v>
      </c>
      <c r="K20">
        <f t="shared" si="26"/>
        <v>276.24261794658719</v>
      </c>
      <c r="L20">
        <f t="shared" si="7"/>
        <v>903.55133387767614</v>
      </c>
      <c r="M20">
        <f t="shared" si="8"/>
        <v>5.128666122323807</v>
      </c>
      <c r="N20">
        <f t="shared" si="9"/>
        <v>26.303216194271915</v>
      </c>
    </row>
    <row r="21" spans="1:14" x14ac:dyDescent="0.45">
      <c r="A21" s="22">
        <v>42845</v>
      </c>
      <c r="B21">
        <v>899.7</v>
      </c>
      <c r="C21">
        <v>902.06</v>
      </c>
      <c r="G21">
        <f t="shared" ref="G21:K21" si="27">SUMPRODUCT($B21:$B25,P$2:P$6)</f>
        <v>538.30981484003701</v>
      </c>
      <c r="H21">
        <f t="shared" si="27"/>
        <v>458.74862631392955</v>
      </c>
      <c r="I21">
        <f t="shared" si="27"/>
        <v>385.2851868584375</v>
      </c>
      <c r="J21">
        <f t="shared" si="27"/>
        <v>353.31646630705876</v>
      </c>
      <c r="K21">
        <f t="shared" si="27"/>
        <v>275.40465051543265</v>
      </c>
      <c r="L21">
        <f t="shared" si="7"/>
        <v>900.79400051288201</v>
      </c>
      <c r="M21">
        <f t="shared" si="8"/>
        <v>1.8759994871179515</v>
      </c>
      <c r="N21">
        <f t="shared" si="9"/>
        <v>3.5193740756668173</v>
      </c>
    </row>
    <row r="22" spans="1:14" x14ac:dyDescent="0.45">
      <c r="A22" s="22">
        <v>42844</v>
      </c>
      <c r="B22">
        <v>907.84</v>
      </c>
      <c r="C22">
        <v>899.2</v>
      </c>
      <c r="G22">
        <f t="shared" ref="G22:K22" si="28">SUMPRODUCT($B22:$B26,P$2:P$6)</f>
        <v>542.68912760713636</v>
      </c>
      <c r="H22">
        <f t="shared" si="28"/>
        <v>462.35314765713878</v>
      </c>
      <c r="I22">
        <f t="shared" si="28"/>
        <v>388.27497270634473</v>
      </c>
      <c r="J22">
        <f t="shared" si="28"/>
        <v>355.9454101521863</v>
      </c>
      <c r="K22">
        <f t="shared" si="28"/>
        <v>277.50109843242439</v>
      </c>
      <c r="L22">
        <f t="shared" si="7"/>
        <v>907.84939728988775</v>
      </c>
      <c r="M22">
        <f t="shared" si="8"/>
        <v>-8.1493972898877018</v>
      </c>
      <c r="N22">
        <f t="shared" si="9"/>
        <v>66.412676188429018</v>
      </c>
    </row>
    <row r="23" spans="1:14" x14ac:dyDescent="0.45">
      <c r="A23" s="22">
        <v>42843</v>
      </c>
      <c r="B23">
        <v>900.99</v>
      </c>
      <c r="C23">
        <v>903.78</v>
      </c>
      <c r="G23">
        <f t="shared" ref="G23:K23" si="29">SUMPRODUCT($B23:$B27,P$2:P$6)</f>
        <v>538.7425627287804</v>
      </c>
      <c r="H23">
        <f t="shared" si="29"/>
        <v>459.06543695613215</v>
      </c>
      <c r="I23">
        <f t="shared" si="29"/>
        <v>385.53803366243545</v>
      </c>
      <c r="J23">
        <f t="shared" si="29"/>
        <v>353.48955995591513</v>
      </c>
      <c r="K23">
        <f t="shared" si="29"/>
        <v>275.56021500077065</v>
      </c>
      <c r="L23">
        <f t="shared" si="7"/>
        <v>901.40585938684535</v>
      </c>
      <c r="M23">
        <f t="shared" si="8"/>
        <v>6.4341406131546819</v>
      </c>
      <c r="N23">
        <f t="shared" si="9"/>
        <v>41.398165429846507</v>
      </c>
    </row>
    <row r="24" spans="1:14" x14ac:dyDescent="0.45">
      <c r="A24" s="22">
        <v>42842</v>
      </c>
      <c r="B24">
        <v>887.5</v>
      </c>
      <c r="C24">
        <v>901.99</v>
      </c>
      <c r="G24">
        <f t="shared" ref="G24:K24" si="30">SUMPRODUCT($B24:$B28,P$2:P$6)</f>
        <v>531.47063187013941</v>
      </c>
      <c r="H24">
        <f t="shared" si="30"/>
        <v>453.09828303716733</v>
      </c>
      <c r="I24">
        <f t="shared" si="30"/>
        <v>380.59537584417211</v>
      </c>
      <c r="J24">
        <f t="shared" si="30"/>
        <v>349.15243893398099</v>
      </c>
      <c r="K24">
        <f t="shared" si="30"/>
        <v>272.09519398774427</v>
      </c>
      <c r="L24">
        <f t="shared" si="7"/>
        <v>889.72375536640664</v>
      </c>
      <c r="M24">
        <f t="shared" si="8"/>
        <v>11.266244633593374</v>
      </c>
      <c r="N24">
        <f t="shared" si="9"/>
        <v>126.92826814397149</v>
      </c>
    </row>
    <row r="25" spans="1:14" x14ac:dyDescent="0.45">
      <c r="A25" s="22">
        <v>42838</v>
      </c>
      <c r="B25">
        <v>891.45</v>
      </c>
      <c r="C25">
        <v>884.67</v>
      </c>
      <c r="G25">
        <f t="shared" ref="G25:K25" si="31">SUMPRODUCT($B25:$B29,P$2:P$6)</f>
        <v>533.84059107370854</v>
      </c>
      <c r="H25">
        <f t="shared" si="31"/>
        <v>455.09574730829632</v>
      </c>
      <c r="I25">
        <f t="shared" si="31"/>
        <v>382.26506705161188</v>
      </c>
      <c r="J25">
        <f t="shared" si="31"/>
        <v>350.67243942644234</v>
      </c>
      <c r="K25">
        <f t="shared" si="31"/>
        <v>273.28731387427854</v>
      </c>
      <c r="L25">
        <f t="shared" si="7"/>
        <v>893.64045242419809</v>
      </c>
      <c r="M25">
        <f t="shared" si="8"/>
        <v>-6.140452424198088</v>
      </c>
      <c r="N25">
        <f t="shared" si="9"/>
        <v>37.705155973840178</v>
      </c>
    </row>
    <row r="26" spans="1:14" x14ac:dyDescent="0.45">
      <c r="A26" s="22">
        <v>42837</v>
      </c>
      <c r="B26">
        <v>903.09</v>
      </c>
      <c r="C26">
        <v>896.23</v>
      </c>
      <c r="G26">
        <f t="shared" ref="G26:K26" si="32">SUMPRODUCT($B26:$B30,P$2:P$6)</f>
        <v>540.38117748576883</v>
      </c>
      <c r="H26">
        <f t="shared" si="32"/>
        <v>460.5428262102086</v>
      </c>
      <c r="I26">
        <f t="shared" si="32"/>
        <v>386.80160043756842</v>
      </c>
      <c r="J26">
        <f t="shared" si="32"/>
        <v>354.72636216296411</v>
      </c>
      <c r="K26">
        <f t="shared" si="32"/>
        <v>276.49359905336632</v>
      </c>
      <c r="L26">
        <f t="shared" si="7"/>
        <v>904.30940601267685</v>
      </c>
      <c r="M26">
        <f t="shared" si="8"/>
        <v>-12.8594060126768</v>
      </c>
      <c r="N26">
        <f t="shared" si="9"/>
        <v>165.36432299886823</v>
      </c>
    </row>
    <row r="27" spans="1:14" x14ac:dyDescent="0.45">
      <c r="A27" s="22">
        <v>42836</v>
      </c>
      <c r="B27">
        <v>907.04</v>
      </c>
      <c r="C27">
        <v>902.36</v>
      </c>
      <c r="G27">
        <f t="shared" ref="G27:K27" si="33">SUMPRODUCT($B27:$B31,P$2:P$6)</f>
        <v>542.61527961589957</v>
      </c>
      <c r="H27">
        <f t="shared" si="33"/>
        <v>462.43701326290864</v>
      </c>
      <c r="I27">
        <f t="shared" si="33"/>
        <v>388.39096266637193</v>
      </c>
      <c r="J27">
        <f t="shared" si="33"/>
        <v>356.16678420024635</v>
      </c>
      <c r="K27">
        <f t="shared" si="33"/>
        <v>277.62090650961164</v>
      </c>
      <c r="L27">
        <f t="shared" si="7"/>
        <v>908.01724532582386</v>
      </c>
      <c r="M27">
        <f t="shared" si="8"/>
        <v>-4.9272453258238329</v>
      </c>
      <c r="N27">
        <f t="shared" si="9"/>
        <v>24.27774650085281</v>
      </c>
    </row>
    <row r="28" spans="1:14" x14ac:dyDescent="0.45">
      <c r="A28" s="22">
        <v>42835</v>
      </c>
      <c r="B28">
        <v>899.63</v>
      </c>
      <c r="C28">
        <v>907.04</v>
      </c>
      <c r="G28">
        <f t="shared" ref="G28:K28" si="34">SUMPRODUCT($B28:$B32,P$2:P$6)</f>
        <v>538.46783829238825</v>
      </c>
      <c r="H28">
        <f t="shared" si="34"/>
        <v>458.98098407536384</v>
      </c>
      <c r="I28">
        <f t="shared" si="34"/>
        <v>385.51168299335637</v>
      </c>
      <c r="J28">
        <f t="shared" si="34"/>
        <v>353.59429593849728</v>
      </c>
      <c r="K28">
        <f t="shared" si="34"/>
        <v>275.58680714706287</v>
      </c>
      <c r="L28">
        <f t="shared" si="7"/>
        <v>901.2489316335251</v>
      </c>
      <c r="M28">
        <f t="shared" si="8"/>
        <v>5.7910683664748603</v>
      </c>
      <c r="N28">
        <f t="shared" si="9"/>
        <v>33.536472825185804</v>
      </c>
    </row>
    <row r="29" spans="1:14" x14ac:dyDescent="0.45">
      <c r="A29" s="22">
        <v>42832</v>
      </c>
      <c r="B29">
        <v>899.65</v>
      </c>
      <c r="C29">
        <v>894.88</v>
      </c>
      <c r="G29">
        <f t="shared" ref="G29:K29" si="35">SUMPRODUCT($B29:$B33,P$2:P$6)</f>
        <v>538.51978408289347</v>
      </c>
      <c r="H29">
        <f t="shared" si="35"/>
        <v>458.99419981973188</v>
      </c>
      <c r="I29">
        <f t="shared" si="35"/>
        <v>385.51128253617992</v>
      </c>
      <c r="J29">
        <f t="shared" si="35"/>
        <v>353.58118427094536</v>
      </c>
      <c r="K29">
        <f t="shared" si="35"/>
        <v>275.5864856966972</v>
      </c>
      <c r="L29">
        <f t="shared" si="7"/>
        <v>901.27907825261536</v>
      </c>
      <c r="M29">
        <f t="shared" si="8"/>
        <v>-1.649078252615368</v>
      </c>
      <c r="N29">
        <f t="shared" si="9"/>
        <v>2.7194590832489554</v>
      </c>
    </row>
    <row r="30" spans="1:14" x14ac:dyDescent="0.45">
      <c r="A30" s="22">
        <v>42831</v>
      </c>
      <c r="B30">
        <v>913.8</v>
      </c>
      <c r="C30">
        <v>898.28</v>
      </c>
      <c r="G30">
        <f t="shared" ref="G30:K30" si="36">SUMPRODUCT($B30:$B34,P$2:P$6)</f>
        <v>546.19137225856798</v>
      </c>
      <c r="H30">
        <f t="shared" si="36"/>
        <v>465.30266387158747</v>
      </c>
      <c r="I30">
        <f t="shared" si="36"/>
        <v>390.74078518439495</v>
      </c>
      <c r="J30">
        <f t="shared" si="36"/>
        <v>358.18216884216457</v>
      </c>
      <c r="K30">
        <f t="shared" si="36"/>
        <v>279.25690081712008</v>
      </c>
      <c r="L30">
        <f t="shared" si="7"/>
        <v>913.63020113190692</v>
      </c>
      <c r="M30">
        <f t="shared" si="8"/>
        <v>-13.980201131906938</v>
      </c>
      <c r="N30">
        <f t="shared" si="9"/>
        <v>195.44602368857204</v>
      </c>
    </row>
    <row r="31" spans="1:14" x14ac:dyDescent="0.45">
      <c r="A31" s="22">
        <v>42830</v>
      </c>
      <c r="B31">
        <v>910.82</v>
      </c>
      <c r="C31">
        <v>909.28</v>
      </c>
      <c r="G31">
        <f t="shared" ref="G31:K31" si="37">SUMPRODUCT($B31:$B35,P$2:P$6)</f>
        <v>543.81049347175076</v>
      </c>
      <c r="H31">
        <f t="shared" si="37"/>
        <v>463.11187595374713</v>
      </c>
      <c r="I31">
        <f t="shared" si="37"/>
        <v>388.85286367465841</v>
      </c>
      <c r="J31">
        <f t="shared" si="37"/>
        <v>356.31014786716219</v>
      </c>
      <c r="K31">
        <f t="shared" si="37"/>
        <v>277.85734572951549</v>
      </c>
      <c r="L31">
        <f t="shared" si="7"/>
        <v>909.32692662599879</v>
      </c>
      <c r="M31">
        <f t="shared" si="8"/>
        <v>4.4730733740011601</v>
      </c>
      <c r="N31">
        <f t="shared" si="9"/>
        <v>20.008385409198123</v>
      </c>
    </row>
    <row r="32" spans="1:14" x14ac:dyDescent="0.45">
      <c r="A32" s="22">
        <v>42829</v>
      </c>
      <c r="B32">
        <v>891.5</v>
      </c>
      <c r="C32">
        <v>906.83</v>
      </c>
      <c r="G32">
        <f t="shared" ref="G32:K32" si="38">SUMPRODUCT($B32:$B36,P$2:P$6)</f>
        <v>533.00244583583276</v>
      </c>
      <c r="H32">
        <f t="shared" si="38"/>
        <v>454.11910215911792</v>
      </c>
      <c r="I32">
        <f t="shared" si="38"/>
        <v>381.36555706437207</v>
      </c>
      <c r="J32">
        <f t="shared" si="38"/>
        <v>349.62867826900327</v>
      </c>
      <c r="K32">
        <f t="shared" si="38"/>
        <v>272.5694514373485</v>
      </c>
      <c r="L32">
        <f t="shared" si="7"/>
        <v>891.71450408537657</v>
      </c>
      <c r="M32">
        <f t="shared" si="8"/>
        <v>19.105495914623475</v>
      </c>
      <c r="N32">
        <f t="shared" si="9"/>
        <v>365.0199741436943</v>
      </c>
    </row>
    <row r="33" spans="1:14" x14ac:dyDescent="0.45">
      <c r="A33" s="22">
        <v>42828</v>
      </c>
      <c r="B33">
        <v>888</v>
      </c>
      <c r="C33">
        <v>891.51</v>
      </c>
      <c r="G33">
        <f t="shared" ref="G33:K33" si="39">SUMPRODUCT($B33:$B37,P$2:P$6)</f>
        <v>530.47560713019016</v>
      </c>
      <c r="H33">
        <f t="shared" si="39"/>
        <v>451.83469336575644</v>
      </c>
      <c r="I33">
        <f t="shared" si="39"/>
        <v>379.4073648855358</v>
      </c>
      <c r="J33">
        <f t="shared" si="39"/>
        <v>347.72372813983111</v>
      </c>
      <c r="K33">
        <f t="shared" si="39"/>
        <v>271.13236846322178</v>
      </c>
      <c r="L33">
        <f t="shared" si="7"/>
        <v>887.23167851497783</v>
      </c>
      <c r="M33">
        <f t="shared" si="8"/>
        <v>4.2683214850221702</v>
      </c>
      <c r="N33">
        <f t="shared" si="9"/>
        <v>18.218568299501865</v>
      </c>
    </row>
    <row r="34" spans="1:14" x14ac:dyDescent="0.45">
      <c r="A34" s="22">
        <v>42825</v>
      </c>
      <c r="B34">
        <v>877</v>
      </c>
      <c r="C34">
        <v>886.54</v>
      </c>
      <c r="G34">
        <f t="shared" ref="G34:K34" si="40">SUMPRODUCT($B34:$B38,P$2:P$6)</f>
        <v>524.20902620244897</v>
      </c>
      <c r="H34">
        <f t="shared" si="40"/>
        <v>446.57806762622067</v>
      </c>
      <c r="I34">
        <f t="shared" si="40"/>
        <v>375.01728169493208</v>
      </c>
      <c r="J34">
        <f t="shared" si="40"/>
        <v>343.77127581441164</v>
      </c>
      <c r="K34">
        <f t="shared" si="40"/>
        <v>268.02055604235068</v>
      </c>
      <c r="L34">
        <f t="shared" si="7"/>
        <v>876.93533333419555</v>
      </c>
      <c r="M34">
        <f t="shared" si="8"/>
        <v>11.064666665804452</v>
      </c>
      <c r="N34">
        <f t="shared" si="9"/>
        <v>122.42684842536421</v>
      </c>
    </row>
    <row r="35" spans="1:14" x14ac:dyDescent="0.45">
      <c r="A35" s="22">
        <v>42824</v>
      </c>
      <c r="B35">
        <v>874.95</v>
      </c>
      <c r="C35">
        <v>876.34</v>
      </c>
      <c r="G35">
        <f t="shared" ref="G35:K35" si="41">SUMPRODUCT($B35:$B39,P$2:P$6)</f>
        <v>522.38796217797562</v>
      </c>
      <c r="H35">
        <f t="shared" si="41"/>
        <v>444.85759891393258</v>
      </c>
      <c r="I35">
        <f t="shared" si="41"/>
        <v>373.52193448710153</v>
      </c>
      <c r="J35">
        <f t="shared" si="41"/>
        <v>342.25599248031807</v>
      </c>
      <c r="K35">
        <f t="shared" si="41"/>
        <v>266.90127948642402</v>
      </c>
      <c r="L35">
        <f t="shared" si="7"/>
        <v>873.55447480710552</v>
      </c>
      <c r="M35">
        <f t="shared" si="8"/>
        <v>3.445525192894479</v>
      </c>
      <c r="N35">
        <f t="shared" si="9"/>
        <v>11.871643854870538</v>
      </c>
    </row>
    <row r="36" spans="1:14" x14ac:dyDescent="0.45">
      <c r="A36" s="22">
        <v>42823</v>
      </c>
      <c r="B36">
        <v>859.05</v>
      </c>
      <c r="C36">
        <v>874.32</v>
      </c>
      <c r="G36">
        <f t="shared" ref="G36:K36" si="42">SUMPRODUCT($B36:$B40,P$2:P$6)</f>
        <v>513.648539740606</v>
      </c>
      <c r="H36">
        <f t="shared" si="42"/>
        <v>437.65900800764217</v>
      </c>
      <c r="I36">
        <f t="shared" si="42"/>
        <v>367.55215196943988</v>
      </c>
      <c r="J36">
        <f t="shared" si="42"/>
        <v>336.98475412079341</v>
      </c>
      <c r="K36">
        <f t="shared" si="42"/>
        <v>262.70203558174387</v>
      </c>
      <c r="L36">
        <f t="shared" si="7"/>
        <v>859.45640918404649</v>
      </c>
      <c r="M36">
        <f t="shared" si="8"/>
        <v>15.493590815953553</v>
      </c>
      <c r="N36">
        <f t="shared" si="9"/>
        <v>240.05135637220027</v>
      </c>
    </row>
    <row r="37" spans="1:14" x14ac:dyDescent="0.45">
      <c r="A37" s="22">
        <v>42822</v>
      </c>
      <c r="B37">
        <v>851.75</v>
      </c>
      <c r="C37">
        <v>856</v>
      </c>
      <c r="G37">
        <f t="shared" ref="G37:K37" si="43">SUMPRODUCT($B37:$B41,P$2:P$6)</f>
        <v>509.17358348491911</v>
      </c>
      <c r="H37">
        <f t="shared" si="43"/>
        <v>433.82731766118872</v>
      </c>
      <c r="I37">
        <f t="shared" si="43"/>
        <v>364.3292851765234</v>
      </c>
      <c r="J37">
        <f t="shared" si="43"/>
        <v>334.00982704510363</v>
      </c>
      <c r="K37">
        <f t="shared" si="43"/>
        <v>260.39020661216927</v>
      </c>
      <c r="L37">
        <f t="shared" si="7"/>
        <v>851.94454492611465</v>
      </c>
      <c r="M37">
        <f t="shared" si="8"/>
        <v>7.1054550738853095</v>
      </c>
      <c r="N37">
        <f t="shared" si="9"/>
        <v>50.487491807002492</v>
      </c>
    </row>
    <row r="38" spans="1:14" x14ac:dyDescent="0.45">
      <c r="A38" s="22">
        <v>42821</v>
      </c>
      <c r="B38">
        <v>838.07</v>
      </c>
      <c r="C38">
        <v>846.82</v>
      </c>
      <c r="G38">
        <f t="shared" ref="G38:K38" si="44">SUMPRODUCT($B38:$B42,P$2:P$6)</f>
        <v>501.85127991366284</v>
      </c>
      <c r="H38">
        <f t="shared" si="44"/>
        <v>427.8082839363276</v>
      </c>
      <c r="I38">
        <f t="shared" si="44"/>
        <v>359.33896300612878</v>
      </c>
      <c r="J38">
        <f t="shared" si="44"/>
        <v>329.63009799880706</v>
      </c>
      <c r="K38">
        <f t="shared" si="44"/>
        <v>256.89430996788616</v>
      </c>
      <c r="L38">
        <f t="shared" si="7"/>
        <v>840.1640412194688</v>
      </c>
      <c r="M38">
        <f t="shared" si="8"/>
        <v>11.5859587805312</v>
      </c>
      <c r="N38">
        <f t="shared" si="9"/>
        <v>134.23444086416802</v>
      </c>
    </row>
    <row r="39" spans="1:14" x14ac:dyDescent="0.45">
      <c r="A39" s="22">
        <v>42818</v>
      </c>
      <c r="B39">
        <v>851.68</v>
      </c>
      <c r="C39">
        <v>845.61</v>
      </c>
      <c r="G39">
        <f t="shared" ref="G39:K39" si="45">SUMPRODUCT($B39:$B43,P$2:P$6)</f>
        <v>509.6084812677974</v>
      </c>
      <c r="H39">
        <f t="shared" si="45"/>
        <v>434.33598208465116</v>
      </c>
      <c r="I39">
        <f t="shared" si="45"/>
        <v>364.79790609272453</v>
      </c>
      <c r="J39">
        <f t="shared" si="45"/>
        <v>334.55657517726439</v>
      </c>
      <c r="K39">
        <f t="shared" si="45"/>
        <v>260.76582739602577</v>
      </c>
      <c r="L39">
        <f t="shared" si="7"/>
        <v>852.94850201238501</v>
      </c>
      <c r="M39">
        <f t="shared" si="8"/>
        <v>-14.878502012384956</v>
      </c>
      <c r="N39">
        <f t="shared" si="9"/>
        <v>221.36982213254319</v>
      </c>
    </row>
    <row r="40" spans="1:14" x14ac:dyDescent="0.45">
      <c r="A40" s="22">
        <v>42817</v>
      </c>
      <c r="B40">
        <v>848.2</v>
      </c>
      <c r="C40">
        <v>847.38</v>
      </c>
      <c r="G40">
        <f t="shared" ref="G40:K40" si="46">SUMPRODUCT($B40:$B44,P$2:P$6)</f>
        <v>507.33769224388783</v>
      </c>
      <c r="H40">
        <f t="shared" si="46"/>
        <v>432.34692156803874</v>
      </c>
      <c r="I40">
        <f t="shared" si="46"/>
        <v>363.1112346622109</v>
      </c>
      <c r="J40">
        <f t="shared" si="46"/>
        <v>332.96394617174047</v>
      </c>
      <c r="K40">
        <f t="shared" si="46"/>
        <v>259.54415559635783</v>
      </c>
      <c r="L40">
        <f t="shared" si="7"/>
        <v>849.04756082884001</v>
      </c>
      <c r="M40">
        <f t="shared" si="8"/>
        <v>2.6324391711599446</v>
      </c>
      <c r="N40">
        <f t="shared" si="9"/>
        <v>6.9297359898572566</v>
      </c>
    </row>
    <row r="41" spans="1:14" x14ac:dyDescent="0.45">
      <c r="A41" s="22">
        <v>42816</v>
      </c>
      <c r="B41">
        <v>840.43</v>
      </c>
      <c r="C41">
        <v>848.06</v>
      </c>
      <c r="G41">
        <f t="shared" ref="G41:K41" si="47">SUMPRODUCT($B41:$B45,P$2:P$6)</f>
        <v>503.59043733191743</v>
      </c>
      <c r="H41">
        <f t="shared" si="47"/>
        <v>429.39223597944772</v>
      </c>
      <c r="I41">
        <f t="shared" si="47"/>
        <v>360.70018436214082</v>
      </c>
      <c r="J41">
        <f t="shared" si="47"/>
        <v>330.96242532765967</v>
      </c>
      <c r="K41">
        <f t="shared" si="47"/>
        <v>257.89578324562819</v>
      </c>
      <c r="L41">
        <f t="shared" si="7"/>
        <v>843.27245804023187</v>
      </c>
      <c r="M41">
        <f t="shared" si="8"/>
        <v>4.9275419597681775</v>
      </c>
      <c r="N41">
        <f t="shared" si="9"/>
        <v>24.280669765276013</v>
      </c>
    </row>
    <row r="42" spans="1:14" x14ac:dyDescent="0.45">
      <c r="A42" s="22">
        <v>42815</v>
      </c>
      <c r="B42">
        <v>858.84</v>
      </c>
      <c r="C42">
        <v>843.2</v>
      </c>
      <c r="G42">
        <f t="shared" ref="G42:K42" si="48">SUMPRODUCT($B42:$B46,P$2:P$6)</f>
        <v>513.59159938046469</v>
      </c>
      <c r="H42">
        <f t="shared" si="48"/>
        <v>437.6351944364003</v>
      </c>
      <c r="I42">
        <f t="shared" si="48"/>
        <v>367.53980772134366</v>
      </c>
      <c r="J42">
        <f t="shared" si="48"/>
        <v>336.99284730652886</v>
      </c>
      <c r="K42">
        <f t="shared" si="48"/>
        <v>262.69945482021092</v>
      </c>
      <c r="L42">
        <f t="shared" si="7"/>
        <v>859.41034648648667</v>
      </c>
      <c r="M42">
        <f t="shared" si="8"/>
        <v>-18.980346486486724</v>
      </c>
      <c r="N42">
        <f t="shared" si="9"/>
        <v>360.25355274708892</v>
      </c>
    </row>
    <row r="43" spans="1:14" x14ac:dyDescent="0.45">
      <c r="A43" s="22">
        <v>42814</v>
      </c>
      <c r="B43">
        <v>851.51</v>
      </c>
      <c r="C43">
        <v>856.97</v>
      </c>
      <c r="G43">
        <f t="shared" ref="G43:K43" si="49">SUMPRODUCT($B43:$B47,P$2:P$6)</f>
        <v>509.57910167613556</v>
      </c>
      <c r="H43">
        <f t="shared" si="49"/>
        <v>434.31932610039371</v>
      </c>
      <c r="I43">
        <f t="shared" si="49"/>
        <v>364.78578471422429</v>
      </c>
      <c r="J43">
        <f t="shared" si="49"/>
        <v>334.55656647724447</v>
      </c>
      <c r="K43">
        <f t="shared" si="49"/>
        <v>260.76231122127109</v>
      </c>
      <c r="L43">
        <f t="shared" si="7"/>
        <v>852.91801009434801</v>
      </c>
      <c r="M43">
        <f t="shared" si="8"/>
        <v>5.9219899056520262</v>
      </c>
      <c r="N43">
        <f t="shared" si="9"/>
        <v>35.069964442644498</v>
      </c>
    </row>
    <row r="44" spans="1:14" x14ac:dyDescent="0.45">
      <c r="A44" s="22">
        <v>42811</v>
      </c>
      <c r="B44">
        <v>853.49</v>
      </c>
      <c r="C44">
        <v>852.31</v>
      </c>
      <c r="G44">
        <f t="shared" ref="G44:K44" si="50">SUMPRODUCT($B44:$B48,P$2:P$6)</f>
        <v>510.70895429052842</v>
      </c>
      <c r="H44">
        <f t="shared" si="50"/>
        <v>435.26314991423862</v>
      </c>
      <c r="I44">
        <f t="shared" si="50"/>
        <v>365.57259342867314</v>
      </c>
      <c r="J44">
        <f t="shared" si="50"/>
        <v>335.26296021301027</v>
      </c>
      <c r="K44">
        <f t="shared" si="50"/>
        <v>261.31979910799907</v>
      </c>
      <c r="L44">
        <f t="shared" si="7"/>
        <v>854.76712547413103</v>
      </c>
      <c r="M44">
        <f t="shared" si="8"/>
        <v>-3.257125474131044</v>
      </c>
      <c r="N44">
        <f t="shared" si="9"/>
        <v>10.608866354233378</v>
      </c>
    </row>
    <row r="45" spans="1:14" x14ac:dyDescent="0.45">
      <c r="A45" s="22">
        <v>42810</v>
      </c>
      <c r="B45">
        <v>855.3</v>
      </c>
      <c r="C45">
        <v>853.42</v>
      </c>
      <c r="G45">
        <f t="shared" ref="G45:K45" si="51">SUMPRODUCT($B45:$B49,P$2:P$6)</f>
        <v>511.64978001269969</v>
      </c>
      <c r="H45">
        <f t="shared" si="51"/>
        <v>436.022984988036</v>
      </c>
      <c r="I45">
        <f t="shared" si="51"/>
        <v>366.19812580935991</v>
      </c>
      <c r="J45">
        <f t="shared" si="51"/>
        <v>335.80129107762656</v>
      </c>
      <c r="K45">
        <f t="shared" si="51"/>
        <v>261.75475424362395</v>
      </c>
      <c r="L45">
        <f t="shared" si="7"/>
        <v>856.25416132224461</v>
      </c>
      <c r="M45">
        <f t="shared" si="8"/>
        <v>-2.764161322244604</v>
      </c>
      <c r="N45">
        <f t="shared" si="9"/>
        <v>7.6405878153930376</v>
      </c>
    </row>
    <row r="46" spans="1:14" x14ac:dyDescent="0.45">
      <c r="A46" s="22">
        <v>42809</v>
      </c>
      <c r="B46">
        <v>854.33</v>
      </c>
      <c r="C46">
        <v>852.97</v>
      </c>
      <c r="G46">
        <f t="shared" ref="G46:K46" si="52">SUMPRODUCT($B46:$B50,P$2:P$6)</f>
        <v>511.18723727123728</v>
      </c>
      <c r="H46">
        <f t="shared" si="52"/>
        <v>435.670375369223</v>
      </c>
      <c r="I46">
        <f t="shared" si="52"/>
        <v>365.91483892664132</v>
      </c>
      <c r="J46">
        <f t="shared" si="52"/>
        <v>335.57437140441129</v>
      </c>
      <c r="K46">
        <f t="shared" si="52"/>
        <v>261.56290615753352</v>
      </c>
      <c r="L46">
        <f t="shared" si="7"/>
        <v>855.56425387039963</v>
      </c>
      <c r="M46">
        <f t="shared" si="8"/>
        <v>-0.26425387039967063</v>
      </c>
      <c r="N46">
        <f t="shared" si="9"/>
        <v>6.9830108021205928E-2</v>
      </c>
    </row>
    <row r="47" spans="1:14" x14ac:dyDescent="0.45">
      <c r="A47" s="22">
        <v>42808</v>
      </c>
      <c r="B47">
        <v>853.55</v>
      </c>
      <c r="C47">
        <v>852.53</v>
      </c>
      <c r="G47">
        <f t="shared" ref="G47:K47" si="53">SUMPRODUCT($B47:$B51,P$2:P$6)</f>
        <v>510.59809709381801</v>
      </c>
      <c r="H47">
        <f t="shared" si="53"/>
        <v>435.12763318996423</v>
      </c>
      <c r="I47">
        <f t="shared" si="53"/>
        <v>365.44653939329419</v>
      </c>
      <c r="J47">
        <f t="shared" si="53"/>
        <v>335.11211414940277</v>
      </c>
      <c r="K47">
        <f t="shared" si="53"/>
        <v>261.21730036364494</v>
      </c>
      <c r="L47">
        <f t="shared" si="7"/>
        <v>854.49923697697682</v>
      </c>
      <c r="M47">
        <f t="shared" si="8"/>
        <v>-0.16923697697677653</v>
      </c>
      <c r="N47">
        <f t="shared" si="9"/>
        <v>2.8641154376237991E-2</v>
      </c>
    </row>
    <row r="48" spans="1:14" x14ac:dyDescent="0.45">
      <c r="A48" s="22">
        <v>42807</v>
      </c>
      <c r="B48">
        <v>851.77</v>
      </c>
      <c r="C48">
        <v>854.59</v>
      </c>
      <c r="G48">
        <f t="shared" ref="G48:K48" si="54">SUMPRODUCT($B48:$B52,P$2:P$6)</f>
        <v>509.7049761412818</v>
      </c>
      <c r="H48">
        <f t="shared" si="54"/>
        <v>434.40552795134079</v>
      </c>
      <c r="I48">
        <f t="shared" si="54"/>
        <v>364.85122593658059</v>
      </c>
      <c r="J48">
        <f t="shared" si="54"/>
        <v>334.60269101710122</v>
      </c>
      <c r="K48">
        <f t="shared" si="54"/>
        <v>260.8055515822283</v>
      </c>
      <c r="L48">
        <f t="shared" si="7"/>
        <v>853.08757367693727</v>
      </c>
      <c r="M48">
        <f t="shared" si="8"/>
        <v>0.46242632306268661</v>
      </c>
      <c r="N48">
        <f t="shared" si="9"/>
        <v>0.2138381042612762</v>
      </c>
    </row>
    <row r="49" spans="1:14" x14ac:dyDescent="0.45">
      <c r="A49" s="22">
        <v>42804</v>
      </c>
      <c r="B49">
        <v>857</v>
      </c>
      <c r="C49">
        <v>852.46</v>
      </c>
      <c r="G49">
        <f t="shared" ref="G49:K49" si="55">SUMPRODUCT($B49:$B53,P$2:P$6)</f>
        <v>512.38262637946002</v>
      </c>
      <c r="H49">
        <f t="shared" si="55"/>
        <v>436.56186607257314</v>
      </c>
      <c r="I49">
        <f t="shared" si="55"/>
        <v>366.62484915639897</v>
      </c>
      <c r="J49">
        <f t="shared" si="55"/>
        <v>336.12106730126686</v>
      </c>
      <c r="K49">
        <f t="shared" si="55"/>
        <v>262.03527512274923</v>
      </c>
      <c r="L49">
        <f t="shared" si="7"/>
        <v>857.30629004757759</v>
      </c>
      <c r="M49">
        <f t="shared" si="8"/>
        <v>-5.5362900475776087</v>
      </c>
      <c r="N49">
        <f t="shared" si="9"/>
        <v>30.650507490906879</v>
      </c>
    </row>
    <row r="50" spans="1:14" x14ac:dyDescent="0.45">
      <c r="A50" s="22">
        <v>42803</v>
      </c>
      <c r="B50">
        <v>851</v>
      </c>
      <c r="C50">
        <v>853</v>
      </c>
      <c r="G50">
        <f t="shared" ref="G50:K50" si="56">SUMPRODUCT($B50:$B54,P$2:P$6)</f>
        <v>508.98015749390339</v>
      </c>
      <c r="H50">
        <f t="shared" si="56"/>
        <v>433.71962661414761</v>
      </c>
      <c r="I50">
        <f t="shared" si="56"/>
        <v>364.25512282428849</v>
      </c>
      <c r="J50">
        <f t="shared" si="56"/>
        <v>333.9956011144867</v>
      </c>
      <c r="K50">
        <f t="shared" si="56"/>
        <v>260.35760578864665</v>
      </c>
      <c r="L50">
        <f t="shared" si="7"/>
        <v>851.73873576107144</v>
      </c>
      <c r="M50">
        <f t="shared" si="8"/>
        <v>5.2612642389285611</v>
      </c>
      <c r="N50">
        <f t="shared" si="9"/>
        <v>27.680901391828531</v>
      </c>
    </row>
    <row r="51" spans="1:14" x14ac:dyDescent="0.45">
      <c r="A51" s="22">
        <v>42802</v>
      </c>
      <c r="B51">
        <v>848</v>
      </c>
      <c r="C51">
        <v>850.5</v>
      </c>
      <c r="G51">
        <f t="shared" ref="G51:K51" si="57">SUMPRODUCT($B51:$B55,P$2:P$6)</f>
        <v>507.28872625658869</v>
      </c>
      <c r="H51">
        <f t="shared" si="57"/>
        <v>432.31365037210952</v>
      </c>
      <c r="I51">
        <f t="shared" si="57"/>
        <v>363.0852153954354</v>
      </c>
      <c r="J51">
        <f t="shared" si="57"/>
        <v>332.95107955583632</v>
      </c>
      <c r="K51">
        <f t="shared" si="57"/>
        <v>259.53061616487247</v>
      </c>
      <c r="L51">
        <f t="shared" si="7"/>
        <v>848.98444185478309</v>
      </c>
      <c r="M51">
        <f t="shared" si="8"/>
        <v>2.0155581452169145</v>
      </c>
      <c r="N51">
        <f t="shared" si="9"/>
        <v>4.062474636750248</v>
      </c>
    </row>
    <row r="52" spans="1:14" x14ac:dyDescent="0.45">
      <c r="A52" s="22">
        <v>42801</v>
      </c>
      <c r="B52">
        <v>845.48</v>
      </c>
      <c r="C52">
        <v>846.02</v>
      </c>
      <c r="G52">
        <f t="shared" ref="G52:K52" si="58">SUMPRODUCT($B52:$B56,P$2:P$6)</f>
        <v>505.996308038233</v>
      </c>
      <c r="H52">
        <f t="shared" si="58"/>
        <v>431.28203561616681</v>
      </c>
      <c r="I52">
        <f t="shared" si="58"/>
        <v>362.2401190476877</v>
      </c>
      <c r="J52">
        <f t="shared" si="58"/>
        <v>332.23289045034863</v>
      </c>
      <c r="K52">
        <f t="shared" si="58"/>
        <v>258.94549338313681</v>
      </c>
      <c r="L52">
        <f t="shared" si="7"/>
        <v>846.96530461336079</v>
      </c>
      <c r="M52">
        <f t="shared" si="8"/>
        <v>1.0346953866392141</v>
      </c>
      <c r="N52">
        <f t="shared" si="9"/>
        <v>1.0705945431324728</v>
      </c>
    </row>
    <row r="53" spans="1:14" x14ac:dyDescent="0.45">
      <c r="A53" s="22">
        <v>42800</v>
      </c>
      <c r="B53">
        <v>845.23</v>
      </c>
      <c r="C53">
        <v>846.61</v>
      </c>
      <c r="G53">
        <f t="shared" ref="G53:K53" si="59">SUMPRODUCT($B53:$B57,P$2:P$6)</f>
        <v>505.91217164036607</v>
      </c>
      <c r="H53">
        <f t="shared" si="59"/>
        <v>431.22664448486285</v>
      </c>
      <c r="I53">
        <f t="shared" si="59"/>
        <v>362.19835588778818</v>
      </c>
      <c r="J53">
        <f t="shared" si="59"/>
        <v>332.20925832164187</v>
      </c>
      <c r="K53">
        <f t="shared" si="59"/>
        <v>258.92100539055764</v>
      </c>
      <c r="L53">
        <f t="shared" si="7"/>
        <v>846.85795215926862</v>
      </c>
      <c r="M53">
        <f t="shared" si="8"/>
        <v>-1.3779521592686024</v>
      </c>
      <c r="N53">
        <f t="shared" si="9"/>
        <v>1.8987521532330036</v>
      </c>
    </row>
    <row r="54" spans="1:14" x14ac:dyDescent="0.45">
      <c r="A54" s="22">
        <v>42797</v>
      </c>
      <c r="B54">
        <v>847.2</v>
      </c>
      <c r="C54">
        <v>849.88</v>
      </c>
      <c r="G54">
        <f t="shared" ref="G54:K54" si="60">SUMPRODUCT($B54:$B58,P$2:P$6)</f>
        <v>507.13426752681545</v>
      </c>
      <c r="H54">
        <f t="shared" si="60"/>
        <v>432.27116258882097</v>
      </c>
      <c r="I54">
        <f t="shared" si="60"/>
        <v>363.07603660007578</v>
      </c>
      <c r="J54">
        <f t="shared" si="60"/>
        <v>333.01972755905126</v>
      </c>
      <c r="K54">
        <f t="shared" si="60"/>
        <v>259.55130946371276</v>
      </c>
      <c r="L54">
        <f t="shared" si="7"/>
        <v>848.90641347774522</v>
      </c>
      <c r="M54">
        <f t="shared" si="8"/>
        <v>-3.6764134777452</v>
      </c>
      <c r="N54">
        <f t="shared" si="9"/>
        <v>13.516016059346557</v>
      </c>
    </row>
    <row r="55" spans="1:14" x14ac:dyDescent="0.45">
      <c r="A55" s="22">
        <v>42796</v>
      </c>
      <c r="B55">
        <v>853.08</v>
      </c>
      <c r="C55">
        <v>848.91</v>
      </c>
      <c r="G55">
        <f t="shared" ref="G55:K55" si="61">SUMPRODUCT($B55:$B59,P$2:P$6)</f>
        <v>510.21735762020671</v>
      </c>
      <c r="H55">
        <f t="shared" si="61"/>
        <v>434.76187597595094</v>
      </c>
      <c r="I55">
        <f t="shared" si="61"/>
        <v>365.1263285932713</v>
      </c>
      <c r="J55">
        <f t="shared" si="61"/>
        <v>334.78744566600074</v>
      </c>
      <c r="K55">
        <f t="shared" si="61"/>
        <v>260.97892001055669</v>
      </c>
      <c r="L55">
        <f t="shared" si="7"/>
        <v>853.78203101907138</v>
      </c>
      <c r="M55">
        <f t="shared" si="8"/>
        <v>-6.5820310190713371</v>
      </c>
      <c r="N55">
        <f t="shared" si="9"/>
        <v>43.323132336017267</v>
      </c>
    </row>
    <row r="56" spans="1:14" x14ac:dyDescent="0.45">
      <c r="A56" s="22">
        <v>42795</v>
      </c>
      <c r="B56">
        <v>853.05</v>
      </c>
      <c r="C56">
        <v>853.08</v>
      </c>
      <c r="G56">
        <f t="shared" ref="G56:K56" si="62">SUMPRODUCT($B56:$B60,P$2:P$6)</f>
        <v>510.19843571448087</v>
      </c>
      <c r="H56">
        <f t="shared" si="62"/>
        <v>434.75044415081038</v>
      </c>
      <c r="I56">
        <f t="shared" si="62"/>
        <v>365.11838686235791</v>
      </c>
      <c r="J56">
        <f t="shared" si="62"/>
        <v>334.78255654751808</v>
      </c>
      <c r="K56">
        <f t="shared" si="62"/>
        <v>260.97356384754619</v>
      </c>
      <c r="L56">
        <f t="shared" si="7"/>
        <v>853.75918382832162</v>
      </c>
      <c r="M56">
        <f t="shared" si="8"/>
        <v>-0.67918382832158386</v>
      </c>
      <c r="N56">
        <f t="shared" si="9"/>
        <v>0.46129067265356272</v>
      </c>
    </row>
    <row r="57" spans="1:14" x14ac:dyDescent="0.45">
      <c r="A57" s="22">
        <v>42794</v>
      </c>
      <c r="B57">
        <v>851.45</v>
      </c>
      <c r="C57">
        <v>845.04</v>
      </c>
      <c r="G57">
        <f t="shared" ref="G57:K57" si="63">SUMPRODUCT($B57:$B61,P$2:P$6)</f>
        <v>509.29725752296468</v>
      </c>
      <c r="H57">
        <f t="shared" si="63"/>
        <v>434.02651047137408</v>
      </c>
      <c r="I57">
        <f t="shared" si="63"/>
        <v>364.52502368341192</v>
      </c>
      <c r="J57">
        <f t="shared" si="63"/>
        <v>334.26691363631141</v>
      </c>
      <c r="K57">
        <f t="shared" si="63"/>
        <v>260.55645424292294</v>
      </c>
      <c r="L57">
        <f t="shared" si="7"/>
        <v>852.33890976957468</v>
      </c>
      <c r="M57">
        <f t="shared" si="8"/>
        <v>0.71109023042527042</v>
      </c>
      <c r="N57">
        <f t="shared" si="9"/>
        <v>0.50564931580626415</v>
      </c>
    </row>
    <row r="58" spans="1:14" x14ac:dyDescent="0.45">
      <c r="A58" s="22">
        <v>42793</v>
      </c>
      <c r="B58">
        <v>842.38</v>
      </c>
      <c r="C58">
        <v>848.64</v>
      </c>
      <c r="G58">
        <f t="shared" ref="G58:K58" si="64">SUMPRODUCT($B58:$B62,P$2:P$6)</f>
        <v>504.33893013813451</v>
      </c>
      <c r="H58">
        <f t="shared" si="64"/>
        <v>429.93203108968186</v>
      </c>
      <c r="I58">
        <f t="shared" si="64"/>
        <v>361.12529654711921</v>
      </c>
      <c r="J58">
        <f t="shared" si="64"/>
        <v>331.26180240517664</v>
      </c>
      <c r="K58">
        <f t="shared" si="64"/>
        <v>258.16586179361195</v>
      </c>
      <c r="L58">
        <f t="shared" si="7"/>
        <v>844.32212184178513</v>
      </c>
      <c r="M58">
        <f t="shared" si="8"/>
        <v>7.1278781582149122</v>
      </c>
      <c r="N58">
        <f t="shared" si="9"/>
        <v>50.806647038357212</v>
      </c>
    </row>
    <row r="59" spans="1:14" x14ac:dyDescent="0.45">
      <c r="A59" s="22">
        <v>42790</v>
      </c>
      <c r="B59">
        <v>844.69</v>
      </c>
      <c r="C59">
        <v>845.24</v>
      </c>
      <c r="G59">
        <f t="shared" ref="G59:K59" si="65">SUMPRODUCT($B59:$B63,P$2:P$6)</f>
        <v>505.8244326826167</v>
      </c>
      <c r="H59">
        <f t="shared" si="65"/>
        <v>431.20113504465735</v>
      </c>
      <c r="I59">
        <f t="shared" si="65"/>
        <v>362.19074607803009</v>
      </c>
      <c r="J59">
        <f t="shared" si="65"/>
        <v>332.25004985768868</v>
      </c>
      <c r="K59">
        <f t="shared" si="65"/>
        <v>258.93410339938356</v>
      </c>
      <c r="L59">
        <f t="shared" si="7"/>
        <v>846.81308577711684</v>
      </c>
      <c r="M59">
        <f t="shared" si="8"/>
        <v>-4.4330857771168439</v>
      </c>
      <c r="N59">
        <f t="shared" si="9"/>
        <v>19.652249507275652</v>
      </c>
    </row>
    <row r="60" spans="1:14" x14ac:dyDescent="0.45">
      <c r="A60" s="22">
        <v>42789</v>
      </c>
      <c r="B60">
        <v>857.57</v>
      </c>
      <c r="C60">
        <v>852.19</v>
      </c>
      <c r="G60">
        <f t="shared" ref="G60:K60" si="66">SUMPRODUCT($B60:$B64,P$2:P$6)</f>
        <v>512.79905234271996</v>
      </c>
      <c r="H60">
        <f t="shared" si="66"/>
        <v>436.92648933524822</v>
      </c>
      <c r="I60">
        <f t="shared" si="66"/>
        <v>366.93338778849846</v>
      </c>
      <c r="J60">
        <f t="shared" si="66"/>
        <v>336.41611269524412</v>
      </c>
      <c r="K60">
        <f t="shared" si="66"/>
        <v>262.26127100436719</v>
      </c>
      <c r="L60">
        <f t="shared" si="7"/>
        <v>858.02301966963046</v>
      </c>
      <c r="M60">
        <f t="shared" si="8"/>
        <v>-13.333019669630403</v>
      </c>
      <c r="N60">
        <f t="shared" si="9"/>
        <v>177.76941351075121</v>
      </c>
    </row>
    <row r="61" spans="1:14" x14ac:dyDescent="0.45">
      <c r="A61" s="22">
        <v>42788</v>
      </c>
      <c r="B61">
        <v>856.95</v>
      </c>
      <c r="C61">
        <v>855.61</v>
      </c>
      <c r="G61">
        <f t="shared" ref="G61:K61" si="67">SUMPRODUCT($B61:$B65,P$2:P$6)</f>
        <v>512.22912737951219</v>
      </c>
      <c r="H61">
        <f t="shared" si="67"/>
        <v>436.39355038865926</v>
      </c>
      <c r="I61">
        <f t="shared" si="67"/>
        <v>366.47215261066657</v>
      </c>
      <c r="J61">
        <f t="shared" si="67"/>
        <v>335.94979862429881</v>
      </c>
      <c r="K61">
        <f t="shared" si="67"/>
        <v>261.91545362239566</v>
      </c>
      <c r="L61">
        <f t="shared" si="7"/>
        <v>856.97474471535224</v>
      </c>
      <c r="M61">
        <f t="shared" si="8"/>
        <v>0.59525528464780564</v>
      </c>
      <c r="N61">
        <f t="shared" si="9"/>
        <v>0.35432885390114011</v>
      </c>
    </row>
    <row r="62" spans="1:14" x14ac:dyDescent="0.45">
      <c r="A62" s="22">
        <v>42787</v>
      </c>
      <c r="B62">
        <v>848.84</v>
      </c>
      <c r="C62">
        <v>856.44</v>
      </c>
      <c r="G62">
        <f t="shared" ref="G62:K62" si="68">SUMPRODUCT($B62:$B66,P$2:P$6)</f>
        <v>507.41682982661825</v>
      </c>
      <c r="H62">
        <f t="shared" si="68"/>
        <v>432.30255567963616</v>
      </c>
      <c r="I62">
        <f t="shared" si="68"/>
        <v>363.03921592610226</v>
      </c>
      <c r="J62">
        <f t="shared" si="68"/>
        <v>332.810725293671</v>
      </c>
      <c r="K62">
        <f t="shared" si="68"/>
        <v>259.46485565677875</v>
      </c>
      <c r="L62">
        <f t="shared" si="7"/>
        <v>848.95814002281179</v>
      </c>
      <c r="M62">
        <f t="shared" si="8"/>
        <v>7.9918599771882555</v>
      </c>
      <c r="N62">
        <f t="shared" si="9"/>
        <v>63.869825894983464</v>
      </c>
    </row>
    <row r="63" spans="1:14" x14ac:dyDescent="0.45">
      <c r="A63" s="22">
        <v>42783</v>
      </c>
      <c r="B63">
        <v>842</v>
      </c>
      <c r="C63">
        <v>845.07</v>
      </c>
      <c r="G63">
        <f t="shared" ref="G63:K63" si="69">SUMPRODUCT($B63:$B67,P$2:P$6)</f>
        <v>503.6878924229602</v>
      </c>
      <c r="H63">
        <f t="shared" si="69"/>
        <v>429.2333469150887</v>
      </c>
      <c r="I63">
        <f t="shared" si="69"/>
        <v>360.49425870085275</v>
      </c>
      <c r="J63">
        <f t="shared" si="69"/>
        <v>330.56792552148573</v>
      </c>
      <c r="K63">
        <f t="shared" si="69"/>
        <v>257.67696591449845</v>
      </c>
      <c r="L63">
        <f t="shared" si="7"/>
        <v>842.9483881436156</v>
      </c>
      <c r="M63">
        <f t="shared" si="8"/>
        <v>5.8916118563844293</v>
      </c>
      <c r="N63">
        <f t="shared" si="9"/>
        <v>34.711090266289581</v>
      </c>
    </row>
    <row r="64" spans="1:14" x14ac:dyDescent="0.45">
      <c r="A64" s="22">
        <v>42782</v>
      </c>
      <c r="B64">
        <v>841.84</v>
      </c>
      <c r="C64">
        <v>844.14</v>
      </c>
      <c r="G64">
        <f t="shared" ref="G64:K64" si="70">SUMPRODUCT($B64:$B68,P$2:P$6)</f>
        <v>503.28480942490904</v>
      </c>
      <c r="H64">
        <f t="shared" si="70"/>
        <v>428.80439004341673</v>
      </c>
      <c r="I64">
        <f t="shared" si="70"/>
        <v>360.10854200231762</v>
      </c>
      <c r="J64">
        <f t="shared" si="70"/>
        <v>330.14065619517362</v>
      </c>
      <c r="K64">
        <f t="shared" si="70"/>
        <v>257.37533691077726</v>
      </c>
      <c r="L64">
        <f t="shared" si="7"/>
        <v>842.10285950143975</v>
      </c>
      <c r="M64">
        <f t="shared" si="8"/>
        <v>-0.10285950143975242</v>
      </c>
      <c r="N64">
        <f t="shared" si="9"/>
        <v>1.058007703643443E-2</v>
      </c>
    </row>
    <row r="65" spans="1:14" x14ac:dyDescent="0.45">
      <c r="A65" s="22">
        <v>42781</v>
      </c>
      <c r="B65">
        <v>834</v>
      </c>
      <c r="C65">
        <v>842.7</v>
      </c>
      <c r="G65">
        <f t="shared" ref="G65:K65" si="71">SUMPRODUCT($B65:$B69,P$2:P$6)</f>
        <v>498.89477513390148</v>
      </c>
      <c r="H65">
        <f t="shared" si="71"/>
        <v>425.13592032572512</v>
      </c>
      <c r="I65">
        <f t="shared" si="71"/>
        <v>357.04861660780477</v>
      </c>
      <c r="J65">
        <f t="shared" si="71"/>
        <v>327.40084732380609</v>
      </c>
      <c r="K65">
        <f t="shared" si="71"/>
        <v>255.21256191567812</v>
      </c>
      <c r="L65">
        <f t="shared" si="7"/>
        <v>834.91928318901159</v>
      </c>
      <c r="M65">
        <f t="shared" si="8"/>
        <v>6.9207168109884378</v>
      </c>
      <c r="N65">
        <f t="shared" si="9"/>
        <v>47.896321177897974</v>
      </c>
    </row>
    <row r="66" spans="1:14" x14ac:dyDescent="0.45">
      <c r="A66" s="22">
        <v>42780</v>
      </c>
      <c r="B66">
        <v>837</v>
      </c>
      <c r="C66">
        <v>836.39</v>
      </c>
      <c r="G66">
        <f t="shared" ref="G66:K66" si="72">SUMPRODUCT($B66:$B70,P$2:P$6)</f>
        <v>500.36299885827162</v>
      </c>
      <c r="H66">
        <f t="shared" si="72"/>
        <v>426.29708194976973</v>
      </c>
      <c r="I66">
        <f t="shared" si="72"/>
        <v>357.99705015491764</v>
      </c>
      <c r="J66">
        <f t="shared" si="72"/>
        <v>328.19279807987198</v>
      </c>
      <c r="K66">
        <f t="shared" si="72"/>
        <v>255.86302428323143</v>
      </c>
      <c r="L66">
        <f t="shared" si="7"/>
        <v>837.18961977028221</v>
      </c>
      <c r="M66">
        <f t="shared" si="8"/>
        <v>-3.1896197702822064</v>
      </c>
      <c r="N66">
        <f t="shared" si="9"/>
        <v>10.173674278975115</v>
      </c>
    </row>
    <row r="67" spans="1:14" x14ac:dyDescent="0.45">
      <c r="A67" s="22">
        <v>42779</v>
      </c>
      <c r="B67">
        <v>831.62</v>
      </c>
      <c r="C67">
        <v>836.53</v>
      </c>
      <c r="G67">
        <f t="shared" ref="G67:K67" si="73">SUMPRODUCT($B67:$B71,P$2:P$6)</f>
        <v>497.01297775210833</v>
      </c>
      <c r="H67">
        <f t="shared" si="73"/>
        <v>423.40285683020625</v>
      </c>
      <c r="I67">
        <f t="shared" si="73"/>
        <v>355.55443016502358</v>
      </c>
      <c r="J67">
        <f t="shared" si="73"/>
        <v>325.91995629875885</v>
      </c>
      <c r="K67">
        <f t="shared" si="73"/>
        <v>254.10573693999828</v>
      </c>
      <c r="L67">
        <f t="shared" ref="L67:L130" si="74">(G67+$P$7)*$U$2+(H67+$Q$7)*$U$3+(I67+$R$7)*$U$4+(J67+$S$7)*$U$5+(K67+$T$7)*$U$6+$U$7</f>
        <v>831.51582516875419</v>
      </c>
      <c r="M67">
        <f t="shared" ref="M67:M130" si="75">B66-L67</f>
        <v>5.4841748312458094</v>
      </c>
      <c r="N67">
        <f t="shared" ref="N67:N130" si="76">M67^2</f>
        <v>30.076173579670002</v>
      </c>
    </row>
    <row r="68" spans="1:14" x14ac:dyDescent="0.45">
      <c r="A68" s="22">
        <v>42776</v>
      </c>
      <c r="B68">
        <v>823.82</v>
      </c>
      <c r="C68">
        <v>827.46</v>
      </c>
      <c r="G68">
        <f t="shared" ref="G68:K68" si="77">SUMPRODUCT($B68:$B72,P$2:P$6)</f>
        <v>492.58080395839971</v>
      </c>
      <c r="H68">
        <f t="shared" si="77"/>
        <v>419.69169756629481</v>
      </c>
      <c r="I68">
        <f t="shared" si="77"/>
        <v>352.45725058177436</v>
      </c>
      <c r="J68">
        <f t="shared" si="77"/>
        <v>323.13630455430553</v>
      </c>
      <c r="K68">
        <f t="shared" si="77"/>
        <v>251.91169844308945</v>
      </c>
      <c r="L68">
        <f t="shared" si="74"/>
        <v>824.24654568651431</v>
      </c>
      <c r="M68">
        <f t="shared" si="75"/>
        <v>7.3734543134856949</v>
      </c>
      <c r="N68">
        <f t="shared" si="76"/>
        <v>54.3678285130608</v>
      </c>
    </row>
    <row r="69" spans="1:14" x14ac:dyDescent="0.45">
      <c r="A69" s="22">
        <v>42775</v>
      </c>
      <c r="B69">
        <v>821.6</v>
      </c>
      <c r="C69">
        <v>821.36</v>
      </c>
      <c r="G69">
        <f t="shared" ref="G69:K69" si="78">SUMPRODUCT($B69:$B73,P$2:P$6)</f>
        <v>491.11656560246757</v>
      </c>
      <c r="H69">
        <f t="shared" si="78"/>
        <v>418.4165807386517</v>
      </c>
      <c r="I69">
        <f t="shared" si="78"/>
        <v>351.37876136192904</v>
      </c>
      <c r="J69">
        <f t="shared" si="78"/>
        <v>322.1203234156423</v>
      </c>
      <c r="K69">
        <f t="shared" si="78"/>
        <v>251.13017161555035</v>
      </c>
      <c r="L69">
        <f t="shared" si="74"/>
        <v>821.74457556626965</v>
      </c>
      <c r="M69">
        <f t="shared" si="75"/>
        <v>2.0754244337304044</v>
      </c>
      <c r="N69">
        <f t="shared" si="76"/>
        <v>4.3073865801251694</v>
      </c>
    </row>
    <row r="70" spans="1:14" x14ac:dyDescent="0.45">
      <c r="A70" s="22">
        <v>42774</v>
      </c>
      <c r="B70">
        <v>812.69</v>
      </c>
      <c r="C70">
        <v>819.71</v>
      </c>
      <c r="G70">
        <f t="shared" ref="G70:K70" si="79">SUMPRODUCT($B70:$B74,P$2:P$6)</f>
        <v>486.04447536714667</v>
      </c>
      <c r="H70">
        <f t="shared" si="79"/>
        <v>414.16890233863381</v>
      </c>
      <c r="I70">
        <f t="shared" si="79"/>
        <v>347.83370468046115</v>
      </c>
      <c r="J70">
        <f t="shared" si="79"/>
        <v>318.9328592049585</v>
      </c>
      <c r="K70">
        <f t="shared" si="79"/>
        <v>248.61819494415985</v>
      </c>
      <c r="L70">
        <f t="shared" si="74"/>
        <v>813.42404512131918</v>
      </c>
      <c r="M70">
        <f t="shared" si="75"/>
        <v>8.1759548786808409</v>
      </c>
      <c r="N70">
        <f t="shared" si="76"/>
        <v>66.84623817822505</v>
      </c>
    </row>
    <row r="71" spans="1:14" x14ac:dyDescent="0.45">
      <c r="A71" s="22">
        <v>42773</v>
      </c>
      <c r="B71">
        <v>809.31</v>
      </c>
      <c r="C71">
        <v>812.5</v>
      </c>
      <c r="G71">
        <f t="shared" ref="G71:K71" si="80">SUMPRODUCT($B71:$B75,P$2:P$6)</f>
        <v>484.73296281439406</v>
      </c>
      <c r="H71">
        <f t="shared" si="80"/>
        <v>413.29334057952411</v>
      </c>
      <c r="I71">
        <f t="shared" si="80"/>
        <v>347.17285589848296</v>
      </c>
      <c r="J71">
        <f t="shared" si="80"/>
        <v>318.5205024064378</v>
      </c>
      <c r="K71">
        <f t="shared" si="80"/>
        <v>248.20934517402713</v>
      </c>
      <c r="L71">
        <f t="shared" si="74"/>
        <v>811.71564644669752</v>
      </c>
      <c r="M71">
        <f t="shared" si="75"/>
        <v>0.97435355330253515</v>
      </c>
      <c r="N71">
        <f t="shared" si="76"/>
        <v>0.94936484683327615</v>
      </c>
    </row>
    <row r="72" spans="1:14" x14ac:dyDescent="0.45">
      <c r="A72" s="22">
        <v>42772</v>
      </c>
      <c r="B72">
        <v>809.8</v>
      </c>
      <c r="C72">
        <v>807.64</v>
      </c>
      <c r="G72">
        <f t="shared" ref="G72:K72" si="81">SUMPRODUCT($B72:$B76,P$2:P$6)</f>
        <v>484.78443620320814</v>
      </c>
      <c r="H72">
        <f t="shared" si="81"/>
        <v>413.26210567944668</v>
      </c>
      <c r="I72">
        <f t="shared" si="81"/>
        <v>347.12382641927292</v>
      </c>
      <c r="J72">
        <f t="shared" si="81"/>
        <v>318.41351581625281</v>
      </c>
      <c r="K72">
        <f t="shared" si="81"/>
        <v>248.15327378649775</v>
      </c>
      <c r="L72">
        <f t="shared" si="74"/>
        <v>811.65126768982475</v>
      </c>
      <c r="M72">
        <f t="shared" si="75"/>
        <v>-2.3412676898248037</v>
      </c>
      <c r="N72">
        <f t="shared" si="76"/>
        <v>5.4815343954175733</v>
      </c>
    </row>
    <row r="73" spans="1:14" x14ac:dyDescent="0.45">
      <c r="A73" s="22">
        <v>42769</v>
      </c>
      <c r="B73">
        <v>806.72</v>
      </c>
      <c r="C73">
        <v>810.2</v>
      </c>
      <c r="G73">
        <f t="shared" ref="G73:K73" si="82">SUMPRODUCT($B73:$B77,P$2:P$6)</f>
        <v>483.81045008628348</v>
      </c>
      <c r="H73">
        <f t="shared" si="82"/>
        <v>412.6374301210825</v>
      </c>
      <c r="I73">
        <f t="shared" si="82"/>
        <v>346.65842445428189</v>
      </c>
      <c r="J73">
        <f t="shared" si="82"/>
        <v>318.1755146682608</v>
      </c>
      <c r="K73">
        <f t="shared" si="82"/>
        <v>247.89093688537</v>
      </c>
      <c r="L73">
        <f t="shared" si="74"/>
        <v>810.44395647773661</v>
      </c>
      <c r="M73">
        <f t="shared" si="75"/>
        <v>-0.64395647773665132</v>
      </c>
      <c r="N73">
        <f t="shared" si="76"/>
        <v>0.41467994521899432</v>
      </c>
    </row>
    <row r="74" spans="1:14" x14ac:dyDescent="0.45">
      <c r="A74" s="22">
        <v>42768</v>
      </c>
      <c r="B74">
        <v>836.59</v>
      </c>
      <c r="C74">
        <v>839.95</v>
      </c>
      <c r="G74">
        <f t="shared" ref="G74:K74" si="83">SUMPRODUCT($B74:$B78,P$2:P$6)</f>
        <v>500.27674944641632</v>
      </c>
      <c r="H74">
        <f t="shared" si="83"/>
        <v>426.28698110895658</v>
      </c>
      <c r="I74">
        <f t="shared" si="83"/>
        <v>358.00846704388584</v>
      </c>
      <c r="J74">
        <f t="shared" si="83"/>
        <v>328.25148498468599</v>
      </c>
      <c r="K74">
        <f t="shared" si="83"/>
        <v>255.88614585183566</v>
      </c>
      <c r="L74">
        <f t="shared" si="74"/>
        <v>837.17069926029058</v>
      </c>
      <c r="M74">
        <f t="shared" si="75"/>
        <v>-30.450699260290548</v>
      </c>
      <c r="N74">
        <f t="shared" si="76"/>
        <v>927.2450854406593</v>
      </c>
    </row>
    <row r="75" spans="1:14" x14ac:dyDescent="0.45">
      <c r="A75" s="22">
        <v>42767</v>
      </c>
      <c r="B75">
        <v>829.21</v>
      </c>
      <c r="C75">
        <v>832.35</v>
      </c>
      <c r="G75">
        <f t="shared" ref="G75:K75" si="84">SUMPRODUCT($B75:$B79,P$2:P$6)</f>
        <v>496.15723747817043</v>
      </c>
      <c r="H75">
        <f t="shared" si="84"/>
        <v>422.87602611211247</v>
      </c>
      <c r="I75">
        <f t="shared" si="84"/>
        <v>355.17436254760958</v>
      </c>
      <c r="J75">
        <f t="shared" si="84"/>
        <v>325.73260026515823</v>
      </c>
      <c r="K75">
        <f t="shared" si="84"/>
        <v>253.88667469883546</v>
      </c>
      <c r="L75">
        <f t="shared" si="74"/>
        <v>830.48928947732952</v>
      </c>
      <c r="M75">
        <f t="shared" si="75"/>
        <v>6.1007105226705107</v>
      </c>
      <c r="N75">
        <f t="shared" si="76"/>
        <v>37.218668881422694</v>
      </c>
    </row>
    <row r="76" spans="1:14" x14ac:dyDescent="0.45">
      <c r="A76" s="22">
        <v>42766</v>
      </c>
      <c r="B76">
        <v>823.75</v>
      </c>
      <c r="C76">
        <v>823.48</v>
      </c>
      <c r="G76">
        <f t="shared" ref="G76:K76" si="85">SUMPRODUCT($B76:$B80,P$2:P$6)</f>
        <v>493.33372186559222</v>
      </c>
      <c r="H76">
        <f t="shared" si="85"/>
        <v>420.58124181100959</v>
      </c>
      <c r="I76">
        <f t="shared" si="85"/>
        <v>353.27962264915044</v>
      </c>
      <c r="J76">
        <f t="shared" si="85"/>
        <v>324.09491410678123</v>
      </c>
      <c r="K76">
        <f t="shared" si="85"/>
        <v>252.56872285103427</v>
      </c>
      <c r="L76">
        <f t="shared" si="74"/>
        <v>826.00013928195608</v>
      </c>
      <c r="M76">
        <f t="shared" si="75"/>
        <v>3.2098607180439558</v>
      </c>
      <c r="N76">
        <f t="shared" si="76"/>
        <v>10.303205829241659</v>
      </c>
    </row>
    <row r="77" spans="1:14" x14ac:dyDescent="0.45">
      <c r="A77" s="22">
        <v>42765</v>
      </c>
      <c r="B77">
        <v>833</v>
      </c>
      <c r="C77">
        <v>830.38</v>
      </c>
      <c r="G77">
        <f t="shared" ref="G77:K77" si="86">SUMPRODUCT($B77:$B81,P$2:P$6)</f>
        <v>498.43341928058959</v>
      </c>
      <c r="H77">
        <f t="shared" si="86"/>
        <v>424.78215764140151</v>
      </c>
      <c r="I77">
        <f t="shared" si="86"/>
        <v>356.76331341079288</v>
      </c>
      <c r="J77">
        <f t="shared" si="86"/>
        <v>327.17269890570947</v>
      </c>
      <c r="K77">
        <f t="shared" si="86"/>
        <v>255.02027998609188</v>
      </c>
      <c r="L77">
        <f t="shared" si="74"/>
        <v>834.22805731970641</v>
      </c>
      <c r="M77">
        <f t="shared" si="75"/>
        <v>-10.478057319706409</v>
      </c>
      <c r="N77">
        <f t="shared" si="76"/>
        <v>109.78968519505305</v>
      </c>
    </row>
    <row r="78" spans="1:14" x14ac:dyDescent="0.45">
      <c r="A78" s="22">
        <v>42762</v>
      </c>
      <c r="B78">
        <v>839</v>
      </c>
      <c r="C78">
        <v>835.77</v>
      </c>
      <c r="G78">
        <f t="shared" ref="G78:K78" si="87">SUMPRODUCT($B78:$B82,P$2:P$6)</f>
        <v>501.58345201991943</v>
      </c>
      <c r="H78">
        <f t="shared" si="87"/>
        <v>427.33960628796683</v>
      </c>
      <c r="I78">
        <f t="shared" si="87"/>
        <v>358.87313700281817</v>
      </c>
      <c r="J78">
        <f t="shared" si="87"/>
        <v>328.99968504508706</v>
      </c>
      <c r="K78">
        <f t="shared" si="87"/>
        <v>256.49092865822661</v>
      </c>
      <c r="L78">
        <f t="shared" si="74"/>
        <v>839.23344551743855</v>
      </c>
      <c r="M78">
        <f t="shared" si="75"/>
        <v>-6.2334455174385539</v>
      </c>
      <c r="N78">
        <f t="shared" si="76"/>
        <v>38.855843018874801</v>
      </c>
    </row>
    <row r="79" spans="1:14" x14ac:dyDescent="0.45">
      <c r="A79" s="22">
        <v>42761</v>
      </c>
      <c r="B79">
        <v>835.53</v>
      </c>
      <c r="C79">
        <v>839.15</v>
      </c>
      <c r="G79">
        <f t="shared" ref="G79:K79" si="88">SUMPRODUCT($B79:$B83,P$2:P$6)</f>
        <v>499.12077307010861</v>
      </c>
      <c r="H79">
        <f t="shared" si="88"/>
        <v>425.12248452736463</v>
      </c>
      <c r="I79">
        <f t="shared" si="88"/>
        <v>356.97519436225167</v>
      </c>
      <c r="J79">
        <f t="shared" si="88"/>
        <v>327.16091970126865</v>
      </c>
      <c r="K79">
        <f t="shared" si="88"/>
        <v>255.10078964457</v>
      </c>
      <c r="L79">
        <f t="shared" si="74"/>
        <v>834.88323447130733</v>
      </c>
      <c r="M79">
        <f t="shared" si="75"/>
        <v>4.1167655286926674</v>
      </c>
      <c r="N79">
        <f t="shared" si="76"/>
        <v>16.947758418232219</v>
      </c>
    </row>
    <row r="80" spans="1:14" x14ac:dyDescent="0.45">
      <c r="A80" s="22">
        <v>42760</v>
      </c>
      <c r="B80">
        <v>825.79</v>
      </c>
      <c r="C80">
        <v>836.52</v>
      </c>
      <c r="G80">
        <f t="shared" ref="G80:K80" si="89">SUMPRODUCT($B80:$B84,P$2:P$6)</f>
        <v>493.78865509195043</v>
      </c>
      <c r="H80">
        <f t="shared" si="89"/>
        <v>420.73657122718458</v>
      </c>
      <c r="I80">
        <f t="shared" si="89"/>
        <v>353.3398278503131</v>
      </c>
      <c r="J80">
        <f t="shared" si="89"/>
        <v>323.95656184474217</v>
      </c>
      <c r="K80">
        <f t="shared" si="89"/>
        <v>252.54563201675353</v>
      </c>
      <c r="L80">
        <f t="shared" si="74"/>
        <v>826.29406628806862</v>
      </c>
      <c r="M80">
        <f t="shared" si="75"/>
        <v>9.2359337119313523</v>
      </c>
      <c r="N80">
        <f t="shared" si="76"/>
        <v>85.302471531190051</v>
      </c>
    </row>
    <row r="81" spans="1:14" x14ac:dyDescent="0.45">
      <c r="A81" s="22">
        <v>42759</v>
      </c>
      <c r="B81">
        <v>822</v>
      </c>
      <c r="C81">
        <v>822.44</v>
      </c>
      <c r="G81">
        <f t="shared" ref="G81:K81" si="90">SUMPRODUCT($B81:$B85,P$2:P$6)</f>
        <v>491.17815686746741</v>
      </c>
      <c r="H81">
        <f t="shared" si="90"/>
        <v>418.42560949885899</v>
      </c>
      <c r="I81">
        <f t="shared" si="90"/>
        <v>351.37371384931731</v>
      </c>
      <c r="J81">
        <f t="shared" si="90"/>
        <v>322.07630896542679</v>
      </c>
      <c r="K81">
        <f t="shared" si="90"/>
        <v>251.11205690435915</v>
      </c>
      <c r="L81">
        <f t="shared" si="74"/>
        <v>821.75893450805552</v>
      </c>
      <c r="M81">
        <f t="shared" si="75"/>
        <v>4.031065491944446</v>
      </c>
      <c r="N81">
        <f t="shared" si="76"/>
        <v>16.249489000345317</v>
      </c>
    </row>
    <row r="82" spans="1:14" x14ac:dyDescent="0.45">
      <c r="A82" s="22">
        <v>42758</v>
      </c>
      <c r="B82">
        <v>806.8</v>
      </c>
      <c r="C82">
        <v>817.88</v>
      </c>
      <c r="G82">
        <f t="shared" ref="G82:K82" si="91">SUMPRODUCT($B82:$B86,P$2:P$6)</f>
        <v>483.00607720839912</v>
      </c>
      <c r="H82">
        <f t="shared" si="91"/>
        <v>411.71531598093418</v>
      </c>
      <c r="I82">
        <f t="shared" si="91"/>
        <v>345.81351269955718</v>
      </c>
      <c r="J82">
        <f t="shared" si="91"/>
        <v>317.19690798180932</v>
      </c>
      <c r="K82">
        <f t="shared" si="91"/>
        <v>247.2151579500285</v>
      </c>
      <c r="L82">
        <f t="shared" si="74"/>
        <v>808.62328792349945</v>
      </c>
      <c r="M82">
        <f t="shared" si="75"/>
        <v>13.376712076500553</v>
      </c>
      <c r="N82">
        <f t="shared" si="76"/>
        <v>178.93642597759575</v>
      </c>
    </row>
    <row r="83" spans="1:14" x14ac:dyDescent="0.45">
      <c r="A83" s="22">
        <v>42755</v>
      </c>
      <c r="B83">
        <v>815.28</v>
      </c>
      <c r="C83">
        <v>808.33</v>
      </c>
      <c r="G83">
        <f t="shared" ref="G83:K83" si="92">SUMPRODUCT($B83:$B87,P$2:P$6)</f>
        <v>487.65754123891958</v>
      </c>
      <c r="H83">
        <f t="shared" si="92"/>
        <v>415.57244385532175</v>
      </c>
      <c r="I83">
        <f t="shared" si="92"/>
        <v>349.02170047373033</v>
      </c>
      <c r="J83">
        <f t="shared" si="92"/>
        <v>320.04341163546889</v>
      </c>
      <c r="K83">
        <f t="shared" si="92"/>
        <v>249.47364043770773</v>
      </c>
      <c r="L83">
        <f t="shared" si="74"/>
        <v>816.17469030647976</v>
      </c>
      <c r="M83">
        <f t="shared" si="75"/>
        <v>-9.3746903064798062</v>
      </c>
      <c r="N83">
        <f t="shared" si="76"/>
        <v>87.884818342406447</v>
      </c>
    </row>
    <row r="84" spans="1:14" x14ac:dyDescent="0.45">
      <c r="A84" s="22">
        <v>42754</v>
      </c>
      <c r="B84">
        <v>810</v>
      </c>
      <c r="C84">
        <v>809.04</v>
      </c>
      <c r="G84">
        <f t="shared" ref="G84:K84" si="93">SUMPRODUCT($B84:$B88,P$2:P$6)</f>
        <v>484.70154218326525</v>
      </c>
      <c r="H84">
        <f t="shared" si="93"/>
        <v>413.11060567150224</v>
      </c>
      <c r="I84">
        <f t="shared" si="93"/>
        <v>346.97120265686539</v>
      </c>
      <c r="J84">
        <f t="shared" si="93"/>
        <v>318.21208898850085</v>
      </c>
      <c r="K84">
        <f t="shared" si="93"/>
        <v>248.02511996337259</v>
      </c>
      <c r="L84">
        <f t="shared" si="74"/>
        <v>811.35326171294616</v>
      </c>
      <c r="M84">
        <f t="shared" si="75"/>
        <v>3.9267382870538086</v>
      </c>
      <c r="N84">
        <f t="shared" si="76"/>
        <v>15.419273575014278</v>
      </c>
    </row>
    <row r="85" spans="1:14" x14ac:dyDescent="0.45">
      <c r="A85" s="22">
        <v>42753</v>
      </c>
      <c r="B85">
        <v>809.5</v>
      </c>
      <c r="C85">
        <v>807.48</v>
      </c>
      <c r="G85">
        <f t="shared" ref="G85:K85" si="94">SUMPRODUCT($B85:$B89,P$2:P$6)</f>
        <v>484.34255205336393</v>
      </c>
      <c r="H85">
        <f t="shared" si="94"/>
        <v>412.76170935634616</v>
      </c>
      <c r="I85">
        <f t="shared" si="94"/>
        <v>346.66397606665038</v>
      </c>
      <c r="J85">
        <f t="shared" si="94"/>
        <v>317.90210282119142</v>
      </c>
      <c r="K85">
        <f t="shared" si="94"/>
        <v>247.79834039173707</v>
      </c>
      <c r="L85">
        <f t="shared" si="74"/>
        <v>810.67081826374715</v>
      </c>
      <c r="M85">
        <f t="shared" si="75"/>
        <v>-0.67081826374715092</v>
      </c>
      <c r="N85">
        <f t="shared" si="76"/>
        <v>0.44999714297674215</v>
      </c>
    </row>
    <row r="86" spans="1:14" x14ac:dyDescent="0.45">
      <c r="A86" s="22">
        <v>42752</v>
      </c>
      <c r="B86">
        <v>815.7</v>
      </c>
      <c r="C86">
        <v>809.72</v>
      </c>
      <c r="G86">
        <f t="shared" ref="G86:K86" si="95">SUMPRODUCT($B86:$B90,P$2:P$6)</f>
        <v>487.60900592425406</v>
      </c>
      <c r="H86">
        <f t="shared" si="95"/>
        <v>415.41115181458463</v>
      </c>
      <c r="I86">
        <f t="shared" si="95"/>
        <v>348.84856686540678</v>
      </c>
      <c r="J86">
        <f t="shared" si="95"/>
        <v>319.79353329573587</v>
      </c>
      <c r="K86">
        <f t="shared" si="95"/>
        <v>249.32164967785621</v>
      </c>
      <c r="L86">
        <f t="shared" si="74"/>
        <v>815.85697483734918</v>
      </c>
      <c r="M86">
        <f t="shared" si="75"/>
        <v>-6.3569748373491848</v>
      </c>
      <c r="N86">
        <f t="shared" si="76"/>
        <v>40.411129082690692</v>
      </c>
    </row>
    <row r="87" spans="1:14" x14ac:dyDescent="0.45">
      <c r="A87" s="22">
        <v>42748</v>
      </c>
      <c r="B87">
        <v>814.32</v>
      </c>
      <c r="C87">
        <v>817.14</v>
      </c>
      <c r="G87">
        <f t="shared" ref="G87:K87" si="96">SUMPRODUCT($B87:$B91,P$2:P$6)</f>
        <v>486.51216822303553</v>
      </c>
      <c r="H87">
        <f t="shared" si="96"/>
        <v>414.41980315981067</v>
      </c>
      <c r="I87">
        <f t="shared" si="96"/>
        <v>348.0001056057547</v>
      </c>
      <c r="J87">
        <f t="shared" si="96"/>
        <v>318.96050649313116</v>
      </c>
      <c r="K87">
        <f t="shared" si="96"/>
        <v>248.69381715786466</v>
      </c>
      <c r="L87">
        <f t="shared" si="74"/>
        <v>813.90826474687231</v>
      </c>
      <c r="M87">
        <f t="shared" si="75"/>
        <v>1.7917352531277402</v>
      </c>
      <c r="N87">
        <f t="shared" si="76"/>
        <v>3.2103152173007272</v>
      </c>
    </row>
    <row r="88" spans="1:14" x14ac:dyDescent="0.45">
      <c r="A88" s="22">
        <v>42747</v>
      </c>
      <c r="B88">
        <v>800.31</v>
      </c>
      <c r="C88">
        <v>813.64</v>
      </c>
      <c r="G88">
        <f t="shared" ref="G88:K88" si="97">SUMPRODUCT($B88:$B92,P$2:P$6)</f>
        <v>478.61324615261248</v>
      </c>
      <c r="H88">
        <f t="shared" si="97"/>
        <v>407.83752010263845</v>
      </c>
      <c r="I88">
        <f t="shared" si="97"/>
        <v>342.51713131685847</v>
      </c>
      <c r="J88">
        <f t="shared" si="97"/>
        <v>314.05601474622415</v>
      </c>
      <c r="K88">
        <f t="shared" si="97"/>
        <v>244.81650908129498</v>
      </c>
      <c r="L88">
        <f t="shared" si="74"/>
        <v>801.01504765489801</v>
      </c>
      <c r="M88">
        <f t="shared" si="75"/>
        <v>13.304952345102038</v>
      </c>
      <c r="N88">
        <f t="shared" si="76"/>
        <v>177.02175690543621</v>
      </c>
    </row>
    <row r="89" spans="1:14" x14ac:dyDescent="0.45">
      <c r="A89" s="22">
        <v>42746</v>
      </c>
      <c r="B89">
        <v>793.66</v>
      </c>
      <c r="C89">
        <v>799.02</v>
      </c>
      <c r="G89">
        <f t="shared" ref="G89:K89" si="98">SUMPRODUCT($B89:$B93,P$2:P$6)</f>
        <v>474.73666319052973</v>
      </c>
      <c r="H89">
        <f t="shared" si="98"/>
        <v>404.53953040105313</v>
      </c>
      <c r="I89">
        <f t="shared" si="98"/>
        <v>339.74774610586678</v>
      </c>
      <c r="J89">
        <f t="shared" si="98"/>
        <v>311.52883185157259</v>
      </c>
      <c r="K89">
        <f t="shared" si="98"/>
        <v>242.84371197197302</v>
      </c>
      <c r="L89">
        <f t="shared" si="74"/>
        <v>794.55538954449537</v>
      </c>
      <c r="M89">
        <f t="shared" si="75"/>
        <v>5.7546104555045758</v>
      </c>
      <c r="N89">
        <f t="shared" si="76"/>
        <v>33.115541494602581</v>
      </c>
    </row>
    <row r="90" spans="1:14" x14ac:dyDescent="0.45">
      <c r="A90" s="22">
        <v>42745</v>
      </c>
      <c r="B90">
        <v>796.6</v>
      </c>
      <c r="C90">
        <v>795.9</v>
      </c>
      <c r="G90">
        <f t="shared" ref="G90:K90" si="99">SUMPRODUCT($B90:$B94,P$2:P$6)</f>
        <v>476.02188947815978</v>
      </c>
      <c r="H90">
        <f t="shared" si="99"/>
        <v>405.47007918639713</v>
      </c>
      <c r="I90">
        <f t="shared" si="99"/>
        <v>340.47845135340657</v>
      </c>
      <c r="J90">
        <f t="shared" si="99"/>
        <v>312.06804862524348</v>
      </c>
      <c r="K90">
        <f t="shared" si="99"/>
        <v>243.32341079713837</v>
      </c>
      <c r="L90">
        <f t="shared" si="74"/>
        <v>796.37433576706621</v>
      </c>
      <c r="M90">
        <f t="shared" si="75"/>
        <v>-2.7143357670662454</v>
      </c>
      <c r="N90">
        <f t="shared" si="76"/>
        <v>7.3676186563751029</v>
      </c>
    </row>
    <row r="91" spans="1:14" x14ac:dyDescent="0.45">
      <c r="A91" s="22">
        <v>42744</v>
      </c>
      <c r="B91">
        <v>798</v>
      </c>
      <c r="C91">
        <v>796.92</v>
      </c>
      <c r="G91">
        <f t="shared" ref="G91:K91" si="100">SUMPRODUCT($B91:$B95,P$2:P$6)</f>
        <v>476.30508342741911</v>
      </c>
      <c r="H91">
        <f t="shared" si="100"/>
        <v>405.56754176060991</v>
      </c>
      <c r="I91">
        <f t="shared" si="100"/>
        <v>340.51799872979348</v>
      </c>
      <c r="J91">
        <f t="shared" si="100"/>
        <v>311.97705235407756</v>
      </c>
      <c r="K91">
        <f t="shared" si="100"/>
        <v>243.30576333244971</v>
      </c>
      <c r="L91">
        <f t="shared" si="74"/>
        <v>796.55565553685938</v>
      </c>
      <c r="M91">
        <f t="shared" si="75"/>
        <v>4.434446314064644E-2</v>
      </c>
      <c r="N91">
        <f t="shared" si="76"/>
        <v>1.9664314112321506E-3</v>
      </c>
    </row>
    <row r="92" spans="1:14" x14ac:dyDescent="0.45">
      <c r="A92" s="22">
        <v>42741</v>
      </c>
      <c r="B92">
        <v>782.36</v>
      </c>
      <c r="C92">
        <v>795.99</v>
      </c>
      <c r="G92">
        <f t="shared" ref="G92:K92" si="101">SUMPRODUCT($B92:$B96,P$2:P$6)</f>
        <v>467.07972194334542</v>
      </c>
      <c r="H92">
        <f t="shared" si="101"/>
        <v>397.76925631585374</v>
      </c>
      <c r="I92">
        <f t="shared" si="101"/>
        <v>333.98888093489956</v>
      </c>
      <c r="J92">
        <f t="shared" si="101"/>
        <v>306.03553814747846</v>
      </c>
      <c r="K92">
        <f t="shared" si="101"/>
        <v>238.65202542805523</v>
      </c>
      <c r="L92">
        <f t="shared" si="74"/>
        <v>781.27275995604464</v>
      </c>
      <c r="M92">
        <f t="shared" si="75"/>
        <v>16.727240043955362</v>
      </c>
      <c r="N92">
        <f t="shared" si="76"/>
        <v>279.80055948810377</v>
      </c>
    </row>
    <row r="93" spans="1:14" x14ac:dyDescent="0.45">
      <c r="A93" s="22">
        <v>42740</v>
      </c>
      <c r="B93">
        <v>761.55</v>
      </c>
      <c r="C93">
        <v>780.45</v>
      </c>
      <c r="G93">
        <f t="shared" ref="G93:K93" si="102">SUMPRODUCT($B93:$B97,P$2:P$6)</f>
        <v>455.65033865166538</v>
      </c>
      <c r="H93">
        <f t="shared" si="102"/>
        <v>388.33785340876437</v>
      </c>
      <c r="I93">
        <f t="shared" si="102"/>
        <v>326.16108837150517</v>
      </c>
      <c r="J93">
        <f t="shared" si="102"/>
        <v>299.11483479572041</v>
      </c>
      <c r="K93">
        <f t="shared" si="102"/>
        <v>233.14479958094131</v>
      </c>
      <c r="L93">
        <f t="shared" si="74"/>
        <v>762.80366478578651</v>
      </c>
      <c r="M93">
        <f t="shared" si="75"/>
        <v>19.556335214213505</v>
      </c>
      <c r="N93">
        <f t="shared" si="76"/>
        <v>382.45024701068718</v>
      </c>
    </row>
    <row r="94" spans="1:14" x14ac:dyDescent="0.45">
      <c r="A94" s="22">
        <v>42739</v>
      </c>
      <c r="B94">
        <v>758.39</v>
      </c>
      <c r="C94">
        <v>757.18</v>
      </c>
      <c r="G94">
        <f t="shared" ref="G94:K94" si="103">SUMPRODUCT($B94:$B98,P$2:P$6)</f>
        <v>453.99915031865174</v>
      </c>
      <c r="H94">
        <f t="shared" si="103"/>
        <v>387.00778426192818</v>
      </c>
      <c r="I94">
        <f t="shared" si="103"/>
        <v>325.06753119375992</v>
      </c>
      <c r="J94">
        <f t="shared" si="103"/>
        <v>298.17488661167175</v>
      </c>
      <c r="K94">
        <f t="shared" si="103"/>
        <v>232.38415671554398</v>
      </c>
      <c r="L94">
        <f t="shared" si="74"/>
        <v>760.19996288322307</v>
      </c>
      <c r="M94">
        <f t="shared" si="75"/>
        <v>1.350037116776889</v>
      </c>
      <c r="N94">
        <f t="shared" si="76"/>
        <v>1.8226002166752553</v>
      </c>
    </row>
    <row r="95" spans="1:14" x14ac:dyDescent="0.45">
      <c r="A95" s="22">
        <v>42738</v>
      </c>
      <c r="B95">
        <v>757.92</v>
      </c>
      <c r="C95">
        <v>753.67</v>
      </c>
      <c r="G95">
        <f t="shared" ref="G95:K95" si="104">SUMPRODUCT($B95:$B99,P$2:P$6)</f>
        <v>454.04604388190813</v>
      </c>
      <c r="H95">
        <f t="shared" si="104"/>
        <v>387.13630570827769</v>
      </c>
      <c r="I95">
        <f t="shared" si="104"/>
        <v>325.20171478874386</v>
      </c>
      <c r="J95">
        <f t="shared" si="104"/>
        <v>298.37505274497551</v>
      </c>
      <c r="K95">
        <f t="shared" si="104"/>
        <v>232.50752150660122</v>
      </c>
      <c r="L95">
        <f t="shared" si="74"/>
        <v>760.45727628110262</v>
      </c>
      <c r="M95">
        <f t="shared" si="75"/>
        <v>-2.0672762811026359</v>
      </c>
      <c r="N95">
        <f t="shared" si="76"/>
        <v>4.273631222409545</v>
      </c>
    </row>
    <row r="96" spans="1:14" x14ac:dyDescent="0.45">
      <c r="A96" s="22">
        <v>42734</v>
      </c>
      <c r="B96">
        <v>766.47</v>
      </c>
      <c r="C96">
        <v>749.87</v>
      </c>
      <c r="G96">
        <f t="shared" ref="G96:K96" si="105">SUMPRODUCT($B96:$B100,P$2:P$6)</f>
        <v>458.70060193502945</v>
      </c>
      <c r="H96">
        <f t="shared" si="105"/>
        <v>390.94640761581013</v>
      </c>
      <c r="I96">
        <f t="shared" si="105"/>
        <v>328.35353552108495</v>
      </c>
      <c r="J96">
        <f t="shared" si="105"/>
        <v>301.14001184185781</v>
      </c>
      <c r="K96">
        <f t="shared" si="105"/>
        <v>234.7192996221082</v>
      </c>
      <c r="L96">
        <f t="shared" si="74"/>
        <v>767.91923012539587</v>
      </c>
      <c r="M96">
        <f t="shared" si="75"/>
        <v>-9.9992301253959113</v>
      </c>
      <c r="N96">
        <f t="shared" si="76"/>
        <v>99.984603100625137</v>
      </c>
    </row>
    <row r="97" spans="1:14" x14ac:dyDescent="0.45">
      <c r="A97" s="22">
        <v>42733</v>
      </c>
      <c r="B97">
        <v>772.4</v>
      </c>
      <c r="C97">
        <v>765.15</v>
      </c>
      <c r="G97">
        <f t="shared" ref="G97:K97" si="106">SUMPRODUCT($B97:$B101,P$2:P$6)</f>
        <v>462.10426492346721</v>
      </c>
      <c r="H97">
        <f t="shared" si="106"/>
        <v>393.80213651120044</v>
      </c>
      <c r="I97">
        <f t="shared" si="106"/>
        <v>330.73833307180547</v>
      </c>
      <c r="J97">
        <f t="shared" si="106"/>
        <v>303.28986933307783</v>
      </c>
      <c r="K97">
        <f t="shared" si="106"/>
        <v>236.41141729716202</v>
      </c>
      <c r="L97">
        <f t="shared" si="74"/>
        <v>773.51386285537671</v>
      </c>
      <c r="M97">
        <f t="shared" si="75"/>
        <v>-7.0438628553766875</v>
      </c>
      <c r="N97">
        <f t="shared" si="76"/>
        <v>49.616003925355422</v>
      </c>
    </row>
    <row r="98" spans="1:14" x14ac:dyDescent="0.45">
      <c r="A98" s="22">
        <v>42732</v>
      </c>
      <c r="B98">
        <v>776.25</v>
      </c>
      <c r="C98">
        <v>772.13</v>
      </c>
      <c r="G98">
        <f t="shared" ref="G98:K98" si="107">SUMPRODUCT($B98:$B102,P$2:P$6)</f>
        <v>463.94045386130421</v>
      </c>
      <c r="H98">
        <f t="shared" si="107"/>
        <v>395.25325538958941</v>
      </c>
      <c r="I98">
        <f t="shared" si="107"/>
        <v>331.92407364268524</v>
      </c>
      <c r="J98">
        <f t="shared" si="107"/>
        <v>304.27397147871505</v>
      </c>
      <c r="K98">
        <f t="shared" si="107"/>
        <v>237.22090032611052</v>
      </c>
      <c r="L98">
        <f t="shared" si="74"/>
        <v>776.34888017354228</v>
      </c>
      <c r="M98">
        <f t="shared" si="75"/>
        <v>-3.9488801735423067</v>
      </c>
      <c r="N98">
        <f t="shared" si="76"/>
        <v>15.593654624995517</v>
      </c>
    </row>
    <row r="99" spans="1:14" x14ac:dyDescent="0.45">
      <c r="A99" s="22">
        <v>42731</v>
      </c>
      <c r="B99">
        <v>763.4</v>
      </c>
      <c r="C99">
        <v>771.4</v>
      </c>
      <c r="G99">
        <f t="shared" ref="G99:K99" si="108">SUMPRODUCT($B99:$B103,P$2:P$6)</f>
        <v>456.90702615079334</v>
      </c>
      <c r="H99">
        <f t="shared" si="108"/>
        <v>389.44868071539429</v>
      </c>
      <c r="I99">
        <f t="shared" si="108"/>
        <v>327.10581459109528</v>
      </c>
      <c r="J99">
        <f t="shared" si="108"/>
        <v>300.01608679056011</v>
      </c>
      <c r="K99">
        <f t="shared" si="108"/>
        <v>233.83258250649897</v>
      </c>
      <c r="L99">
        <f t="shared" si="74"/>
        <v>764.98314086879782</v>
      </c>
      <c r="M99">
        <f t="shared" si="75"/>
        <v>11.266859131202182</v>
      </c>
      <c r="N99">
        <f t="shared" si="76"/>
        <v>126.94211468235399</v>
      </c>
    </row>
    <row r="100" spans="1:14" x14ac:dyDescent="0.45">
      <c r="A100" s="22">
        <v>42727</v>
      </c>
      <c r="B100">
        <v>764.55</v>
      </c>
      <c r="C100">
        <v>760.59</v>
      </c>
      <c r="G100">
        <f t="shared" ref="G100:K100" si="109">SUMPRODUCT($B100:$B104,P$2:P$6)</f>
        <v>457.61668604965496</v>
      </c>
      <c r="H100">
        <f t="shared" si="109"/>
        <v>390.05344768200786</v>
      </c>
      <c r="I100">
        <f t="shared" si="109"/>
        <v>327.61341643900425</v>
      </c>
      <c r="J100">
        <f t="shared" si="109"/>
        <v>300.48355786396803</v>
      </c>
      <c r="K100">
        <f t="shared" si="109"/>
        <v>234.19675509729649</v>
      </c>
      <c r="L100">
        <f t="shared" si="74"/>
        <v>766.16919472129507</v>
      </c>
      <c r="M100">
        <f t="shared" si="75"/>
        <v>-2.7691947212950936</v>
      </c>
      <c r="N100">
        <f t="shared" si="76"/>
        <v>7.6684394044486108</v>
      </c>
    </row>
    <row r="101" spans="1:14" x14ac:dyDescent="0.45">
      <c r="A101" s="22">
        <v>42726</v>
      </c>
      <c r="B101">
        <v>768.12</v>
      </c>
      <c r="C101">
        <v>766.34</v>
      </c>
      <c r="G101">
        <f t="shared" ref="G101:K101" si="110">SUMPRODUCT($B101:$B105,P$2:P$6)</f>
        <v>459.46388349513006</v>
      </c>
      <c r="H101">
        <f t="shared" si="110"/>
        <v>391.52970064390456</v>
      </c>
      <c r="I101">
        <f t="shared" si="110"/>
        <v>328.82314835689868</v>
      </c>
      <c r="J101">
        <f t="shared" si="110"/>
        <v>301.5144604841953</v>
      </c>
      <c r="K101">
        <f t="shared" si="110"/>
        <v>235.03570410158545</v>
      </c>
      <c r="L101">
        <f t="shared" si="74"/>
        <v>769.05920437369434</v>
      </c>
      <c r="M101">
        <f t="shared" si="75"/>
        <v>-4.5092043736943879</v>
      </c>
      <c r="N101">
        <f t="shared" si="76"/>
        <v>20.332924083744597</v>
      </c>
    </row>
    <row r="102" spans="1:14" x14ac:dyDescent="0.45">
      <c r="A102" s="22">
        <v>42725</v>
      </c>
      <c r="B102">
        <v>770</v>
      </c>
      <c r="C102">
        <v>770.6</v>
      </c>
      <c r="G102">
        <f t="shared" ref="G102:K102" si="111">SUMPRODUCT($B102:$B106,P$2:P$6)</f>
        <v>460.57611382978928</v>
      </c>
      <c r="H102">
        <f t="shared" si="111"/>
        <v>392.48344884601613</v>
      </c>
      <c r="I102">
        <f t="shared" si="111"/>
        <v>329.62642759570065</v>
      </c>
      <c r="J102">
        <f t="shared" si="111"/>
        <v>302.25304766555638</v>
      </c>
      <c r="K102">
        <f t="shared" si="111"/>
        <v>235.60959315172801</v>
      </c>
      <c r="L102">
        <f t="shared" si="74"/>
        <v>770.92730930073719</v>
      </c>
      <c r="M102">
        <f t="shared" si="75"/>
        <v>-2.8073093007371881</v>
      </c>
      <c r="N102">
        <f t="shared" si="76"/>
        <v>7.8809855100055204</v>
      </c>
    </row>
    <row r="103" spans="1:14" x14ac:dyDescent="0.45">
      <c r="A103" s="22">
        <v>42724</v>
      </c>
      <c r="B103">
        <v>768.65</v>
      </c>
      <c r="C103">
        <v>771.22</v>
      </c>
      <c r="G103">
        <f t="shared" ref="G103:K103" si="112">SUMPRODUCT($B103:$B107,P$2:P$6)</f>
        <v>459.58335014089897</v>
      </c>
      <c r="H103">
        <f t="shared" si="112"/>
        <v>391.59810300702839</v>
      </c>
      <c r="I103">
        <f t="shared" si="112"/>
        <v>328.87179044308971</v>
      </c>
      <c r="J103">
        <f t="shared" si="112"/>
        <v>301.52316357361411</v>
      </c>
      <c r="K103">
        <f t="shared" si="112"/>
        <v>235.05554973168157</v>
      </c>
      <c r="L103">
        <f t="shared" si="74"/>
        <v>769.18826799581393</v>
      </c>
      <c r="M103">
        <f t="shared" si="75"/>
        <v>0.81173200418606939</v>
      </c>
      <c r="N103">
        <f t="shared" si="76"/>
        <v>0.65890884661993299</v>
      </c>
    </row>
    <row r="104" spans="1:14" x14ac:dyDescent="0.45">
      <c r="A104" s="22">
        <v>42723</v>
      </c>
      <c r="B104">
        <v>758.89</v>
      </c>
      <c r="C104">
        <v>766</v>
      </c>
      <c r="G104">
        <f t="shared" ref="G104:K104" si="113">SUMPRODUCT($B104:$B108,P$2:P$6)</f>
        <v>454.57757390136629</v>
      </c>
      <c r="H104">
        <f t="shared" si="113"/>
        <v>387.57964075791648</v>
      </c>
      <c r="I104">
        <f t="shared" si="113"/>
        <v>325.57139560703155</v>
      </c>
      <c r="J104">
        <f t="shared" si="113"/>
        <v>298.7044562795333</v>
      </c>
      <c r="K104">
        <f t="shared" si="113"/>
        <v>232.7679738426942</v>
      </c>
      <c r="L104">
        <f t="shared" si="74"/>
        <v>761.32499001976169</v>
      </c>
      <c r="M104">
        <f t="shared" si="75"/>
        <v>7.325009980238292</v>
      </c>
      <c r="N104">
        <f t="shared" si="76"/>
        <v>53.655771210590579</v>
      </c>
    </row>
    <row r="105" spans="1:14" x14ac:dyDescent="0.45">
      <c r="A105" s="22">
        <v>42720</v>
      </c>
      <c r="B105">
        <v>765</v>
      </c>
      <c r="C105">
        <v>757.77</v>
      </c>
      <c r="G105">
        <f t="shared" ref="G105:K105" si="114">SUMPRODUCT($B105:$B109,P$2:P$6)</f>
        <v>457.74737765856514</v>
      </c>
      <c r="H105">
        <f t="shared" si="114"/>
        <v>390.12256044267065</v>
      </c>
      <c r="I105">
        <f t="shared" si="114"/>
        <v>327.65866764568517</v>
      </c>
      <c r="J105">
        <f t="shared" si="114"/>
        <v>300.48991573386462</v>
      </c>
      <c r="K105">
        <f t="shared" si="114"/>
        <v>234.21711413607153</v>
      </c>
      <c r="L105">
        <f t="shared" si="74"/>
        <v>766.30275381446859</v>
      </c>
      <c r="M105">
        <f t="shared" si="75"/>
        <v>-7.4127538144686014</v>
      </c>
      <c r="N105">
        <f t="shared" si="76"/>
        <v>54.948919113918798</v>
      </c>
    </row>
    <row r="106" spans="1:14" x14ac:dyDescent="0.45">
      <c r="A106" s="22">
        <v>42719</v>
      </c>
      <c r="B106">
        <v>766.28</v>
      </c>
      <c r="C106">
        <v>761</v>
      </c>
      <c r="G106">
        <f t="shared" ref="G106:K106" si="115">SUMPRODUCT($B106:$B110,P$2:P$6)</f>
        <v>458.81202318180618</v>
      </c>
      <c r="H106">
        <f t="shared" si="115"/>
        <v>391.10259787038029</v>
      </c>
      <c r="I106">
        <f t="shared" si="115"/>
        <v>328.5028836642731</v>
      </c>
      <c r="J106">
        <f t="shared" si="115"/>
        <v>301.33012812455127</v>
      </c>
      <c r="K106">
        <f t="shared" si="115"/>
        <v>234.84492858157114</v>
      </c>
      <c r="L106">
        <f t="shared" si="74"/>
        <v>768.22901502629611</v>
      </c>
      <c r="M106">
        <f t="shared" si="75"/>
        <v>-3.2290150262961106</v>
      </c>
      <c r="N106">
        <f t="shared" si="76"/>
        <v>10.426538040046072</v>
      </c>
    </row>
    <row r="107" spans="1:14" x14ac:dyDescent="0.45">
      <c r="A107" s="22">
        <v>42718</v>
      </c>
      <c r="B107">
        <v>778.25</v>
      </c>
      <c r="C107">
        <v>768.82</v>
      </c>
      <c r="G107">
        <f t="shared" ref="G107:K107" si="116">SUMPRODUCT($B107:$B111,P$2:P$6)</f>
        <v>465.12273060064547</v>
      </c>
      <c r="H107">
        <f t="shared" si="116"/>
        <v>396.25711826697415</v>
      </c>
      <c r="I107">
        <f t="shared" si="116"/>
        <v>332.76610128593234</v>
      </c>
      <c r="J107">
        <f t="shared" si="116"/>
        <v>305.04286287599604</v>
      </c>
      <c r="K107">
        <f t="shared" si="116"/>
        <v>237.82160223409923</v>
      </c>
      <c r="L107">
        <f t="shared" si="74"/>
        <v>778.31594563542853</v>
      </c>
      <c r="M107">
        <f t="shared" si="75"/>
        <v>-12.035945635428561</v>
      </c>
      <c r="N107">
        <f t="shared" si="76"/>
        <v>144.86398733899182</v>
      </c>
    </row>
    <row r="108" spans="1:14" x14ac:dyDescent="0.45">
      <c r="A108" s="22">
        <v>42717</v>
      </c>
      <c r="B108">
        <v>764.96</v>
      </c>
      <c r="C108">
        <v>774.34</v>
      </c>
      <c r="G108">
        <f t="shared" ref="G108:K108" si="117">SUMPRODUCT($B108:$B112,P$2:P$6)</f>
        <v>457.85405638178554</v>
      </c>
      <c r="H108">
        <f t="shared" si="117"/>
        <v>390.25974340467616</v>
      </c>
      <c r="I108">
        <f t="shared" si="117"/>
        <v>327.78820009952699</v>
      </c>
      <c r="J108">
        <f t="shared" si="117"/>
        <v>300.64522778160233</v>
      </c>
      <c r="K108">
        <f t="shared" si="117"/>
        <v>234.32152429456698</v>
      </c>
      <c r="L108">
        <f t="shared" si="74"/>
        <v>766.57282262841989</v>
      </c>
      <c r="M108">
        <f t="shared" si="75"/>
        <v>11.677177371580115</v>
      </c>
      <c r="N108">
        <f t="shared" si="76"/>
        <v>136.35647136734266</v>
      </c>
    </row>
    <row r="109" spans="1:14" x14ac:dyDescent="0.45">
      <c r="A109" s="22">
        <v>42716</v>
      </c>
      <c r="B109">
        <v>766.4</v>
      </c>
      <c r="C109">
        <v>760.12</v>
      </c>
      <c r="G109">
        <f t="shared" ref="G109:K109" si="118">SUMPRODUCT($B109:$B113,P$2:P$6)</f>
        <v>458.61637639536917</v>
      </c>
      <c r="H109">
        <f t="shared" si="118"/>
        <v>390.86693987980499</v>
      </c>
      <c r="I109">
        <f t="shared" si="118"/>
        <v>328.2847214249324</v>
      </c>
      <c r="J109">
        <f t="shared" si="118"/>
        <v>301.06893300150648</v>
      </c>
      <c r="K109">
        <f t="shared" si="118"/>
        <v>234.6668711996592</v>
      </c>
      <c r="L109">
        <f t="shared" si="74"/>
        <v>767.76247208045515</v>
      </c>
      <c r="M109">
        <f t="shared" si="75"/>
        <v>-2.802472080455118</v>
      </c>
      <c r="N109">
        <f t="shared" si="76"/>
        <v>7.8538497617304373</v>
      </c>
    </row>
    <row r="110" spans="1:14" x14ac:dyDescent="0.45">
      <c r="A110" s="22">
        <v>42713</v>
      </c>
      <c r="B110">
        <v>770</v>
      </c>
      <c r="C110">
        <v>768.66</v>
      </c>
      <c r="G110">
        <f t="shared" ref="G110:K110" si="119">SUMPRODUCT($B110:$B114,P$2:P$6)</f>
        <v>460.64690469140868</v>
      </c>
      <c r="H110">
        <f t="shared" si="119"/>
        <v>392.55879172503973</v>
      </c>
      <c r="I110">
        <f t="shared" si="119"/>
        <v>329.69393656979241</v>
      </c>
      <c r="J110">
        <f t="shared" si="119"/>
        <v>302.32942753780935</v>
      </c>
      <c r="K110">
        <f t="shared" si="119"/>
        <v>235.66344040282056</v>
      </c>
      <c r="L110">
        <f t="shared" si="74"/>
        <v>771.07649366010253</v>
      </c>
      <c r="M110">
        <f t="shared" si="75"/>
        <v>-4.6764936601025511</v>
      </c>
      <c r="N110">
        <f t="shared" si="76"/>
        <v>21.869592952979353</v>
      </c>
    </row>
    <row r="111" spans="1:14" x14ac:dyDescent="0.45">
      <c r="A111" s="22">
        <v>42712</v>
      </c>
      <c r="B111">
        <v>771.87</v>
      </c>
      <c r="C111">
        <v>767.33</v>
      </c>
      <c r="G111">
        <f t="shared" ref="G111:K111" si="120">SUMPRODUCT($B111:$B115,P$2:P$6)</f>
        <v>461.13265308500809</v>
      </c>
      <c r="H111">
        <f t="shared" si="120"/>
        <v>392.77550692562738</v>
      </c>
      <c r="I111">
        <f t="shared" si="120"/>
        <v>329.81605834123184</v>
      </c>
      <c r="J111">
        <f t="shared" si="120"/>
        <v>302.27866536399597</v>
      </c>
      <c r="K111">
        <f t="shared" si="120"/>
        <v>235.69563653219291</v>
      </c>
      <c r="L111">
        <f t="shared" si="74"/>
        <v>771.49296284782974</v>
      </c>
      <c r="M111">
        <f t="shared" si="75"/>
        <v>-1.4929628478297445</v>
      </c>
      <c r="N111">
        <f t="shared" si="76"/>
        <v>2.2289380649999009</v>
      </c>
    </row>
    <row r="112" spans="1:14" x14ac:dyDescent="0.45">
      <c r="A112" s="22">
        <v>42711</v>
      </c>
      <c r="B112">
        <v>764.55</v>
      </c>
      <c r="C112">
        <v>770.42</v>
      </c>
      <c r="G112">
        <f t="shared" ref="G112:K112" si="121">SUMPRODUCT($B112:$B116,P$2:P$6)</f>
        <v>457.04393596065285</v>
      </c>
      <c r="H112">
        <f t="shared" si="121"/>
        <v>389.37342106274417</v>
      </c>
      <c r="I112">
        <f t="shared" si="121"/>
        <v>326.98337458159517</v>
      </c>
      <c r="J112">
        <f t="shared" si="121"/>
        <v>299.75141764754295</v>
      </c>
      <c r="K112">
        <f t="shared" si="121"/>
        <v>233.69546712075021</v>
      </c>
      <c r="L112">
        <f t="shared" si="74"/>
        <v>764.83021967449918</v>
      </c>
      <c r="M112">
        <f t="shared" si="75"/>
        <v>7.0397803255008284</v>
      </c>
      <c r="N112">
        <f t="shared" si="76"/>
        <v>49.558507031308551</v>
      </c>
    </row>
    <row r="113" spans="1:14" x14ac:dyDescent="0.45">
      <c r="A113" s="22">
        <v>42710</v>
      </c>
      <c r="B113">
        <v>763.99</v>
      </c>
      <c r="C113">
        <v>764.72</v>
      </c>
      <c r="G113">
        <f t="shared" ref="G113:K113" si="122">SUMPRODUCT($B113:$B117,P$2:P$6)</f>
        <v>456.37249475364013</v>
      </c>
      <c r="H113">
        <f t="shared" si="122"/>
        <v>388.73988168329993</v>
      </c>
      <c r="I113">
        <f t="shared" si="122"/>
        <v>326.4347318716687</v>
      </c>
      <c r="J113">
        <f t="shared" si="122"/>
        <v>299.18482326851245</v>
      </c>
      <c r="K113">
        <f t="shared" si="122"/>
        <v>233.27753037871099</v>
      </c>
      <c r="L113">
        <f t="shared" si="74"/>
        <v>763.58053786754465</v>
      </c>
      <c r="M113">
        <f t="shared" si="75"/>
        <v>0.96946213245530544</v>
      </c>
      <c r="N113">
        <f t="shared" si="76"/>
        <v>0.93985682626478817</v>
      </c>
    </row>
    <row r="114" spans="1:14" x14ac:dyDescent="0.45">
      <c r="A114" s="22">
        <v>42709</v>
      </c>
      <c r="B114">
        <v>745</v>
      </c>
      <c r="C114">
        <v>759.36</v>
      </c>
      <c r="G114">
        <f t="shared" ref="G114:K114" si="123">SUMPRODUCT($B114:$B118,P$2:P$6)</f>
        <v>446.01069060751394</v>
      </c>
      <c r="H114">
        <f t="shared" si="123"/>
        <v>380.2115075616465</v>
      </c>
      <c r="I114">
        <f t="shared" si="123"/>
        <v>319.36329864150991</v>
      </c>
      <c r="J114">
        <f t="shared" si="123"/>
        <v>292.95217210143318</v>
      </c>
      <c r="K114">
        <f t="shared" si="123"/>
        <v>228.3090859690771</v>
      </c>
      <c r="L114">
        <f t="shared" si="74"/>
        <v>746.88088430021276</v>
      </c>
      <c r="M114">
        <f t="shared" si="75"/>
        <v>17.109115699787253</v>
      </c>
      <c r="N114">
        <f t="shared" si="76"/>
        <v>292.72184002870665</v>
      </c>
    </row>
    <row r="115" spans="1:14" x14ac:dyDescent="0.45">
      <c r="A115" s="22">
        <v>42706</v>
      </c>
      <c r="B115">
        <v>743.4</v>
      </c>
      <c r="C115">
        <v>740.34</v>
      </c>
      <c r="G115">
        <f t="shared" ref="G115:K115" si="124">SUMPRODUCT($B115:$B119,P$2:P$6)</f>
        <v>445.48504718362824</v>
      </c>
      <c r="H115">
        <f t="shared" si="124"/>
        <v>379.88408387354883</v>
      </c>
      <c r="I115">
        <f t="shared" si="124"/>
        <v>319.12423569773182</v>
      </c>
      <c r="J115">
        <f t="shared" si="124"/>
        <v>292.83653118577757</v>
      </c>
      <c r="K115">
        <f t="shared" si="124"/>
        <v>228.17463916765325</v>
      </c>
      <c r="L115">
        <f t="shared" si="74"/>
        <v>746.24602241797311</v>
      </c>
      <c r="M115">
        <f t="shared" si="75"/>
        <v>-1.2460224179731085</v>
      </c>
      <c r="N115">
        <f t="shared" si="76"/>
        <v>1.552571866091552</v>
      </c>
    </row>
    <row r="116" spans="1:14" x14ac:dyDescent="0.45">
      <c r="A116" s="22">
        <v>42705</v>
      </c>
      <c r="B116">
        <v>752.41</v>
      </c>
      <c r="C116">
        <v>743.65</v>
      </c>
      <c r="G116">
        <f t="shared" ref="G116:K116" si="125">SUMPRODUCT($B116:$B120,P$2:P$6)</f>
        <v>450.89157637698202</v>
      </c>
      <c r="H116">
        <f t="shared" si="125"/>
        <v>384.49554397475168</v>
      </c>
      <c r="I116">
        <f t="shared" si="125"/>
        <v>322.99839737727893</v>
      </c>
      <c r="J116">
        <f t="shared" si="125"/>
        <v>296.392800361838</v>
      </c>
      <c r="K116">
        <f t="shared" si="125"/>
        <v>230.94521058907051</v>
      </c>
      <c r="L116">
        <f t="shared" si="74"/>
        <v>755.28361270296909</v>
      </c>
      <c r="M116">
        <f t="shared" si="75"/>
        <v>-11.883612702969117</v>
      </c>
      <c r="N116">
        <f t="shared" si="76"/>
        <v>141.22025087416895</v>
      </c>
    </row>
    <row r="117" spans="1:14" x14ac:dyDescent="0.45">
      <c r="A117" s="22">
        <v>42704</v>
      </c>
      <c r="B117">
        <v>762</v>
      </c>
      <c r="C117">
        <v>750.57</v>
      </c>
      <c r="G117">
        <f t="shared" ref="G117:K117" si="126">SUMPRODUCT($B117:$B121,P$2:P$6)</f>
        <v>456.5286164234148</v>
      </c>
      <c r="H117">
        <f t="shared" si="126"/>
        <v>389.27510892576822</v>
      </c>
      <c r="I117">
        <f t="shared" si="126"/>
        <v>327.00552444023253</v>
      </c>
      <c r="J117">
        <f t="shared" si="126"/>
        <v>300.04526285191923</v>
      </c>
      <c r="K117">
        <f t="shared" si="126"/>
        <v>233.80132982982931</v>
      </c>
      <c r="L117">
        <f t="shared" si="74"/>
        <v>764.64845357413958</v>
      </c>
      <c r="M117">
        <f t="shared" si="75"/>
        <v>-12.238453574139612</v>
      </c>
      <c r="N117">
        <f t="shared" si="76"/>
        <v>149.77974588637065</v>
      </c>
    </row>
    <row r="118" spans="1:14" x14ac:dyDescent="0.45">
      <c r="A118" s="22">
        <v>42703</v>
      </c>
      <c r="B118">
        <v>768</v>
      </c>
      <c r="C118">
        <v>762.52</v>
      </c>
      <c r="G118">
        <f t="shared" ref="G118:K118" si="127">SUMPRODUCT($B118:$B122,P$2:P$6)</f>
        <v>460.00574388316306</v>
      </c>
      <c r="H118">
        <f t="shared" si="127"/>
        <v>392.18848861485429</v>
      </c>
      <c r="I118">
        <f t="shared" si="127"/>
        <v>329.4365263530953</v>
      </c>
      <c r="J118">
        <f t="shared" si="127"/>
        <v>302.23778326571608</v>
      </c>
      <c r="K118">
        <f t="shared" si="127"/>
        <v>235.5280230265563</v>
      </c>
      <c r="L118">
        <f t="shared" si="74"/>
        <v>770.35774003373945</v>
      </c>
      <c r="M118">
        <f t="shared" si="75"/>
        <v>-8.3577400337394465</v>
      </c>
      <c r="N118">
        <f t="shared" si="76"/>
        <v>69.85181847157105</v>
      </c>
    </row>
    <row r="119" spans="1:14" x14ac:dyDescent="0.45">
      <c r="A119" s="22">
        <v>42702</v>
      </c>
      <c r="B119">
        <v>776.99</v>
      </c>
      <c r="C119">
        <v>766.77</v>
      </c>
      <c r="G119">
        <f t="shared" ref="G119:K119" si="128">SUMPRODUCT($B119:$B123,P$2:P$6)</f>
        <v>465.35271183091618</v>
      </c>
      <c r="H119">
        <f t="shared" si="128"/>
        <v>396.7323180438741</v>
      </c>
      <c r="I119">
        <f t="shared" si="128"/>
        <v>333.24868145645854</v>
      </c>
      <c r="J119">
        <f t="shared" si="128"/>
        <v>305.72387135904006</v>
      </c>
      <c r="K119">
        <f t="shared" si="128"/>
        <v>238.24996760342503</v>
      </c>
      <c r="L119">
        <f t="shared" si="74"/>
        <v>779.26236064756301</v>
      </c>
      <c r="M119">
        <f t="shared" si="75"/>
        <v>-11.262360647563014</v>
      </c>
      <c r="N119">
        <f t="shared" si="76"/>
        <v>126.84076735577599</v>
      </c>
    </row>
    <row r="120" spans="1:14" x14ac:dyDescent="0.45">
      <c r="A120" s="22">
        <v>42699</v>
      </c>
      <c r="B120">
        <v>786.5</v>
      </c>
      <c r="C120">
        <v>780.37</v>
      </c>
      <c r="G120">
        <f t="shared" ref="G120:K120" si="129">SUMPRODUCT($B120:$B124,P$2:P$6)</f>
        <v>470.07226924823027</v>
      </c>
      <c r="H120">
        <f t="shared" si="129"/>
        <v>400.45279924867981</v>
      </c>
      <c r="I120">
        <f t="shared" si="129"/>
        <v>336.28185542829175</v>
      </c>
      <c r="J120">
        <f t="shared" si="129"/>
        <v>308.25632207024211</v>
      </c>
      <c r="K120">
        <f t="shared" si="129"/>
        <v>240.33371075814151</v>
      </c>
      <c r="L120">
        <f t="shared" si="74"/>
        <v>786.54088130896275</v>
      </c>
      <c r="M120">
        <f t="shared" si="75"/>
        <v>-9.5508813089627438</v>
      </c>
      <c r="N120">
        <f t="shared" si="76"/>
        <v>91.219333777893894</v>
      </c>
    </row>
    <row r="121" spans="1:14" x14ac:dyDescent="0.45">
      <c r="A121" s="22">
        <v>42697</v>
      </c>
      <c r="B121">
        <v>781.73</v>
      </c>
      <c r="C121">
        <v>780.12</v>
      </c>
      <c r="G121">
        <f t="shared" ref="G121:K121" si="130">SUMPRODUCT($B121:$B125,P$2:P$6)</f>
        <v>467.52440820384572</v>
      </c>
      <c r="H121">
        <f t="shared" si="130"/>
        <v>398.35503100660395</v>
      </c>
      <c r="I121">
        <f t="shared" si="130"/>
        <v>334.54131074720874</v>
      </c>
      <c r="J121">
        <f t="shared" si="130"/>
        <v>306.72733041136217</v>
      </c>
      <c r="K121">
        <f t="shared" si="130"/>
        <v>239.11443720001981</v>
      </c>
      <c r="L121">
        <f t="shared" si="74"/>
        <v>782.43563959761264</v>
      </c>
      <c r="M121">
        <f t="shared" si="75"/>
        <v>4.064360402387365</v>
      </c>
      <c r="N121">
        <f t="shared" si="76"/>
        <v>16.519025480494385</v>
      </c>
    </row>
    <row r="122" spans="1:14" x14ac:dyDescent="0.45">
      <c r="A122" s="22">
        <v>42696</v>
      </c>
      <c r="B122">
        <v>788.17</v>
      </c>
      <c r="C122">
        <v>785.33</v>
      </c>
      <c r="G122">
        <f t="shared" ref="G122:K122" si="131">SUMPRODUCT($B122:$B126,P$2:P$6)</f>
        <v>470.25667597638096</v>
      </c>
      <c r="H122">
        <f t="shared" si="131"/>
        <v>400.37396900079483</v>
      </c>
      <c r="I122">
        <f t="shared" si="131"/>
        <v>336.14485921525448</v>
      </c>
      <c r="J122">
        <f t="shared" si="131"/>
        <v>307.93068533419938</v>
      </c>
      <c r="K122">
        <f t="shared" si="131"/>
        <v>240.1663256333421</v>
      </c>
      <c r="L122">
        <f t="shared" si="74"/>
        <v>786.37427375240372</v>
      </c>
      <c r="M122">
        <f t="shared" si="75"/>
        <v>-4.6442737524037057</v>
      </c>
      <c r="N122">
        <f t="shared" si="76"/>
        <v>21.569278687265996</v>
      </c>
    </row>
    <row r="123" spans="1:14" x14ac:dyDescent="0.45">
      <c r="A123" s="22">
        <v>42695</v>
      </c>
      <c r="B123">
        <v>766</v>
      </c>
      <c r="C123">
        <v>780</v>
      </c>
      <c r="G123">
        <f t="shared" ref="G123:K123" si="132">SUMPRODUCT($B123:$B127,P$2:P$6)</f>
        <v>457.698364426019</v>
      </c>
      <c r="H123">
        <f t="shared" si="132"/>
        <v>389.86906533420671</v>
      </c>
      <c r="I123">
        <f t="shared" si="132"/>
        <v>327.38101855147977</v>
      </c>
      <c r="J123">
        <f t="shared" si="132"/>
        <v>300.06357293272663</v>
      </c>
      <c r="K123">
        <f t="shared" si="132"/>
        <v>233.96150785920705</v>
      </c>
      <c r="L123">
        <f t="shared" si="74"/>
        <v>765.79842169244614</v>
      </c>
      <c r="M123">
        <f t="shared" si="75"/>
        <v>22.371578307553818</v>
      </c>
      <c r="N123">
        <f t="shared" si="76"/>
        <v>500.48751597101256</v>
      </c>
    </row>
    <row r="124" spans="1:14" x14ac:dyDescent="0.45">
      <c r="A124" s="22">
        <v>42692</v>
      </c>
      <c r="B124">
        <v>761</v>
      </c>
      <c r="C124">
        <v>760.16</v>
      </c>
      <c r="G124">
        <f t="shared" ref="G124:K124" si="133">SUMPRODUCT($B124:$B128,P$2:P$6)</f>
        <v>454.43327860968014</v>
      </c>
      <c r="H124">
        <f t="shared" si="133"/>
        <v>387.00989393762552</v>
      </c>
      <c r="I124">
        <f t="shared" si="133"/>
        <v>324.95683368176026</v>
      </c>
      <c r="J124">
        <f t="shared" si="133"/>
        <v>297.77475099922486</v>
      </c>
      <c r="K124">
        <f t="shared" si="133"/>
        <v>232.20557326330623</v>
      </c>
      <c r="L124">
        <f t="shared" si="74"/>
        <v>760.19086121688952</v>
      </c>
      <c r="M124">
        <f t="shared" si="75"/>
        <v>5.8091387831104839</v>
      </c>
      <c r="N124">
        <f t="shared" si="76"/>
        <v>33.746093401438351</v>
      </c>
    </row>
    <row r="125" spans="1:14" x14ac:dyDescent="0.45">
      <c r="A125" s="22">
        <v>42691</v>
      </c>
      <c r="B125">
        <v>749.32</v>
      </c>
      <c r="C125">
        <v>756.4</v>
      </c>
      <c r="G125">
        <f t="shared" ref="G125:K125" si="134">SUMPRODUCT($B125:$B129,P$2:P$6)</f>
        <v>448.00059139502298</v>
      </c>
      <c r="H125">
        <f t="shared" si="134"/>
        <v>381.71948852970604</v>
      </c>
      <c r="I125">
        <f t="shared" si="134"/>
        <v>320.57266428904393</v>
      </c>
      <c r="J125">
        <f t="shared" si="134"/>
        <v>293.90695216890782</v>
      </c>
      <c r="K125">
        <f t="shared" si="134"/>
        <v>229.12158635445559</v>
      </c>
      <c r="L125">
        <f t="shared" si="74"/>
        <v>749.8286411538088</v>
      </c>
      <c r="M125">
        <f t="shared" si="75"/>
        <v>11.171358846191197</v>
      </c>
      <c r="N125">
        <f t="shared" si="76"/>
        <v>124.79925847037431</v>
      </c>
    </row>
    <row r="126" spans="1:14" x14ac:dyDescent="0.45">
      <c r="A126" s="22">
        <v>42690</v>
      </c>
      <c r="B126">
        <v>739.88</v>
      </c>
      <c r="C126">
        <v>746.49</v>
      </c>
      <c r="G126">
        <f t="shared" ref="G126:K126" si="135">SUMPRODUCT($B126:$B130,P$2:P$6)</f>
        <v>442.33412485447406</v>
      </c>
      <c r="H126">
        <f t="shared" si="135"/>
        <v>376.8851202712703</v>
      </c>
      <c r="I126">
        <f t="shared" si="135"/>
        <v>316.51081741552315</v>
      </c>
      <c r="J126">
        <f t="shared" si="135"/>
        <v>290.17759530634424</v>
      </c>
      <c r="K126">
        <f t="shared" si="135"/>
        <v>226.21657335822403</v>
      </c>
      <c r="L126">
        <f t="shared" si="74"/>
        <v>740.35419570677811</v>
      </c>
      <c r="M126">
        <f t="shared" si="75"/>
        <v>8.9658042932219359</v>
      </c>
      <c r="N126">
        <f t="shared" si="76"/>
        <v>80.385646624356895</v>
      </c>
    </row>
    <row r="127" spans="1:14" x14ac:dyDescent="0.45">
      <c r="A127" s="22">
        <v>42689</v>
      </c>
      <c r="B127">
        <v>730</v>
      </c>
      <c r="C127">
        <v>743.24</v>
      </c>
      <c r="G127">
        <f t="shared" ref="G127:K127" si="136">SUMPRODUCT($B127:$B131,P$2:P$6)</f>
        <v>438.0870650690502</v>
      </c>
      <c r="H127">
        <f t="shared" si="136"/>
        <v>373.78017926005668</v>
      </c>
      <c r="I127">
        <f t="shared" si="136"/>
        <v>314.05910170108388</v>
      </c>
      <c r="J127">
        <f t="shared" si="136"/>
        <v>288.3549833721699</v>
      </c>
      <c r="K127">
        <f t="shared" si="136"/>
        <v>224.60858192521047</v>
      </c>
      <c r="L127">
        <f t="shared" si="74"/>
        <v>734.29130144173428</v>
      </c>
      <c r="M127">
        <f t="shared" si="75"/>
        <v>5.5886985582657189</v>
      </c>
      <c r="N127">
        <f t="shared" si="76"/>
        <v>31.233551575161325</v>
      </c>
    </row>
    <row r="128" spans="1:14" x14ac:dyDescent="0.45">
      <c r="A128" s="22">
        <v>42688</v>
      </c>
      <c r="B128">
        <v>745.51</v>
      </c>
      <c r="C128">
        <v>719.07</v>
      </c>
      <c r="G128">
        <f t="shared" ref="G128:K128" si="137">SUMPRODUCT($B128:$B132,P$2:P$6)</f>
        <v>446.11646565877078</v>
      </c>
      <c r="H128">
        <f t="shared" si="137"/>
        <v>380.25652469106842</v>
      </c>
      <c r="I128">
        <f t="shared" si="137"/>
        <v>319.38820362616212</v>
      </c>
      <c r="J128">
        <f t="shared" si="137"/>
        <v>292.93275149413711</v>
      </c>
      <c r="K128">
        <f t="shared" si="137"/>
        <v>228.31090422583395</v>
      </c>
      <c r="L128">
        <f t="shared" si="74"/>
        <v>746.96504646605956</v>
      </c>
      <c r="M128">
        <f t="shared" si="75"/>
        <v>-16.965046466059562</v>
      </c>
      <c r="N128">
        <f t="shared" si="76"/>
        <v>287.81280159556002</v>
      </c>
    </row>
    <row r="129" spans="1:14" x14ac:dyDescent="0.45">
      <c r="A129" s="22">
        <v>42685</v>
      </c>
      <c r="B129">
        <v>735.73</v>
      </c>
      <c r="C129">
        <v>739.01</v>
      </c>
      <c r="G129">
        <f t="shared" ref="G129:K129" si="138">SUMPRODUCT($B129:$B133,P$2:P$6)</f>
        <v>442.28635535252511</v>
      </c>
      <c r="H129">
        <f t="shared" si="138"/>
        <v>377.54663313423578</v>
      </c>
      <c r="I129">
        <f t="shared" si="138"/>
        <v>317.27692888152569</v>
      </c>
      <c r="J129">
        <f t="shared" si="138"/>
        <v>291.47628453370987</v>
      </c>
      <c r="K129">
        <f t="shared" si="138"/>
        <v>226.97156295801193</v>
      </c>
      <c r="L129">
        <f t="shared" si="74"/>
        <v>741.68712317066479</v>
      </c>
      <c r="M129">
        <f t="shared" si="75"/>
        <v>3.8228768293352005</v>
      </c>
      <c r="N129">
        <f t="shared" si="76"/>
        <v>14.614387252267955</v>
      </c>
    </row>
    <row r="130" spans="1:14" x14ac:dyDescent="0.45">
      <c r="A130" s="22">
        <v>42684</v>
      </c>
      <c r="B130">
        <v>778.81</v>
      </c>
      <c r="C130">
        <v>742.38</v>
      </c>
      <c r="G130">
        <f t="shared" ref="G130:K130" si="139">SUMPRODUCT($B130:$B134,P$2:P$6)</f>
        <v>465.43532354885315</v>
      </c>
      <c r="H130">
        <f t="shared" si="139"/>
        <v>396.52036227294906</v>
      </c>
      <c r="I130">
        <f t="shared" si="139"/>
        <v>332.98641827378253</v>
      </c>
      <c r="J130">
        <f t="shared" si="139"/>
        <v>305.24116261016331</v>
      </c>
      <c r="K130">
        <f t="shared" si="139"/>
        <v>237.97743874991639</v>
      </c>
      <c r="L130">
        <f t="shared" si="74"/>
        <v>778.83121648406882</v>
      </c>
      <c r="M130">
        <f t="shared" si="75"/>
        <v>-43.1012164840688</v>
      </c>
      <c r="N130">
        <f t="shared" si="76"/>
        <v>1857.714862406564</v>
      </c>
    </row>
    <row r="131" spans="1:14" x14ac:dyDescent="0.45">
      <c r="A131" s="22">
        <v>42683</v>
      </c>
      <c r="B131">
        <v>764</v>
      </c>
      <c r="C131">
        <v>771.88</v>
      </c>
      <c r="G131">
        <f t="shared" ref="G131:K131" si="140">SUMPRODUCT($B131:$B135,P$2:P$6)</f>
        <v>457.67282881818875</v>
      </c>
      <c r="H131">
        <f t="shared" si="140"/>
        <v>390.18340545822468</v>
      </c>
      <c r="I131">
        <f t="shared" si="140"/>
        <v>327.74568725588563</v>
      </c>
      <c r="J131">
        <f t="shared" si="140"/>
        <v>300.6838269098281</v>
      </c>
      <c r="K131">
        <f t="shared" si="140"/>
        <v>234.32176510807645</v>
      </c>
      <c r="L131">
        <f t="shared" ref="L131:L194" si="141">(G131+$P$7)*$U$2+(H131+$Q$7)*$U$3+(I131+$R$7)*$U$4+(J131+$S$7)*$U$5+(K131+$T$7)*$U$6+$U$7</f>
        <v>766.43213506991094</v>
      </c>
      <c r="M131">
        <f t="shared" ref="M131:M194" si="142">B130-L131</f>
        <v>12.377864930089004</v>
      </c>
      <c r="N131">
        <f t="shared" ref="N131:N194" si="143">M131^2</f>
        <v>153.21154022752725</v>
      </c>
    </row>
    <row r="132" spans="1:14" x14ac:dyDescent="0.45">
      <c r="A132" s="22">
        <v>42682</v>
      </c>
      <c r="B132">
        <v>784.97</v>
      </c>
      <c r="C132">
        <v>787.75</v>
      </c>
      <c r="G132">
        <f t="shared" ref="G132:K132" si="144">SUMPRODUCT($B132:$B136,P$2:P$6)</f>
        <v>468.93043717261742</v>
      </c>
      <c r="H132">
        <f t="shared" si="144"/>
        <v>399.4260659477942</v>
      </c>
      <c r="I132">
        <f t="shared" si="144"/>
        <v>335.40404560594726</v>
      </c>
      <c r="J132">
        <f t="shared" si="144"/>
        <v>307.40207452449391</v>
      </c>
      <c r="K132">
        <f t="shared" si="144"/>
        <v>239.6879104648246</v>
      </c>
      <c r="L132">
        <f t="shared" si="141"/>
        <v>784.52434406683301</v>
      </c>
      <c r="M132">
        <f t="shared" si="142"/>
        <v>-20.524344066833009</v>
      </c>
      <c r="N132">
        <f t="shared" si="143"/>
        <v>421.24869937374336</v>
      </c>
    </row>
    <row r="133" spans="1:14" x14ac:dyDescent="0.45">
      <c r="A133" s="22">
        <v>42681</v>
      </c>
      <c r="B133">
        <v>771.64</v>
      </c>
      <c r="C133">
        <v>784.93</v>
      </c>
      <c r="G133">
        <f t="shared" ref="G133:K133" si="145">SUMPRODUCT($B133:$B137,P$2:P$6)</f>
        <v>461.66367079334344</v>
      </c>
      <c r="H133">
        <f t="shared" si="145"/>
        <v>393.47249374023113</v>
      </c>
      <c r="I133">
        <f t="shared" si="145"/>
        <v>330.47735633304694</v>
      </c>
      <c r="J133">
        <f t="shared" si="145"/>
        <v>303.07610311348583</v>
      </c>
      <c r="K133">
        <f t="shared" si="145"/>
        <v>236.22944493407715</v>
      </c>
      <c r="L133">
        <f t="shared" si="141"/>
        <v>772.86446973029899</v>
      </c>
      <c r="M133">
        <f t="shared" si="142"/>
        <v>12.105530269701035</v>
      </c>
      <c r="N133">
        <f t="shared" si="143"/>
        <v>146.543863110648</v>
      </c>
    </row>
    <row r="134" spans="1:14" x14ac:dyDescent="0.45">
      <c r="A134" s="22">
        <v>42678</v>
      </c>
      <c r="B134">
        <v>762.79</v>
      </c>
      <c r="C134">
        <v>755.05</v>
      </c>
      <c r="G134">
        <f t="shared" ref="G134:K134" si="146">SUMPRODUCT($B134:$B138,P$2:P$6)</f>
        <v>457.11036965458237</v>
      </c>
      <c r="H134">
        <f t="shared" si="146"/>
        <v>389.8219902023767</v>
      </c>
      <c r="I134">
        <f t="shared" si="146"/>
        <v>327.4811636749767</v>
      </c>
      <c r="J134">
        <f t="shared" si="146"/>
        <v>300.51853979398635</v>
      </c>
      <c r="K134">
        <f t="shared" si="146"/>
        <v>234.1521956200009</v>
      </c>
      <c r="L134">
        <f t="shared" si="141"/>
        <v>765.72015732507953</v>
      </c>
      <c r="M134">
        <f t="shared" si="142"/>
        <v>5.91984267492046</v>
      </c>
      <c r="N134">
        <f t="shared" si="143"/>
        <v>35.044537295809427</v>
      </c>
    </row>
    <row r="135" spans="1:14" x14ac:dyDescent="0.45">
      <c r="A135" s="22">
        <v>42677</v>
      </c>
      <c r="B135">
        <v>765.05</v>
      </c>
      <c r="C135">
        <v>767.03</v>
      </c>
      <c r="G135">
        <f t="shared" ref="G135:K135" si="147">SUMPRODUCT($B135:$B139,P$2:P$6)</f>
        <v>458.55530949264852</v>
      </c>
      <c r="H135">
        <f t="shared" si="147"/>
        <v>391.03329208423622</v>
      </c>
      <c r="I135">
        <f t="shared" si="147"/>
        <v>328.49005791988088</v>
      </c>
      <c r="J135">
        <f t="shared" si="147"/>
        <v>301.44165053374172</v>
      </c>
      <c r="K135">
        <f t="shared" si="147"/>
        <v>234.87747173097327</v>
      </c>
      <c r="L135">
        <f t="shared" si="141"/>
        <v>768.09940438179842</v>
      </c>
      <c r="M135">
        <f t="shared" si="142"/>
        <v>-5.3094043817984584</v>
      </c>
      <c r="N135">
        <f t="shared" si="143"/>
        <v>28.189774889460672</v>
      </c>
    </row>
    <row r="136" spans="1:14" x14ac:dyDescent="0.45">
      <c r="A136" s="22">
        <v>42676</v>
      </c>
      <c r="B136">
        <v>783.93</v>
      </c>
      <c r="C136">
        <v>765.56</v>
      </c>
      <c r="G136">
        <f t="shared" ref="G136:K136" si="148">SUMPRODUCT($B136:$B140,P$2:P$6)</f>
        <v>469.42090943299189</v>
      </c>
      <c r="H136">
        <f t="shared" si="148"/>
        <v>400.15146190876465</v>
      </c>
      <c r="I136">
        <f t="shared" si="148"/>
        <v>336.10472959840388</v>
      </c>
      <c r="J136">
        <f t="shared" si="148"/>
        <v>308.30990038543831</v>
      </c>
      <c r="K136">
        <f t="shared" si="148"/>
        <v>240.28242566388164</v>
      </c>
      <c r="L136">
        <f t="shared" si="141"/>
        <v>785.96375998119674</v>
      </c>
      <c r="M136">
        <f t="shared" si="142"/>
        <v>-20.91375998119679</v>
      </c>
      <c r="N136">
        <f t="shared" si="143"/>
        <v>437.38535655110837</v>
      </c>
    </row>
    <row r="137" spans="1:14" x14ac:dyDescent="0.45">
      <c r="A137" s="22">
        <v>42675</v>
      </c>
      <c r="B137">
        <v>799</v>
      </c>
      <c r="C137">
        <v>785.41</v>
      </c>
      <c r="G137">
        <f t="shared" ref="G137:K137" si="149">SUMPRODUCT($B137:$B141,P$2:P$6)</f>
        <v>478.14340016309256</v>
      </c>
      <c r="H137">
        <f t="shared" si="149"/>
        <v>407.58591046657324</v>
      </c>
      <c r="I137">
        <f t="shared" si="149"/>
        <v>342.35340475283408</v>
      </c>
      <c r="J137">
        <f t="shared" si="149"/>
        <v>314.01355859738982</v>
      </c>
      <c r="K137">
        <f t="shared" si="149"/>
        <v>244.73091947733724</v>
      </c>
      <c r="L137">
        <f t="shared" si="141"/>
        <v>800.52165970081705</v>
      </c>
      <c r="M137">
        <f t="shared" si="142"/>
        <v>-16.591659700817104</v>
      </c>
      <c r="N137">
        <f t="shared" si="143"/>
        <v>275.28317162771833</v>
      </c>
    </row>
    <row r="138" spans="1:14" x14ac:dyDescent="0.45">
      <c r="A138" s="22">
        <v>42674</v>
      </c>
      <c r="B138">
        <v>781.03</v>
      </c>
      <c r="C138">
        <v>789.82</v>
      </c>
      <c r="G138">
        <f t="shared" ref="G138:K138" si="150">SUMPRODUCT($B138:$B142,P$2:P$6)</f>
        <v>468.26974685487448</v>
      </c>
      <c r="H138">
        <f t="shared" si="150"/>
        <v>399.42485167006498</v>
      </c>
      <c r="I138">
        <f t="shared" si="150"/>
        <v>335.57516894690815</v>
      </c>
      <c r="J138">
        <f t="shared" si="150"/>
        <v>308.01275506407518</v>
      </c>
      <c r="K138">
        <f t="shared" si="150"/>
        <v>239.96055770676023</v>
      </c>
      <c r="L138">
        <f t="shared" si="141"/>
        <v>784.54116657262978</v>
      </c>
      <c r="M138">
        <f t="shared" si="142"/>
        <v>14.458833427370223</v>
      </c>
      <c r="N138">
        <f t="shared" si="143"/>
        <v>209.05786408043855</v>
      </c>
    </row>
    <row r="139" spans="1:14" x14ac:dyDescent="0.45">
      <c r="A139" s="22">
        <v>42671</v>
      </c>
      <c r="B139">
        <v>782</v>
      </c>
      <c r="C139">
        <v>776.32</v>
      </c>
      <c r="G139">
        <f t="shared" ref="G139:K139" si="151">SUMPRODUCT($B139:$B143,P$2:P$6)</f>
        <v>470.28733488967924</v>
      </c>
      <c r="H139">
        <f t="shared" si="151"/>
        <v>401.50412766849695</v>
      </c>
      <c r="I139">
        <f t="shared" si="151"/>
        <v>337.42656819938145</v>
      </c>
      <c r="J139">
        <f t="shared" si="151"/>
        <v>310.03349853794236</v>
      </c>
      <c r="K139">
        <f t="shared" si="151"/>
        <v>241.40192919197352</v>
      </c>
      <c r="L139">
        <f t="shared" si="141"/>
        <v>788.64226344156805</v>
      </c>
      <c r="M139">
        <f t="shared" si="142"/>
        <v>-7.612263441568075</v>
      </c>
      <c r="N139">
        <f t="shared" si="143"/>
        <v>57.946554703833833</v>
      </c>
    </row>
    <row r="140" spans="1:14" x14ac:dyDescent="0.45">
      <c r="A140" s="22">
        <v>42670</v>
      </c>
      <c r="B140">
        <v>831.24</v>
      </c>
      <c r="C140">
        <v>818.36</v>
      </c>
      <c r="G140">
        <f t="shared" ref="G140:K140" si="152">SUMPRODUCT($B140:$B144,P$2:P$6)</f>
        <v>497.27307983716889</v>
      </c>
      <c r="H140">
        <f t="shared" si="152"/>
        <v>423.76921077498781</v>
      </c>
      <c r="I140">
        <f t="shared" si="152"/>
        <v>355.90570744815233</v>
      </c>
      <c r="J140">
        <f t="shared" si="152"/>
        <v>326.36360369755289</v>
      </c>
      <c r="K140">
        <f t="shared" si="152"/>
        <v>254.39867191617267</v>
      </c>
      <c r="L140">
        <f t="shared" si="141"/>
        <v>832.2407425783282</v>
      </c>
      <c r="M140">
        <f t="shared" si="142"/>
        <v>-50.240742578328195</v>
      </c>
      <c r="N140">
        <f t="shared" si="143"/>
        <v>2524.1322148218396</v>
      </c>
    </row>
    <row r="141" spans="1:14" x14ac:dyDescent="0.45">
      <c r="A141" s="22">
        <v>42669</v>
      </c>
      <c r="B141">
        <v>832.76</v>
      </c>
      <c r="C141">
        <v>822.59</v>
      </c>
      <c r="G141">
        <f t="shared" ref="G141:K141" si="153">SUMPRODUCT($B141:$B145,P$2:P$6)</f>
        <v>498.0108280100942</v>
      </c>
      <c r="H141">
        <f t="shared" si="153"/>
        <v>424.32033204185518</v>
      </c>
      <c r="I141">
        <f t="shared" si="153"/>
        <v>356.34386662269168</v>
      </c>
      <c r="J141">
        <f t="shared" si="153"/>
        <v>326.70851704717796</v>
      </c>
      <c r="K141">
        <f t="shared" si="153"/>
        <v>254.69498501132321</v>
      </c>
      <c r="L141">
        <f t="shared" si="141"/>
        <v>833.3206327852613</v>
      </c>
      <c r="M141">
        <f t="shared" si="142"/>
        <v>-2.0806327852612867</v>
      </c>
      <c r="N141">
        <f t="shared" si="143"/>
        <v>4.3290327871041399</v>
      </c>
    </row>
    <row r="142" spans="1:14" x14ac:dyDescent="0.45">
      <c r="A142" s="22">
        <v>42668</v>
      </c>
      <c r="B142">
        <v>839.3</v>
      </c>
      <c r="C142">
        <v>835.18</v>
      </c>
      <c r="G142">
        <f t="shared" ref="G142:K142" si="154">SUMPRODUCT($B142:$B146,P$2:P$6)</f>
        <v>501.31091896896805</v>
      </c>
      <c r="H142">
        <f t="shared" si="154"/>
        <v>426.98036470475353</v>
      </c>
      <c r="I142">
        <f t="shared" si="154"/>
        <v>358.53352132425971</v>
      </c>
      <c r="J142">
        <f t="shared" si="154"/>
        <v>328.57936901496737</v>
      </c>
      <c r="K142">
        <f t="shared" si="154"/>
        <v>256.20995124299509</v>
      </c>
      <c r="L142">
        <f t="shared" si="141"/>
        <v>838.5223515475908</v>
      </c>
      <c r="M142">
        <f t="shared" si="142"/>
        <v>-5.7623515475908107</v>
      </c>
      <c r="N142">
        <f t="shared" si="143"/>
        <v>33.204695358022214</v>
      </c>
    </row>
    <row r="143" spans="1:14" x14ac:dyDescent="0.45">
      <c r="A143" s="22">
        <v>42667</v>
      </c>
      <c r="B143">
        <v>824.95</v>
      </c>
      <c r="C143">
        <v>838.09</v>
      </c>
      <c r="G143">
        <f t="shared" ref="G143:K143" si="155">SUMPRODUCT($B143:$B147,P$2:P$6)</f>
        <v>493.0676582111314</v>
      </c>
      <c r="H143">
        <f t="shared" si="155"/>
        <v>420.08176925789439</v>
      </c>
      <c r="I143">
        <f t="shared" si="155"/>
        <v>352.77893995576363</v>
      </c>
      <c r="J143">
        <f t="shared" si="155"/>
        <v>323.40071393893038</v>
      </c>
      <c r="K143">
        <f t="shared" si="155"/>
        <v>252.12793193791649</v>
      </c>
      <c r="L143">
        <f t="shared" si="141"/>
        <v>825.0055992858853</v>
      </c>
      <c r="M143">
        <f t="shared" si="142"/>
        <v>14.294400714114659</v>
      </c>
      <c r="N143">
        <f t="shared" si="143"/>
        <v>204.32989177568166</v>
      </c>
    </row>
    <row r="144" spans="1:14" x14ac:dyDescent="0.45">
      <c r="A144" s="22">
        <v>42664</v>
      </c>
      <c r="B144">
        <v>809.36</v>
      </c>
      <c r="C144">
        <v>818.99</v>
      </c>
      <c r="G144">
        <f t="shared" ref="G144:K144" si="156">SUMPRODUCT($B144:$B148,P$2:P$6)</f>
        <v>484.61366857115968</v>
      </c>
      <c r="H144">
        <f t="shared" si="156"/>
        <v>413.12493515211338</v>
      </c>
      <c r="I144">
        <f t="shared" si="156"/>
        <v>347.01018860153664</v>
      </c>
      <c r="J144">
        <f t="shared" si="156"/>
        <v>318.32225760992679</v>
      </c>
      <c r="K144">
        <f t="shared" si="156"/>
        <v>248.07844464687477</v>
      </c>
      <c r="L144">
        <f t="shared" si="141"/>
        <v>811.38540652135168</v>
      </c>
      <c r="M144">
        <f t="shared" si="142"/>
        <v>13.564593478648362</v>
      </c>
      <c r="N144">
        <f t="shared" si="143"/>
        <v>183.99819624098967</v>
      </c>
    </row>
    <row r="145" spans="1:14" x14ac:dyDescent="0.45">
      <c r="A145" s="22">
        <v>42663</v>
      </c>
      <c r="B145">
        <v>813.99</v>
      </c>
      <c r="C145">
        <v>810.32</v>
      </c>
      <c r="G145">
        <f t="shared" ref="G145:K145" si="157">SUMPRODUCT($B145:$B149,P$2:P$6)</f>
        <v>487.33801063571553</v>
      </c>
      <c r="H145">
        <f t="shared" si="157"/>
        <v>415.42460724197343</v>
      </c>
      <c r="I145">
        <f t="shared" si="157"/>
        <v>348.93453759613465</v>
      </c>
      <c r="J145">
        <f t="shared" si="157"/>
        <v>320.07105396779184</v>
      </c>
      <c r="K145">
        <f t="shared" si="157"/>
        <v>249.44936642391815</v>
      </c>
      <c r="L145">
        <f t="shared" si="141"/>
        <v>815.89225123966651</v>
      </c>
      <c r="M145">
        <f t="shared" si="142"/>
        <v>-6.5322512396664933</v>
      </c>
      <c r="N145">
        <f t="shared" si="143"/>
        <v>42.670306258124441</v>
      </c>
    </row>
    <row r="146" spans="1:14" x14ac:dyDescent="0.45">
      <c r="A146" s="22">
        <v>42662</v>
      </c>
      <c r="B146">
        <v>820.4</v>
      </c>
      <c r="C146">
        <v>817.69</v>
      </c>
      <c r="G146">
        <f t="shared" ref="G146:K146" si="158">SUMPRODUCT($B146:$B150,P$2:P$6)</f>
        <v>491.17330701776012</v>
      </c>
      <c r="H146">
        <f t="shared" si="158"/>
        <v>418.70834571820836</v>
      </c>
      <c r="I146">
        <f t="shared" si="158"/>
        <v>351.69779930478586</v>
      </c>
      <c r="J146">
        <f t="shared" si="158"/>
        <v>322.61313152085313</v>
      </c>
      <c r="K146">
        <f t="shared" si="158"/>
        <v>251.42580676242071</v>
      </c>
      <c r="L146">
        <f t="shared" si="141"/>
        <v>822.32625873343306</v>
      </c>
      <c r="M146">
        <f t="shared" si="142"/>
        <v>-8.3362587334330556</v>
      </c>
      <c r="N146">
        <f t="shared" si="143"/>
        <v>69.493209670738892</v>
      </c>
    </row>
    <row r="147" spans="1:14" x14ac:dyDescent="0.45">
      <c r="A147" s="22">
        <v>42661</v>
      </c>
      <c r="B147">
        <v>822.11</v>
      </c>
      <c r="C147">
        <v>817.65</v>
      </c>
      <c r="G147">
        <f t="shared" ref="G147:K147" si="159">SUMPRODUCT($B147:$B151,P$2:P$6)</f>
        <v>491.99077933557862</v>
      </c>
      <c r="H147">
        <f t="shared" si="159"/>
        <v>419.33882828470229</v>
      </c>
      <c r="I147">
        <f t="shared" si="159"/>
        <v>352.20712228760516</v>
      </c>
      <c r="J147">
        <f t="shared" si="159"/>
        <v>323.02621771964795</v>
      </c>
      <c r="K147">
        <f t="shared" si="159"/>
        <v>251.77180460693037</v>
      </c>
      <c r="L147">
        <f t="shared" si="141"/>
        <v>823.5593467851038</v>
      </c>
      <c r="M147">
        <f t="shared" si="142"/>
        <v>-3.1593467851038213</v>
      </c>
      <c r="N147">
        <f t="shared" si="143"/>
        <v>9.9814721085458515</v>
      </c>
    </row>
    <row r="148" spans="1:14" x14ac:dyDescent="0.45">
      <c r="A148" s="22">
        <v>42660</v>
      </c>
      <c r="B148">
        <v>821.5</v>
      </c>
      <c r="C148">
        <v>812.95</v>
      </c>
      <c r="G148">
        <f t="shared" ref="G148:K148" si="160">SUMPRODUCT($B148:$B152,P$2:P$6)</f>
        <v>492.12043279977149</v>
      </c>
      <c r="H148">
        <f t="shared" si="160"/>
        <v>419.58092997372711</v>
      </c>
      <c r="I148">
        <f t="shared" si="160"/>
        <v>352.44934327001084</v>
      </c>
      <c r="J148">
        <f t="shared" si="160"/>
        <v>323.36359375614359</v>
      </c>
      <c r="K148">
        <f t="shared" si="160"/>
        <v>251.98617628531736</v>
      </c>
      <c r="L148">
        <f t="shared" si="141"/>
        <v>824.04216682586514</v>
      </c>
      <c r="M148">
        <f t="shared" si="142"/>
        <v>-1.9321668258651243</v>
      </c>
      <c r="N148">
        <f t="shared" si="143"/>
        <v>3.7332686429737096</v>
      </c>
    </row>
    <row r="149" spans="1:14" x14ac:dyDescent="0.45">
      <c r="A149" s="22">
        <v>42657</v>
      </c>
      <c r="B149">
        <v>835.08</v>
      </c>
      <c r="C149">
        <v>822.96</v>
      </c>
      <c r="G149">
        <f t="shared" ref="G149:K149" si="161">SUMPRODUCT($B149:$B153,P$2:P$6)</f>
        <v>499.58229847581623</v>
      </c>
      <c r="H149">
        <f t="shared" si="161"/>
        <v>425.76583263278559</v>
      </c>
      <c r="I149">
        <f t="shared" si="161"/>
        <v>357.59249137902071</v>
      </c>
      <c r="J149">
        <f t="shared" si="161"/>
        <v>327.92669131472383</v>
      </c>
      <c r="K149">
        <f t="shared" si="161"/>
        <v>255.60743890099991</v>
      </c>
      <c r="L149">
        <f t="shared" si="141"/>
        <v>836.15161940354949</v>
      </c>
      <c r="M149">
        <f t="shared" si="142"/>
        <v>-14.651619403549489</v>
      </c>
      <c r="N149">
        <f t="shared" si="143"/>
        <v>214.66995114646789</v>
      </c>
    </row>
    <row r="150" spans="1:14" x14ac:dyDescent="0.45">
      <c r="A150" s="22">
        <v>42656</v>
      </c>
      <c r="B150">
        <v>829</v>
      </c>
      <c r="C150">
        <v>829.28</v>
      </c>
      <c r="G150">
        <f t="shared" ref="G150:K150" si="162">SUMPRODUCT($B150:$B154,P$2:P$6)</f>
        <v>496.40209390263419</v>
      </c>
      <c r="H150">
        <f t="shared" si="162"/>
        <v>423.18383268272726</v>
      </c>
      <c r="I150">
        <f t="shared" si="162"/>
        <v>355.46219885779533</v>
      </c>
      <c r="J150">
        <f t="shared" si="162"/>
        <v>326.083179876982</v>
      </c>
      <c r="K150">
        <f t="shared" si="162"/>
        <v>254.12334808873771</v>
      </c>
      <c r="L150">
        <f t="shared" si="141"/>
        <v>831.09872484996401</v>
      </c>
      <c r="M150">
        <f t="shared" si="142"/>
        <v>3.9812751500360264</v>
      </c>
      <c r="N150">
        <f t="shared" si="143"/>
        <v>15.850551820294385</v>
      </c>
    </row>
    <row r="151" spans="1:14" x14ac:dyDescent="0.45">
      <c r="A151" s="22">
        <v>42655</v>
      </c>
      <c r="B151">
        <v>834</v>
      </c>
      <c r="C151">
        <v>834.09</v>
      </c>
      <c r="G151">
        <f t="shared" ref="G151:K151" si="163">SUMPRODUCT($B151:$B155,P$2:P$6)</f>
        <v>499.40492950730521</v>
      </c>
      <c r="H151">
        <f t="shared" si="163"/>
        <v>425.74053263116184</v>
      </c>
      <c r="I151">
        <f t="shared" si="163"/>
        <v>357.60849290304901</v>
      </c>
      <c r="J151">
        <f t="shared" si="163"/>
        <v>328.05119307698249</v>
      </c>
      <c r="K151">
        <f t="shared" si="163"/>
        <v>255.6580423698469</v>
      </c>
      <c r="L151">
        <f t="shared" si="141"/>
        <v>836.10986671222213</v>
      </c>
      <c r="M151">
        <f t="shared" si="142"/>
        <v>-7.1098667122221286</v>
      </c>
      <c r="N151">
        <f t="shared" si="143"/>
        <v>50.550204665564301</v>
      </c>
    </row>
    <row r="152" spans="1:14" x14ac:dyDescent="0.45">
      <c r="A152" s="22">
        <v>42654</v>
      </c>
      <c r="B152">
        <v>841.02</v>
      </c>
      <c r="C152">
        <v>831</v>
      </c>
      <c r="G152">
        <f t="shared" ref="G152:K152" si="164">SUMPRODUCT($B152:$B156,P$2:P$6)</f>
        <v>503.30713211007202</v>
      </c>
      <c r="H152">
        <f t="shared" si="164"/>
        <v>428.97481733176761</v>
      </c>
      <c r="I152">
        <f t="shared" si="164"/>
        <v>360.29724225571533</v>
      </c>
      <c r="J152">
        <f t="shared" si="164"/>
        <v>330.44111631917434</v>
      </c>
      <c r="K152">
        <f t="shared" si="164"/>
        <v>257.55418036049554</v>
      </c>
      <c r="L152">
        <f t="shared" si="141"/>
        <v>842.44424244419065</v>
      </c>
      <c r="M152">
        <f t="shared" si="142"/>
        <v>-8.4442424441906496</v>
      </c>
      <c r="N152">
        <f t="shared" si="143"/>
        <v>71.305230456270877</v>
      </c>
    </row>
    <row r="153" spans="1:14" x14ac:dyDescent="0.45">
      <c r="A153" s="22">
        <v>42653</v>
      </c>
      <c r="B153">
        <v>843.25</v>
      </c>
      <c r="C153">
        <v>841.71</v>
      </c>
      <c r="G153">
        <f t="shared" ref="G153:K153" si="165">SUMPRODUCT($B153:$B157,P$2:P$6)</f>
        <v>504.50598483068751</v>
      </c>
      <c r="H153">
        <f t="shared" si="165"/>
        <v>429.94704348863121</v>
      </c>
      <c r="I153">
        <f t="shared" si="165"/>
        <v>361.09842047737112</v>
      </c>
      <c r="J153">
        <f t="shared" si="165"/>
        <v>331.13717099887532</v>
      </c>
      <c r="K153">
        <f t="shared" si="165"/>
        <v>258.11449931121331</v>
      </c>
      <c r="L153">
        <f t="shared" si="141"/>
        <v>844.3484224708601</v>
      </c>
      <c r="M153">
        <f t="shared" si="142"/>
        <v>-3.3284224708601187</v>
      </c>
      <c r="N153">
        <f t="shared" si="143"/>
        <v>11.078396144526577</v>
      </c>
    </row>
    <row r="154" spans="1:14" x14ac:dyDescent="0.45">
      <c r="A154" s="22">
        <v>42650</v>
      </c>
      <c r="B154">
        <v>845.79</v>
      </c>
      <c r="C154">
        <v>839.43</v>
      </c>
      <c r="G154">
        <f t="shared" ref="G154:K154" si="166">SUMPRODUCT($B154:$B158,P$2:P$6)</f>
        <v>505.90427182279558</v>
      </c>
      <c r="H154">
        <f t="shared" si="166"/>
        <v>431.11009467003032</v>
      </c>
      <c r="I154">
        <f t="shared" si="166"/>
        <v>362.06699220766728</v>
      </c>
      <c r="J154">
        <f t="shared" si="166"/>
        <v>331.99905718211414</v>
      </c>
      <c r="K154">
        <f t="shared" si="166"/>
        <v>258.79702253237122</v>
      </c>
      <c r="L154">
        <f t="shared" si="141"/>
        <v>846.62534312006346</v>
      </c>
      <c r="M154">
        <f t="shared" si="142"/>
        <v>-3.3753431200634623</v>
      </c>
      <c r="N154">
        <f t="shared" si="143"/>
        <v>11.392941178159749</v>
      </c>
    </row>
    <row r="155" spans="1:14" x14ac:dyDescent="0.45">
      <c r="A155" s="22">
        <v>42649</v>
      </c>
      <c r="B155">
        <v>843.7</v>
      </c>
      <c r="C155">
        <v>841.66</v>
      </c>
      <c r="G155">
        <f t="shared" ref="G155:K155" si="167">SUMPRODUCT($B155:$B159,P$2:P$6)</f>
        <v>504.50266629555881</v>
      </c>
      <c r="H155">
        <f t="shared" si="167"/>
        <v>429.87304236084833</v>
      </c>
      <c r="I155">
        <f t="shared" si="167"/>
        <v>361.01531731109651</v>
      </c>
      <c r="J155">
        <f t="shared" si="167"/>
        <v>330.99816731711002</v>
      </c>
      <c r="K155">
        <f t="shared" si="167"/>
        <v>258.03248733920816</v>
      </c>
      <c r="L155">
        <f t="shared" si="141"/>
        <v>844.19867862414935</v>
      </c>
      <c r="M155">
        <f t="shared" si="142"/>
        <v>1.5913213758506117</v>
      </c>
      <c r="N155">
        <f t="shared" si="143"/>
        <v>2.5323037212390838</v>
      </c>
    </row>
    <row r="156" spans="1:14" x14ac:dyDescent="0.45">
      <c r="A156" s="22">
        <v>42648</v>
      </c>
      <c r="B156">
        <v>838</v>
      </c>
      <c r="C156">
        <v>844.36</v>
      </c>
      <c r="G156">
        <f t="shared" ref="G156:K156" si="168">SUMPRODUCT($B156:$B160,P$2:P$6)</f>
        <v>501.3725190503954</v>
      </c>
      <c r="H156">
        <f t="shared" si="168"/>
        <v>427.27812035615642</v>
      </c>
      <c r="I156">
        <f t="shared" si="168"/>
        <v>358.85728378436261</v>
      </c>
      <c r="J156">
        <f t="shared" si="168"/>
        <v>329.08345481976352</v>
      </c>
      <c r="K156">
        <f t="shared" si="168"/>
        <v>256.51311180078949</v>
      </c>
      <c r="L156">
        <f t="shared" si="141"/>
        <v>839.11818674522954</v>
      </c>
      <c r="M156">
        <f t="shared" si="142"/>
        <v>4.581813254770509</v>
      </c>
      <c r="N156">
        <f t="shared" si="143"/>
        <v>20.993012701590725</v>
      </c>
    </row>
    <row r="157" spans="1:14" x14ac:dyDescent="0.45">
      <c r="A157" s="22">
        <v>42647</v>
      </c>
      <c r="B157">
        <v>840.91</v>
      </c>
      <c r="C157">
        <v>834.03</v>
      </c>
      <c r="G157">
        <f t="shared" ref="G157:K157" si="169">SUMPRODUCT($B157:$B161,P$2:P$6)</f>
        <v>502.76535698726127</v>
      </c>
      <c r="H157">
        <f t="shared" si="169"/>
        <v>428.36552314243369</v>
      </c>
      <c r="I157">
        <f t="shared" si="169"/>
        <v>359.74074714281005</v>
      </c>
      <c r="J157">
        <f t="shared" si="169"/>
        <v>329.80880583797807</v>
      </c>
      <c r="K157">
        <f t="shared" si="169"/>
        <v>257.11503113223881</v>
      </c>
      <c r="L157">
        <f t="shared" si="141"/>
        <v>841.24393391535023</v>
      </c>
      <c r="M157">
        <f t="shared" si="142"/>
        <v>-3.243933915350226</v>
      </c>
      <c r="N157">
        <f t="shared" si="143"/>
        <v>10.523107247159448</v>
      </c>
    </row>
    <row r="158" spans="1:14" x14ac:dyDescent="0.45">
      <c r="A158" s="22">
        <v>42646</v>
      </c>
      <c r="B158">
        <v>836</v>
      </c>
      <c r="C158">
        <v>836.74</v>
      </c>
      <c r="G158">
        <f t="shared" ref="G158:K158" si="170">SUMPRODUCT($B158:$B162,P$2:P$6)</f>
        <v>499.77255894071334</v>
      </c>
      <c r="H158">
        <f t="shared" si="170"/>
        <v>425.79031082364622</v>
      </c>
      <c r="I158">
        <f t="shared" si="170"/>
        <v>357.57005522666719</v>
      </c>
      <c r="J158">
        <f t="shared" si="170"/>
        <v>327.80005615296329</v>
      </c>
      <c r="K158">
        <f t="shared" si="170"/>
        <v>255.5580012053789</v>
      </c>
      <c r="L158">
        <f t="shared" si="141"/>
        <v>836.19709826267876</v>
      </c>
      <c r="M158">
        <f t="shared" si="142"/>
        <v>4.7129017373212037</v>
      </c>
      <c r="N158">
        <f t="shared" si="143"/>
        <v>22.211442785645218</v>
      </c>
    </row>
    <row r="159" spans="1:14" x14ac:dyDescent="0.45">
      <c r="A159" s="22">
        <v>42643</v>
      </c>
      <c r="B159">
        <v>832.61</v>
      </c>
      <c r="C159">
        <v>837.31</v>
      </c>
      <c r="G159">
        <f t="shared" ref="G159:K159" si="171">SUMPRODUCT($B159:$B163,P$2:P$6)</f>
        <v>497.48602340649467</v>
      </c>
      <c r="H159">
        <f t="shared" si="171"/>
        <v>423.75219847921767</v>
      </c>
      <c r="I159">
        <f t="shared" si="171"/>
        <v>355.83070820737322</v>
      </c>
      <c r="J159">
        <f t="shared" si="171"/>
        <v>326.13384732934168</v>
      </c>
      <c r="K159">
        <f t="shared" si="171"/>
        <v>254.29149884405999</v>
      </c>
      <c r="L159">
        <f t="shared" si="141"/>
        <v>832.20032232505037</v>
      </c>
      <c r="M159">
        <f t="shared" si="142"/>
        <v>3.7996776749496348</v>
      </c>
      <c r="N159">
        <f t="shared" si="143"/>
        <v>14.437550433510662</v>
      </c>
    </row>
    <row r="160" spans="1:14" x14ac:dyDescent="0.45">
      <c r="A160" s="22">
        <v>42642</v>
      </c>
      <c r="B160">
        <v>828.26</v>
      </c>
      <c r="C160">
        <v>829.05</v>
      </c>
      <c r="G160">
        <f t="shared" ref="G160:K160" si="172">SUMPRODUCT($B160:$B164,P$2:P$6)</f>
        <v>494.79782712360662</v>
      </c>
      <c r="H160">
        <f t="shared" si="172"/>
        <v>421.44953330764918</v>
      </c>
      <c r="I160">
        <f t="shared" si="172"/>
        <v>353.89391971774688</v>
      </c>
      <c r="J160">
        <f t="shared" si="172"/>
        <v>324.34364423259649</v>
      </c>
      <c r="K160">
        <f t="shared" si="172"/>
        <v>252.90083043836813</v>
      </c>
      <c r="L160">
        <f t="shared" si="141"/>
        <v>827.68528815348839</v>
      </c>
      <c r="M160">
        <f t="shared" si="142"/>
        <v>4.9247118465116273</v>
      </c>
      <c r="N160">
        <f t="shared" si="143"/>
        <v>24.252786771171962</v>
      </c>
    </row>
    <row r="161" spans="1:14" x14ac:dyDescent="0.45">
      <c r="A161" s="22">
        <v>42641</v>
      </c>
      <c r="B161">
        <v>818</v>
      </c>
      <c r="C161">
        <v>828.72</v>
      </c>
      <c r="G161">
        <f t="shared" ref="G161:K161" si="173">SUMPRODUCT($B161:$B165,P$2:P$6)</f>
        <v>488.70648530336041</v>
      </c>
      <c r="H161">
        <f t="shared" si="173"/>
        <v>416.29409313611103</v>
      </c>
      <c r="I161">
        <f t="shared" si="173"/>
        <v>349.5758693885777</v>
      </c>
      <c r="J161">
        <f t="shared" si="173"/>
        <v>320.40709977881846</v>
      </c>
      <c r="K161">
        <f t="shared" si="173"/>
        <v>249.82006604578123</v>
      </c>
      <c r="L161">
        <f t="shared" si="141"/>
        <v>817.58074256664327</v>
      </c>
      <c r="M161">
        <f t="shared" si="142"/>
        <v>10.679257433356725</v>
      </c>
      <c r="N161">
        <f t="shared" si="143"/>
        <v>114.04653932790485</v>
      </c>
    </row>
    <row r="162" spans="1:14" x14ac:dyDescent="0.45">
      <c r="A162" s="22">
        <v>42640</v>
      </c>
      <c r="B162">
        <v>801.85</v>
      </c>
      <c r="C162">
        <v>816.11</v>
      </c>
      <c r="G162">
        <f t="shared" ref="G162:K162" si="174">SUMPRODUCT($B162:$B166,P$2:P$6)</f>
        <v>479.62165883668916</v>
      </c>
      <c r="H162">
        <f t="shared" si="174"/>
        <v>408.70690981739028</v>
      </c>
      <c r="I162">
        <f t="shared" si="174"/>
        <v>343.24952559210527</v>
      </c>
      <c r="J162">
        <f t="shared" si="174"/>
        <v>314.74096353598327</v>
      </c>
      <c r="K162">
        <f t="shared" si="174"/>
        <v>245.34621957210985</v>
      </c>
      <c r="L162">
        <f t="shared" si="141"/>
        <v>802.72142899515109</v>
      </c>
      <c r="M162">
        <f t="shared" si="142"/>
        <v>15.278571004848914</v>
      </c>
      <c r="N162">
        <f t="shared" si="143"/>
        <v>233.43473195020994</v>
      </c>
    </row>
    <row r="163" spans="1:14" x14ac:dyDescent="0.45">
      <c r="A163" s="22">
        <v>42639</v>
      </c>
      <c r="B163">
        <v>801.8</v>
      </c>
      <c r="C163">
        <v>799.16</v>
      </c>
      <c r="G163">
        <f t="shared" ref="G163:K163" si="175">SUMPRODUCT($B163:$B167,P$2:P$6)</f>
        <v>479.43077185275536</v>
      </c>
      <c r="H163">
        <f t="shared" si="175"/>
        <v>408.48213195109372</v>
      </c>
      <c r="I163">
        <f t="shared" si="175"/>
        <v>343.04132077663235</v>
      </c>
      <c r="J163">
        <f t="shared" si="175"/>
        <v>314.50232779539095</v>
      </c>
      <c r="K163">
        <f t="shared" si="175"/>
        <v>245.18242061038302</v>
      </c>
      <c r="L163">
        <f t="shared" si="141"/>
        <v>802.27985312278247</v>
      </c>
      <c r="M163">
        <f t="shared" si="142"/>
        <v>-0.42985312278244692</v>
      </c>
      <c r="N163">
        <f t="shared" si="143"/>
        <v>0.18477370716582139</v>
      </c>
    </row>
    <row r="164" spans="1:14" x14ac:dyDescent="0.45">
      <c r="A164" s="22">
        <v>42636</v>
      </c>
      <c r="B164">
        <v>803.13</v>
      </c>
      <c r="C164">
        <v>805.75</v>
      </c>
      <c r="G164">
        <f t="shared" ref="G164:K164" si="176">SUMPRODUCT($B164:$B168,P$2:P$6)</f>
        <v>479.78870237860241</v>
      </c>
      <c r="H164">
        <f t="shared" si="176"/>
        <v>408.6630690356962</v>
      </c>
      <c r="I164">
        <f t="shared" si="176"/>
        <v>343.1561906316773</v>
      </c>
      <c r="J164">
        <f t="shared" si="176"/>
        <v>314.50162797343398</v>
      </c>
      <c r="K164">
        <f t="shared" si="176"/>
        <v>245.22742402344457</v>
      </c>
      <c r="L164">
        <f t="shared" si="141"/>
        <v>802.62769316057745</v>
      </c>
      <c r="M164">
        <f t="shared" si="142"/>
        <v>-0.8276931605774962</v>
      </c>
      <c r="N164">
        <f t="shared" si="143"/>
        <v>0.68507596806676496</v>
      </c>
    </row>
    <row r="165" spans="1:14" x14ac:dyDescent="0.45">
      <c r="A165" s="22">
        <v>42635</v>
      </c>
      <c r="B165">
        <v>794.27</v>
      </c>
      <c r="C165">
        <v>804.7</v>
      </c>
      <c r="G165">
        <f t="shared" ref="G165:K165" si="177">SUMPRODUCT($B165:$B169,P$2:P$6)</f>
        <v>474.66076261617735</v>
      </c>
      <c r="H165">
        <f t="shared" si="177"/>
        <v>404.36175111914861</v>
      </c>
      <c r="I165">
        <f t="shared" si="177"/>
        <v>339.56524982057294</v>
      </c>
      <c r="J165">
        <f t="shared" si="177"/>
        <v>311.2609767575716</v>
      </c>
      <c r="K165">
        <f t="shared" si="177"/>
        <v>242.67685821196179</v>
      </c>
      <c r="L165">
        <f t="shared" si="141"/>
        <v>794.19917164560843</v>
      </c>
      <c r="M165">
        <f t="shared" si="142"/>
        <v>8.930828354391565</v>
      </c>
      <c r="N165">
        <f t="shared" si="143"/>
        <v>79.759695095604343</v>
      </c>
    </row>
    <row r="166" spans="1:14" x14ac:dyDescent="0.45">
      <c r="A166" s="22">
        <v>42634</v>
      </c>
      <c r="B166">
        <v>783.25</v>
      </c>
      <c r="C166">
        <v>789.74</v>
      </c>
      <c r="G166">
        <f t="shared" ref="G166:K166" si="178">SUMPRODUCT($B166:$B170,P$2:P$6)</f>
        <v>468.25027333701064</v>
      </c>
      <c r="H166">
        <f t="shared" si="178"/>
        <v>398.95186097027715</v>
      </c>
      <c r="I166">
        <f t="shared" si="178"/>
        <v>335.03764176893907</v>
      </c>
      <c r="J166">
        <f t="shared" si="178"/>
        <v>307.15404013933954</v>
      </c>
      <c r="K166">
        <f t="shared" si="178"/>
        <v>239.45610190788739</v>
      </c>
      <c r="L166">
        <f t="shared" si="141"/>
        <v>783.59984739287222</v>
      </c>
      <c r="M166">
        <f t="shared" si="142"/>
        <v>10.670152607127761</v>
      </c>
      <c r="N166">
        <f t="shared" si="143"/>
        <v>113.85215665939536</v>
      </c>
    </row>
    <row r="167" spans="1:14" x14ac:dyDescent="0.45">
      <c r="A167" s="22">
        <v>42633</v>
      </c>
      <c r="B167">
        <v>776</v>
      </c>
      <c r="C167">
        <v>780.22</v>
      </c>
      <c r="G167">
        <f t="shared" ref="G167:K167" si="179">SUMPRODUCT($B167:$B171,P$2:P$6)</f>
        <v>464.14987041047993</v>
      </c>
      <c r="H167">
        <f t="shared" si="179"/>
        <v>395.50630822406094</v>
      </c>
      <c r="I167">
        <f t="shared" si="179"/>
        <v>332.1574776251415</v>
      </c>
      <c r="J167">
        <f t="shared" si="179"/>
        <v>304.56058211862529</v>
      </c>
      <c r="K167">
        <f t="shared" si="179"/>
        <v>237.41596997185027</v>
      </c>
      <c r="L167">
        <f t="shared" si="141"/>
        <v>776.85266385572186</v>
      </c>
      <c r="M167">
        <f t="shared" si="142"/>
        <v>6.3973361442781425</v>
      </c>
      <c r="N167">
        <f t="shared" si="143"/>
        <v>40.925909742887534</v>
      </c>
    </row>
    <row r="168" spans="1:14" x14ac:dyDescent="0.45">
      <c r="A168" s="22">
        <v>42632</v>
      </c>
      <c r="B168">
        <v>779.97</v>
      </c>
      <c r="C168">
        <v>775.1</v>
      </c>
      <c r="G168">
        <f t="shared" ref="G168:K168" si="180">SUMPRODUCT($B168:$B172,P$2:P$6)</f>
        <v>466.16167831302971</v>
      </c>
      <c r="H168">
        <f t="shared" si="180"/>
        <v>397.12488753555891</v>
      </c>
      <c r="I168">
        <f t="shared" si="180"/>
        <v>333.48857294262501</v>
      </c>
      <c r="J168">
        <f t="shared" si="180"/>
        <v>305.69696886899726</v>
      </c>
      <c r="K168">
        <f t="shared" si="180"/>
        <v>238.33721607085596</v>
      </c>
      <c r="L168">
        <f t="shared" si="141"/>
        <v>780.0184590690568</v>
      </c>
      <c r="M168">
        <f t="shared" si="142"/>
        <v>-4.0184590690568029</v>
      </c>
      <c r="N168">
        <f t="shared" si="143"/>
        <v>16.148013289684869</v>
      </c>
    </row>
    <row r="169" spans="1:14" x14ac:dyDescent="0.45">
      <c r="A169" s="22">
        <v>42629</v>
      </c>
      <c r="B169">
        <v>773.28</v>
      </c>
      <c r="C169">
        <v>778.52</v>
      </c>
      <c r="G169">
        <f t="shared" ref="G169:K169" si="181">SUMPRODUCT($B169:$B173,P$2:P$6)</f>
        <v>462.27263256197494</v>
      </c>
      <c r="H169">
        <f t="shared" si="181"/>
        <v>393.86592105285962</v>
      </c>
      <c r="I169">
        <f t="shared" si="181"/>
        <v>330.76922722544901</v>
      </c>
      <c r="J169">
        <f t="shared" si="181"/>
        <v>303.24299975619232</v>
      </c>
      <c r="K169">
        <f t="shared" si="181"/>
        <v>236.40490804847968</v>
      </c>
      <c r="L169">
        <f t="shared" si="141"/>
        <v>773.63147841934574</v>
      </c>
      <c r="M169">
        <f t="shared" si="142"/>
        <v>6.3385215806542874</v>
      </c>
      <c r="N169">
        <f t="shared" si="143"/>
        <v>40.176855828420123</v>
      </c>
    </row>
    <row r="170" spans="1:14" x14ac:dyDescent="0.45">
      <c r="A170" s="22">
        <v>42628</v>
      </c>
      <c r="B170">
        <v>762</v>
      </c>
      <c r="C170">
        <v>769.69</v>
      </c>
      <c r="G170">
        <f t="shared" ref="G170:K170" si="182">SUMPRODUCT($B170:$B174,P$2:P$6)</f>
        <v>455.83883391206831</v>
      </c>
      <c r="H170">
        <f t="shared" si="182"/>
        <v>388.45879180360663</v>
      </c>
      <c r="I170">
        <f t="shared" si="182"/>
        <v>326.24990890086235</v>
      </c>
      <c r="J170">
        <f t="shared" si="182"/>
        <v>299.1678349883623</v>
      </c>
      <c r="K170">
        <f t="shared" si="182"/>
        <v>233.20008451859954</v>
      </c>
      <c r="L170">
        <f t="shared" si="141"/>
        <v>763.04086339012724</v>
      </c>
      <c r="M170">
        <f t="shared" si="142"/>
        <v>10.23913660987273</v>
      </c>
      <c r="N170">
        <f t="shared" si="143"/>
        <v>104.83991851563603</v>
      </c>
    </row>
    <row r="171" spans="1:14" x14ac:dyDescent="0.45">
      <c r="A171" s="22">
        <v>42627</v>
      </c>
      <c r="B171">
        <v>762.2</v>
      </c>
      <c r="C171">
        <v>761.09</v>
      </c>
      <c r="G171">
        <f t="shared" ref="G171:K171" si="183">SUMPRODUCT($B171:$B175,P$2:P$6)</f>
        <v>456.53079378358257</v>
      </c>
      <c r="H171">
        <f t="shared" si="183"/>
        <v>389.23304580659783</v>
      </c>
      <c r="I171">
        <f t="shared" si="183"/>
        <v>326.95651541589461</v>
      </c>
      <c r="J171">
        <f t="shared" si="183"/>
        <v>299.9662454909506</v>
      </c>
      <c r="K171">
        <f t="shared" si="183"/>
        <v>233.75548628725099</v>
      </c>
      <c r="L171">
        <f t="shared" si="141"/>
        <v>764.56512046915782</v>
      </c>
      <c r="M171">
        <f t="shared" si="142"/>
        <v>-2.5651204691578187</v>
      </c>
      <c r="N171">
        <f t="shared" si="143"/>
        <v>6.5798430212924277</v>
      </c>
    </row>
    <row r="172" spans="1:14" x14ac:dyDescent="0.45">
      <c r="A172" s="22">
        <v>42626</v>
      </c>
      <c r="B172">
        <v>768.77</v>
      </c>
      <c r="C172">
        <v>761.01</v>
      </c>
      <c r="G172">
        <f t="shared" ref="G172:K172" si="184">SUMPRODUCT($B172:$B176,P$2:P$6)</f>
        <v>459.92674474747969</v>
      </c>
      <c r="H172">
        <f t="shared" si="184"/>
        <v>391.9933822684863</v>
      </c>
      <c r="I172">
        <f t="shared" si="184"/>
        <v>329.23578740889536</v>
      </c>
      <c r="J172">
        <f t="shared" si="184"/>
        <v>301.93631493068619</v>
      </c>
      <c r="K172">
        <f t="shared" si="184"/>
        <v>235.34082659839106</v>
      </c>
      <c r="L172">
        <f t="shared" si="141"/>
        <v>769.96490177204578</v>
      </c>
      <c r="M172">
        <f t="shared" si="142"/>
        <v>-7.7649017720457323</v>
      </c>
      <c r="N172">
        <f t="shared" si="143"/>
        <v>60.293699529518953</v>
      </c>
    </row>
    <row r="173" spans="1:14" x14ac:dyDescent="0.45">
      <c r="A173" s="22">
        <v>42625</v>
      </c>
      <c r="B173">
        <v>757.35</v>
      </c>
      <c r="C173">
        <v>771.49</v>
      </c>
      <c r="G173">
        <f t="shared" ref="G173:K173" si="185">SUMPRODUCT($B173:$B177,P$2:P$6)</f>
        <v>454.32902759185475</v>
      </c>
      <c r="H173">
        <f t="shared" si="185"/>
        <v>387.55778293598519</v>
      </c>
      <c r="I173">
        <f t="shared" si="185"/>
        <v>325.60977167654517</v>
      </c>
      <c r="J173">
        <f t="shared" si="185"/>
        <v>298.90221162084879</v>
      </c>
      <c r="K173">
        <f t="shared" si="185"/>
        <v>232.85236939919113</v>
      </c>
      <c r="L173">
        <f t="shared" si="141"/>
        <v>761.29258857217133</v>
      </c>
      <c r="M173">
        <f t="shared" si="142"/>
        <v>7.4774114278286561</v>
      </c>
      <c r="N173">
        <f t="shared" si="143"/>
        <v>55.911681661022584</v>
      </c>
    </row>
    <row r="174" spans="1:14" x14ac:dyDescent="0.45">
      <c r="A174" s="22">
        <v>42622</v>
      </c>
      <c r="B174">
        <v>779.36</v>
      </c>
      <c r="C174">
        <v>760.14</v>
      </c>
      <c r="G174">
        <f t="shared" ref="G174:K174" si="186">SUMPRODUCT($B174:$B178,P$2:P$6)</f>
        <v>466.33330901325428</v>
      </c>
      <c r="H174">
        <f t="shared" si="186"/>
        <v>397.42734816277908</v>
      </c>
      <c r="I174">
        <f t="shared" si="186"/>
        <v>333.78949603476929</v>
      </c>
      <c r="J174">
        <f t="shared" si="186"/>
        <v>306.10505934896833</v>
      </c>
      <c r="K174">
        <f t="shared" si="186"/>
        <v>238.59812429960215</v>
      </c>
      <c r="L174">
        <f t="shared" si="141"/>
        <v>780.61912318795407</v>
      </c>
      <c r="M174">
        <f t="shared" si="142"/>
        <v>-23.269123187954051</v>
      </c>
      <c r="N174">
        <f t="shared" si="143"/>
        <v>541.45209393618086</v>
      </c>
    </row>
    <row r="175" spans="1:14" x14ac:dyDescent="0.45">
      <c r="A175" s="22">
        <v>42621</v>
      </c>
      <c r="B175">
        <v>783.89</v>
      </c>
      <c r="C175">
        <v>784.06</v>
      </c>
      <c r="G175">
        <f t="shared" ref="G175:K175" si="187">SUMPRODUCT($B175:$B179,P$2:P$6)</f>
        <v>468.99343555640507</v>
      </c>
      <c r="H175">
        <f t="shared" si="187"/>
        <v>399.67286230806633</v>
      </c>
      <c r="I175">
        <f t="shared" si="187"/>
        <v>335.66863339944723</v>
      </c>
      <c r="J175">
        <f t="shared" si="187"/>
        <v>307.81228868747655</v>
      </c>
      <c r="K175">
        <f t="shared" si="187"/>
        <v>239.93650721806844</v>
      </c>
      <c r="L175">
        <f t="shared" si="141"/>
        <v>785.01961882975479</v>
      </c>
      <c r="M175">
        <f t="shared" si="142"/>
        <v>-5.6596188297547769</v>
      </c>
      <c r="N175">
        <f t="shared" si="143"/>
        <v>32.031285298114831</v>
      </c>
    </row>
    <row r="176" spans="1:14" x14ac:dyDescent="0.45">
      <c r="A176" s="22">
        <v>42620</v>
      </c>
      <c r="B176">
        <v>789.53</v>
      </c>
      <c r="C176">
        <v>784.48</v>
      </c>
      <c r="G176">
        <f t="shared" ref="G176:K176" si="188">SUMPRODUCT($B176:$B180,P$2:P$6)</f>
        <v>471.62239679691601</v>
      </c>
      <c r="H176">
        <f t="shared" si="188"/>
        <v>401.71418759964092</v>
      </c>
      <c r="I176">
        <f t="shared" si="188"/>
        <v>337.32420041441941</v>
      </c>
      <c r="J176">
        <f t="shared" si="188"/>
        <v>309.15639043174792</v>
      </c>
      <c r="K176">
        <f t="shared" si="188"/>
        <v>241.05771706012143</v>
      </c>
      <c r="L176">
        <f t="shared" si="141"/>
        <v>789.00756606172797</v>
      </c>
      <c r="M176">
        <f t="shared" si="142"/>
        <v>-5.1175660617279846</v>
      </c>
      <c r="N176">
        <f t="shared" si="143"/>
        <v>26.189482396150073</v>
      </c>
    </row>
    <row r="177" spans="1:14" x14ac:dyDescent="0.45">
      <c r="A177" s="22">
        <v>42619</v>
      </c>
      <c r="B177">
        <v>774.04</v>
      </c>
      <c r="C177">
        <v>788.87</v>
      </c>
      <c r="G177">
        <f t="shared" ref="G177:K177" si="189">SUMPRODUCT($B177:$B181,P$2:P$6)</f>
        <v>462.98832027864586</v>
      </c>
      <c r="H177">
        <f t="shared" si="189"/>
        <v>394.53290076548564</v>
      </c>
      <c r="I177">
        <f t="shared" si="189"/>
        <v>331.34556540360927</v>
      </c>
      <c r="J177">
        <f t="shared" si="189"/>
        <v>303.82578088330115</v>
      </c>
      <c r="K177">
        <f t="shared" si="189"/>
        <v>236.83762983822629</v>
      </c>
      <c r="L177">
        <f t="shared" si="141"/>
        <v>774.94405704322071</v>
      </c>
      <c r="M177">
        <f t="shared" si="142"/>
        <v>14.585942956779263</v>
      </c>
      <c r="N177">
        <f t="shared" si="143"/>
        <v>212.74973193841859</v>
      </c>
    </row>
    <row r="178" spans="1:14" x14ac:dyDescent="0.45">
      <c r="A178" s="22">
        <v>42615</v>
      </c>
      <c r="B178">
        <v>774.11</v>
      </c>
      <c r="C178">
        <v>772.44</v>
      </c>
      <c r="G178">
        <f t="shared" ref="G178:K178" si="190">SUMPRODUCT($B178:$B182,P$2:P$6)</f>
        <v>463.01893583229264</v>
      </c>
      <c r="H178">
        <f t="shared" si="190"/>
        <v>394.56548730067755</v>
      </c>
      <c r="I178">
        <f t="shared" si="190"/>
        <v>331.37538438034397</v>
      </c>
      <c r="J178">
        <f t="shared" si="190"/>
        <v>303.85552329538706</v>
      </c>
      <c r="K178">
        <f t="shared" si="190"/>
        <v>236.85877356574252</v>
      </c>
      <c r="L178">
        <f t="shared" si="141"/>
        <v>775.00691694638465</v>
      </c>
      <c r="M178">
        <f t="shared" si="142"/>
        <v>-0.96691694638468562</v>
      </c>
      <c r="N178">
        <f t="shared" si="143"/>
        <v>0.93492838120588495</v>
      </c>
    </row>
    <row r="179" spans="1:14" x14ac:dyDescent="0.45">
      <c r="A179" s="22">
        <v>42614</v>
      </c>
      <c r="B179">
        <v>770.9</v>
      </c>
      <c r="C179">
        <v>770.62</v>
      </c>
      <c r="G179">
        <f t="shared" ref="G179:K179" si="191">SUMPRODUCT($B179:$B183,P$2:P$6)</f>
        <v>461.08414391429096</v>
      </c>
      <c r="H179">
        <f t="shared" si="191"/>
        <v>392.91498191843266</v>
      </c>
      <c r="I179">
        <f t="shared" si="191"/>
        <v>329.98881297408593</v>
      </c>
      <c r="J179">
        <f t="shared" si="191"/>
        <v>302.58180947820193</v>
      </c>
      <c r="K179">
        <f t="shared" si="191"/>
        <v>235.8666285471605</v>
      </c>
      <c r="L179">
        <f t="shared" si="141"/>
        <v>771.77191911153204</v>
      </c>
      <c r="M179">
        <f t="shared" si="142"/>
        <v>2.3380808884679709</v>
      </c>
      <c r="N179">
        <f t="shared" si="143"/>
        <v>5.4666222410191763</v>
      </c>
    </row>
    <row r="180" spans="1:14" x14ac:dyDescent="0.45">
      <c r="A180" s="22">
        <v>42613</v>
      </c>
      <c r="B180">
        <v>766.6</v>
      </c>
      <c r="C180">
        <v>769.16</v>
      </c>
      <c r="G180">
        <f t="shared" ref="G180:K180" si="192">SUMPRODUCT($B180:$B184,P$2:P$6)</f>
        <v>458.67423529709868</v>
      </c>
      <c r="H180">
        <f t="shared" si="192"/>
        <v>390.89137895684348</v>
      </c>
      <c r="I180">
        <f t="shared" si="192"/>
        <v>328.29743212393169</v>
      </c>
      <c r="J180">
        <f t="shared" si="192"/>
        <v>301.06173010667538</v>
      </c>
      <c r="K180">
        <f t="shared" si="192"/>
        <v>234.67012554489196</v>
      </c>
      <c r="L180">
        <f t="shared" si="141"/>
        <v>767.81004645422342</v>
      </c>
      <c r="M180">
        <f t="shared" si="142"/>
        <v>3.0899535457765523</v>
      </c>
      <c r="N180">
        <f t="shared" si="143"/>
        <v>9.5478129150570883</v>
      </c>
    </row>
    <row r="181" spans="1:14" x14ac:dyDescent="0.45">
      <c r="A181" s="22">
        <v>42612</v>
      </c>
      <c r="B181">
        <v>771.05</v>
      </c>
      <c r="C181">
        <v>767.58</v>
      </c>
      <c r="G181">
        <f t="shared" ref="G181:K181" si="193">SUMPRODUCT($B181:$B185,P$2:P$6)</f>
        <v>460.99475533331406</v>
      </c>
      <c r="H181">
        <f t="shared" si="193"/>
        <v>392.76830734905366</v>
      </c>
      <c r="I181">
        <f t="shared" si="193"/>
        <v>329.84352143391288</v>
      </c>
      <c r="J181">
        <f t="shared" si="193"/>
        <v>302.39475048754241</v>
      </c>
      <c r="K181">
        <f t="shared" si="193"/>
        <v>235.74599882355304</v>
      </c>
      <c r="L181">
        <f t="shared" si="141"/>
        <v>771.48340050832894</v>
      </c>
      <c r="M181">
        <f t="shared" si="142"/>
        <v>-4.8834005083289185</v>
      </c>
      <c r="N181">
        <f t="shared" si="143"/>
        <v>23.84760052474714</v>
      </c>
    </row>
    <row r="182" spans="1:14" x14ac:dyDescent="0.45">
      <c r="A182" s="22">
        <v>42611</v>
      </c>
      <c r="B182">
        <v>768.72</v>
      </c>
      <c r="C182">
        <v>771.29</v>
      </c>
      <c r="G182">
        <f t="shared" ref="G182:K182" si="194">SUMPRODUCT($B182:$B186,P$2:P$6)</f>
        <v>459.59458120467968</v>
      </c>
      <c r="H182">
        <f t="shared" si="194"/>
        <v>391.5931874298679</v>
      </c>
      <c r="I182">
        <f t="shared" si="194"/>
        <v>328.86303548023307</v>
      </c>
      <c r="J182">
        <f t="shared" si="194"/>
        <v>301.50464147872435</v>
      </c>
      <c r="K182">
        <f t="shared" si="194"/>
        <v>235.04622752470067</v>
      </c>
      <c r="L182">
        <f t="shared" si="141"/>
        <v>769.17866582115835</v>
      </c>
      <c r="M182">
        <f t="shared" si="142"/>
        <v>1.8713341788416074</v>
      </c>
      <c r="N182">
        <f t="shared" si="143"/>
        <v>3.501891608900793</v>
      </c>
    </row>
    <row r="183" spans="1:14" x14ac:dyDescent="0.45">
      <c r="A183" s="22">
        <v>42608</v>
      </c>
      <c r="B183">
        <v>760.05</v>
      </c>
      <c r="C183">
        <v>769</v>
      </c>
      <c r="G183">
        <f t="shared" ref="G183:K183" si="195">SUMPRODUCT($B183:$B187,P$2:P$6)</f>
        <v>454.69808940956852</v>
      </c>
      <c r="H183">
        <f t="shared" si="195"/>
        <v>387.50953745954689</v>
      </c>
      <c r="I183">
        <f t="shared" si="195"/>
        <v>325.46033096866631</v>
      </c>
      <c r="J183">
        <f t="shared" si="195"/>
        <v>298.45827822587091</v>
      </c>
      <c r="K183">
        <f t="shared" si="195"/>
        <v>232.6391464264583</v>
      </c>
      <c r="L183">
        <f t="shared" si="141"/>
        <v>761.17964137030742</v>
      </c>
      <c r="M183">
        <f t="shared" si="142"/>
        <v>7.5403586296926051</v>
      </c>
      <c r="N183">
        <f t="shared" si="143"/>
        <v>56.857008264379743</v>
      </c>
    </row>
    <row r="184" spans="1:14" x14ac:dyDescent="0.45">
      <c r="A184" s="22">
        <v>42607</v>
      </c>
      <c r="B184">
        <v>756</v>
      </c>
      <c r="C184">
        <v>759.22</v>
      </c>
      <c r="G184">
        <f t="shared" ref="G184:K184" si="196">SUMPRODUCT($B184:$B188,P$2:P$6)</f>
        <v>452.54880968807532</v>
      </c>
      <c r="H184">
        <f t="shared" si="196"/>
        <v>385.7404496756335</v>
      </c>
      <c r="I184">
        <f t="shared" si="196"/>
        <v>323.99243964641772</v>
      </c>
      <c r="J184">
        <f t="shared" si="196"/>
        <v>297.17053327848964</v>
      </c>
      <c r="K184">
        <f t="shared" si="196"/>
        <v>231.6118819753068</v>
      </c>
      <c r="L184">
        <f t="shared" si="141"/>
        <v>757.71818422957836</v>
      </c>
      <c r="M184">
        <f t="shared" si="142"/>
        <v>2.3318157704215992</v>
      </c>
      <c r="N184">
        <f t="shared" si="143"/>
        <v>5.4373647871868762</v>
      </c>
    </row>
    <row r="185" spans="1:14" x14ac:dyDescent="0.45">
      <c r="A185" s="22">
        <v>42606</v>
      </c>
      <c r="B185">
        <v>763</v>
      </c>
      <c r="C185">
        <v>757.25</v>
      </c>
      <c r="G185">
        <f t="shared" ref="G185:K185" si="197">SUMPRODUCT($B185:$B189,P$2:P$6)</f>
        <v>456.5046489096527</v>
      </c>
      <c r="H185">
        <f t="shared" si="197"/>
        <v>389.05004511951182</v>
      </c>
      <c r="I185">
        <f t="shared" si="197"/>
        <v>326.75386261627074</v>
      </c>
      <c r="J185">
        <f t="shared" si="197"/>
        <v>299.64881263610835</v>
      </c>
      <c r="K185">
        <f t="shared" si="197"/>
        <v>233.56641877297733</v>
      </c>
      <c r="L185">
        <f t="shared" si="141"/>
        <v>764.20021813158291</v>
      </c>
      <c r="M185">
        <f t="shared" si="142"/>
        <v>-8.2002181315829148</v>
      </c>
      <c r="N185">
        <f t="shared" si="143"/>
        <v>67.243577405541188</v>
      </c>
    </row>
    <row r="186" spans="1:14" x14ac:dyDescent="0.45">
      <c r="A186" s="22">
        <v>42605</v>
      </c>
      <c r="B186">
        <v>763.31</v>
      </c>
      <c r="C186">
        <v>762.45</v>
      </c>
      <c r="G186">
        <f t="shared" ref="G186:K186" si="198">SUMPRODUCT($B186:$B190,P$2:P$6)</f>
        <v>456.55322715613073</v>
      </c>
      <c r="H186">
        <f t="shared" si="198"/>
        <v>389.06206320478617</v>
      </c>
      <c r="I186">
        <f t="shared" si="198"/>
        <v>326.75566652734921</v>
      </c>
      <c r="J186">
        <f t="shared" si="198"/>
        <v>299.62229634127578</v>
      </c>
      <c r="K186">
        <f t="shared" si="198"/>
        <v>233.55686535933836</v>
      </c>
      <c r="L186">
        <f t="shared" si="141"/>
        <v>764.22085186847892</v>
      </c>
      <c r="M186">
        <f t="shared" si="142"/>
        <v>-1.2208518684789169</v>
      </c>
      <c r="N186">
        <f t="shared" si="143"/>
        <v>1.4904792847684627</v>
      </c>
    </row>
    <row r="187" spans="1:14" x14ac:dyDescent="0.45">
      <c r="A187" s="22">
        <v>42604</v>
      </c>
      <c r="B187">
        <v>757.5</v>
      </c>
      <c r="C187">
        <v>759.48</v>
      </c>
      <c r="G187">
        <f t="shared" ref="G187:K187" si="199">SUMPRODUCT($B187:$B191,P$2:P$6)</f>
        <v>453.47254142723381</v>
      </c>
      <c r="H187">
        <f t="shared" si="199"/>
        <v>386.54545300847201</v>
      </c>
      <c r="I187">
        <f t="shared" si="199"/>
        <v>324.67439113463462</v>
      </c>
      <c r="J187">
        <f t="shared" si="199"/>
        <v>297.80773844879889</v>
      </c>
      <c r="K187">
        <f t="shared" si="199"/>
        <v>232.10240752883576</v>
      </c>
      <c r="L187">
        <f t="shared" si="141"/>
        <v>759.29530624115091</v>
      </c>
      <c r="M187">
        <f t="shared" si="142"/>
        <v>4.0146937588490346</v>
      </c>
      <c r="N187">
        <f t="shared" si="143"/>
        <v>16.117765977341389</v>
      </c>
    </row>
    <row r="188" spans="1:14" x14ac:dyDescent="0.45">
      <c r="A188" s="22">
        <v>42601</v>
      </c>
      <c r="B188">
        <v>761.9</v>
      </c>
      <c r="C188">
        <v>757.31</v>
      </c>
      <c r="G188">
        <f t="shared" ref="G188:K188" si="200">SUMPRODUCT($B188:$B192,P$2:P$6)</f>
        <v>456.03802460035195</v>
      </c>
      <c r="H188">
        <f t="shared" si="200"/>
        <v>388.71522542301557</v>
      </c>
      <c r="I188">
        <f t="shared" si="200"/>
        <v>326.4918870878725</v>
      </c>
      <c r="J188">
        <f t="shared" si="200"/>
        <v>299.4594877297651</v>
      </c>
      <c r="K188">
        <f t="shared" si="200"/>
        <v>233.39607912038528</v>
      </c>
      <c r="L188">
        <f t="shared" si="141"/>
        <v>763.54627168780644</v>
      </c>
      <c r="M188">
        <f t="shared" si="142"/>
        <v>-6.0462716878064384</v>
      </c>
      <c r="N188">
        <f t="shared" si="143"/>
        <v>36.557401322769721</v>
      </c>
    </row>
    <row r="189" spans="1:14" x14ac:dyDescent="0.45">
      <c r="A189" s="22">
        <v>42600</v>
      </c>
      <c r="B189">
        <v>764</v>
      </c>
      <c r="C189">
        <v>764.46</v>
      </c>
      <c r="G189">
        <f t="shared" ref="G189:K189" si="201">SUMPRODUCT($B189:$B193,P$2:P$6)</f>
        <v>457.26913612087611</v>
      </c>
      <c r="H189">
        <f t="shared" si="201"/>
        <v>389.76078150489099</v>
      </c>
      <c r="I189">
        <f t="shared" si="201"/>
        <v>327.36912302394387</v>
      </c>
      <c r="J189">
        <f t="shared" si="201"/>
        <v>300.25969207289472</v>
      </c>
      <c r="K189">
        <f t="shared" si="201"/>
        <v>234.02127373320852</v>
      </c>
      <c r="L189">
        <f t="shared" si="141"/>
        <v>765.59460410284225</v>
      </c>
      <c r="M189">
        <f t="shared" si="142"/>
        <v>-3.6946041028422769</v>
      </c>
      <c r="N189">
        <f t="shared" si="143"/>
        <v>13.650099476738985</v>
      </c>
    </row>
    <row r="190" spans="1:14" x14ac:dyDescent="0.45">
      <c r="A190" s="22">
        <v>42599</v>
      </c>
      <c r="B190">
        <v>764.41</v>
      </c>
      <c r="C190">
        <v>764.63</v>
      </c>
      <c r="G190">
        <f t="shared" ref="G190:K190" si="202">SUMPRODUCT($B190:$B194,P$2:P$6)</f>
        <v>457.54972877157161</v>
      </c>
      <c r="H190">
        <f t="shared" si="202"/>
        <v>390.0003529896141</v>
      </c>
      <c r="I190">
        <f t="shared" si="202"/>
        <v>327.56996332077074</v>
      </c>
      <c r="J190">
        <f t="shared" si="202"/>
        <v>300.447359732785</v>
      </c>
      <c r="K190">
        <f t="shared" si="202"/>
        <v>234.16705388213006</v>
      </c>
      <c r="L190">
        <f t="shared" si="141"/>
        <v>766.06546521950236</v>
      </c>
      <c r="M190">
        <f t="shared" si="142"/>
        <v>-2.0654652195023573</v>
      </c>
      <c r="N190">
        <f t="shared" si="143"/>
        <v>4.2661465729739207</v>
      </c>
    </row>
    <row r="191" spans="1:14" x14ac:dyDescent="0.45">
      <c r="A191" s="22">
        <v>42598</v>
      </c>
      <c r="B191">
        <v>768.62</v>
      </c>
      <c r="C191">
        <v>764.04</v>
      </c>
      <c r="G191">
        <f t="shared" ref="G191:K191" si="203">SUMPRODUCT($B191:$B195,P$2:P$6)</f>
        <v>459.99333699239372</v>
      </c>
      <c r="H191">
        <f t="shared" si="203"/>
        <v>392.05892091188963</v>
      </c>
      <c r="I191">
        <f t="shared" si="203"/>
        <v>329.29160713526261</v>
      </c>
      <c r="J191">
        <f t="shared" si="203"/>
        <v>302.00656890758296</v>
      </c>
      <c r="K191">
        <f t="shared" si="203"/>
        <v>235.39111046075067</v>
      </c>
      <c r="L191">
        <f t="shared" si="141"/>
        <v>770.09880290394165</v>
      </c>
      <c r="M191">
        <f t="shared" si="142"/>
        <v>-5.6888029039416779</v>
      </c>
      <c r="N191">
        <f t="shared" si="143"/>
        <v>32.362478479895266</v>
      </c>
    </row>
    <row r="192" spans="1:14" x14ac:dyDescent="0.45">
      <c r="A192" s="22">
        <v>42597</v>
      </c>
      <c r="B192">
        <v>771.9</v>
      </c>
      <c r="C192">
        <v>768.49</v>
      </c>
      <c r="G192">
        <f t="shared" ref="G192:K192" si="204">SUMPRODUCT($B192:$B196,P$2:P$6)</f>
        <v>461.7077180241302</v>
      </c>
      <c r="H192">
        <f t="shared" si="204"/>
        <v>393.45270821592362</v>
      </c>
      <c r="I192">
        <f t="shared" si="204"/>
        <v>330.44226987693287</v>
      </c>
      <c r="J192">
        <f t="shared" si="204"/>
        <v>303.00331167797447</v>
      </c>
      <c r="K192">
        <f t="shared" si="204"/>
        <v>236.19283538870917</v>
      </c>
      <c r="L192">
        <f t="shared" si="141"/>
        <v>772.82618805974232</v>
      </c>
      <c r="M192">
        <f t="shared" si="142"/>
        <v>-4.2061880597423169</v>
      </c>
      <c r="N192">
        <f t="shared" si="143"/>
        <v>17.692017993918835</v>
      </c>
    </row>
    <row r="193" spans="1:14" x14ac:dyDescent="0.45">
      <c r="A193" s="22">
        <v>42594</v>
      </c>
      <c r="B193">
        <v>768.46</v>
      </c>
      <c r="C193">
        <v>772.56</v>
      </c>
      <c r="G193">
        <f t="shared" ref="G193:K193" si="205">SUMPRODUCT($B193:$B197,P$2:P$6)</f>
        <v>459.80439070127443</v>
      </c>
      <c r="H193">
        <f t="shared" si="205"/>
        <v>391.87028265733437</v>
      </c>
      <c r="I193">
        <f t="shared" si="205"/>
        <v>329.12485987089974</v>
      </c>
      <c r="J193">
        <f t="shared" si="205"/>
        <v>301.83044776143026</v>
      </c>
      <c r="K193">
        <f t="shared" si="205"/>
        <v>235.26392075697404</v>
      </c>
      <c r="L193">
        <f t="shared" si="141"/>
        <v>769.72778475933126</v>
      </c>
      <c r="M193">
        <f t="shared" si="142"/>
        <v>2.1722152406687201</v>
      </c>
      <c r="N193">
        <f t="shared" si="143"/>
        <v>4.7185190517934652</v>
      </c>
    </row>
    <row r="194" spans="1:14" x14ac:dyDescent="0.45">
      <c r="A194" s="22">
        <v>42593</v>
      </c>
      <c r="B194">
        <v>769.94</v>
      </c>
      <c r="C194">
        <v>771.24</v>
      </c>
      <c r="G194">
        <f t="shared" ref="G194:K194" si="206">SUMPRODUCT($B194:$B198,P$2:P$6)</f>
        <v>460.60765838224916</v>
      </c>
      <c r="H194">
        <f t="shared" si="206"/>
        <v>392.53060722382759</v>
      </c>
      <c r="I194">
        <f t="shared" si="206"/>
        <v>329.67215494539499</v>
      </c>
      <c r="J194">
        <f t="shared" si="206"/>
        <v>302.31192975428553</v>
      </c>
      <c r="K194">
        <f t="shared" si="206"/>
        <v>235.64808763274655</v>
      </c>
      <c r="L194">
        <f t="shared" si="141"/>
        <v>771.02066771805585</v>
      </c>
      <c r="M194">
        <f t="shared" si="142"/>
        <v>-2.5606677180558108</v>
      </c>
      <c r="N194">
        <f t="shared" si="143"/>
        <v>6.5570191622931535</v>
      </c>
    </row>
    <row r="195" spans="1:14" x14ac:dyDescent="0.45">
      <c r="A195" s="22">
        <v>42592</v>
      </c>
      <c r="B195">
        <v>769.8</v>
      </c>
      <c r="C195">
        <v>768.56</v>
      </c>
      <c r="G195">
        <f t="shared" ref="G195:K195" si="207">SUMPRODUCT($B195:$B199,P$2:P$6)</f>
        <v>460.42729160396408</v>
      </c>
      <c r="H195">
        <f t="shared" si="207"/>
        <v>392.3495735090753</v>
      </c>
      <c r="I195">
        <f t="shared" si="207"/>
        <v>329.51195123879717</v>
      </c>
      <c r="J195">
        <f t="shared" si="207"/>
        <v>302.14165135652166</v>
      </c>
      <c r="K195">
        <f t="shared" si="207"/>
        <v>235.52539012372046</v>
      </c>
      <c r="L195">
        <f t="shared" ref="L195:L247" si="208">(G195+$P$7)*$U$2+(H195+$Q$7)*$U$3+(I195+$R$7)*$U$4+(J195+$S$7)*$U$5+(K195+$T$7)*$U$6+$U$7</f>
        <v>770.66439651516839</v>
      </c>
      <c r="M195">
        <f t="shared" ref="M195:M247" si="209">B194-L195</f>
        <v>-0.72439651516833692</v>
      </c>
      <c r="N195">
        <f t="shared" ref="N195:N247" si="210">M195^2</f>
        <v>0.52475031118803062</v>
      </c>
    </row>
    <row r="196" spans="1:14" x14ac:dyDescent="0.45">
      <c r="A196" s="22">
        <v>42591</v>
      </c>
      <c r="B196">
        <v>767.39</v>
      </c>
      <c r="C196">
        <v>768.31</v>
      </c>
      <c r="G196">
        <f t="shared" ref="G196:K196" si="211">SUMPRODUCT($B196:$B200,P$2:P$6)</f>
        <v>458.87804540706514</v>
      </c>
      <c r="H196">
        <f t="shared" si="211"/>
        <v>390.98492325273725</v>
      </c>
      <c r="I196">
        <f t="shared" si="211"/>
        <v>328.3518345234645</v>
      </c>
      <c r="J196">
        <f t="shared" si="211"/>
        <v>301.04441777672088</v>
      </c>
      <c r="K196">
        <f t="shared" si="211"/>
        <v>234.68590770858341</v>
      </c>
      <c r="L196">
        <f t="shared" si="208"/>
        <v>767.98956145104432</v>
      </c>
      <c r="M196">
        <f t="shared" si="209"/>
        <v>1.8104385489556307</v>
      </c>
      <c r="N196">
        <f t="shared" si="210"/>
        <v>3.2776877395445698</v>
      </c>
    </row>
    <row r="197" spans="1:14" x14ac:dyDescent="0.45">
      <c r="A197" s="22">
        <v>42590</v>
      </c>
      <c r="B197">
        <v>766.81</v>
      </c>
      <c r="C197">
        <v>766.56</v>
      </c>
      <c r="G197">
        <f t="shared" ref="G197:K197" si="212">SUMPRODUCT($B197:$B201,P$2:P$6)</f>
        <v>458.5632502150653</v>
      </c>
      <c r="H197">
        <f t="shared" si="212"/>
        <v>390.7327422570612</v>
      </c>
      <c r="I197">
        <f t="shared" si="212"/>
        <v>328.14520930914045</v>
      </c>
      <c r="J197">
        <f t="shared" si="212"/>
        <v>300.86642155267305</v>
      </c>
      <c r="K197">
        <f t="shared" si="212"/>
        <v>234.54150608898382</v>
      </c>
      <c r="L197">
        <f t="shared" si="208"/>
        <v>767.49525056378673</v>
      </c>
      <c r="M197">
        <f t="shared" si="209"/>
        <v>-0.1052505637867398</v>
      </c>
      <c r="N197">
        <f t="shared" si="210"/>
        <v>1.1077681177426585E-2</v>
      </c>
    </row>
    <row r="198" spans="1:14" x14ac:dyDescent="0.45">
      <c r="A198" s="22">
        <v>42587</v>
      </c>
      <c r="B198">
        <v>764.81</v>
      </c>
      <c r="C198">
        <v>765.98</v>
      </c>
      <c r="G198">
        <f t="shared" ref="G198:K198" si="213">SUMPRODUCT($B198:$B202,P$2:P$6)</f>
        <v>457.27331801959497</v>
      </c>
      <c r="H198">
        <f t="shared" si="213"/>
        <v>389.62923645678882</v>
      </c>
      <c r="I198">
        <f t="shared" si="213"/>
        <v>327.21831863450853</v>
      </c>
      <c r="J198">
        <f t="shared" si="213"/>
        <v>300.00560162131484</v>
      </c>
      <c r="K198">
        <f t="shared" si="213"/>
        <v>233.87284508634824</v>
      </c>
      <c r="L198">
        <f t="shared" si="208"/>
        <v>765.32931332715839</v>
      </c>
      <c r="M198">
        <f t="shared" si="209"/>
        <v>1.4806866728415571</v>
      </c>
      <c r="N198">
        <f t="shared" si="210"/>
        <v>2.1924330231306004</v>
      </c>
    </row>
    <row r="199" spans="1:14" x14ac:dyDescent="0.45">
      <c r="A199" s="22">
        <v>42586</v>
      </c>
      <c r="B199">
        <v>753.7</v>
      </c>
      <c r="C199">
        <v>760.77</v>
      </c>
      <c r="G199">
        <f t="shared" ref="G199:K199" si="214">SUMPRODUCT($B199:$B203,P$2:P$6)</f>
        <v>451.15671396106723</v>
      </c>
      <c r="H199">
        <f t="shared" si="214"/>
        <v>384.56001137177907</v>
      </c>
      <c r="I199">
        <f t="shared" si="214"/>
        <v>323.0033450007561</v>
      </c>
      <c r="J199">
        <f t="shared" si="214"/>
        <v>296.26516323758432</v>
      </c>
      <c r="K199">
        <f t="shared" si="214"/>
        <v>230.90435955452753</v>
      </c>
      <c r="L199">
        <f t="shared" si="208"/>
        <v>755.40367791297763</v>
      </c>
      <c r="M199">
        <f t="shared" si="209"/>
        <v>9.4063220870223176</v>
      </c>
      <c r="N199">
        <f t="shared" si="210"/>
        <v>88.478895204803891</v>
      </c>
    </row>
    <row r="200" spans="1:14" x14ac:dyDescent="0.45">
      <c r="A200" s="22">
        <v>42585</v>
      </c>
      <c r="B200">
        <v>757.06</v>
      </c>
      <c r="C200">
        <v>754.64</v>
      </c>
      <c r="G200">
        <f t="shared" ref="G200:K200" si="215">SUMPRODUCT($B200:$B204,P$2:P$6)</f>
        <v>453.29302928393122</v>
      </c>
      <c r="H200">
        <f t="shared" si="215"/>
        <v>386.414906654432</v>
      </c>
      <c r="I200">
        <f t="shared" si="215"/>
        <v>324.5713975846686</v>
      </c>
      <c r="J200">
        <f t="shared" si="215"/>
        <v>297.73288308730815</v>
      </c>
      <c r="K200">
        <f t="shared" si="215"/>
        <v>232.03578137090972</v>
      </c>
      <c r="L200">
        <f t="shared" si="208"/>
        <v>759.04088019718574</v>
      </c>
      <c r="M200">
        <f t="shared" si="209"/>
        <v>-5.3408801971856974</v>
      </c>
      <c r="N200">
        <f t="shared" si="210"/>
        <v>28.525001280690333</v>
      </c>
    </row>
    <row r="201" spans="1:14" x14ac:dyDescent="0.45">
      <c r="A201" s="22">
        <v>42584</v>
      </c>
      <c r="B201">
        <v>763.81</v>
      </c>
      <c r="C201">
        <v>760.58</v>
      </c>
      <c r="G201">
        <f t="shared" ref="G201:K201" si="216">SUMPRODUCT($B201:$B205,P$2:P$6)</f>
        <v>456.56790148034509</v>
      </c>
      <c r="H201">
        <f t="shared" si="216"/>
        <v>388.96665742235581</v>
      </c>
      <c r="I201">
        <f t="shared" si="216"/>
        <v>326.64186416357376</v>
      </c>
      <c r="J201">
        <f t="shared" si="216"/>
        <v>299.43460145960501</v>
      </c>
      <c r="K201">
        <f t="shared" si="216"/>
        <v>233.44920282804679</v>
      </c>
      <c r="L201">
        <f t="shared" si="208"/>
        <v>764.0318381420027</v>
      </c>
      <c r="M201">
        <f t="shared" si="209"/>
        <v>-6.9718381420027526</v>
      </c>
      <c r="N201">
        <f t="shared" si="210"/>
        <v>48.606527078284394</v>
      </c>
    </row>
    <row r="202" spans="1:14" x14ac:dyDescent="0.45">
      <c r="A202" s="22">
        <v>42583</v>
      </c>
      <c r="B202">
        <v>759.87</v>
      </c>
      <c r="C202">
        <v>767.74</v>
      </c>
      <c r="G202">
        <f t="shared" ref="G202:K202" si="217">SUMPRODUCT($B202:$B206,P$2:P$6)</f>
        <v>454.38769125812513</v>
      </c>
      <c r="H202">
        <f t="shared" si="217"/>
        <v>387.14290735957894</v>
      </c>
      <c r="I202">
        <f t="shared" si="217"/>
        <v>325.11956052992377</v>
      </c>
      <c r="J202">
        <f t="shared" si="217"/>
        <v>298.07305944014337</v>
      </c>
      <c r="K202">
        <f t="shared" si="217"/>
        <v>232.37477710345655</v>
      </c>
      <c r="L202">
        <f t="shared" si="208"/>
        <v>760.46184355134142</v>
      </c>
      <c r="M202">
        <f t="shared" si="209"/>
        <v>3.3481564486585285</v>
      </c>
      <c r="N202">
        <f t="shared" si="210"/>
        <v>11.210151604693689</v>
      </c>
    </row>
    <row r="203" spans="1:14" x14ac:dyDescent="0.45">
      <c r="A203" s="22">
        <v>42580</v>
      </c>
      <c r="B203">
        <v>765</v>
      </c>
      <c r="C203">
        <v>758.81</v>
      </c>
      <c r="G203">
        <f t="shared" ref="G203:K203" si="218">SUMPRODUCT($B203:$B207,P$2:P$6)</f>
        <v>456.78151633976017</v>
      </c>
      <c r="H203">
        <f t="shared" si="218"/>
        <v>389.01861136873413</v>
      </c>
      <c r="I203">
        <f t="shared" si="218"/>
        <v>326.64719873629417</v>
      </c>
      <c r="J203">
        <f t="shared" si="218"/>
        <v>299.32469666964863</v>
      </c>
      <c r="K203">
        <f t="shared" si="218"/>
        <v>233.41168291513051</v>
      </c>
      <c r="L203">
        <f t="shared" si="208"/>
        <v>764.12501481297954</v>
      </c>
      <c r="M203">
        <f t="shared" si="209"/>
        <v>-4.2550148129795389</v>
      </c>
      <c r="N203">
        <f t="shared" si="210"/>
        <v>18.1051510586753</v>
      </c>
    </row>
    <row r="204" spans="1:14" x14ac:dyDescent="0.45">
      <c r="A204" s="22">
        <v>42579</v>
      </c>
      <c r="B204">
        <v>745.98</v>
      </c>
      <c r="C204">
        <v>752.61</v>
      </c>
      <c r="G204">
        <f t="shared" ref="G204:K204" si="219">SUMPRODUCT($B204:$B208,P$2:P$6)</f>
        <v>446.12131597871758</v>
      </c>
      <c r="H204">
        <f t="shared" si="219"/>
        <v>380.15596068147448</v>
      </c>
      <c r="I204">
        <f t="shared" si="219"/>
        <v>319.27108792234844</v>
      </c>
      <c r="J204">
        <f t="shared" si="219"/>
        <v>292.74446401377736</v>
      </c>
      <c r="K204">
        <f t="shared" si="219"/>
        <v>228.20164421600947</v>
      </c>
      <c r="L204">
        <f t="shared" si="208"/>
        <v>746.76598246062667</v>
      </c>
      <c r="M204">
        <f t="shared" si="209"/>
        <v>18.234017539373326</v>
      </c>
      <c r="N204">
        <f t="shared" si="210"/>
        <v>332.4793956261741</v>
      </c>
    </row>
    <row r="205" spans="1:14" x14ac:dyDescent="0.45">
      <c r="A205" s="22">
        <v>42578</v>
      </c>
      <c r="B205">
        <v>737.97</v>
      </c>
      <c r="C205">
        <v>736.67</v>
      </c>
      <c r="G205">
        <f t="shared" ref="G205:K205" si="220">SUMPRODUCT($B205:$B209,P$2:P$6)</f>
        <v>441.84965047809334</v>
      </c>
      <c r="H205">
        <f t="shared" si="220"/>
        <v>376.66107239837083</v>
      </c>
      <c r="I205">
        <f t="shared" si="220"/>
        <v>316.37921894605455</v>
      </c>
      <c r="J205">
        <f t="shared" si="220"/>
        <v>290.21753556631762</v>
      </c>
      <c r="K205">
        <f t="shared" si="220"/>
        <v>226.17848303368393</v>
      </c>
      <c r="L205">
        <f t="shared" si="208"/>
        <v>739.92508982755714</v>
      </c>
      <c r="M205">
        <f t="shared" si="209"/>
        <v>6.0549101724428738</v>
      </c>
      <c r="N205">
        <f t="shared" si="210"/>
        <v>36.661937196352191</v>
      </c>
    </row>
    <row r="206" spans="1:14" x14ac:dyDescent="0.45">
      <c r="A206" s="22">
        <v>42577</v>
      </c>
      <c r="B206">
        <v>742.71</v>
      </c>
      <c r="C206">
        <v>735.59</v>
      </c>
      <c r="G206">
        <f t="shared" ref="G206:K206" si="221">SUMPRODUCT($B206:$B210,P$2:P$6)</f>
        <v>444.56943891549741</v>
      </c>
      <c r="H206">
        <f t="shared" si="221"/>
        <v>378.94025822533837</v>
      </c>
      <c r="I206">
        <f t="shared" si="221"/>
        <v>318.28158046100702</v>
      </c>
      <c r="J206">
        <f t="shared" si="221"/>
        <v>291.93089201757726</v>
      </c>
      <c r="K206">
        <f t="shared" si="221"/>
        <v>227.52799418096339</v>
      </c>
      <c r="L206">
        <f t="shared" si="208"/>
        <v>744.39042211205231</v>
      </c>
      <c r="M206">
        <f t="shared" si="209"/>
        <v>-6.4204221120522789</v>
      </c>
      <c r="N206">
        <f t="shared" si="210"/>
        <v>41.221820096929846</v>
      </c>
    </row>
    <row r="207" spans="1:14" x14ac:dyDescent="0.45">
      <c r="A207" s="22">
        <v>42576</v>
      </c>
      <c r="B207">
        <v>746.55</v>
      </c>
      <c r="C207">
        <v>739.61</v>
      </c>
      <c r="G207">
        <f t="shared" ref="G207:K207" si="222">SUMPRODUCT($B207:$B211,P$2:P$6)</f>
        <v>446.6617467373336</v>
      </c>
      <c r="H207">
        <f t="shared" si="222"/>
        <v>380.65825425552225</v>
      </c>
      <c r="I207">
        <f t="shared" si="222"/>
        <v>319.70465286216466</v>
      </c>
      <c r="J207">
        <f t="shared" si="222"/>
        <v>293.18252559750346</v>
      </c>
      <c r="K207">
        <f t="shared" si="222"/>
        <v>228.52726465016892</v>
      </c>
      <c r="L207">
        <f t="shared" si="208"/>
        <v>747.75469776580735</v>
      </c>
      <c r="M207">
        <f t="shared" si="209"/>
        <v>-5.0446977658073138</v>
      </c>
      <c r="N207">
        <f t="shared" si="210"/>
        <v>25.448975548341302</v>
      </c>
    </row>
    <row r="208" spans="1:14" x14ac:dyDescent="0.45">
      <c r="A208" s="22">
        <v>42573</v>
      </c>
      <c r="B208">
        <v>747.79</v>
      </c>
      <c r="C208">
        <v>744.86</v>
      </c>
      <c r="G208">
        <f t="shared" ref="G208:K208" si="223">SUMPRODUCT($B208:$B212,P$2:P$6)</f>
        <v>447.13000569951697</v>
      </c>
      <c r="H208">
        <f t="shared" si="223"/>
        <v>380.96421903294242</v>
      </c>
      <c r="I208">
        <f t="shared" si="223"/>
        <v>319.93298277186858</v>
      </c>
      <c r="J208">
        <f t="shared" si="223"/>
        <v>293.31741839991997</v>
      </c>
      <c r="K208">
        <f t="shared" si="223"/>
        <v>228.6660290191617</v>
      </c>
      <c r="L208">
        <f t="shared" si="208"/>
        <v>748.35142115127701</v>
      </c>
      <c r="M208">
        <f t="shared" si="209"/>
        <v>-1.8014211512770544</v>
      </c>
      <c r="N208">
        <f t="shared" si="210"/>
        <v>3.245118164268348</v>
      </c>
    </row>
    <row r="209" spans="1:14" x14ac:dyDescent="0.45">
      <c r="A209" s="22">
        <v>42572</v>
      </c>
      <c r="B209">
        <v>747.5</v>
      </c>
      <c r="C209">
        <v>744.43</v>
      </c>
      <c r="G209">
        <f t="shared" ref="G209:K209" si="224">SUMPRODUCT($B209:$B213,P$2:P$6)</f>
        <v>446.9271932635246</v>
      </c>
      <c r="H209">
        <f t="shared" si="224"/>
        <v>380.79118503293893</v>
      </c>
      <c r="I209">
        <f t="shared" si="224"/>
        <v>319.78802115834679</v>
      </c>
      <c r="J209">
        <f t="shared" si="224"/>
        <v>293.1816783488531</v>
      </c>
      <c r="K209">
        <f t="shared" si="224"/>
        <v>228.56058324314421</v>
      </c>
      <c r="L209">
        <f t="shared" si="208"/>
        <v>748.01116944201965</v>
      </c>
      <c r="M209">
        <f t="shared" si="209"/>
        <v>-0.22116944201968636</v>
      </c>
      <c r="N209">
        <f t="shared" si="210"/>
        <v>4.8915922083299403E-2</v>
      </c>
    </row>
    <row r="210" spans="1:14" x14ac:dyDescent="0.45">
      <c r="A210" s="22">
        <v>42571</v>
      </c>
      <c r="B210">
        <v>744</v>
      </c>
      <c r="C210">
        <v>745.72</v>
      </c>
      <c r="G210">
        <f t="shared" ref="G210:K210" si="225">SUMPRODUCT($B210:$B214,P$2:P$6)</f>
        <v>444.87599464495474</v>
      </c>
      <c r="H210">
        <f t="shared" si="225"/>
        <v>379.08411886200219</v>
      </c>
      <c r="I210">
        <f t="shared" si="225"/>
        <v>318.36807384293235</v>
      </c>
      <c r="J210">
        <f t="shared" si="225"/>
        <v>291.90518746387698</v>
      </c>
      <c r="K210">
        <f t="shared" si="225"/>
        <v>227.55155842563988</v>
      </c>
      <c r="L210">
        <f t="shared" si="208"/>
        <v>744.66393827760703</v>
      </c>
      <c r="M210">
        <f t="shared" si="209"/>
        <v>2.8360617223929694</v>
      </c>
      <c r="N210">
        <f t="shared" si="210"/>
        <v>8.0432460932225762</v>
      </c>
    </row>
    <row r="211" spans="1:14" x14ac:dyDescent="0.45">
      <c r="A211" s="22">
        <v>42570</v>
      </c>
      <c r="B211">
        <v>732.5</v>
      </c>
      <c r="C211">
        <v>739.95</v>
      </c>
      <c r="G211">
        <f t="shared" ref="G211:K211" si="226">SUMPRODUCT($B211:$B215,P$2:P$6)</f>
        <v>438.64715485086219</v>
      </c>
      <c r="H211">
        <f t="shared" si="226"/>
        <v>373.96255570649345</v>
      </c>
      <c r="I211">
        <f t="shared" si="226"/>
        <v>314.12256190159178</v>
      </c>
      <c r="J211">
        <f t="shared" si="226"/>
        <v>288.17082959964682</v>
      </c>
      <c r="K211">
        <f t="shared" si="226"/>
        <v>224.57223364789502</v>
      </c>
      <c r="L211">
        <f t="shared" si="208"/>
        <v>734.63683373232391</v>
      </c>
      <c r="M211">
        <f t="shared" si="209"/>
        <v>9.3631662676760925</v>
      </c>
      <c r="N211">
        <f t="shared" si="210"/>
        <v>87.668882556147452</v>
      </c>
    </row>
    <row r="212" spans="1:14" x14ac:dyDescent="0.45">
      <c r="A212" s="22">
        <v>42569</v>
      </c>
      <c r="B212">
        <v>735.49</v>
      </c>
      <c r="C212">
        <v>736.07</v>
      </c>
      <c r="G212">
        <f t="shared" ref="G212:K212" si="227">SUMPRODUCT($B212:$B216,P$2:P$6)</f>
        <v>440.56708450733305</v>
      </c>
      <c r="H212">
        <f t="shared" si="227"/>
        <v>375.61980904135527</v>
      </c>
      <c r="I212">
        <f t="shared" si="227"/>
        <v>315.51988544581621</v>
      </c>
      <c r="J212">
        <f t="shared" si="227"/>
        <v>289.47544465121501</v>
      </c>
      <c r="K212">
        <f t="shared" si="227"/>
        <v>225.5808542120721</v>
      </c>
      <c r="L212">
        <f t="shared" si="208"/>
        <v>737.88802615843713</v>
      </c>
      <c r="M212">
        <f t="shared" si="209"/>
        <v>-5.3880261584371283</v>
      </c>
      <c r="N212">
        <f t="shared" si="210"/>
        <v>29.030825884002759</v>
      </c>
    </row>
    <row r="213" spans="1:14" x14ac:dyDescent="0.45">
      <c r="A213" s="22">
        <v>42566</v>
      </c>
      <c r="B213">
        <v>746.55</v>
      </c>
      <c r="C213">
        <v>735.44</v>
      </c>
      <c r="G213">
        <f t="shared" ref="G213:K213" si="228">SUMPRODUCT($B213:$B217,P$2:P$6)</f>
        <v>446.92484722280545</v>
      </c>
      <c r="H213">
        <f t="shared" si="228"/>
        <v>380.97329042224709</v>
      </c>
      <c r="I213">
        <f t="shared" si="228"/>
        <v>319.99723177852781</v>
      </c>
      <c r="J213">
        <f t="shared" si="228"/>
        <v>293.52314795532993</v>
      </c>
      <c r="K213">
        <f t="shared" si="228"/>
        <v>228.76001419209422</v>
      </c>
      <c r="L213">
        <f t="shared" si="208"/>
        <v>748.37474987115957</v>
      </c>
      <c r="M213">
        <f t="shared" si="209"/>
        <v>-12.884749871159556</v>
      </c>
      <c r="N213">
        <f t="shared" si="210"/>
        <v>166.01677924234619</v>
      </c>
    </row>
    <row r="214" spans="1:14" x14ac:dyDescent="0.45">
      <c r="A214" s="22">
        <v>42565</v>
      </c>
      <c r="B214">
        <v>748.86</v>
      </c>
      <c r="C214">
        <v>741.2</v>
      </c>
      <c r="G214">
        <f t="shared" ref="G214:K214" si="229">SUMPRODUCT($B214:$B218,P$2:P$6)</f>
        <v>448.01840460278373</v>
      </c>
      <c r="H214">
        <f t="shared" si="229"/>
        <v>381.81607474543438</v>
      </c>
      <c r="I214">
        <f t="shared" si="229"/>
        <v>320.67802420739702</v>
      </c>
      <c r="J214">
        <f t="shared" si="229"/>
        <v>294.07367067517805</v>
      </c>
      <c r="K214">
        <f t="shared" si="229"/>
        <v>229.22159602614886</v>
      </c>
      <c r="L214">
        <f t="shared" si="208"/>
        <v>750.02257988729093</v>
      </c>
      <c r="M214">
        <f t="shared" si="209"/>
        <v>-3.4725798872909763</v>
      </c>
      <c r="N214">
        <f t="shared" si="210"/>
        <v>12.058811073617809</v>
      </c>
    </row>
    <row r="215" spans="1:14" x14ac:dyDescent="0.45">
      <c r="A215" s="22">
        <v>42564</v>
      </c>
      <c r="B215">
        <v>746.76</v>
      </c>
      <c r="C215">
        <v>742.63</v>
      </c>
      <c r="G215">
        <f t="shared" ref="G215:K215" si="230">SUMPRODUCT($B215:$B219,P$2:P$6)</f>
        <v>446.95874027340233</v>
      </c>
      <c r="H215">
        <f t="shared" si="230"/>
        <v>380.94429352631187</v>
      </c>
      <c r="I215">
        <f t="shared" si="230"/>
        <v>319.95391153676013</v>
      </c>
      <c r="J215">
        <f t="shared" si="230"/>
        <v>293.44433405350162</v>
      </c>
      <c r="K215">
        <f t="shared" si="230"/>
        <v>228.71869615856045</v>
      </c>
      <c r="L215">
        <f t="shared" si="208"/>
        <v>748.31924058937216</v>
      </c>
      <c r="M215">
        <f t="shared" si="209"/>
        <v>0.5407594106278566</v>
      </c>
      <c r="N215">
        <f t="shared" si="210"/>
        <v>0.29242074018258685</v>
      </c>
    </row>
    <row r="216" spans="1:14" x14ac:dyDescent="0.45">
      <c r="A216" s="22">
        <v>42563</v>
      </c>
      <c r="B216">
        <v>756.86</v>
      </c>
      <c r="C216">
        <v>748.21</v>
      </c>
      <c r="G216">
        <f t="shared" ref="G216:K216" si="231">SUMPRODUCT($B216:$B220,P$2:P$6)</f>
        <v>452.33421919772252</v>
      </c>
      <c r="H216">
        <f t="shared" si="231"/>
        <v>385.34087962169735</v>
      </c>
      <c r="I216">
        <f t="shared" si="231"/>
        <v>323.59157533130235</v>
      </c>
      <c r="J216">
        <f t="shared" si="231"/>
        <v>296.6210252511882</v>
      </c>
      <c r="K216">
        <f t="shared" si="231"/>
        <v>231.26273718026465</v>
      </c>
      <c r="L216">
        <f t="shared" si="208"/>
        <v>756.92475898983014</v>
      </c>
      <c r="M216">
        <f t="shared" si="209"/>
        <v>-10.164758989830148</v>
      </c>
      <c r="N216">
        <f t="shared" si="210"/>
        <v>103.3223253213328</v>
      </c>
    </row>
    <row r="217" spans="1:14" x14ac:dyDescent="0.45">
      <c r="A217" s="22">
        <v>42562</v>
      </c>
      <c r="B217">
        <v>750</v>
      </c>
      <c r="C217">
        <v>753.78</v>
      </c>
      <c r="G217">
        <f t="shared" ref="G217:K217" si="232">SUMPRODUCT($B217:$B221,P$2:P$6)</f>
        <v>448.02399128220191</v>
      </c>
      <c r="H217">
        <f t="shared" si="232"/>
        <v>381.60342866596085</v>
      </c>
      <c r="I217">
        <f t="shared" si="232"/>
        <v>320.43311043522198</v>
      </c>
      <c r="J217">
        <f t="shared" si="232"/>
        <v>293.67165337875213</v>
      </c>
      <c r="K217">
        <f t="shared" si="232"/>
        <v>228.98712323243041</v>
      </c>
      <c r="L217">
        <f t="shared" si="208"/>
        <v>749.59762131632385</v>
      </c>
      <c r="M217">
        <f t="shared" si="209"/>
        <v>7.262378683676161</v>
      </c>
      <c r="N217">
        <f t="shared" si="210"/>
        <v>52.74214414511389</v>
      </c>
    </row>
    <row r="218" spans="1:14" x14ac:dyDescent="0.45">
      <c r="A218" s="22">
        <v>42559</v>
      </c>
      <c r="B218">
        <v>740.14</v>
      </c>
      <c r="C218">
        <v>745.81</v>
      </c>
      <c r="G218">
        <f t="shared" ref="G218:K218" si="233">SUMPRODUCT($B218:$B222,P$2:P$6)</f>
        <v>442.50126623286991</v>
      </c>
      <c r="H218">
        <f t="shared" si="233"/>
        <v>377.0025610222869</v>
      </c>
      <c r="I218">
        <f t="shared" si="233"/>
        <v>316.60052624388982</v>
      </c>
      <c r="J218">
        <f t="shared" si="233"/>
        <v>290.24769643104855</v>
      </c>
      <c r="K218">
        <f t="shared" si="233"/>
        <v>226.27940031875036</v>
      </c>
      <c r="L218">
        <f t="shared" si="208"/>
        <v>740.58697701264077</v>
      </c>
      <c r="M218">
        <f t="shared" si="209"/>
        <v>9.413022987359227</v>
      </c>
      <c r="N218">
        <f t="shared" si="210"/>
        <v>88.605001760553222</v>
      </c>
    </row>
    <row r="219" spans="1:14" x14ac:dyDescent="0.45">
      <c r="A219" s="22">
        <v>42558</v>
      </c>
      <c r="B219">
        <v>739.33</v>
      </c>
      <c r="C219">
        <v>736.57</v>
      </c>
      <c r="G219">
        <f t="shared" ref="G219:K219" si="234">SUMPRODUCT($B219:$B223,P$2:P$6)</f>
        <v>441.57726654993297</v>
      </c>
      <c r="H219">
        <f t="shared" si="234"/>
        <v>376.09884329873643</v>
      </c>
      <c r="I219">
        <f t="shared" si="234"/>
        <v>315.80720136006062</v>
      </c>
      <c r="J219">
        <f t="shared" si="234"/>
        <v>289.41815071581982</v>
      </c>
      <c r="K219">
        <f t="shared" si="234"/>
        <v>225.67575413151863</v>
      </c>
      <c r="L219">
        <f t="shared" si="208"/>
        <v>738.8084340982449</v>
      </c>
      <c r="M219">
        <f t="shared" si="209"/>
        <v>1.3315659017550843</v>
      </c>
      <c r="N219">
        <f t="shared" si="210"/>
        <v>1.7730677507168306</v>
      </c>
    </row>
    <row r="220" spans="1:14" x14ac:dyDescent="0.45">
      <c r="A220" s="22">
        <v>42557</v>
      </c>
      <c r="B220">
        <v>725.71</v>
      </c>
      <c r="C220">
        <v>737.61</v>
      </c>
      <c r="G220">
        <f t="shared" ref="G220:K220" si="235">SUMPRODUCT($B220:$B224,P$2:P$6)</f>
        <v>433.96973719745688</v>
      </c>
      <c r="H220">
        <f t="shared" si="235"/>
        <v>369.77493593549281</v>
      </c>
      <c r="I220">
        <f t="shared" si="235"/>
        <v>310.54389158125895</v>
      </c>
      <c r="J220">
        <f t="shared" si="235"/>
        <v>284.72576787815075</v>
      </c>
      <c r="K220">
        <f t="shared" si="235"/>
        <v>221.95986794295732</v>
      </c>
      <c r="L220">
        <f t="shared" si="208"/>
        <v>726.4230086042146</v>
      </c>
      <c r="M220">
        <f t="shared" si="209"/>
        <v>12.90699139578544</v>
      </c>
      <c r="N220">
        <f t="shared" si="210"/>
        <v>166.59042689087937</v>
      </c>
    </row>
    <row r="221" spans="1:14" x14ac:dyDescent="0.45">
      <c r="A221" s="22">
        <v>42556</v>
      </c>
      <c r="B221">
        <v>722.8</v>
      </c>
      <c r="C221">
        <v>728.1</v>
      </c>
      <c r="G221">
        <f t="shared" ref="G221:K221" si="236">SUMPRODUCT($B221:$B225,P$2:P$6)</f>
        <v>432.18400504206903</v>
      </c>
      <c r="H221">
        <f t="shared" si="236"/>
        <v>368.24531304754163</v>
      </c>
      <c r="I221">
        <f t="shared" si="236"/>
        <v>309.25714101157541</v>
      </c>
      <c r="J221">
        <f t="shared" si="236"/>
        <v>283.53753239920729</v>
      </c>
      <c r="K221">
        <f t="shared" si="236"/>
        <v>221.03669751851038</v>
      </c>
      <c r="L221">
        <f t="shared" si="208"/>
        <v>723.42423226939047</v>
      </c>
      <c r="M221">
        <f t="shared" si="209"/>
        <v>2.2857677306095638</v>
      </c>
      <c r="N221">
        <f t="shared" si="210"/>
        <v>5.2247341182959959</v>
      </c>
    </row>
    <row r="222" spans="1:14" x14ac:dyDescent="0.45">
      <c r="A222" s="22">
        <v>42552</v>
      </c>
      <c r="B222">
        <v>717.32</v>
      </c>
      <c r="C222">
        <v>725.68</v>
      </c>
      <c r="G222">
        <f t="shared" ref="G222:K222" si="237">SUMPRODUCT($B222:$B226,P$2:P$6)</f>
        <v>428.8671292660531</v>
      </c>
      <c r="H222">
        <f t="shared" si="237"/>
        <v>365.38765567602047</v>
      </c>
      <c r="I222">
        <f t="shared" si="237"/>
        <v>306.84677762227579</v>
      </c>
      <c r="J222">
        <f t="shared" si="237"/>
        <v>281.30724786611677</v>
      </c>
      <c r="K222">
        <f t="shared" si="237"/>
        <v>219.30889090754945</v>
      </c>
      <c r="L222">
        <f t="shared" si="208"/>
        <v>717.82508052170067</v>
      </c>
      <c r="M222">
        <f t="shared" si="209"/>
        <v>4.9749194782992845</v>
      </c>
      <c r="N222">
        <f t="shared" si="210"/>
        <v>24.749823815561626</v>
      </c>
    </row>
    <row r="223" spans="1:14" x14ac:dyDescent="0.45">
      <c r="A223" s="22">
        <v>42551</v>
      </c>
      <c r="B223">
        <v>717.2</v>
      </c>
      <c r="C223">
        <v>715.62</v>
      </c>
      <c r="G223">
        <f t="shared" ref="G223:K223" si="238">SUMPRODUCT($B223:$B227,P$2:P$6)</f>
        <v>428.61563137682469</v>
      </c>
      <c r="H223">
        <f t="shared" si="238"/>
        <v>365.11321639787224</v>
      </c>
      <c r="I223">
        <f t="shared" si="238"/>
        <v>306.59783935181946</v>
      </c>
      <c r="J223">
        <f t="shared" si="238"/>
        <v>281.03058487629607</v>
      </c>
      <c r="K223">
        <f t="shared" si="238"/>
        <v>219.11497902601951</v>
      </c>
      <c r="L223">
        <f t="shared" si="208"/>
        <v>717.28526498955284</v>
      </c>
      <c r="M223">
        <f t="shared" si="209"/>
        <v>3.473501044720706E-2</v>
      </c>
      <c r="N223">
        <f t="shared" si="210"/>
        <v>1.2065209507675836E-3</v>
      </c>
    </row>
    <row r="224" spans="1:14" x14ac:dyDescent="0.45">
      <c r="A224" s="22">
        <v>42550</v>
      </c>
      <c r="B224">
        <v>715.75</v>
      </c>
      <c r="C224">
        <v>715.6</v>
      </c>
      <c r="G224">
        <f t="shared" ref="G224:K224" si="239">SUMPRODUCT($B224:$B228,P$2:P$6)</f>
        <v>427.39655372646763</v>
      </c>
      <c r="H224">
        <f t="shared" si="239"/>
        <v>363.99427502958906</v>
      </c>
      <c r="I224">
        <f t="shared" si="239"/>
        <v>305.63517535402701</v>
      </c>
      <c r="J224">
        <f t="shared" si="239"/>
        <v>280.07302973731959</v>
      </c>
      <c r="K224">
        <f t="shared" si="239"/>
        <v>218.39865045756423</v>
      </c>
      <c r="L224">
        <f t="shared" si="208"/>
        <v>715.08531302355925</v>
      </c>
      <c r="M224">
        <f t="shared" si="209"/>
        <v>2.1146869764407938</v>
      </c>
      <c r="N224">
        <f t="shared" si="210"/>
        <v>4.4719010083283068</v>
      </c>
    </row>
    <row r="225" spans="1:14" x14ac:dyDescent="0.45">
      <c r="A225" s="22">
        <v>42549</v>
      </c>
      <c r="B225">
        <v>700</v>
      </c>
      <c r="C225">
        <v>707.95</v>
      </c>
      <c r="G225">
        <f t="shared" ref="G225:K225" si="240">SUMPRODUCT($B225:$B229,P$2:P$6)</f>
        <v>418.88230956771343</v>
      </c>
      <c r="H225">
        <f t="shared" si="240"/>
        <v>357.03880544562179</v>
      </c>
      <c r="I225">
        <f t="shared" si="240"/>
        <v>299.88556105573537</v>
      </c>
      <c r="J225">
        <f t="shared" si="240"/>
        <v>275.04328614321014</v>
      </c>
      <c r="K225">
        <f t="shared" si="240"/>
        <v>214.36929701863065</v>
      </c>
      <c r="L225">
        <f t="shared" si="208"/>
        <v>701.46468967639964</v>
      </c>
      <c r="M225">
        <f t="shared" si="209"/>
        <v>14.285310323600356</v>
      </c>
      <c r="N225">
        <f t="shared" si="210"/>
        <v>204.0700910415629</v>
      </c>
    </row>
    <row r="226" spans="1:14" x14ac:dyDescent="0.45">
      <c r="A226" s="22">
        <v>42548</v>
      </c>
      <c r="B226">
        <v>692.01</v>
      </c>
      <c r="C226">
        <v>691.36</v>
      </c>
      <c r="G226">
        <f t="shared" ref="G226:K226" si="241">SUMPRODUCT($B226:$B230,P$2:P$6)</f>
        <v>414.51499040884528</v>
      </c>
      <c r="H226">
        <f t="shared" si="241"/>
        <v>353.43596046699724</v>
      </c>
      <c r="I226">
        <f t="shared" si="241"/>
        <v>296.89532993827493</v>
      </c>
      <c r="J226">
        <f t="shared" si="241"/>
        <v>272.40224368198142</v>
      </c>
      <c r="K226">
        <f t="shared" si="241"/>
        <v>212.26702867894613</v>
      </c>
      <c r="L226">
        <f t="shared" si="208"/>
        <v>694.4102181463353</v>
      </c>
      <c r="M226">
        <f t="shared" si="209"/>
        <v>5.5897818536647037</v>
      </c>
      <c r="N226">
        <f t="shared" si="210"/>
        <v>31.24566117155921</v>
      </c>
    </row>
    <row r="227" spans="1:14" x14ac:dyDescent="0.45">
      <c r="A227" s="22">
        <v>42545</v>
      </c>
      <c r="B227">
        <v>693</v>
      </c>
      <c r="C227">
        <v>698.96</v>
      </c>
      <c r="G227">
        <f t="shared" ref="G227:K227" si="242">SUMPRODUCT($B227:$B231,P$2:P$6)</f>
        <v>415.6691237160108</v>
      </c>
      <c r="H227">
        <f t="shared" si="242"/>
        <v>354.55172628938004</v>
      </c>
      <c r="I227">
        <f t="shared" si="242"/>
        <v>297.87052505668464</v>
      </c>
      <c r="J227">
        <f t="shared" si="242"/>
        <v>273.41828751860487</v>
      </c>
      <c r="K227">
        <f t="shared" si="242"/>
        <v>213.00953782035754</v>
      </c>
      <c r="L227">
        <f t="shared" si="208"/>
        <v>696.60781930966459</v>
      </c>
      <c r="M227">
        <f t="shared" si="209"/>
        <v>-4.597819309664601</v>
      </c>
      <c r="N227">
        <f t="shared" si="210"/>
        <v>21.139942404324668</v>
      </c>
    </row>
    <row r="228" spans="1:14" x14ac:dyDescent="0.45">
      <c r="A228" s="22">
        <v>42544</v>
      </c>
      <c r="B228">
        <v>715.5</v>
      </c>
      <c r="C228">
        <v>722.08</v>
      </c>
      <c r="G228">
        <f t="shared" ref="G228:K228" si="243">SUMPRODUCT($B228:$B232,P$2:P$6)</f>
        <v>428.08955397541087</v>
      </c>
      <c r="H228">
        <f t="shared" si="243"/>
        <v>364.8326518354674</v>
      </c>
      <c r="I228">
        <f t="shared" si="243"/>
        <v>306.41383327977917</v>
      </c>
      <c r="J228">
        <f t="shared" si="243"/>
        <v>280.99590179962559</v>
      </c>
      <c r="K228">
        <f t="shared" si="243"/>
        <v>219.02737552660651</v>
      </c>
      <c r="L228">
        <f t="shared" si="208"/>
        <v>716.74054193433483</v>
      </c>
      <c r="M228">
        <f t="shared" si="209"/>
        <v>-23.740541934334829</v>
      </c>
      <c r="N228">
        <f t="shared" si="210"/>
        <v>563.61333133591052</v>
      </c>
    </row>
    <row r="229" spans="1:14" x14ac:dyDescent="0.45">
      <c r="A229" s="22">
        <v>42543</v>
      </c>
      <c r="B229">
        <v>716.58</v>
      </c>
      <c r="C229">
        <v>710.6</v>
      </c>
      <c r="G229">
        <f t="shared" ref="G229:K229" si="244">SUMPRODUCT($B229:$B233,P$2:P$6)</f>
        <v>428.74758058826006</v>
      </c>
      <c r="H229">
        <f t="shared" si="244"/>
        <v>365.40392196357277</v>
      </c>
      <c r="I229">
        <f t="shared" si="244"/>
        <v>306.89713662548519</v>
      </c>
      <c r="J229">
        <f t="shared" si="244"/>
        <v>281.44574973247211</v>
      </c>
      <c r="K229">
        <f t="shared" si="244"/>
        <v>219.3744257514997</v>
      </c>
      <c r="L229">
        <f t="shared" si="208"/>
        <v>717.85966331300301</v>
      </c>
      <c r="M229">
        <f t="shared" si="209"/>
        <v>-2.3596633130030114</v>
      </c>
      <c r="N229">
        <f t="shared" si="210"/>
        <v>5.5680109507323472</v>
      </c>
    </row>
    <row r="230" spans="1:14" x14ac:dyDescent="0.45">
      <c r="A230" s="22">
        <v>42542</v>
      </c>
      <c r="B230">
        <v>715.72</v>
      </c>
      <c r="C230">
        <v>715.82</v>
      </c>
      <c r="G230">
        <f t="shared" ref="G230:K230" si="245">SUMPRODUCT($B230:$B234,P$2:P$6)</f>
        <v>428.09952104268626</v>
      </c>
      <c r="H230">
        <f t="shared" si="245"/>
        <v>364.80816669962559</v>
      </c>
      <c r="I230">
        <f t="shared" si="245"/>
        <v>306.38348809343205</v>
      </c>
      <c r="J230">
        <f t="shared" si="245"/>
        <v>280.9394049938046</v>
      </c>
      <c r="K230">
        <f t="shared" si="245"/>
        <v>218.99549379092653</v>
      </c>
      <c r="L230">
        <f t="shared" si="208"/>
        <v>716.69055031273842</v>
      </c>
      <c r="M230">
        <f t="shared" si="209"/>
        <v>-0.11055031273838267</v>
      </c>
      <c r="N230">
        <f t="shared" si="210"/>
        <v>1.2221371646554215E-2</v>
      </c>
    </row>
    <row r="231" spans="1:14" x14ac:dyDescent="0.45">
      <c r="A231" s="22">
        <v>42541</v>
      </c>
      <c r="B231">
        <v>713.5</v>
      </c>
      <c r="C231">
        <v>714.01</v>
      </c>
      <c r="G231">
        <f t="shared" ref="G231:K231" si="246">SUMPRODUCT($B231:$B235,P$2:P$6)</f>
        <v>427.18347847094748</v>
      </c>
      <c r="H231">
        <f t="shared" si="246"/>
        <v>364.15293180042113</v>
      </c>
      <c r="I231">
        <f t="shared" si="246"/>
        <v>305.8711243770112</v>
      </c>
      <c r="J231">
        <f t="shared" si="246"/>
        <v>280.57393142828658</v>
      </c>
      <c r="K231">
        <f t="shared" si="246"/>
        <v>218.66488575200435</v>
      </c>
      <c r="L231">
        <f t="shared" si="208"/>
        <v>715.41207986626671</v>
      </c>
      <c r="M231">
        <f t="shared" si="209"/>
        <v>0.30792013373331883</v>
      </c>
      <c r="N231">
        <f t="shared" si="210"/>
        <v>9.4814808758344957E-2</v>
      </c>
    </row>
    <row r="232" spans="1:14" x14ac:dyDescent="0.45">
      <c r="A232" s="22">
        <v>42538</v>
      </c>
      <c r="B232">
        <v>718.19</v>
      </c>
      <c r="C232">
        <v>706.39</v>
      </c>
      <c r="G232">
        <f t="shared" ref="G232:K232" si="247">SUMPRODUCT($B232:$B236,P$2:P$6)</f>
        <v>429.42909952014526</v>
      </c>
      <c r="H232">
        <f t="shared" si="247"/>
        <v>365.90077477103125</v>
      </c>
      <c r="I232">
        <f t="shared" si="247"/>
        <v>307.28911860889798</v>
      </c>
      <c r="J232">
        <f t="shared" si="247"/>
        <v>281.73480816113477</v>
      </c>
      <c r="K232">
        <f t="shared" si="247"/>
        <v>219.6304042383876</v>
      </c>
      <c r="L232">
        <f t="shared" si="208"/>
        <v>718.82937267660202</v>
      </c>
      <c r="M232">
        <f t="shared" si="209"/>
        <v>-5.32937267660202</v>
      </c>
      <c r="N232">
        <f t="shared" si="210"/>
        <v>28.40221312611218</v>
      </c>
    </row>
    <row r="233" spans="1:14" x14ac:dyDescent="0.45">
      <c r="A233" s="22">
        <v>42537</v>
      </c>
      <c r="B233">
        <v>712.05</v>
      </c>
      <c r="C233">
        <v>717.51</v>
      </c>
      <c r="G233">
        <f t="shared" ref="G233:K233" si="248">SUMPRODUCT($B233:$B237,P$2:P$6)</f>
        <v>426.34277420398644</v>
      </c>
      <c r="H233">
        <f t="shared" si="248"/>
        <v>363.42917684458632</v>
      </c>
      <c r="I233">
        <f t="shared" si="248"/>
        <v>305.26030084209975</v>
      </c>
      <c r="J233">
        <f t="shared" si="248"/>
        <v>280.0124029767768</v>
      </c>
      <c r="K233">
        <f t="shared" si="248"/>
        <v>218.2293353117214</v>
      </c>
      <c r="L233">
        <f t="shared" si="208"/>
        <v>713.99538748485998</v>
      </c>
      <c r="M233">
        <f t="shared" si="209"/>
        <v>4.1946125151400793</v>
      </c>
      <c r="N233">
        <f t="shared" si="210"/>
        <v>17.59477415216978</v>
      </c>
    </row>
    <row r="234" spans="1:14" x14ac:dyDescent="0.45">
      <c r="A234" s="22">
        <v>42536</v>
      </c>
      <c r="B234">
        <v>722</v>
      </c>
      <c r="C234">
        <v>714.26</v>
      </c>
      <c r="G234">
        <f t="shared" ref="G234:K234" si="249">SUMPRODUCT($B234:$B238,P$2:P$6)</f>
        <v>431.72372666904539</v>
      </c>
      <c r="H234">
        <f t="shared" si="249"/>
        <v>367.87308538830501</v>
      </c>
      <c r="I234">
        <f t="shared" si="249"/>
        <v>308.95127301080743</v>
      </c>
      <c r="J234">
        <f t="shared" si="249"/>
        <v>283.26933389940984</v>
      </c>
      <c r="K234">
        <f t="shared" si="249"/>
        <v>220.82081526761226</v>
      </c>
      <c r="L234">
        <f t="shared" si="208"/>
        <v>722.69376547769878</v>
      </c>
      <c r="M234">
        <f t="shared" si="209"/>
        <v>-10.643765477698821</v>
      </c>
      <c r="N234">
        <f t="shared" si="210"/>
        <v>113.28974354425321</v>
      </c>
    </row>
    <row r="235" spans="1:14" x14ac:dyDescent="0.45">
      <c r="A235" s="22">
        <v>42535</v>
      </c>
      <c r="B235">
        <v>712.33</v>
      </c>
      <c r="C235">
        <v>719.3</v>
      </c>
      <c r="G235">
        <f t="shared" ref="G235:K235" si="250">SUMPRODUCT($B235:$B239,P$2:P$6)</f>
        <v>426.44134545426283</v>
      </c>
      <c r="H235">
        <f t="shared" si="250"/>
        <v>363.51504467710436</v>
      </c>
      <c r="I235">
        <f t="shared" si="250"/>
        <v>305.33409361914511</v>
      </c>
      <c r="J235">
        <f t="shared" si="250"/>
        <v>280.07470158665063</v>
      </c>
      <c r="K235">
        <f t="shared" si="250"/>
        <v>218.2779659280194</v>
      </c>
      <c r="L235">
        <f t="shared" si="208"/>
        <v>714.16076732807642</v>
      </c>
      <c r="M235">
        <f t="shared" si="209"/>
        <v>7.8392326719235825</v>
      </c>
      <c r="N235">
        <f t="shared" si="210"/>
        <v>61.453568884554151</v>
      </c>
    </row>
    <row r="236" spans="1:14" x14ac:dyDescent="0.45">
      <c r="A236" s="22">
        <v>42534</v>
      </c>
      <c r="B236">
        <v>714.01</v>
      </c>
      <c r="C236">
        <v>715.24</v>
      </c>
      <c r="G236">
        <f t="shared" ref="G236:K236" si="251">SUMPRODUCT($B236:$B240,P$2:P$6)</f>
        <v>427.66027665789261</v>
      </c>
      <c r="H236">
        <f t="shared" si="251"/>
        <v>364.60905631171801</v>
      </c>
      <c r="I236">
        <f t="shared" si="251"/>
        <v>306.26914204084011</v>
      </c>
      <c r="J236">
        <f t="shared" si="251"/>
        <v>280.98110410073173</v>
      </c>
      <c r="K236">
        <f t="shared" si="251"/>
        <v>218.96403012624418</v>
      </c>
      <c r="L236">
        <f t="shared" si="208"/>
        <v>716.30851106779232</v>
      </c>
      <c r="M236">
        <f t="shared" si="209"/>
        <v>-3.978511067792283</v>
      </c>
      <c r="N236">
        <f t="shared" si="210"/>
        <v>15.828550316545693</v>
      </c>
    </row>
    <row r="237" spans="1:14" x14ac:dyDescent="0.45">
      <c r="A237" s="22">
        <v>42531</v>
      </c>
      <c r="B237">
        <v>722.35</v>
      </c>
      <c r="C237">
        <v>717.91</v>
      </c>
      <c r="G237">
        <f t="shared" ref="G237:K237" si="252">SUMPRODUCT($B237:$B241,P$2:P$6)</f>
        <v>432.35209883818942</v>
      </c>
      <c r="H237">
        <f t="shared" si="252"/>
        <v>368.52522684792842</v>
      </c>
      <c r="I237">
        <f t="shared" si="252"/>
        <v>309.53373423737634</v>
      </c>
      <c r="J237">
        <f t="shared" si="252"/>
        <v>283.90382150233597</v>
      </c>
      <c r="K237">
        <f t="shared" si="252"/>
        <v>221.27249944698988</v>
      </c>
      <c r="L237">
        <f t="shared" si="208"/>
        <v>723.97843816216937</v>
      </c>
      <c r="M237">
        <f t="shared" si="209"/>
        <v>-9.9684381621693774</v>
      </c>
      <c r="N237">
        <f t="shared" si="210"/>
        <v>99.369759392994794</v>
      </c>
    </row>
    <row r="238" spans="1:14" x14ac:dyDescent="0.45">
      <c r="A238" s="22">
        <v>42530</v>
      </c>
      <c r="B238">
        <v>723.1</v>
      </c>
      <c r="C238">
        <v>727.65</v>
      </c>
      <c r="G238">
        <f t="shared" ref="G238:K238" si="253">SUMPRODUCT($B238:$B242,P$2:P$6)</f>
        <v>432.79625471048206</v>
      </c>
      <c r="H238">
        <f t="shared" si="253"/>
        <v>368.89392898958477</v>
      </c>
      <c r="I238">
        <f t="shared" si="253"/>
        <v>309.840015172633</v>
      </c>
      <c r="J238">
        <f t="shared" si="253"/>
        <v>284.17907653055818</v>
      </c>
      <c r="K238">
        <f t="shared" si="253"/>
        <v>221.49035462355025</v>
      </c>
      <c r="L238">
        <f t="shared" si="208"/>
        <v>724.70165983726804</v>
      </c>
      <c r="M238">
        <f t="shared" si="209"/>
        <v>-2.3516598372680164</v>
      </c>
      <c r="N238">
        <f t="shared" si="210"/>
        <v>5.5303039902194335</v>
      </c>
    </row>
    <row r="239" spans="1:14" x14ac:dyDescent="0.45">
      <c r="A239" s="22">
        <v>42529</v>
      </c>
      <c r="B239">
        <v>726.4</v>
      </c>
      <c r="C239">
        <v>726.64</v>
      </c>
      <c r="G239">
        <f t="shared" ref="G239:K239" si="254">SUMPRODUCT($B239:$B243,P$2:P$6)</f>
        <v>434.72040396569065</v>
      </c>
      <c r="H239">
        <f t="shared" si="254"/>
        <v>370.51514960217861</v>
      </c>
      <c r="I239">
        <f t="shared" si="254"/>
        <v>311.19585308423046</v>
      </c>
      <c r="J239">
        <f t="shared" si="254"/>
        <v>285.40796254929637</v>
      </c>
      <c r="K239">
        <f t="shared" si="254"/>
        <v>222.45490882263076</v>
      </c>
      <c r="L239">
        <f t="shared" si="208"/>
        <v>727.87844333627993</v>
      </c>
      <c r="M239">
        <f t="shared" si="209"/>
        <v>-4.7784433362799064</v>
      </c>
      <c r="N239">
        <f t="shared" si="210"/>
        <v>22.833520718037843</v>
      </c>
    </row>
    <row r="240" spans="1:14" x14ac:dyDescent="0.45">
      <c r="A240" s="22">
        <v>42528</v>
      </c>
      <c r="B240">
        <v>729.89</v>
      </c>
      <c r="C240">
        <v>723.74</v>
      </c>
      <c r="G240">
        <f t="shared" ref="G240:K240" si="255">SUMPRODUCT($B240:$B244,P$2:P$6)</f>
        <v>436.44997311926193</v>
      </c>
      <c r="H240">
        <f t="shared" si="255"/>
        <v>371.88282997768994</v>
      </c>
      <c r="I240">
        <f t="shared" si="255"/>
        <v>312.3125107046468</v>
      </c>
      <c r="J240">
        <f t="shared" si="255"/>
        <v>286.34267265214959</v>
      </c>
      <c r="K240">
        <f t="shared" si="255"/>
        <v>223.22233922381278</v>
      </c>
      <c r="L240">
        <f t="shared" si="208"/>
        <v>730.55362423039242</v>
      </c>
      <c r="M240">
        <f t="shared" si="209"/>
        <v>-4.1536242303924382</v>
      </c>
      <c r="N240">
        <f t="shared" si="210"/>
        <v>17.252594247303175</v>
      </c>
    </row>
    <row r="241" spans="1:14" x14ac:dyDescent="0.45">
      <c r="A241" s="22">
        <v>42527</v>
      </c>
      <c r="B241">
        <v>726.5</v>
      </c>
      <c r="C241">
        <v>726.73</v>
      </c>
      <c r="G241">
        <f t="shared" ref="G241:K241" si="256">SUMPRODUCT($B241:$B245,P$2:P$6)</f>
        <v>434.5824317576263</v>
      </c>
      <c r="H241">
        <f t="shared" si="256"/>
        <v>370.33714315356207</v>
      </c>
      <c r="I241">
        <f t="shared" si="256"/>
        <v>311.02806582511943</v>
      </c>
      <c r="J241">
        <f t="shared" si="256"/>
        <v>285.20388175916435</v>
      </c>
      <c r="K241">
        <f t="shared" si="256"/>
        <v>222.31785713670365</v>
      </c>
      <c r="L241">
        <f t="shared" si="208"/>
        <v>727.52692235619645</v>
      </c>
      <c r="M241">
        <f t="shared" si="209"/>
        <v>2.3630776438035355</v>
      </c>
      <c r="N241">
        <f t="shared" si="210"/>
        <v>5.5841359506440691</v>
      </c>
    </row>
    <row r="242" spans="1:14" x14ac:dyDescent="0.45">
      <c r="A242" s="22">
        <v>42524</v>
      </c>
      <c r="B242">
        <v>726.74</v>
      </c>
      <c r="C242">
        <v>725.54</v>
      </c>
      <c r="G242">
        <f t="shared" ref="G242:K242" si="257">SUMPRODUCT($B242:$B246,P$2:P$6)</f>
        <v>434.3997212667108</v>
      </c>
      <c r="H242">
        <f t="shared" si="257"/>
        <v>370.08384868744895</v>
      </c>
      <c r="I242">
        <f t="shared" si="257"/>
        <v>310.78589460749532</v>
      </c>
      <c r="J242">
        <f t="shared" si="257"/>
        <v>284.90007610972282</v>
      </c>
      <c r="K242">
        <f t="shared" si="257"/>
        <v>222.11668258923669</v>
      </c>
      <c r="L242">
        <f t="shared" si="208"/>
        <v>727.02593199603109</v>
      </c>
      <c r="M242">
        <f t="shared" si="209"/>
        <v>-0.52593199603109042</v>
      </c>
      <c r="N242">
        <f t="shared" si="210"/>
        <v>0.27660446444924691</v>
      </c>
    </row>
    <row r="243" spans="1:14" x14ac:dyDescent="0.45">
      <c r="A243" s="22">
        <v>42523</v>
      </c>
      <c r="B243">
        <v>720.97</v>
      </c>
      <c r="C243">
        <v>728.24</v>
      </c>
      <c r="G243">
        <f t="shared" ref="G243:K243" si="258">SUMPRODUCT($B243:$B247,P$2:P$6)</f>
        <v>431.25843922116132</v>
      </c>
      <c r="H243">
        <f t="shared" si="258"/>
        <v>367.49979273396769</v>
      </c>
      <c r="I243">
        <f t="shared" si="258"/>
        <v>308.64368262868885</v>
      </c>
      <c r="J243">
        <f t="shared" si="258"/>
        <v>283.01347797033304</v>
      </c>
      <c r="K243">
        <f t="shared" si="258"/>
        <v>220.61216377016922</v>
      </c>
      <c r="L243">
        <f t="shared" si="208"/>
        <v>721.96621401505536</v>
      </c>
      <c r="M243">
        <f t="shared" si="209"/>
        <v>4.7737859849446522</v>
      </c>
      <c r="N243">
        <f t="shared" si="210"/>
        <v>22.789032630053985</v>
      </c>
    </row>
    <row r="244" spans="1:14" x14ac:dyDescent="0.45">
      <c r="A244" s="22">
        <v>42522</v>
      </c>
      <c r="B244">
        <v>720.9</v>
      </c>
      <c r="C244">
        <v>719.44</v>
      </c>
      <c r="G244">
        <f t="shared" ref="G244:K244" si="259">SUMPRODUCT($B244:$B248,P$2:P$6)</f>
        <v>430.86145255077594</v>
      </c>
      <c r="H244">
        <f t="shared" si="259"/>
        <v>367.06156259691016</v>
      </c>
      <c r="I244">
        <f t="shared" si="259"/>
        <v>308.24580094701565</v>
      </c>
      <c r="J244">
        <f t="shared" si="259"/>
        <v>282.56299395685625</v>
      </c>
      <c r="K244">
        <f t="shared" si="259"/>
        <v>220.2977162525527</v>
      </c>
      <c r="L244">
        <f t="shared" si="208"/>
        <v>721.10185287249192</v>
      </c>
      <c r="M244">
        <f t="shared" si="209"/>
        <v>-0.13185287249189059</v>
      </c>
      <c r="N244">
        <f t="shared" si="210"/>
        <v>1.7385179984362759E-2</v>
      </c>
    </row>
    <row r="245" spans="1:14" x14ac:dyDescent="0.45">
      <c r="A245" s="22">
        <v>42521</v>
      </c>
      <c r="B245">
        <v>712.33</v>
      </c>
      <c r="C245">
        <v>722.79</v>
      </c>
      <c r="G245">
        <f t="shared" ref="G245:K245" si="260">SUMPRODUCT($B245:$B249,P$2:P$6)</f>
        <v>426.19459592314172</v>
      </c>
      <c r="H245">
        <f t="shared" si="260"/>
        <v>363.21317658959606</v>
      </c>
      <c r="I245">
        <f t="shared" si="260"/>
        <v>305.05206891170877</v>
      </c>
      <c r="J245">
        <f t="shared" si="260"/>
        <v>279.74485825940485</v>
      </c>
      <c r="K245">
        <f t="shared" si="260"/>
        <v>218.05371355199455</v>
      </c>
      <c r="L245">
        <f t="shared" si="208"/>
        <v>713.56724273260829</v>
      </c>
      <c r="M245">
        <f t="shared" si="209"/>
        <v>7.3327572673916848</v>
      </c>
      <c r="N245">
        <f t="shared" si="210"/>
        <v>53.769329142485567</v>
      </c>
    </row>
    <row r="246" spans="1:14" x14ac:dyDescent="0.45">
      <c r="A246" s="22">
        <v>42517</v>
      </c>
      <c r="B246">
        <v>715</v>
      </c>
      <c r="C246">
        <v>712.24</v>
      </c>
      <c r="G246">
        <f t="shared" ref="G246:K246" si="261">SUMPRODUCT($B246:$B250,P$2:P$6)</f>
        <v>427.30372356717345</v>
      </c>
      <c r="H246">
        <f t="shared" si="261"/>
        <v>364.01348828032405</v>
      </c>
      <c r="I246">
        <f t="shared" si="261"/>
        <v>305.68057029768437</v>
      </c>
      <c r="J246">
        <f t="shared" si="261"/>
        <v>280.19950640971825</v>
      </c>
      <c r="K246">
        <f t="shared" si="261"/>
        <v>218.46105514577704</v>
      </c>
      <c r="L246">
        <f t="shared" si="208"/>
        <v>715.12867460360405</v>
      </c>
      <c r="M246">
        <f t="shared" si="209"/>
        <v>-2.7986746036040131</v>
      </c>
      <c r="N246">
        <f t="shared" si="210"/>
        <v>7.8325795368580797</v>
      </c>
    </row>
    <row r="247" spans="1:14" x14ac:dyDescent="0.45">
      <c r="A247" s="22">
        <v>42516</v>
      </c>
      <c r="B247">
        <v>708.33</v>
      </c>
      <c r="C247">
        <v>714.91</v>
      </c>
      <c r="G247">
        <f t="shared" ref="G247:K247" si="262">SUMPRODUCT($B247:$B251,P$2:P$6)</f>
        <v>423.72282728807841</v>
      </c>
      <c r="H247">
        <f t="shared" si="262"/>
        <v>361.08813276213732</v>
      </c>
      <c r="I247">
        <f t="shared" si="262"/>
        <v>303.26195684993405</v>
      </c>
      <c r="J247">
        <f t="shared" si="262"/>
        <v>278.08620074184552</v>
      </c>
      <c r="K247">
        <f t="shared" si="262"/>
        <v>216.7677723270435</v>
      </c>
      <c r="L247">
        <f t="shared" si="208"/>
        <v>709.40116275846731</v>
      </c>
      <c r="M247">
        <f t="shared" si="209"/>
        <v>5.5988372415326921</v>
      </c>
      <c r="N247">
        <f t="shared" si="210"/>
        <v>31.346978457173407</v>
      </c>
    </row>
    <row r="248" spans="1:14" x14ac:dyDescent="0.45">
      <c r="A248" s="22">
        <v>42515</v>
      </c>
      <c r="B248">
        <v>708</v>
      </c>
      <c r="C248">
        <v>708.35</v>
      </c>
      <c r="G248">
        <f>SUMPRODUCT($B248:$B252,P$2:P$6)</f>
        <v>423.20589090931935</v>
      </c>
      <c r="H248">
        <f>SUMPRODUCT($B248:$B252,Q$2:Q$6)</f>
        <v>360.56415514663973</v>
      </c>
      <c r="I248">
        <f>SUMPRODUCT($B248:$B252,R$2:R$6)</f>
        <v>302.79732047002483</v>
      </c>
      <c r="J248">
        <f>SUMPRODUCT($B248:$B252,S$2:S$6)</f>
        <v>277.58650192709047</v>
      </c>
      <c r="K248">
        <f>SUMPRODUCT($B248:$B252,T$2:T$6)</f>
        <v>216.40914143356181</v>
      </c>
      <c r="L248">
        <f>(G248+$P$7)*$U$2+(H248+$Q$7)*$U$3+(I248+$R$7)*$U$4+(J248+$S$7)*$U$5+(K248+$T$7)*$U$6+$U$7</f>
        <v>708.36876355579921</v>
      </c>
      <c r="M248">
        <f>B247-L248</f>
        <v>-3.8763555799164351E-2</v>
      </c>
      <c r="N248">
        <f>M248^2</f>
        <v>1.5026132581949282E-3</v>
      </c>
    </row>
    <row r="249" spans="1:14" x14ac:dyDescent="0.45">
      <c r="A249" s="22">
        <v>42514</v>
      </c>
      <c r="B249">
        <v>698.01</v>
      </c>
      <c r="C249">
        <v>704.2</v>
      </c>
    </row>
    <row r="250" spans="1:14" x14ac:dyDescent="0.45">
      <c r="A250" s="22">
        <v>42513</v>
      </c>
      <c r="B250">
        <v>704.25</v>
      </c>
      <c r="C250">
        <v>696.75</v>
      </c>
    </row>
    <row r="251" spans="1:14" x14ac:dyDescent="0.45">
      <c r="A251" s="22">
        <v>42510</v>
      </c>
      <c r="B251">
        <v>701.05</v>
      </c>
      <c r="C251">
        <v>702.8</v>
      </c>
    </row>
    <row r="252" spans="1:14" x14ac:dyDescent="0.45">
      <c r="A252" s="22">
        <v>42509</v>
      </c>
      <c r="B252">
        <v>691.88</v>
      </c>
      <c r="C252">
        <v>698.52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187.97</v>
      </c>
      <c r="C2">
        <v>186.05</v>
      </c>
      <c r="G2">
        <f t="shared" ref="G2" si="0">SUMPRODUCT($B2:$B6,P$2:P$6)</f>
        <v>75.429950497057334</v>
      </c>
      <c r="H2">
        <f t="shared" ref="H2" si="1">SUMPRODUCT($B2:$B6,Q$2:Q$6)</f>
        <v>152.91423950285608</v>
      </c>
      <c r="I2">
        <f t="shared" ref="I2" si="2">SUMPRODUCT($B2:$B6,R$2:R$6)</f>
        <v>84.860473775539916</v>
      </c>
      <c r="J2">
        <f t="shared" ref="J2" si="3">SUMPRODUCT($B2:$B6,S$2:S$6)</f>
        <v>50.247325572229883</v>
      </c>
      <c r="K2">
        <f t="shared" ref="K2" si="4">SUMPRODUCT($B2:$B6,T$2:T$6)</f>
        <v>58.742093297879975</v>
      </c>
      <c r="L2">
        <f t="shared" ref="L2" si="5">(G2+$P$7)*$U$2+(H2+$Q$7)*$U$3+(I2+$R$7)*$U$4+(J2+$S$7)*$U$5+(K2+$T$7)*$U$6+$U$7</f>
        <v>187.19254454774327</v>
      </c>
      <c r="P2">
        <v>0.39364694837864717</v>
      </c>
      <c r="Q2">
        <v>0.79256766705443216</v>
      </c>
      <c r="R2">
        <v>0.43813410224764521</v>
      </c>
      <c r="S2">
        <v>0.25790393466964578</v>
      </c>
      <c r="T2">
        <v>0.30301717140832313</v>
      </c>
      <c r="U2">
        <v>0.34790981402011611</v>
      </c>
      <c r="W2" t="s">
        <v>30</v>
      </c>
    </row>
    <row r="3" spans="1:23" x14ac:dyDescent="0.45">
      <c r="A3" s="22">
        <v>42871</v>
      </c>
      <c r="B3">
        <v>186.83</v>
      </c>
      <c r="C3">
        <v>190.64</v>
      </c>
      <c r="G3">
        <f t="shared" ref="G3:K3" si="6">SUMPRODUCT($B3:$B7,P$2:P$6)</f>
        <v>74.972038698118141</v>
      </c>
      <c r="H3">
        <f t="shared" si="6"/>
        <v>151.98562770721662</v>
      </c>
      <c r="I3">
        <f t="shared" si="6"/>
        <v>84.345037027519439</v>
      </c>
      <c r="J3">
        <f t="shared" si="6"/>
        <v>49.942037733252825</v>
      </c>
      <c r="K3">
        <f t="shared" si="6"/>
        <v>58.38528164132876</v>
      </c>
      <c r="L3">
        <f t="shared" ref="L3:L66" si="7">(G3+$P$7)*$U$2+(H3+$Q$7)*$U$3+(I3+$R$7)*$U$4+(J3+$S$7)*$U$5+(K3+$T$7)*$U$6+$U$7</f>
        <v>186.10757505605096</v>
      </c>
      <c r="M3">
        <f t="shared" ref="M3:M66" si="8">B2-L3</f>
        <v>1.862424943949037</v>
      </c>
      <c r="N3">
        <f t="shared" ref="N3:N66" si="9">M3^2</f>
        <v>3.4686266718435737</v>
      </c>
      <c r="P3">
        <v>4.8225672718640555E-7</v>
      </c>
      <c r="Q3">
        <v>8.8017966889289576E-7</v>
      </c>
      <c r="R3">
        <v>7.2806499801804312E-7</v>
      </c>
      <c r="S3">
        <v>9.4149032061982064E-7</v>
      </c>
      <c r="T3">
        <v>0</v>
      </c>
      <c r="U3">
        <v>0.63374153762516128</v>
      </c>
      <c r="V3" t="s">
        <v>28</v>
      </c>
      <c r="W3">
        <f>SUM(N3:N252)</f>
        <v>1893.4587351352418</v>
      </c>
    </row>
    <row r="4" spans="1:23" x14ac:dyDescent="0.45">
      <c r="A4" s="22">
        <v>42870</v>
      </c>
      <c r="B4">
        <v>187.08</v>
      </c>
      <c r="C4">
        <v>186.14</v>
      </c>
      <c r="G4">
        <f t="shared" ref="G4:K4" si="10">SUMPRODUCT($B4:$B8,P$2:P$6)</f>
        <v>75.043300602007591</v>
      </c>
      <c r="H4">
        <f t="shared" si="10"/>
        <v>152.10937177735116</v>
      </c>
      <c r="I4">
        <f t="shared" si="10"/>
        <v>84.407224694077428</v>
      </c>
      <c r="J4">
        <f t="shared" si="10"/>
        <v>49.973071998254774</v>
      </c>
      <c r="K4">
        <f t="shared" si="10"/>
        <v>58.427308571623897</v>
      </c>
      <c r="L4">
        <f t="shared" si="7"/>
        <v>186.24995376374176</v>
      </c>
      <c r="M4">
        <f t="shared" si="8"/>
        <v>0.58004623625825502</v>
      </c>
      <c r="N4">
        <f t="shared" si="9"/>
        <v>0.3364536361973674</v>
      </c>
      <c r="P4">
        <v>8.5664663145166321E-8</v>
      </c>
      <c r="Q4">
        <v>3.7413168313382718E-7</v>
      </c>
      <c r="R4">
        <v>0</v>
      </c>
      <c r="S4">
        <v>6.1343163736681187E-7</v>
      </c>
      <c r="T4">
        <v>0</v>
      </c>
      <c r="U4">
        <v>0.36318952319854081</v>
      </c>
      <c r="V4" t="s">
        <v>29</v>
      </c>
      <c r="W4">
        <f>MAX(N3:N252)</f>
        <v>98.707637233856516</v>
      </c>
    </row>
    <row r="5" spans="1:23" x14ac:dyDescent="0.45">
      <c r="A5" s="22">
        <v>42867</v>
      </c>
      <c r="B5">
        <v>186.25</v>
      </c>
      <c r="C5">
        <v>186.83</v>
      </c>
      <c r="G5">
        <f t="shared" ref="G5:K5" si="11">SUMPRODUCT($B5:$B9,P$2:P$6)</f>
        <v>74.713442242243175</v>
      </c>
      <c r="H5">
        <f t="shared" si="11"/>
        <v>151.44296187111496</v>
      </c>
      <c r="I5">
        <f t="shared" si="11"/>
        <v>84.038113203012557</v>
      </c>
      <c r="J5">
        <f t="shared" si="11"/>
        <v>49.755150672534803</v>
      </c>
      <c r="K5">
        <f t="shared" si="11"/>
        <v>58.17191639437138</v>
      </c>
      <c r="L5">
        <f t="shared" si="7"/>
        <v>185.47160104395272</v>
      </c>
      <c r="M5">
        <f t="shared" si="8"/>
        <v>1.6083989560472958</v>
      </c>
      <c r="N5">
        <f t="shared" si="9"/>
        <v>2.5869472018140307</v>
      </c>
      <c r="P5">
        <v>1.1831583179832012E-7</v>
      </c>
      <c r="Q5">
        <v>0</v>
      </c>
      <c r="R5">
        <v>1.639798812338838E-7</v>
      </c>
      <c r="S5">
        <v>9.3529807415841313E-7</v>
      </c>
      <c r="T5">
        <v>1.3364872858854562E-8</v>
      </c>
      <c r="U5">
        <v>0.22019564482163351</v>
      </c>
    </row>
    <row r="6" spans="1:23" x14ac:dyDescent="0.45">
      <c r="A6" s="22">
        <v>42866</v>
      </c>
      <c r="B6">
        <v>183.54</v>
      </c>
      <c r="C6">
        <v>186.6</v>
      </c>
      <c r="G6">
        <f t="shared" ref="G6:K6" si="12">SUMPRODUCT($B6:$B10,P$2:P$6)</f>
        <v>73.629445441304441</v>
      </c>
      <c r="H6">
        <f t="shared" si="12"/>
        <v>149.24793360777022</v>
      </c>
      <c r="I6">
        <f t="shared" si="12"/>
        <v>82.820751825762102</v>
      </c>
      <c r="J6">
        <f t="shared" si="12"/>
        <v>49.035027406126083</v>
      </c>
      <c r="K6">
        <f t="shared" si="12"/>
        <v>57.32935652216765</v>
      </c>
      <c r="L6">
        <f t="shared" si="7"/>
        <v>182.90732344445527</v>
      </c>
      <c r="M6">
        <f t="shared" si="8"/>
        <v>3.3426765555447275</v>
      </c>
      <c r="N6">
        <f t="shared" si="9"/>
        <v>11.173486554988363</v>
      </c>
      <c r="P6">
        <v>7.8239372770504464E-3</v>
      </c>
      <c r="Q6">
        <v>2.1439798900030751E-2</v>
      </c>
      <c r="R6">
        <v>1.3644110332426592E-2</v>
      </c>
      <c r="S6">
        <v>9.6363632651353375E-3</v>
      </c>
      <c r="T6">
        <v>9.7196965187420093E-3</v>
      </c>
      <c r="U6">
        <v>0.23186836760791979</v>
      </c>
    </row>
    <row r="7" spans="1:23" x14ac:dyDescent="0.45">
      <c r="A7" s="22">
        <v>42865</v>
      </c>
      <c r="B7">
        <v>182.37</v>
      </c>
      <c r="C7">
        <v>183.57</v>
      </c>
      <c r="G7">
        <f t="shared" ref="G7:K7" si="13">SUMPRODUCT($B7:$B11,P$2:P$6)</f>
        <v>73.181316603980392</v>
      </c>
      <c r="H7">
        <f t="shared" si="13"/>
        <v>148.35471551369147</v>
      </c>
      <c r="I7">
        <f t="shared" si="13"/>
        <v>82.329826174419651</v>
      </c>
      <c r="J7">
        <f t="shared" si="13"/>
        <v>48.748596050154333</v>
      </c>
      <c r="K7">
        <f t="shared" si="13"/>
        <v>56.990280719681991</v>
      </c>
      <c r="L7">
        <f t="shared" si="7"/>
        <v>181.86535467244872</v>
      </c>
      <c r="M7">
        <f t="shared" si="8"/>
        <v>1.6746453275512749</v>
      </c>
      <c r="N7">
        <f t="shared" si="9"/>
        <v>2.8044369730893171</v>
      </c>
      <c r="O7" t="s">
        <v>27</v>
      </c>
      <c r="P7">
        <v>4.5020140485336569E-7</v>
      </c>
      <c r="Q7">
        <v>3.9407686045692693E-11</v>
      </c>
      <c r="R7">
        <v>6.4419748494166716E-7</v>
      </c>
      <c r="S7">
        <v>3.9808456501312252E-7</v>
      </c>
      <c r="T7">
        <v>4.6448003056722307E-7</v>
      </c>
      <c r="U7">
        <v>8.5365080987364585</v>
      </c>
    </row>
    <row r="8" spans="1:23" x14ac:dyDescent="0.45">
      <c r="A8" s="22">
        <v>42864</v>
      </c>
      <c r="B8">
        <v>178.9</v>
      </c>
      <c r="C8">
        <v>182.98</v>
      </c>
      <c r="G8">
        <f t="shared" ref="G8:K8" si="14">SUMPRODUCT($B8:$B12,P$2:P$6)</f>
        <v>71.824124309614021</v>
      </c>
      <c r="H8">
        <f t="shared" si="14"/>
        <v>145.62851710861906</v>
      </c>
      <c r="I8">
        <f t="shared" si="14"/>
        <v>80.824782212694643</v>
      </c>
      <c r="J8">
        <f t="shared" si="14"/>
        <v>47.864461884685824</v>
      </c>
      <c r="K8">
        <f t="shared" si="14"/>
        <v>55.949697216246243</v>
      </c>
      <c r="L8">
        <f t="shared" si="7"/>
        <v>178.68289189479705</v>
      </c>
      <c r="M8">
        <f t="shared" si="8"/>
        <v>3.6871081052029524</v>
      </c>
      <c r="N8">
        <f t="shared" si="9"/>
        <v>13.594766179453305</v>
      </c>
    </row>
    <row r="9" spans="1:23" x14ac:dyDescent="0.45">
      <c r="A9" s="22">
        <v>42863</v>
      </c>
      <c r="B9">
        <v>178.5</v>
      </c>
      <c r="C9">
        <v>177.47</v>
      </c>
      <c r="G9">
        <f t="shared" ref="G9:K9" si="15">SUMPRODUCT($B9:$B13,P$2:P$6)</f>
        <v>71.675192829650285</v>
      </c>
      <c r="H9">
        <f t="shared" si="15"/>
        <v>145.33485808107241</v>
      </c>
      <c r="I9">
        <f t="shared" si="15"/>
        <v>80.664399233972389</v>
      </c>
      <c r="J9">
        <f t="shared" si="15"/>
        <v>47.771803898388406</v>
      </c>
      <c r="K9">
        <f t="shared" si="15"/>
        <v>55.839084831857008</v>
      </c>
      <c r="L9">
        <f t="shared" si="7"/>
        <v>178.34067343202869</v>
      </c>
      <c r="M9">
        <f t="shared" si="8"/>
        <v>0.55932656797131131</v>
      </c>
      <c r="N9">
        <f t="shared" si="9"/>
        <v>0.31284620963856591</v>
      </c>
    </row>
    <row r="10" spans="1:23" x14ac:dyDescent="0.45">
      <c r="A10" s="22">
        <v>42860</v>
      </c>
      <c r="B10">
        <v>176.3</v>
      </c>
      <c r="C10">
        <v>178.03</v>
      </c>
      <c r="G10">
        <f t="shared" ref="G10:K10" si="16">SUMPRODUCT($B10:$B14,P$2:P$6)</f>
        <v>70.811908912961115</v>
      </c>
      <c r="H10">
        <f t="shared" si="16"/>
        <v>143.59871496168083</v>
      </c>
      <c r="I10">
        <f t="shared" si="16"/>
        <v>79.705280984005341</v>
      </c>
      <c r="J10">
        <f t="shared" si="16"/>
        <v>47.207791172745921</v>
      </c>
      <c r="K10">
        <f t="shared" si="16"/>
        <v>55.175848963107967</v>
      </c>
      <c r="L10">
        <f t="shared" si="7"/>
        <v>176.31374421117337</v>
      </c>
      <c r="M10">
        <f t="shared" si="8"/>
        <v>2.1862557888266281</v>
      </c>
      <c r="N10">
        <f t="shared" si="9"/>
        <v>4.7797143741779422</v>
      </c>
    </row>
    <row r="11" spans="1:23" x14ac:dyDescent="0.45">
      <c r="A11" s="22">
        <v>42859</v>
      </c>
      <c r="B11">
        <v>177.89</v>
      </c>
      <c r="C11">
        <v>176.71</v>
      </c>
      <c r="G11">
        <f t="shared" ref="G11:K11" si="17">SUMPRODUCT($B11:$B15,P$2:P$6)</f>
        <v>71.44273731628023</v>
      </c>
      <c r="H11">
        <f t="shared" si="17"/>
        <v>144.87240601920914</v>
      </c>
      <c r="I11">
        <f t="shared" si="17"/>
        <v>80.410510868914272</v>
      </c>
      <c r="J11">
        <f t="shared" si="17"/>
        <v>47.623931388191664</v>
      </c>
      <c r="K11">
        <f t="shared" si="17"/>
        <v>55.663769679131704</v>
      </c>
      <c r="L11">
        <f t="shared" si="7"/>
        <v>177.80130428157639</v>
      </c>
      <c r="M11">
        <f t="shared" si="8"/>
        <v>-1.5013042815763811</v>
      </c>
      <c r="N11">
        <f t="shared" si="9"/>
        <v>2.2539145458795735</v>
      </c>
    </row>
    <row r="12" spans="1:23" x14ac:dyDescent="0.45">
      <c r="A12" s="22">
        <v>42858</v>
      </c>
      <c r="B12">
        <v>179.01</v>
      </c>
      <c r="C12">
        <v>177.4</v>
      </c>
      <c r="G12">
        <f t="shared" ref="G12:K12" si="18">SUMPRODUCT($B12:$B16,P$2:P$6)</f>
        <v>71.936277626520322</v>
      </c>
      <c r="H12">
        <f t="shared" si="18"/>
        <v>145.90437274324924</v>
      </c>
      <c r="I12">
        <f t="shared" si="18"/>
        <v>80.993046822867029</v>
      </c>
      <c r="J12">
        <f t="shared" si="18"/>
        <v>47.977638349959335</v>
      </c>
      <c r="K12">
        <f t="shared" si="18"/>
        <v>56.068562477100038</v>
      </c>
      <c r="L12">
        <f t="shared" si="7"/>
        <v>179.01032631076541</v>
      </c>
      <c r="M12">
        <f t="shared" si="8"/>
        <v>-1.1203263107654209</v>
      </c>
      <c r="N12">
        <f t="shared" si="9"/>
        <v>1.2551310425932585</v>
      </c>
    </row>
    <row r="13" spans="1:23" x14ac:dyDescent="0.45">
      <c r="A13" s="22">
        <v>42857</v>
      </c>
      <c r="B13">
        <v>180.1</v>
      </c>
      <c r="C13">
        <v>178.64</v>
      </c>
      <c r="G13">
        <f t="shared" ref="G13:K13" si="19">SUMPRODUCT($B13:$B17,P$2:P$6)</f>
        <v>72.366057973632138</v>
      </c>
      <c r="H13">
        <f t="shared" si="19"/>
        <v>146.77020162600544</v>
      </c>
      <c r="I13">
        <f t="shared" si="19"/>
        <v>81.47184232265424</v>
      </c>
      <c r="J13">
        <f t="shared" si="19"/>
        <v>48.259627921982691</v>
      </c>
      <c r="K13">
        <f t="shared" si="19"/>
        <v>56.399726056567388</v>
      </c>
      <c r="L13">
        <f t="shared" si="7"/>
        <v>180.02133558238106</v>
      </c>
      <c r="M13">
        <f t="shared" si="8"/>
        <v>-1.011335582381065</v>
      </c>
      <c r="N13">
        <f t="shared" si="9"/>
        <v>1.022799660190048</v>
      </c>
    </row>
    <row r="14" spans="1:23" x14ac:dyDescent="0.45">
      <c r="A14" s="22">
        <v>42856</v>
      </c>
      <c r="B14">
        <v>180.45</v>
      </c>
      <c r="C14">
        <v>180.06</v>
      </c>
      <c r="G14">
        <f t="shared" ref="G14:K14" si="20">SUMPRODUCT($B14:$B18,P$2:P$6)</f>
        <v>72.464402652681656</v>
      </c>
      <c r="H14">
        <f t="shared" si="20"/>
        <v>146.93954679543774</v>
      </c>
      <c r="I14">
        <f t="shared" si="20"/>
        <v>81.556423415804616</v>
      </c>
      <c r="J14">
        <f t="shared" si="20"/>
        <v>48.301331833971432</v>
      </c>
      <c r="K14">
        <f t="shared" si="20"/>
        <v>56.456794797308682</v>
      </c>
      <c r="L14">
        <f t="shared" si="7"/>
        <v>180.2160061518864</v>
      </c>
      <c r="M14">
        <f t="shared" si="8"/>
        <v>-0.11600615188640973</v>
      </c>
      <c r="N14">
        <f t="shared" si="9"/>
        <v>1.3457427275492763E-2</v>
      </c>
    </row>
    <row r="15" spans="1:23" x14ac:dyDescent="0.45">
      <c r="A15" s="22">
        <v>42853</v>
      </c>
      <c r="B15">
        <v>181.08</v>
      </c>
      <c r="C15">
        <v>180.23</v>
      </c>
      <c r="G15">
        <f t="shared" ref="G15:K15" si="21">SUMPRODUCT($B15:$B19,P$2:P$6)</f>
        <v>72.690026426533649</v>
      </c>
      <c r="H15">
        <f t="shared" si="21"/>
        <v>147.37755255810899</v>
      </c>
      <c r="I15">
        <f t="shared" si="21"/>
        <v>81.79342981808874</v>
      </c>
      <c r="J15">
        <f t="shared" si="21"/>
        <v>48.436252991411436</v>
      </c>
      <c r="K15">
        <f t="shared" si="21"/>
        <v>56.619897215893367</v>
      </c>
      <c r="L15">
        <f t="shared" si="7"/>
        <v>180.72569090766305</v>
      </c>
      <c r="M15">
        <f t="shared" si="8"/>
        <v>-0.27569090766306203</v>
      </c>
      <c r="N15">
        <f t="shared" si="9"/>
        <v>7.6005476568083E-2</v>
      </c>
    </row>
    <row r="16" spans="1:23" x14ac:dyDescent="0.45">
      <c r="A16" s="22">
        <v>42852</v>
      </c>
      <c r="B16">
        <v>187.81</v>
      </c>
      <c r="C16">
        <v>187.86</v>
      </c>
      <c r="G16">
        <f t="shared" ref="G16:K16" si="22">SUMPRODUCT($B16:$B20,P$2:P$6)</f>
        <v>75.342399237302686</v>
      </c>
      <c r="H16">
        <f t="shared" si="22"/>
        <v>152.72010707053784</v>
      </c>
      <c r="I16">
        <f t="shared" si="22"/>
        <v>84.747529566891757</v>
      </c>
      <c r="J16">
        <f t="shared" si="22"/>
        <v>50.175795335130395</v>
      </c>
      <c r="K16">
        <f t="shared" si="22"/>
        <v>58.663090619855339</v>
      </c>
      <c r="L16">
        <f t="shared" si="7"/>
        <v>186.96396579712498</v>
      </c>
      <c r="M16">
        <f t="shared" si="8"/>
        <v>-5.8839657971249721</v>
      </c>
      <c r="N16">
        <f t="shared" si="9"/>
        <v>34.621053501736512</v>
      </c>
    </row>
    <row r="17" spans="1:14" x14ac:dyDescent="0.45">
      <c r="A17" s="22">
        <v>42851</v>
      </c>
      <c r="B17">
        <v>187.9</v>
      </c>
      <c r="C17">
        <v>186.67</v>
      </c>
      <c r="G17">
        <f t="shared" ref="G17:K17" si="23">SUMPRODUCT($B17:$B21,P$2:P$6)</f>
        <v>75.366793082847622</v>
      </c>
      <c r="H17">
        <f t="shared" si="23"/>
        <v>152.76120253800153</v>
      </c>
      <c r="I17">
        <f t="shared" si="23"/>
        <v>84.767719836669684</v>
      </c>
      <c r="J17">
        <f t="shared" si="23"/>
        <v>50.185413291640351</v>
      </c>
      <c r="K17">
        <f t="shared" si="23"/>
        <v>58.676657398536612</v>
      </c>
      <c r="L17">
        <f t="shared" si="7"/>
        <v>187.01109299354761</v>
      </c>
      <c r="M17">
        <f t="shared" si="8"/>
        <v>0.79890700645239576</v>
      </c>
      <c r="N17">
        <f t="shared" si="9"/>
        <v>0.63825240495872837</v>
      </c>
    </row>
    <row r="18" spans="1:14" x14ac:dyDescent="0.45">
      <c r="A18" s="22">
        <v>42850</v>
      </c>
      <c r="B18">
        <v>182.86</v>
      </c>
      <c r="C18">
        <v>186.99</v>
      </c>
      <c r="G18">
        <f t="shared" ref="G18:K18" si="24">SUMPRODUCT($B18:$B22,P$2:P$6)</f>
        <v>73.356444282581876</v>
      </c>
      <c r="H18">
        <f t="shared" si="24"/>
        <v>148.69440700609292</v>
      </c>
      <c r="I18">
        <f t="shared" si="24"/>
        <v>82.513540996043744</v>
      </c>
      <c r="J18">
        <f t="shared" si="24"/>
        <v>48.853099150641889</v>
      </c>
      <c r="K18">
        <f t="shared" si="24"/>
        <v>57.116695458526031</v>
      </c>
      <c r="L18">
        <f t="shared" si="7"/>
        <v>182.26060592445864</v>
      </c>
      <c r="M18">
        <f t="shared" si="8"/>
        <v>5.639394075541361</v>
      </c>
      <c r="N18">
        <f t="shared" si="9"/>
        <v>31.802765539251002</v>
      </c>
    </row>
    <row r="19" spans="1:14" x14ac:dyDescent="0.45">
      <c r="A19" s="22">
        <v>42849</v>
      </c>
      <c r="B19">
        <v>180</v>
      </c>
      <c r="C19">
        <v>180.03</v>
      </c>
      <c r="G19">
        <f t="shared" ref="G19:K19" si="25">SUMPRODUCT($B19:$B23,P$2:P$6)</f>
        <v>72.21254038850013</v>
      </c>
      <c r="H19">
        <f t="shared" si="25"/>
        <v>146.37813736740435</v>
      </c>
      <c r="I19">
        <f t="shared" si="25"/>
        <v>81.228959307361379</v>
      </c>
      <c r="J19">
        <f t="shared" si="25"/>
        <v>48.093230258047242</v>
      </c>
      <c r="K19">
        <f t="shared" si="25"/>
        <v>56.227613804300319</v>
      </c>
      <c r="L19">
        <f t="shared" si="7"/>
        <v>179.55469790739247</v>
      </c>
      <c r="M19">
        <f t="shared" si="8"/>
        <v>3.3053020926075476</v>
      </c>
      <c r="N19">
        <f t="shared" si="9"/>
        <v>10.925021923395834</v>
      </c>
    </row>
    <row r="20" spans="1:14" x14ac:dyDescent="0.45">
      <c r="A20" s="22">
        <v>42846</v>
      </c>
      <c r="B20">
        <v>180.4</v>
      </c>
      <c r="C20">
        <v>178.08</v>
      </c>
      <c r="G20">
        <f t="shared" ref="G20:K20" si="26">SUMPRODUCT($B20:$B24,P$2:P$6)</f>
        <v>72.364521169776168</v>
      </c>
      <c r="H20">
        <f t="shared" si="26"/>
        <v>146.68015407311901</v>
      </c>
      <c r="I20">
        <f t="shared" si="26"/>
        <v>81.394660665662556</v>
      </c>
      <c r="J20">
        <f t="shared" si="26"/>
        <v>48.189640822324989</v>
      </c>
      <c r="K20">
        <f t="shared" si="26"/>
        <v>56.342016854427662</v>
      </c>
      <c r="L20">
        <f t="shared" si="7"/>
        <v>179.90691067637482</v>
      </c>
      <c r="M20">
        <f t="shared" si="8"/>
        <v>9.3089323625179077E-2</v>
      </c>
      <c r="N20">
        <f t="shared" si="9"/>
        <v>8.6656221729933241E-3</v>
      </c>
    </row>
    <row r="21" spans="1:14" x14ac:dyDescent="0.45">
      <c r="A21" s="22">
        <v>42845</v>
      </c>
      <c r="B21">
        <v>178.99</v>
      </c>
      <c r="C21">
        <v>178.64</v>
      </c>
      <c r="G21">
        <f t="shared" ref="G21:K21" si="27">SUMPRODUCT($B21:$B25,P$2:P$6)</f>
        <v>71.816831567691082</v>
      </c>
      <c r="H21">
        <f t="shared" si="27"/>
        <v>145.58278324308861</v>
      </c>
      <c r="I21">
        <f t="shared" si="27"/>
        <v>80.789714476840885</v>
      </c>
      <c r="J21">
        <f t="shared" si="27"/>
        <v>47.835049211351901</v>
      </c>
      <c r="K21">
        <f t="shared" si="27"/>
        <v>55.923899148114131</v>
      </c>
      <c r="L21">
        <f t="shared" si="7"/>
        <v>178.62617669526779</v>
      </c>
      <c r="M21">
        <f t="shared" si="8"/>
        <v>1.7738233047322183</v>
      </c>
      <c r="N21">
        <f t="shared" si="9"/>
        <v>3.1464491164111279</v>
      </c>
    </row>
    <row r="22" spans="1:14" x14ac:dyDescent="0.45">
      <c r="A22" s="22">
        <v>42844</v>
      </c>
      <c r="B22">
        <v>175.62</v>
      </c>
      <c r="C22">
        <v>177.81</v>
      </c>
      <c r="G22">
        <f t="shared" ref="G22:K22" si="28">SUMPRODUCT($B22:$B26,P$2:P$6)</f>
        <v>70.481790436634427</v>
      </c>
      <c r="H22">
        <f t="shared" si="28"/>
        <v>142.88867292719593</v>
      </c>
      <c r="I22">
        <f t="shared" si="28"/>
        <v>79.298465385418254</v>
      </c>
      <c r="J22">
        <f t="shared" si="28"/>
        <v>46.955503954124246</v>
      </c>
      <c r="K22">
        <f t="shared" si="28"/>
        <v>54.892234020790831</v>
      </c>
      <c r="L22">
        <f t="shared" si="7"/>
        <v>175.47984457898747</v>
      </c>
      <c r="M22">
        <f t="shared" si="8"/>
        <v>3.5101554210125414</v>
      </c>
      <c r="N22">
        <f t="shared" si="9"/>
        <v>12.321191079663732</v>
      </c>
    </row>
    <row r="23" spans="1:14" x14ac:dyDescent="0.45">
      <c r="A23" s="22">
        <v>42843</v>
      </c>
      <c r="B23">
        <v>173.31</v>
      </c>
      <c r="C23">
        <v>174.47</v>
      </c>
      <c r="G23">
        <f t="shared" ref="G23:K23" si="29">SUMPRODUCT($B23:$B27,P$2:P$6)</f>
        <v>69.584201506959289</v>
      </c>
      <c r="H23">
        <f t="shared" si="29"/>
        <v>141.09000105020826</v>
      </c>
      <c r="I23">
        <f t="shared" si="29"/>
        <v>78.306841087981056</v>
      </c>
      <c r="J23">
        <f t="shared" si="29"/>
        <v>46.374199317395664</v>
      </c>
      <c r="K23">
        <f t="shared" si="29"/>
        <v>54.206843885181648</v>
      </c>
      <c r="L23">
        <f t="shared" si="7"/>
        <v>173.38060290337356</v>
      </c>
      <c r="M23">
        <f t="shared" si="8"/>
        <v>2.2393970966264476</v>
      </c>
      <c r="N23">
        <f t="shared" si="9"/>
        <v>5.0148993563789634</v>
      </c>
    </row>
    <row r="24" spans="1:14" x14ac:dyDescent="0.45">
      <c r="A24" s="22">
        <v>42842</v>
      </c>
      <c r="B24">
        <v>172.61</v>
      </c>
      <c r="C24">
        <v>173.31</v>
      </c>
      <c r="G24">
        <f t="shared" ref="G24:K24" si="30">SUMPRODUCT($B24:$B28,P$2:P$6)</f>
        <v>69.295583206118806</v>
      </c>
      <c r="H24">
        <f t="shared" si="30"/>
        <v>140.49939964241381</v>
      </c>
      <c r="I24">
        <f t="shared" si="30"/>
        <v>77.977362482503494</v>
      </c>
      <c r="J24">
        <f t="shared" si="30"/>
        <v>46.177575461915985</v>
      </c>
      <c r="K24">
        <f t="shared" si="30"/>
        <v>53.97849999205684</v>
      </c>
      <c r="L24">
        <f t="shared" si="7"/>
        <v>172.68999649968183</v>
      </c>
      <c r="M24">
        <f t="shared" si="8"/>
        <v>0.62000350031817675</v>
      </c>
      <c r="N24">
        <f t="shared" si="9"/>
        <v>0.38440434040679139</v>
      </c>
    </row>
    <row r="25" spans="1:14" x14ac:dyDescent="0.45">
      <c r="A25" s="22">
        <v>42838</v>
      </c>
      <c r="B25">
        <v>173.55</v>
      </c>
      <c r="C25">
        <v>172.61</v>
      </c>
      <c r="G25">
        <f t="shared" ref="G25:K25" si="31">SUMPRODUCT($B25:$B29,P$2:P$6)</f>
        <v>69.676407781109347</v>
      </c>
      <c r="H25">
        <f t="shared" si="31"/>
        <v>141.27399978253044</v>
      </c>
      <c r="I25">
        <f t="shared" si="31"/>
        <v>78.408036350718419</v>
      </c>
      <c r="J25">
        <f t="shared" si="31"/>
        <v>46.433301683201456</v>
      </c>
      <c r="K25">
        <f t="shared" si="31"/>
        <v>54.276749292057183</v>
      </c>
      <c r="L25">
        <f t="shared" si="7"/>
        <v>173.59526600595933</v>
      </c>
      <c r="M25">
        <f t="shared" si="8"/>
        <v>-0.98526600595931768</v>
      </c>
      <c r="N25">
        <f t="shared" si="9"/>
        <v>0.97074910249902624</v>
      </c>
    </row>
    <row r="26" spans="1:14" x14ac:dyDescent="0.45">
      <c r="A26" s="22">
        <v>42837</v>
      </c>
      <c r="B26">
        <v>172.47</v>
      </c>
      <c r="C26">
        <v>173.61</v>
      </c>
      <c r="G26">
        <f t="shared" ref="G26:K26" si="32">SUMPRODUCT($B26:$B30,P$2:P$6)</f>
        <v>69.252208692934587</v>
      </c>
      <c r="H26">
        <f t="shared" si="32"/>
        <v>140.42060017344929</v>
      </c>
      <c r="I26">
        <f t="shared" si="32"/>
        <v>77.936490131920593</v>
      </c>
      <c r="J26">
        <f t="shared" si="32"/>
        <v>46.155923475866047</v>
      </c>
      <c r="K26">
        <f t="shared" si="32"/>
        <v>53.950657128961971</v>
      </c>
      <c r="L26">
        <f t="shared" si="7"/>
        <v>172.59889962247561</v>
      </c>
      <c r="M26">
        <f t="shared" si="8"/>
        <v>0.9511003775243978</v>
      </c>
      <c r="N26">
        <f t="shared" si="9"/>
        <v>0.90459192812705203</v>
      </c>
    </row>
    <row r="27" spans="1:14" x14ac:dyDescent="0.45">
      <c r="A27" s="22">
        <v>42836</v>
      </c>
      <c r="B27">
        <v>173.97</v>
      </c>
      <c r="C27">
        <v>173.01</v>
      </c>
      <c r="G27">
        <f t="shared" ref="G27:K27" si="33">SUMPRODUCT($B27:$B31,P$2:P$6)</f>
        <v>69.854805545328404</v>
      </c>
      <c r="H27">
        <f t="shared" si="33"/>
        <v>141.64268240872764</v>
      </c>
      <c r="I27">
        <f t="shared" si="33"/>
        <v>78.614838460116346</v>
      </c>
      <c r="J27">
        <f t="shared" si="33"/>
        <v>46.557715127414063</v>
      </c>
      <c r="K27">
        <f t="shared" si="33"/>
        <v>54.420248417282288</v>
      </c>
      <c r="L27">
        <f t="shared" si="7"/>
        <v>174.02675839935296</v>
      </c>
      <c r="M27">
        <f t="shared" si="8"/>
        <v>-1.5567583993529581</v>
      </c>
      <c r="N27">
        <f t="shared" si="9"/>
        <v>2.4234967139559842</v>
      </c>
    </row>
    <row r="28" spans="1:14" x14ac:dyDescent="0.45">
      <c r="A28" s="22">
        <v>42835</v>
      </c>
      <c r="B28">
        <v>172.3</v>
      </c>
      <c r="C28">
        <v>174.22</v>
      </c>
      <c r="G28">
        <f t="shared" ref="G28:K28" si="34">SUMPRODUCT($B28:$B32,P$2:P$6)</f>
        <v>69.192799877726173</v>
      </c>
      <c r="H28">
        <f t="shared" si="34"/>
        <v>140.30644618293945</v>
      </c>
      <c r="I28">
        <f t="shared" si="34"/>
        <v>77.875105743165179</v>
      </c>
      <c r="J28">
        <f t="shared" si="34"/>
        <v>46.121332924769781</v>
      </c>
      <c r="K28">
        <f t="shared" si="34"/>
        <v>53.908475140799887</v>
      </c>
      <c r="L28">
        <f t="shared" si="7"/>
        <v>172.46619506282866</v>
      </c>
      <c r="M28">
        <f t="shared" si="8"/>
        <v>1.5038049371713385</v>
      </c>
      <c r="N28">
        <f t="shared" si="9"/>
        <v>2.2614292890608931</v>
      </c>
    </row>
    <row r="29" spans="1:14" x14ac:dyDescent="0.45">
      <c r="A29" s="22">
        <v>42832</v>
      </c>
      <c r="B29">
        <v>173.68</v>
      </c>
      <c r="C29">
        <v>172.44</v>
      </c>
      <c r="G29">
        <f t="shared" ref="G29:K29" si="35">SUMPRODUCT($B29:$B33,P$2:P$6)</f>
        <v>69.722262657725807</v>
      </c>
      <c r="H29">
        <f t="shared" si="35"/>
        <v>141.36245620293619</v>
      </c>
      <c r="I29">
        <f t="shared" si="35"/>
        <v>78.455717160701525</v>
      </c>
      <c r="J29">
        <f t="shared" si="35"/>
        <v>46.460280867239263</v>
      </c>
      <c r="K29">
        <f t="shared" si="35"/>
        <v>54.309532163585104</v>
      </c>
      <c r="L29">
        <f t="shared" si="7"/>
        <v>173.69813705581177</v>
      </c>
      <c r="M29">
        <f t="shared" si="8"/>
        <v>-1.398137055811759</v>
      </c>
      <c r="N29">
        <f t="shared" si="9"/>
        <v>1.9547872268339737</v>
      </c>
    </row>
    <row r="30" spans="1:14" x14ac:dyDescent="0.45">
      <c r="A30" s="22">
        <v>42831</v>
      </c>
      <c r="B30">
        <v>173.8</v>
      </c>
      <c r="C30">
        <v>173.38</v>
      </c>
      <c r="G30">
        <f t="shared" ref="G30:K30" si="36">SUMPRODUCT($B30:$B34,P$2:P$6)</f>
        <v>69.757451916844488</v>
      </c>
      <c r="H30">
        <f t="shared" si="36"/>
        <v>141.42454817621746</v>
      </c>
      <c r="I30">
        <f t="shared" si="36"/>
        <v>78.487282162955452</v>
      </c>
      <c r="J30">
        <f t="shared" si="36"/>
        <v>46.47638879123204</v>
      </c>
      <c r="K30">
        <f t="shared" si="36"/>
        <v>54.330925867993074</v>
      </c>
      <c r="L30">
        <f t="shared" si="7"/>
        <v>173.76970150317558</v>
      </c>
      <c r="M30">
        <f t="shared" si="8"/>
        <v>-8.9701503175575681E-2</v>
      </c>
      <c r="N30">
        <f t="shared" si="9"/>
        <v>8.0463596719578135E-3</v>
      </c>
    </row>
    <row r="31" spans="1:14" x14ac:dyDescent="0.45">
      <c r="A31" s="22">
        <v>42830</v>
      </c>
      <c r="B31">
        <v>175.35</v>
      </c>
      <c r="C31">
        <v>172.92</v>
      </c>
      <c r="G31">
        <f t="shared" ref="G31:K31" si="37">SUMPRODUCT($B31:$B35,P$2:P$6)</f>
        <v>70.369560053642999</v>
      </c>
      <c r="H31">
        <f t="shared" si="37"/>
        <v>142.65838683209907</v>
      </c>
      <c r="I31">
        <f t="shared" si="37"/>
        <v>79.16980036693505</v>
      </c>
      <c r="J31">
        <f t="shared" si="37"/>
        <v>46.878545905308258</v>
      </c>
      <c r="K31">
        <f t="shared" si="37"/>
        <v>54.803032387223752</v>
      </c>
      <c r="L31">
        <f t="shared" si="7"/>
        <v>175.21049801225149</v>
      </c>
      <c r="M31">
        <f t="shared" si="8"/>
        <v>-1.4104980122514803</v>
      </c>
      <c r="N31">
        <f t="shared" si="9"/>
        <v>1.9895046425653771</v>
      </c>
    </row>
    <row r="32" spans="1:14" x14ac:dyDescent="0.45">
      <c r="A32" s="22">
        <v>42829</v>
      </c>
      <c r="B32">
        <v>174.76</v>
      </c>
      <c r="C32">
        <v>175.2</v>
      </c>
      <c r="G32">
        <f t="shared" ref="G32:K32" si="38">SUMPRODUCT($B32:$B36,P$2:P$6)</f>
        <v>70.123928470239377</v>
      </c>
      <c r="H32">
        <f t="shared" si="38"/>
        <v>142.15410772713889</v>
      </c>
      <c r="I32">
        <f t="shared" si="38"/>
        <v>78.887968577541045</v>
      </c>
      <c r="J32">
        <f t="shared" si="38"/>
        <v>46.709902034786623</v>
      </c>
      <c r="K32">
        <f t="shared" si="38"/>
        <v>54.607631578387014</v>
      </c>
      <c r="L32">
        <f t="shared" si="7"/>
        <v>174.62065749278119</v>
      </c>
      <c r="M32">
        <f t="shared" si="8"/>
        <v>0.72934250721880289</v>
      </c>
      <c r="N32">
        <f t="shared" si="9"/>
        <v>0.53194049283620959</v>
      </c>
    </row>
    <row r="33" spans="1:14" x14ac:dyDescent="0.45">
      <c r="A33" s="22">
        <v>42828</v>
      </c>
      <c r="B33">
        <v>173</v>
      </c>
      <c r="C33">
        <v>175</v>
      </c>
      <c r="G33">
        <f t="shared" ref="G33:K33" si="39">SUMPRODUCT($B33:$B37,P$2:P$6)</f>
        <v>69.422737304627233</v>
      </c>
      <c r="H33">
        <f t="shared" si="39"/>
        <v>140.73624678635633</v>
      </c>
      <c r="I33">
        <f t="shared" si="39"/>
        <v>78.102251957903817</v>
      </c>
      <c r="J33">
        <f t="shared" si="39"/>
        <v>46.245677305177466</v>
      </c>
      <c r="K33">
        <f t="shared" si="39"/>
        <v>54.063921258579377</v>
      </c>
      <c r="L33">
        <f t="shared" si="7"/>
        <v>172.9644952995713</v>
      </c>
      <c r="M33">
        <f t="shared" si="8"/>
        <v>1.7955047004286939</v>
      </c>
      <c r="N33">
        <f t="shared" si="9"/>
        <v>3.223837129261534</v>
      </c>
    </row>
    <row r="34" spans="1:14" x14ac:dyDescent="0.45">
      <c r="A34" s="22">
        <v>42825</v>
      </c>
      <c r="B34">
        <v>171.46</v>
      </c>
      <c r="C34">
        <v>172.52</v>
      </c>
      <c r="G34">
        <f t="shared" ref="G34:K34" si="40">SUMPRODUCT($B34:$B38,P$2:P$6)</f>
        <v>68.795396220955766</v>
      </c>
      <c r="H34">
        <f t="shared" si="40"/>
        <v>139.45780470234212</v>
      </c>
      <c r="I34">
        <f t="shared" si="40"/>
        <v>77.390686349102666</v>
      </c>
      <c r="J34">
        <f t="shared" si="40"/>
        <v>45.822485250605901</v>
      </c>
      <c r="K34">
        <f t="shared" si="40"/>
        <v>53.571031619709537</v>
      </c>
      <c r="L34">
        <f t="shared" si="7"/>
        <v>171.47013159023575</v>
      </c>
      <c r="M34">
        <f t="shared" si="8"/>
        <v>1.5298684097642479</v>
      </c>
      <c r="N34">
        <f t="shared" si="9"/>
        <v>2.3404973511945886</v>
      </c>
    </row>
    <row r="35" spans="1:14" x14ac:dyDescent="0.45">
      <c r="A35" s="22">
        <v>42824</v>
      </c>
      <c r="B35">
        <v>171.71</v>
      </c>
      <c r="C35">
        <v>172.36</v>
      </c>
      <c r="G35">
        <f t="shared" ref="G35:K35" si="41">SUMPRODUCT($B35:$B39,P$2:P$6)</f>
        <v>68.926354301350017</v>
      </c>
      <c r="H35">
        <f t="shared" si="41"/>
        <v>139.74513427710173</v>
      </c>
      <c r="I35">
        <f t="shared" si="41"/>
        <v>77.556977685910638</v>
      </c>
      <c r="J35">
        <f t="shared" si="41"/>
        <v>45.927043713831168</v>
      </c>
      <c r="K35">
        <f t="shared" si="41"/>
        <v>53.687219813994432</v>
      </c>
      <c r="L35">
        <f t="shared" si="7"/>
        <v>171.80814483464638</v>
      </c>
      <c r="M35">
        <f t="shared" si="8"/>
        <v>-0.34814483464637647</v>
      </c>
      <c r="N35">
        <f t="shared" si="9"/>
        <v>0.12120482589095281</v>
      </c>
    </row>
    <row r="36" spans="1:14" x14ac:dyDescent="0.45">
      <c r="A36" s="22">
        <v>42823</v>
      </c>
      <c r="B36">
        <v>170</v>
      </c>
      <c r="C36">
        <v>170.66</v>
      </c>
      <c r="G36">
        <f t="shared" ref="G36:K36" si="42">SUMPRODUCT($B36:$B40,P$2:P$6)</f>
        <v>68.240386507372733</v>
      </c>
      <c r="H36">
        <f t="shared" si="42"/>
        <v>138.35468034429482</v>
      </c>
      <c r="I36">
        <f t="shared" si="42"/>
        <v>76.785391933248746</v>
      </c>
      <c r="J36">
        <f t="shared" si="42"/>
        <v>45.470225576971167</v>
      </c>
      <c r="K36">
        <f t="shared" si="42"/>
        <v>53.153120204193335</v>
      </c>
      <c r="L36">
        <f t="shared" si="7"/>
        <v>170.18363946315321</v>
      </c>
      <c r="M36">
        <f t="shared" si="8"/>
        <v>1.526360536846795</v>
      </c>
      <c r="N36">
        <f t="shared" si="9"/>
        <v>2.3297764884432359</v>
      </c>
    </row>
    <row r="37" spans="1:14" x14ac:dyDescent="0.45">
      <c r="A37" s="22">
        <v>42822</v>
      </c>
      <c r="B37">
        <v>168.93</v>
      </c>
      <c r="C37">
        <v>169.79</v>
      </c>
      <c r="G37">
        <f t="shared" ref="G37:K37" si="43">SUMPRODUCT($B37:$B41,P$2:P$6)</f>
        <v>67.827554745727909</v>
      </c>
      <c r="H37">
        <f t="shared" si="43"/>
        <v>137.52957270527233</v>
      </c>
      <c r="I37">
        <f t="shared" si="43"/>
        <v>76.331185407196969</v>
      </c>
      <c r="J37">
        <f t="shared" si="43"/>
        <v>45.204577751531247</v>
      </c>
      <c r="K37">
        <f t="shared" si="43"/>
        <v>52.839291884143094</v>
      </c>
      <c r="L37">
        <f t="shared" si="7"/>
        <v>169.22088185174957</v>
      </c>
      <c r="M37">
        <f t="shared" si="8"/>
        <v>0.7791181482504328</v>
      </c>
      <c r="N37">
        <f t="shared" si="9"/>
        <v>0.60702508893318341</v>
      </c>
    </row>
    <row r="38" spans="1:14" x14ac:dyDescent="0.45">
      <c r="A38" s="22">
        <v>42821</v>
      </c>
      <c r="B38">
        <v>166.23</v>
      </c>
      <c r="C38">
        <v>168.93</v>
      </c>
      <c r="G38">
        <f t="shared" ref="G38:K38" si="44">SUMPRODUCT($B38:$B42,P$2:P$6)</f>
        <v>66.824797815689166</v>
      </c>
      <c r="H38">
        <f t="shared" si="44"/>
        <v>135.55430070774901</v>
      </c>
      <c r="I38">
        <f t="shared" si="44"/>
        <v>75.253013302690221</v>
      </c>
      <c r="J38">
        <f t="shared" si="44"/>
        <v>44.582248309140226</v>
      </c>
      <c r="K38">
        <f t="shared" si="44"/>
        <v>52.095792804904967</v>
      </c>
      <c r="L38">
        <f t="shared" si="7"/>
        <v>166.91919199853257</v>
      </c>
      <c r="M38">
        <f t="shared" si="8"/>
        <v>2.0108080014674385</v>
      </c>
      <c r="N38">
        <f t="shared" si="9"/>
        <v>4.043348818765474</v>
      </c>
    </row>
    <row r="39" spans="1:14" x14ac:dyDescent="0.45">
      <c r="A39" s="22">
        <v>42818</v>
      </c>
      <c r="B39">
        <v>170.39</v>
      </c>
      <c r="C39">
        <v>168.26</v>
      </c>
      <c r="G39">
        <f t="shared" ref="G39:K39" si="45">SUMPRODUCT($B39:$B43,P$2:P$6)</f>
        <v>68.459239755459279</v>
      </c>
      <c r="H39">
        <f t="shared" si="45"/>
        <v>138.84280523996171</v>
      </c>
      <c r="I39">
        <f t="shared" si="45"/>
        <v>77.070193589246344</v>
      </c>
      <c r="J39">
        <f t="shared" si="45"/>
        <v>45.651280427476834</v>
      </c>
      <c r="K39">
        <f t="shared" si="45"/>
        <v>53.352456461998315</v>
      </c>
      <c r="L39">
        <f t="shared" si="7"/>
        <v>170.75864991783115</v>
      </c>
      <c r="M39">
        <f t="shared" si="8"/>
        <v>-4.5286499178311601</v>
      </c>
      <c r="N39">
        <f t="shared" si="9"/>
        <v>20.508670078272175</v>
      </c>
    </row>
    <row r="40" spans="1:14" x14ac:dyDescent="0.45">
      <c r="A40" s="22">
        <v>42817</v>
      </c>
      <c r="B40">
        <v>168.75</v>
      </c>
      <c r="C40">
        <v>169.61</v>
      </c>
      <c r="G40">
        <f t="shared" ref="G40:K40" si="46">SUMPRODUCT($B40:$B44,P$2:P$6)</f>
        <v>67.812016859883101</v>
      </c>
      <c r="H40">
        <f t="shared" si="46"/>
        <v>137.53849572334698</v>
      </c>
      <c r="I40">
        <f t="shared" si="46"/>
        <v>76.348789111827998</v>
      </c>
      <c r="J40">
        <f t="shared" si="46"/>
        <v>45.226299682763326</v>
      </c>
      <c r="K40">
        <f t="shared" si="46"/>
        <v>52.853467159273791</v>
      </c>
      <c r="L40">
        <f t="shared" si="7"/>
        <v>169.23559430962078</v>
      </c>
      <c r="M40">
        <f t="shared" si="8"/>
        <v>1.1544056903792068</v>
      </c>
      <c r="N40">
        <f t="shared" si="9"/>
        <v>1.332652497979893</v>
      </c>
    </row>
    <row r="41" spans="1:14" x14ac:dyDescent="0.45">
      <c r="A41" s="22">
        <v>42816</v>
      </c>
      <c r="B41">
        <v>169.82</v>
      </c>
      <c r="C41">
        <v>169.56</v>
      </c>
      <c r="G41">
        <f t="shared" ref="G41:K41" si="47">SUMPRODUCT($B41:$B45,P$2:P$6)</f>
        <v>68.207012549389589</v>
      </c>
      <c r="H41">
        <f t="shared" si="47"/>
        <v>138.31472641090733</v>
      </c>
      <c r="I41">
        <f t="shared" si="47"/>
        <v>76.771890388722753</v>
      </c>
      <c r="J41">
        <f t="shared" si="47"/>
        <v>45.469981864782056</v>
      </c>
      <c r="K41">
        <f t="shared" si="47"/>
        <v>53.145134546536283</v>
      </c>
      <c r="L41">
        <f t="shared" si="7"/>
        <v>170.13989896317233</v>
      </c>
      <c r="M41">
        <f t="shared" si="8"/>
        <v>-1.3898989631723282</v>
      </c>
      <c r="N41">
        <f t="shared" si="9"/>
        <v>1.931819127827513</v>
      </c>
    </row>
    <row r="42" spans="1:14" x14ac:dyDescent="0.45">
      <c r="A42" s="22">
        <v>42815</v>
      </c>
      <c r="B42">
        <v>177.5</v>
      </c>
      <c r="C42">
        <v>171.4</v>
      </c>
      <c r="G42">
        <f t="shared" ref="G42:K42" si="48">SUMPRODUCT($B42:$B46,P$2:P$6)</f>
        <v>71.226073818930459</v>
      </c>
      <c r="H42">
        <f t="shared" si="48"/>
        <v>144.39028256982883</v>
      </c>
      <c r="I42">
        <f t="shared" si="48"/>
        <v>80.129528074949889</v>
      </c>
      <c r="J42">
        <f t="shared" si="48"/>
        <v>47.445573171849091</v>
      </c>
      <c r="K42">
        <f t="shared" si="48"/>
        <v>55.467154939024944</v>
      </c>
      <c r="L42">
        <f t="shared" si="7"/>
        <v>177.23347082011313</v>
      </c>
      <c r="M42">
        <f t="shared" si="8"/>
        <v>-7.4134708201131332</v>
      </c>
      <c r="N42">
        <f t="shared" si="9"/>
        <v>54.959549600668893</v>
      </c>
    </row>
    <row r="43" spans="1:14" x14ac:dyDescent="0.45">
      <c r="A43" s="22">
        <v>42814</v>
      </c>
      <c r="B43">
        <v>177.1</v>
      </c>
      <c r="C43">
        <v>176.13</v>
      </c>
      <c r="G43">
        <f t="shared" ref="G43:K43" si="49">SUMPRODUCT($B43:$B47,P$2:P$6)</f>
        <v>71.068536349248305</v>
      </c>
      <c r="H43">
        <f t="shared" si="49"/>
        <v>144.07303966683915</v>
      </c>
      <c r="I43">
        <f t="shared" si="49"/>
        <v>79.954137753144508</v>
      </c>
      <c r="J43">
        <f t="shared" si="49"/>
        <v>47.34231248593165</v>
      </c>
      <c r="K43">
        <f t="shared" si="49"/>
        <v>55.345850866413045</v>
      </c>
      <c r="L43">
        <f t="shared" si="7"/>
        <v>176.86304792522228</v>
      </c>
      <c r="M43">
        <f t="shared" si="8"/>
        <v>0.63695207477772442</v>
      </c>
      <c r="N43">
        <f t="shared" si="9"/>
        <v>0.40570794556364786</v>
      </c>
    </row>
    <row r="44" spans="1:14" x14ac:dyDescent="0.45">
      <c r="A44" s="22">
        <v>42811</v>
      </c>
      <c r="B44">
        <v>176.89</v>
      </c>
      <c r="C44">
        <v>176.62</v>
      </c>
      <c r="G44">
        <f t="shared" ref="G44:K44" si="50">SUMPRODUCT($B44:$B48,P$2:P$6)</f>
        <v>70.985008194842848</v>
      </c>
      <c r="H44">
        <f t="shared" si="50"/>
        <v>143.90423893198704</v>
      </c>
      <c r="I44">
        <f t="shared" si="50"/>
        <v>79.860626298878401</v>
      </c>
      <c r="J44">
        <f t="shared" si="50"/>
        <v>47.287089171227542</v>
      </c>
      <c r="K44">
        <f t="shared" si="50"/>
        <v>55.281148093666587</v>
      </c>
      <c r="L44">
        <f t="shared" si="7"/>
        <v>176.66588678312482</v>
      </c>
      <c r="M44">
        <f t="shared" si="8"/>
        <v>0.43411321687517557</v>
      </c>
      <c r="N44">
        <f t="shared" si="9"/>
        <v>0.18845428506571321</v>
      </c>
    </row>
    <row r="45" spans="1:14" x14ac:dyDescent="0.45">
      <c r="A45" s="22">
        <v>42810</v>
      </c>
      <c r="B45">
        <v>173.54</v>
      </c>
      <c r="C45">
        <v>176.57</v>
      </c>
      <c r="G45">
        <f t="shared" ref="G45:K45" si="51">SUMPRODUCT($B45:$B49,P$2:P$6)</f>
        <v>69.671454446909792</v>
      </c>
      <c r="H45">
        <f t="shared" si="51"/>
        <v>141.26328704439214</v>
      </c>
      <c r="I45">
        <f t="shared" si="51"/>
        <v>78.401881765255951</v>
      </c>
      <c r="J45">
        <f t="shared" si="51"/>
        <v>46.429470381832239</v>
      </c>
      <c r="K45">
        <f t="shared" si="51"/>
        <v>54.272455567680936</v>
      </c>
      <c r="L45">
        <f t="shared" si="7"/>
        <v>173.5826790895421</v>
      </c>
      <c r="M45">
        <f t="shared" si="8"/>
        <v>3.3073209104578893</v>
      </c>
      <c r="N45">
        <f t="shared" si="9"/>
        <v>10.938371604752001</v>
      </c>
    </row>
    <row r="46" spans="1:14" x14ac:dyDescent="0.45">
      <c r="A46" s="22">
        <v>42809</v>
      </c>
      <c r="B46">
        <v>173.01</v>
      </c>
      <c r="C46">
        <v>172.04</v>
      </c>
      <c r="G46">
        <f t="shared" ref="G46:K46" si="52">SUMPRODUCT($B46:$B50,P$2:P$6)</f>
        <v>69.466577118004878</v>
      </c>
      <c r="H46">
        <f t="shared" si="52"/>
        <v>140.85351723436906</v>
      </c>
      <c r="I46">
        <f t="shared" si="52"/>
        <v>78.176219964970329</v>
      </c>
      <c r="J46">
        <f t="shared" si="52"/>
        <v>46.297407291228936</v>
      </c>
      <c r="K46">
        <f t="shared" si="52"/>
        <v>54.116521929984344</v>
      </c>
      <c r="L46">
        <f t="shared" si="7"/>
        <v>173.10451830959917</v>
      </c>
      <c r="M46">
        <f t="shared" si="8"/>
        <v>0.4354816904008203</v>
      </c>
      <c r="N46">
        <f t="shared" si="9"/>
        <v>0.18964430267435589</v>
      </c>
    </row>
    <row r="47" spans="1:14" x14ac:dyDescent="0.45">
      <c r="A47" s="22">
        <v>42808</v>
      </c>
      <c r="B47">
        <v>173</v>
      </c>
      <c r="C47">
        <v>172.84</v>
      </c>
      <c r="G47">
        <f t="shared" ref="G47:K47" si="53">SUMPRODUCT($B47:$B51,P$2:P$6)</f>
        <v>69.460919442602162</v>
      </c>
      <c r="H47">
        <f t="shared" si="53"/>
        <v>140.84087495204767</v>
      </c>
      <c r="I47">
        <f t="shared" si="53"/>
        <v>78.168836918297927</v>
      </c>
      <c r="J47">
        <f t="shared" si="53"/>
        <v>46.292709002207943</v>
      </c>
      <c r="K47">
        <f t="shared" si="53"/>
        <v>54.111353431451271</v>
      </c>
      <c r="L47">
        <f t="shared" si="7"/>
        <v>173.0896236100655</v>
      </c>
      <c r="M47">
        <f t="shared" si="8"/>
        <v>-7.9623610065510775E-2</v>
      </c>
      <c r="N47">
        <f t="shared" si="9"/>
        <v>6.3399192798645086E-3</v>
      </c>
    </row>
    <row r="48" spans="1:14" x14ac:dyDescent="0.45">
      <c r="A48" s="22">
        <v>42807</v>
      </c>
      <c r="B48">
        <v>172.89</v>
      </c>
      <c r="C48">
        <v>173.25</v>
      </c>
      <c r="G48">
        <f t="shared" ref="G48:K48" si="54">SUMPRODUCT($B48:$B52,P$2:P$6)</f>
        <v>69.409481716891378</v>
      </c>
      <c r="H48">
        <f t="shared" si="54"/>
        <v>140.73139587831744</v>
      </c>
      <c r="I48">
        <f t="shared" si="54"/>
        <v>78.106452736752274</v>
      </c>
      <c r="J48">
        <f t="shared" si="54"/>
        <v>46.25431846166375</v>
      </c>
      <c r="K48">
        <f t="shared" si="54"/>
        <v>54.067913055276591</v>
      </c>
      <c r="L48">
        <f t="shared" si="7"/>
        <v>172.9611633238635</v>
      </c>
      <c r="M48">
        <f t="shared" si="8"/>
        <v>3.8836676136497772E-2</v>
      </c>
      <c r="N48">
        <f t="shared" si="9"/>
        <v>1.5082874133312155E-3</v>
      </c>
    </row>
    <row r="49" spans="1:14" x14ac:dyDescent="0.45">
      <c r="A49" s="22">
        <v>42804</v>
      </c>
      <c r="B49">
        <v>173.55</v>
      </c>
      <c r="C49">
        <v>172.74</v>
      </c>
      <c r="G49">
        <f t="shared" ref="G49:K49" si="55">SUMPRODUCT($B49:$B53,P$2:P$6)</f>
        <v>69.680085825852146</v>
      </c>
      <c r="H49">
        <f t="shared" si="55"/>
        <v>141.28407780123268</v>
      </c>
      <c r="I49">
        <f t="shared" si="55"/>
        <v>78.414450295426604</v>
      </c>
      <c r="J49">
        <f t="shared" si="55"/>
        <v>46.437832584102011</v>
      </c>
      <c r="K49">
        <f t="shared" si="55"/>
        <v>54.281317555702493</v>
      </c>
      <c r="L49">
        <f t="shared" si="7"/>
        <v>173.60731889089041</v>
      </c>
      <c r="M49">
        <f t="shared" si="8"/>
        <v>-0.71731889089042511</v>
      </c>
      <c r="N49">
        <f t="shared" si="9"/>
        <v>0.51454639122826962</v>
      </c>
    </row>
    <row r="50" spans="1:14" x14ac:dyDescent="0.45">
      <c r="A50" s="22">
        <v>42803</v>
      </c>
      <c r="B50">
        <v>174.03</v>
      </c>
      <c r="C50">
        <v>173.32</v>
      </c>
      <c r="G50">
        <f t="shared" ref="G50:K50" si="56">SUMPRODUCT($B50:$B54,P$2:P$6)</f>
        <v>69.872009425327292</v>
      </c>
      <c r="H50">
        <f t="shared" si="56"/>
        <v>141.67265682226434</v>
      </c>
      <c r="I50">
        <f t="shared" si="56"/>
        <v>78.629939492549724</v>
      </c>
      <c r="J50">
        <f t="shared" si="56"/>
        <v>46.565288736398756</v>
      </c>
      <c r="K50">
        <f t="shared" si="56"/>
        <v>54.430459301099127</v>
      </c>
      <c r="L50">
        <f t="shared" si="7"/>
        <v>174.0612596224137</v>
      </c>
      <c r="M50">
        <f t="shared" si="8"/>
        <v>-0.51125962241368939</v>
      </c>
      <c r="N50">
        <f t="shared" si="9"/>
        <v>0.26138640151058823</v>
      </c>
    </row>
    <row r="51" spans="1:14" x14ac:dyDescent="0.45">
      <c r="A51" s="22">
        <v>42802</v>
      </c>
      <c r="B51">
        <v>173.81</v>
      </c>
      <c r="C51">
        <v>173.87</v>
      </c>
      <c r="G51">
        <f t="shared" ref="G51:K51" si="57">SUMPRODUCT($B51:$B55,P$2:P$6)</f>
        <v>69.791665908135869</v>
      </c>
      <c r="H51">
        <f t="shared" si="57"/>
        <v>141.51544337554725</v>
      </c>
      <c r="I51">
        <f t="shared" si="57"/>
        <v>78.544464583445958</v>
      </c>
      <c r="J51">
        <f t="shared" si="57"/>
        <v>46.51625918418253</v>
      </c>
      <c r="K51">
        <f t="shared" si="57"/>
        <v>54.371571285682947</v>
      </c>
      <c r="L51">
        <f t="shared" si="7"/>
        <v>173.87818067947745</v>
      </c>
      <c r="M51">
        <f t="shared" si="8"/>
        <v>0.15181932052254865</v>
      </c>
      <c r="N51">
        <f t="shared" si="9"/>
        <v>2.3049106083928361E-2</v>
      </c>
    </row>
    <row r="52" spans="1:14" x14ac:dyDescent="0.45">
      <c r="A52" s="22">
        <v>42801</v>
      </c>
      <c r="B52">
        <v>172.77</v>
      </c>
      <c r="C52">
        <v>173.74</v>
      </c>
      <c r="G52">
        <f t="shared" ref="G52:K52" si="58">SUMPRODUCT($B52:$B56,P$2:P$6)</f>
        <v>69.39095844491915</v>
      </c>
      <c r="H52">
        <f t="shared" si="58"/>
        <v>140.71497253540767</v>
      </c>
      <c r="I52">
        <f t="shared" si="58"/>
        <v>78.103951215491008</v>
      </c>
      <c r="J52">
        <f t="shared" si="58"/>
        <v>46.258737735949538</v>
      </c>
      <c r="K52">
        <f t="shared" si="58"/>
        <v>54.067222301245984</v>
      </c>
      <c r="L52">
        <f t="shared" si="7"/>
        <v>172.94421515579538</v>
      </c>
      <c r="M52">
        <f t="shared" si="8"/>
        <v>0.86578484420462587</v>
      </c>
      <c r="N52">
        <f t="shared" si="9"/>
        <v>0.74958339645442829</v>
      </c>
    </row>
    <row r="53" spans="1:14" x14ac:dyDescent="0.45">
      <c r="A53" s="22">
        <v>42800</v>
      </c>
      <c r="B53">
        <v>174.15</v>
      </c>
      <c r="C53">
        <v>173.3</v>
      </c>
      <c r="G53">
        <f t="shared" ref="G53:K53" si="59">SUMPRODUCT($B53:$B57,P$2:P$6)</f>
        <v>69.905712485113071</v>
      </c>
      <c r="H53">
        <f t="shared" si="59"/>
        <v>141.73067568172027</v>
      </c>
      <c r="I53">
        <f t="shared" si="59"/>
        <v>78.658912173665087</v>
      </c>
      <c r="J53">
        <f t="shared" si="59"/>
        <v>46.579570690201038</v>
      </c>
      <c r="K53">
        <f t="shared" si="59"/>
        <v>54.450006317296257</v>
      </c>
      <c r="L53">
        <f t="shared" si="7"/>
        <v>174.12795394188268</v>
      </c>
      <c r="M53">
        <f t="shared" si="8"/>
        <v>-1.3579539418826698</v>
      </c>
      <c r="N53">
        <f t="shared" si="9"/>
        <v>1.8440389082746813</v>
      </c>
    </row>
    <row r="54" spans="1:14" x14ac:dyDescent="0.45">
      <c r="A54" s="22">
        <v>42797</v>
      </c>
      <c r="B54">
        <v>174.53</v>
      </c>
      <c r="C54">
        <v>173.79</v>
      </c>
      <c r="G54">
        <f t="shared" ref="G54:K54" si="60">SUMPRODUCT($B54:$B58,P$2:P$6)</f>
        <v>70.073841107067082</v>
      </c>
      <c r="H54">
        <f t="shared" si="60"/>
        <v>142.08266483802393</v>
      </c>
      <c r="I54">
        <f t="shared" si="60"/>
        <v>78.857739659572275</v>
      </c>
      <c r="J54">
        <f t="shared" si="60"/>
        <v>46.700410395930263</v>
      </c>
      <c r="K54">
        <f t="shared" si="60"/>
        <v>54.588188474532707</v>
      </c>
      <c r="L54">
        <f t="shared" si="7"/>
        <v>174.54037819658086</v>
      </c>
      <c r="M54">
        <f t="shared" si="8"/>
        <v>-0.39037819658085482</v>
      </c>
      <c r="N54">
        <f t="shared" si="9"/>
        <v>0.15239513636572052</v>
      </c>
    </row>
    <row r="55" spans="1:14" x14ac:dyDescent="0.45">
      <c r="A55" s="22">
        <v>42796</v>
      </c>
      <c r="B55">
        <v>175.33</v>
      </c>
      <c r="C55">
        <v>174.48</v>
      </c>
      <c r="G55">
        <f t="shared" ref="G55:K55" si="61">SUMPRODUCT($B55:$B59,P$2:P$6)</f>
        <v>70.434372723989341</v>
      </c>
      <c r="H55">
        <f t="shared" si="61"/>
        <v>142.8417126144148</v>
      </c>
      <c r="I55">
        <f t="shared" si="61"/>
        <v>79.287793301392909</v>
      </c>
      <c r="J55">
        <f t="shared" si="61"/>
        <v>46.96291457032126</v>
      </c>
      <c r="K55">
        <f t="shared" si="61"/>
        <v>54.887268074038374</v>
      </c>
      <c r="L55">
        <f t="shared" si="7"/>
        <v>175.4301911409068</v>
      </c>
      <c r="M55">
        <f t="shared" si="8"/>
        <v>-0.90019114090679864</v>
      </c>
      <c r="N55">
        <f t="shared" si="9"/>
        <v>0.81034409016708375</v>
      </c>
    </row>
    <row r="56" spans="1:14" x14ac:dyDescent="0.45">
      <c r="A56" s="22">
        <v>42795</v>
      </c>
      <c r="B56">
        <v>176.44</v>
      </c>
      <c r="C56">
        <v>175.33</v>
      </c>
      <c r="G56">
        <f t="shared" ref="G56:K56" si="62">SUMPRODUCT($B56:$B60,P$2:P$6)</f>
        <v>70.925226901920581</v>
      </c>
      <c r="H56">
        <f t="shared" si="62"/>
        <v>143.86918062210452</v>
      </c>
      <c r="I56">
        <f t="shared" si="62"/>
        <v>79.868128380924318</v>
      </c>
      <c r="J56">
        <f t="shared" si="62"/>
        <v>47.315585960297327</v>
      </c>
      <c r="K56">
        <f t="shared" si="62"/>
        <v>55.29058592123296</v>
      </c>
      <c r="L56">
        <f t="shared" si="7"/>
        <v>176.6340582575283</v>
      </c>
      <c r="M56">
        <f t="shared" si="8"/>
        <v>-1.3040582575282826</v>
      </c>
      <c r="N56">
        <f t="shared" si="9"/>
        <v>1.7005679390277006</v>
      </c>
    </row>
    <row r="57" spans="1:14" x14ac:dyDescent="0.45">
      <c r="A57" s="22">
        <v>42794</v>
      </c>
      <c r="B57">
        <v>172.8</v>
      </c>
      <c r="C57">
        <v>174.13</v>
      </c>
      <c r="G57">
        <f t="shared" ref="G57:K57" si="63">SUMPRODUCT($B57:$B61,P$2:P$6)</f>
        <v>69.469743288661149</v>
      </c>
      <c r="H57">
        <f t="shared" si="63"/>
        <v>140.9222775624188</v>
      </c>
      <c r="I57">
        <f t="shared" si="63"/>
        <v>78.233891625217609</v>
      </c>
      <c r="J57">
        <f t="shared" si="63"/>
        <v>46.348978800105819</v>
      </c>
      <c r="K57">
        <f t="shared" si="63"/>
        <v>54.159513586451482</v>
      </c>
      <c r="L57">
        <f t="shared" si="7"/>
        <v>173.19146609711385</v>
      </c>
      <c r="M57">
        <f t="shared" si="8"/>
        <v>3.2485339028861517</v>
      </c>
      <c r="N57">
        <f t="shared" si="9"/>
        <v>10.552972518200734</v>
      </c>
    </row>
    <row r="58" spans="1:14" x14ac:dyDescent="0.45">
      <c r="A58" s="22">
        <v>42793</v>
      </c>
      <c r="B58">
        <v>175.17</v>
      </c>
      <c r="C58">
        <v>172.97</v>
      </c>
      <c r="G58">
        <f t="shared" ref="G58:K58" si="64">SUMPRODUCT($B58:$B62,P$2:P$6)</f>
        <v>70.404489121745726</v>
      </c>
      <c r="H58">
        <f t="shared" si="64"/>
        <v>142.80560179629958</v>
      </c>
      <c r="I58">
        <f t="shared" si="64"/>
        <v>79.275411363638057</v>
      </c>
      <c r="J58">
        <f t="shared" si="64"/>
        <v>46.962434501244964</v>
      </c>
      <c r="K58">
        <f t="shared" si="64"/>
        <v>54.879899774264018</v>
      </c>
      <c r="L58">
        <f t="shared" si="7"/>
        <v>175.39059824218074</v>
      </c>
      <c r="M58">
        <f t="shared" si="8"/>
        <v>-2.5905982421807323</v>
      </c>
      <c r="N58">
        <f t="shared" si="9"/>
        <v>6.7111992523898998</v>
      </c>
    </row>
    <row r="59" spans="1:14" x14ac:dyDescent="0.45">
      <c r="A59" s="22">
        <v>42790</v>
      </c>
      <c r="B59">
        <v>181</v>
      </c>
      <c r="C59">
        <v>175.17</v>
      </c>
      <c r="G59">
        <f t="shared" ref="G59:K59" si="65">SUMPRODUCT($B59:$B63,P$2:P$6)</f>
        <v>72.689204575350928</v>
      </c>
      <c r="H59">
        <f t="shared" si="65"/>
        <v>147.39819014186526</v>
      </c>
      <c r="I59">
        <f t="shared" si="65"/>
        <v>81.811864449289558</v>
      </c>
      <c r="J59">
        <f t="shared" si="65"/>
        <v>48.453395733661104</v>
      </c>
      <c r="K59">
        <f t="shared" si="65"/>
        <v>56.633757084208916</v>
      </c>
      <c r="L59">
        <f t="shared" si="7"/>
        <v>180.75216755877491</v>
      </c>
      <c r="M59">
        <f t="shared" si="8"/>
        <v>-5.5821675587749269</v>
      </c>
      <c r="N59">
        <f t="shared" si="9"/>
        <v>31.160594654239226</v>
      </c>
    </row>
    <row r="60" spans="1:14" x14ac:dyDescent="0.45">
      <c r="A60" s="22">
        <v>42789</v>
      </c>
      <c r="B60">
        <v>187.89</v>
      </c>
      <c r="C60">
        <v>184.64</v>
      </c>
      <c r="G60">
        <f t="shared" ref="G60:K60" si="66">SUMPRODUCT($B60:$B64,P$2:P$6)</f>
        <v>75.399083339483894</v>
      </c>
      <c r="H60">
        <f t="shared" si="66"/>
        <v>152.85254697053131</v>
      </c>
      <c r="I60">
        <f t="shared" si="66"/>
        <v>84.826512861754608</v>
      </c>
      <c r="J60">
        <f t="shared" si="66"/>
        <v>50.227459129497191</v>
      </c>
      <c r="K60">
        <f t="shared" si="66"/>
        <v>58.718629468748652</v>
      </c>
      <c r="L60">
        <f t="shared" si="7"/>
        <v>187.12055916838565</v>
      </c>
      <c r="M60">
        <f t="shared" si="8"/>
        <v>-6.1205591683856539</v>
      </c>
      <c r="N60">
        <f t="shared" si="9"/>
        <v>37.461244533709689</v>
      </c>
    </row>
    <row r="61" spans="1:14" x14ac:dyDescent="0.45">
      <c r="A61" s="22">
        <v>42788</v>
      </c>
      <c r="B61">
        <v>185</v>
      </c>
      <c r="C61">
        <v>186.01</v>
      </c>
      <c r="G61">
        <f t="shared" ref="G61:K61" si="67">SUMPRODUCT($B61:$B65,P$2:P$6)</f>
        <v>74.261678339991505</v>
      </c>
      <c r="H61">
        <f t="shared" si="67"/>
        <v>150.5626693190398</v>
      </c>
      <c r="I61">
        <f t="shared" si="67"/>
        <v>83.560714747829877</v>
      </c>
      <c r="J61">
        <f t="shared" si="67"/>
        <v>49.482404981557785</v>
      </c>
      <c r="K61">
        <f t="shared" si="67"/>
        <v>57.843201430264699</v>
      </c>
      <c r="L61">
        <f t="shared" si="7"/>
        <v>184.44688786048101</v>
      </c>
      <c r="M61">
        <f t="shared" si="8"/>
        <v>3.4431121395189734</v>
      </c>
      <c r="N61">
        <f t="shared" si="9"/>
        <v>11.855021205302922</v>
      </c>
    </row>
    <row r="62" spans="1:14" x14ac:dyDescent="0.45">
      <c r="A62" s="22">
        <v>42787</v>
      </c>
      <c r="B62">
        <v>185.23</v>
      </c>
      <c r="C62">
        <v>185.62</v>
      </c>
      <c r="G62">
        <f t="shared" ref="G62:K62" si="68">SUMPRODUCT($B62:$B66,P$2:P$6)</f>
        <v>74.355033101632074</v>
      </c>
      <c r="H62">
        <f t="shared" si="68"/>
        <v>150.75267694479149</v>
      </c>
      <c r="I62">
        <f t="shared" si="68"/>
        <v>83.666396522220751</v>
      </c>
      <c r="J62">
        <f t="shared" si="68"/>
        <v>49.545190587984379</v>
      </c>
      <c r="K62">
        <f t="shared" si="68"/>
        <v>57.916394470836309</v>
      </c>
      <c r="L62">
        <f t="shared" si="7"/>
        <v>184.66896140432766</v>
      </c>
      <c r="M62">
        <f t="shared" si="8"/>
        <v>0.3310385956723394</v>
      </c>
      <c r="N62">
        <f t="shared" si="9"/>
        <v>0.10958655182471461</v>
      </c>
    </row>
    <row r="63" spans="1:14" x14ac:dyDescent="0.45">
      <c r="A63" s="22">
        <v>42783</v>
      </c>
      <c r="B63">
        <v>183.92</v>
      </c>
      <c r="C63">
        <v>185.17</v>
      </c>
      <c r="G63">
        <f t="shared" ref="G63:K63" si="69">SUMPRODUCT($B63:$B67,P$2:P$6)</f>
        <v>73.843189229008416</v>
      </c>
      <c r="H63">
        <f t="shared" si="69"/>
        <v>149.72491854958122</v>
      </c>
      <c r="I63">
        <f t="shared" si="69"/>
        <v>83.099126302952484</v>
      </c>
      <c r="J63">
        <f t="shared" si="69"/>
        <v>49.21205832423022</v>
      </c>
      <c r="K63">
        <f t="shared" si="69"/>
        <v>57.524204632396945</v>
      </c>
      <c r="L63">
        <f t="shared" si="7"/>
        <v>183.46923542038775</v>
      </c>
      <c r="M63">
        <f t="shared" si="8"/>
        <v>1.7607645796122426</v>
      </c>
      <c r="N63">
        <f t="shared" si="9"/>
        <v>3.1002919048170776</v>
      </c>
    </row>
    <row r="64" spans="1:14" x14ac:dyDescent="0.45">
      <c r="A64" s="22">
        <v>42782</v>
      </c>
      <c r="B64">
        <v>183.62</v>
      </c>
      <c r="C64">
        <v>184.94</v>
      </c>
      <c r="G64">
        <f t="shared" ref="G64:K64" si="70">SUMPRODUCT($B64:$B68,P$2:P$6)</f>
        <v>73.710073288204626</v>
      </c>
      <c r="H64">
        <f t="shared" si="70"/>
        <v>149.44598399666964</v>
      </c>
      <c r="I64">
        <f t="shared" si="70"/>
        <v>82.941489482632051</v>
      </c>
      <c r="J64">
        <f t="shared" si="70"/>
        <v>49.116186033736426</v>
      </c>
      <c r="K64">
        <f t="shared" si="70"/>
        <v>57.414637670207256</v>
      </c>
      <c r="L64">
        <f t="shared" si="7"/>
        <v>183.14238285061745</v>
      </c>
      <c r="M64">
        <f t="shared" si="8"/>
        <v>0.7776171493825359</v>
      </c>
      <c r="N64">
        <f t="shared" si="9"/>
        <v>0.60468843101382119</v>
      </c>
    </row>
    <row r="65" spans="1:14" x14ac:dyDescent="0.45">
      <c r="A65" s="22">
        <v>42781</v>
      </c>
      <c r="B65">
        <v>183.65</v>
      </c>
      <c r="C65">
        <v>183.58</v>
      </c>
      <c r="G65">
        <f t="shared" ref="G65:K65" si="71">SUMPRODUCT($B65:$B69,P$2:P$6)</f>
        <v>73.711320369753693</v>
      </c>
      <c r="H65">
        <f t="shared" si="71"/>
        <v>149.44081779835548</v>
      </c>
      <c r="I65">
        <f t="shared" si="71"/>
        <v>82.936213904012718</v>
      </c>
      <c r="J65">
        <f t="shared" si="71"/>
        <v>49.11091290511429</v>
      </c>
      <c r="K65">
        <f t="shared" si="71"/>
        <v>57.410606569388648</v>
      </c>
      <c r="L65">
        <f t="shared" si="7"/>
        <v>183.13553084845697</v>
      </c>
      <c r="M65">
        <f t="shared" si="8"/>
        <v>0.48446915154303838</v>
      </c>
      <c r="N65">
        <f t="shared" si="9"/>
        <v>0.2347103587968315</v>
      </c>
    </row>
    <row r="66" spans="1:14" x14ac:dyDescent="0.45">
      <c r="A66" s="22">
        <v>42780</v>
      </c>
      <c r="B66">
        <v>184.01</v>
      </c>
      <c r="C66">
        <v>182.77</v>
      </c>
      <c r="G66">
        <f t="shared" ref="G66:K66" si="72">SUMPRODUCT($B66:$B70,P$2:P$6)</f>
        <v>73.836837633109781</v>
      </c>
      <c r="H66">
        <f t="shared" si="72"/>
        <v>149.68176148772719</v>
      </c>
      <c r="I66">
        <f t="shared" si="72"/>
        <v>83.065699007812754</v>
      </c>
      <c r="J66">
        <f t="shared" si="72"/>
        <v>49.183809070525655</v>
      </c>
      <c r="K66">
        <f t="shared" si="72"/>
        <v>57.499572961259261</v>
      </c>
      <c r="L66">
        <f t="shared" si="7"/>
        <v>183.41560310370417</v>
      </c>
      <c r="M66">
        <f t="shared" si="8"/>
        <v>0.23439689629583427</v>
      </c>
      <c r="N66">
        <f t="shared" si="9"/>
        <v>5.4941904993120086E-2</v>
      </c>
    </row>
    <row r="67" spans="1:14" x14ac:dyDescent="0.45">
      <c r="A67" s="22">
        <v>42779</v>
      </c>
      <c r="B67">
        <v>184.5</v>
      </c>
      <c r="C67">
        <v>184.31</v>
      </c>
      <c r="G67">
        <f t="shared" ref="G67:K67" si="73">SUMPRODUCT($B67:$B71,P$2:P$6)</f>
        <v>74.03300940497769</v>
      </c>
      <c r="H67">
        <f t="shared" si="73"/>
        <v>150.07912216509916</v>
      </c>
      <c r="I67">
        <f t="shared" si="73"/>
        <v>83.286113506930576</v>
      </c>
      <c r="J67">
        <f t="shared" si="73"/>
        <v>49.314224699223999</v>
      </c>
      <c r="K67">
        <f t="shared" si="73"/>
        <v>57.65213362012193</v>
      </c>
      <c r="L67">
        <f t="shared" ref="L67:L130" si="74">(G67+$P$7)*$U$2+(H67+$Q$7)*$U$3+(I67+$R$7)*$U$4+(J67+$S$7)*$U$5+(K67+$T$7)*$U$6+$U$7</f>
        <v>183.87982033626864</v>
      </c>
      <c r="M67">
        <f t="shared" ref="M67:M130" si="75">B66-L67</f>
        <v>0.13017966373135437</v>
      </c>
      <c r="N67">
        <f t="shared" ref="N67:N130" si="76">M67^2</f>
        <v>1.6946744849208498E-2</v>
      </c>
    </row>
    <row r="68" spans="1:14" x14ac:dyDescent="0.45">
      <c r="A68" s="22">
        <v>42776</v>
      </c>
      <c r="B68">
        <v>182.58</v>
      </c>
      <c r="C68">
        <v>183.99</v>
      </c>
      <c r="G68">
        <f t="shared" ref="G68:K68" si="77">SUMPRODUCT($B68:$B72,P$2:P$6)</f>
        <v>73.247553763130895</v>
      </c>
      <c r="H68">
        <f t="shared" si="77"/>
        <v>148.47613344382839</v>
      </c>
      <c r="I68">
        <f t="shared" si="77"/>
        <v>82.393183938438995</v>
      </c>
      <c r="J68">
        <f t="shared" si="77"/>
        <v>48.782525179893177</v>
      </c>
      <c r="K68">
        <f t="shared" si="77"/>
        <v>57.033503006825171</v>
      </c>
      <c r="L68">
        <f t="shared" si="74"/>
        <v>182.00585061978057</v>
      </c>
      <c r="M68">
        <f t="shared" si="75"/>
        <v>2.4941493802194259</v>
      </c>
      <c r="N68">
        <f t="shared" si="76"/>
        <v>6.2207811308489465</v>
      </c>
    </row>
    <row r="69" spans="1:14" x14ac:dyDescent="0.45">
      <c r="A69" s="22">
        <v>42775</v>
      </c>
      <c r="B69">
        <v>181.23</v>
      </c>
      <c r="C69">
        <v>181.5</v>
      </c>
      <c r="G69">
        <f t="shared" ref="G69:K69" si="78">SUMPRODUCT($B69:$B73,P$2:P$6)</f>
        <v>72.709635104170488</v>
      </c>
      <c r="H69">
        <f t="shared" si="78"/>
        <v>147.38837039538126</v>
      </c>
      <c r="I69">
        <f t="shared" si="78"/>
        <v>81.790376160250474</v>
      </c>
      <c r="J69">
        <f t="shared" si="78"/>
        <v>48.426351450555721</v>
      </c>
      <c r="K69">
        <f t="shared" si="78"/>
        <v>56.616362426660501</v>
      </c>
      <c r="L69">
        <f t="shared" si="74"/>
        <v>180.73525973336257</v>
      </c>
      <c r="M69">
        <f t="shared" si="75"/>
        <v>1.8447402666374444</v>
      </c>
      <c r="N69">
        <f t="shared" si="76"/>
        <v>3.4030666513535892</v>
      </c>
    </row>
    <row r="70" spans="1:14" x14ac:dyDescent="0.45">
      <c r="A70" s="22">
        <v>42774</v>
      </c>
      <c r="B70">
        <v>179.16</v>
      </c>
      <c r="C70">
        <v>181.5</v>
      </c>
      <c r="G70">
        <f t="shared" ref="G70:K70" si="79">SUMPRODUCT($B70:$B74,P$2:P$6)</f>
        <v>71.883440991651582</v>
      </c>
      <c r="H70">
        <f t="shared" si="79"/>
        <v>145.71666656788994</v>
      </c>
      <c r="I70">
        <f t="shared" si="79"/>
        <v>80.863654778299818</v>
      </c>
      <c r="J70">
        <f t="shared" si="79"/>
        <v>47.878514873277737</v>
      </c>
      <c r="K70">
        <f t="shared" si="79"/>
        <v>55.975023310800246</v>
      </c>
      <c r="L70">
        <f t="shared" si="74"/>
        <v>178.78247756012658</v>
      </c>
      <c r="M70">
        <f t="shared" si="75"/>
        <v>2.4475224398734099</v>
      </c>
      <c r="N70">
        <f t="shared" si="76"/>
        <v>5.9903660936838889</v>
      </c>
    </row>
    <row r="71" spans="1:14" x14ac:dyDescent="0.45">
      <c r="A71" s="22">
        <v>42773</v>
      </c>
      <c r="B71">
        <v>179.58</v>
      </c>
      <c r="C71">
        <v>178.17</v>
      </c>
      <c r="G71">
        <f t="shared" ref="G71:K71" si="80">SUMPRODUCT($B71:$B75,P$2:P$6)</f>
        <v>72.07396371759009</v>
      </c>
      <c r="H71">
        <f t="shared" si="80"/>
        <v>146.11857749410066</v>
      </c>
      <c r="I71">
        <f t="shared" si="80"/>
        <v>81.091602139377088</v>
      </c>
      <c r="J71">
        <f t="shared" si="80"/>
        <v>48.017858181973949</v>
      </c>
      <c r="K71">
        <f t="shared" si="80"/>
        <v>56.133587926203035</v>
      </c>
      <c r="L71">
        <f t="shared" si="74"/>
        <v>179.25370693626738</v>
      </c>
      <c r="M71">
        <f t="shared" si="75"/>
        <v>-9.3706936267381025E-2</v>
      </c>
      <c r="N71">
        <f t="shared" si="76"/>
        <v>8.7809899046190094E-3</v>
      </c>
    </row>
    <row r="72" spans="1:14" x14ac:dyDescent="0.45">
      <c r="A72" s="22">
        <v>42772</v>
      </c>
      <c r="B72">
        <v>175.79</v>
      </c>
      <c r="C72">
        <v>177.81</v>
      </c>
      <c r="G72">
        <f t="shared" ref="G72:K72" si="81">SUMPRODUCT($B72:$B76,P$2:P$6)</f>
        <v>70.55817863103016</v>
      </c>
      <c r="H72">
        <f t="shared" si="81"/>
        <v>143.04935337627919</v>
      </c>
      <c r="I72">
        <f t="shared" si="81"/>
        <v>79.389459279065875</v>
      </c>
      <c r="J72">
        <f t="shared" si="81"/>
        <v>47.011012702364283</v>
      </c>
      <c r="K72">
        <f t="shared" si="81"/>
        <v>54.955507815218212</v>
      </c>
      <c r="L72">
        <f t="shared" si="74"/>
        <v>175.66819266124742</v>
      </c>
      <c r="M72">
        <f t="shared" si="75"/>
        <v>3.9118073387525953</v>
      </c>
      <c r="N72">
        <f t="shared" si="76"/>
        <v>15.302236655518662</v>
      </c>
    </row>
    <row r="73" spans="1:14" x14ac:dyDescent="0.45">
      <c r="A73" s="22">
        <v>42769</v>
      </c>
      <c r="B73">
        <v>174.96</v>
      </c>
      <c r="C73">
        <v>175.17</v>
      </c>
      <c r="G73">
        <f t="shared" ref="G73:K73" si="82">SUMPRODUCT($B73:$B77,P$2:P$6)</f>
        <v>70.227382432196492</v>
      </c>
      <c r="H73">
        <f t="shared" si="82"/>
        <v>142.38037344563949</v>
      </c>
      <c r="I73">
        <f t="shared" si="82"/>
        <v>79.018711480994583</v>
      </c>
      <c r="J73">
        <f t="shared" si="82"/>
        <v>46.791939285120378</v>
      </c>
      <c r="K73">
        <f t="shared" si="82"/>
        <v>54.698949279996704</v>
      </c>
      <c r="L73">
        <f t="shared" si="74"/>
        <v>174.88676651020924</v>
      </c>
      <c r="M73">
        <f t="shared" si="75"/>
        <v>0.90323348979075035</v>
      </c>
      <c r="N73">
        <f t="shared" si="76"/>
        <v>0.81583073707957754</v>
      </c>
    </row>
    <row r="74" spans="1:14" x14ac:dyDescent="0.45">
      <c r="A74" s="22">
        <v>42768</v>
      </c>
      <c r="B74">
        <v>173.51</v>
      </c>
      <c r="C74">
        <v>173.4</v>
      </c>
      <c r="G74">
        <f t="shared" ref="G74:K74" si="83">SUMPRODUCT($B74:$B78,P$2:P$6)</f>
        <v>69.670991631702421</v>
      </c>
      <c r="H74">
        <f t="shared" si="83"/>
        <v>141.27060125146352</v>
      </c>
      <c r="I74">
        <f t="shared" si="83"/>
        <v>78.408524454846898</v>
      </c>
      <c r="J74">
        <f t="shared" si="83"/>
        <v>46.435710162534583</v>
      </c>
      <c r="K74">
        <f t="shared" si="83"/>
        <v>54.277458616099381</v>
      </c>
      <c r="L74">
        <f t="shared" si="74"/>
        <v>173.59209996489574</v>
      </c>
      <c r="M74">
        <f t="shared" si="75"/>
        <v>1.3679000351042703</v>
      </c>
      <c r="N74">
        <f t="shared" si="76"/>
        <v>1.8711505060382638</v>
      </c>
    </row>
    <row r="75" spans="1:14" x14ac:dyDescent="0.45">
      <c r="A75" s="22">
        <v>42767</v>
      </c>
      <c r="B75">
        <v>176.73</v>
      </c>
      <c r="C75">
        <v>173.82</v>
      </c>
      <c r="G75">
        <f t="shared" ref="G75:K75" si="84">SUMPRODUCT($B75:$B79,P$2:P$6)</f>
        <v>70.959266941538331</v>
      </c>
      <c r="H75">
        <f t="shared" si="84"/>
        <v>143.87948172736742</v>
      </c>
      <c r="I75">
        <f t="shared" si="84"/>
        <v>79.855471237589981</v>
      </c>
      <c r="J75">
        <f t="shared" si="84"/>
        <v>47.291695725241986</v>
      </c>
      <c r="K75">
        <f t="shared" si="84"/>
        <v>55.278931128400217</v>
      </c>
      <c r="L75">
        <f t="shared" si="74"/>
        <v>176.63986951431494</v>
      </c>
      <c r="M75">
        <f t="shared" si="75"/>
        <v>-3.1298695143149473</v>
      </c>
      <c r="N75">
        <f t="shared" si="76"/>
        <v>9.7960831766380849</v>
      </c>
    </row>
    <row r="76" spans="1:14" x14ac:dyDescent="0.45">
      <c r="A76" s="22">
        <v>42766</v>
      </c>
      <c r="B76">
        <v>173.68</v>
      </c>
      <c r="C76">
        <v>175.07</v>
      </c>
      <c r="G76">
        <f t="shared" ref="G76:K76" si="85">SUMPRODUCT($B76:$B80,P$2:P$6)</f>
        <v>69.756687985050647</v>
      </c>
      <c r="H76">
        <f t="shared" si="85"/>
        <v>141.45679062383525</v>
      </c>
      <c r="I76">
        <f t="shared" si="85"/>
        <v>78.515751254104458</v>
      </c>
      <c r="J76">
        <f t="shared" si="85"/>
        <v>46.502682751362414</v>
      </c>
      <c r="K76">
        <f t="shared" si="85"/>
        <v>54.352298866892056</v>
      </c>
      <c r="L76">
        <f t="shared" si="74"/>
        <v>173.81095431564907</v>
      </c>
      <c r="M76">
        <f t="shared" si="75"/>
        <v>2.9190456843509196</v>
      </c>
      <c r="N76">
        <f t="shared" si="76"/>
        <v>8.5208277073277294</v>
      </c>
    </row>
    <row r="77" spans="1:14" x14ac:dyDescent="0.45">
      <c r="A77" s="22">
        <v>42765</v>
      </c>
      <c r="B77">
        <v>173.16</v>
      </c>
      <c r="C77">
        <v>174.72</v>
      </c>
      <c r="G77">
        <f t="shared" ref="G77:K77" si="86">SUMPRODUCT($B77:$B81,P$2:P$6)</f>
        <v>69.554339837861619</v>
      </c>
      <c r="H77">
        <f t="shared" si="86"/>
        <v>141.05108998761651</v>
      </c>
      <c r="I77">
        <f t="shared" si="86"/>
        <v>78.29201605268004</v>
      </c>
      <c r="J77">
        <f t="shared" si="86"/>
        <v>46.371466738425248</v>
      </c>
      <c r="K77">
        <f t="shared" si="86"/>
        <v>54.197645843374126</v>
      </c>
      <c r="L77">
        <f t="shared" si="74"/>
        <v>173.33743544456402</v>
      </c>
      <c r="M77">
        <f t="shared" si="75"/>
        <v>0.34256455543598463</v>
      </c>
      <c r="N77">
        <f t="shared" si="76"/>
        <v>0.11735047464105379</v>
      </c>
    </row>
    <row r="78" spans="1:14" x14ac:dyDescent="0.45">
      <c r="A78" s="22">
        <v>42762</v>
      </c>
      <c r="B78">
        <v>175</v>
      </c>
      <c r="C78">
        <v>174.1</v>
      </c>
      <c r="G78">
        <f t="shared" ref="G78:K78" si="87">SUMPRODUCT($B78:$B82,P$2:P$6)</f>
        <v>70.249233510775554</v>
      </c>
      <c r="H78">
        <f t="shared" si="87"/>
        <v>142.42880309007572</v>
      </c>
      <c r="I78">
        <f t="shared" si="87"/>
        <v>79.046882924531985</v>
      </c>
      <c r="J78">
        <f t="shared" si="87"/>
        <v>46.809779874521361</v>
      </c>
      <c r="K78">
        <f t="shared" si="87"/>
        <v>54.71865138386444</v>
      </c>
      <c r="L78">
        <f t="shared" si="74"/>
        <v>174.94378888012102</v>
      </c>
      <c r="M78">
        <f t="shared" si="75"/>
        <v>-1.7837888801210227</v>
      </c>
      <c r="N78">
        <f t="shared" si="76"/>
        <v>3.1819027688434121</v>
      </c>
    </row>
    <row r="79" spans="1:14" x14ac:dyDescent="0.45">
      <c r="A79" s="22">
        <v>42761</v>
      </c>
      <c r="B79">
        <v>177.65</v>
      </c>
      <c r="C79">
        <v>174.95</v>
      </c>
      <c r="G79">
        <f t="shared" ref="G79:K79" si="88">SUMPRODUCT($B79:$B83,P$2:P$6)</f>
        <v>71.303037938943447</v>
      </c>
      <c r="H79">
        <f t="shared" si="88"/>
        <v>144.55826542646864</v>
      </c>
      <c r="I79">
        <f t="shared" si="88"/>
        <v>80.22649348695974</v>
      </c>
      <c r="J79">
        <f t="shared" si="88"/>
        <v>47.506327187372662</v>
      </c>
      <c r="K79">
        <f t="shared" si="88"/>
        <v>55.534865625110065</v>
      </c>
      <c r="L79">
        <f t="shared" si="74"/>
        <v>177.43099966428517</v>
      </c>
      <c r="M79">
        <f t="shared" si="75"/>
        <v>-2.4309996642851672</v>
      </c>
      <c r="N79">
        <f t="shared" si="76"/>
        <v>5.9097593677545959</v>
      </c>
    </row>
    <row r="80" spans="1:14" x14ac:dyDescent="0.45">
      <c r="A80" s="22">
        <v>42760</v>
      </c>
      <c r="B80">
        <v>177.4</v>
      </c>
      <c r="C80">
        <v>176.61</v>
      </c>
      <c r="G80">
        <f t="shared" ref="G80:K80" si="89">SUMPRODUCT($B80:$B84,P$2:P$6)</f>
        <v>71.216675048742843</v>
      </c>
      <c r="H80">
        <f t="shared" si="89"/>
        <v>144.39313965732987</v>
      </c>
      <c r="I80">
        <f t="shared" si="89"/>
        <v>80.137972332741896</v>
      </c>
      <c r="J80">
        <f t="shared" si="89"/>
        <v>47.456690451083077</v>
      </c>
      <c r="K80">
        <f t="shared" si="89"/>
        <v>55.474079683073072</v>
      </c>
      <c r="L80">
        <f t="shared" si="74"/>
        <v>177.23913202228059</v>
      </c>
      <c r="M80">
        <f t="shared" si="75"/>
        <v>0.41086797771941974</v>
      </c>
      <c r="N80">
        <f t="shared" si="76"/>
        <v>0.1688124951152456</v>
      </c>
    </row>
    <row r="81" spans="1:14" x14ac:dyDescent="0.45">
      <c r="A81" s="22">
        <v>42759</v>
      </c>
      <c r="B81">
        <v>177.7</v>
      </c>
      <c r="C81">
        <v>176.05</v>
      </c>
      <c r="G81">
        <f t="shared" ref="G81:K81" si="90">SUMPRODUCT($B81:$B85,P$2:P$6)</f>
        <v>71.348459508916307</v>
      </c>
      <c r="H81">
        <f t="shared" si="90"/>
        <v>144.66842680486474</v>
      </c>
      <c r="I81">
        <f t="shared" si="90"/>
        <v>80.293287271502578</v>
      </c>
      <c r="J81">
        <f t="shared" si="90"/>
        <v>47.550924001820398</v>
      </c>
      <c r="K81">
        <f t="shared" si="90"/>
        <v>55.581994323985271</v>
      </c>
      <c r="L81">
        <f t="shared" si="74"/>
        <v>177.56162259712929</v>
      </c>
      <c r="M81">
        <f t="shared" si="75"/>
        <v>-0.16162259712928062</v>
      </c>
      <c r="N81">
        <f t="shared" si="76"/>
        <v>2.6121863902813749E-2</v>
      </c>
    </row>
    <row r="82" spans="1:14" x14ac:dyDescent="0.45">
      <c r="A82" s="22">
        <v>42758</v>
      </c>
      <c r="B82">
        <v>173.94</v>
      </c>
      <c r="C82">
        <v>175.97</v>
      </c>
      <c r="G82">
        <f t="shared" ref="G82:K82" si="91">SUMPRODUCT($B82:$B86,P$2:P$6)</f>
        <v>69.84479792665411</v>
      </c>
      <c r="H82">
        <f t="shared" si="91"/>
        <v>141.62384035525812</v>
      </c>
      <c r="I82">
        <f t="shared" si="91"/>
        <v>78.604835552083998</v>
      </c>
      <c r="J82">
        <f t="shared" si="91"/>
        <v>46.552203615917662</v>
      </c>
      <c r="K82">
        <f t="shared" si="91"/>
        <v>54.413393496357088</v>
      </c>
      <c r="L82">
        <f t="shared" si="74"/>
        <v>174.00489965711168</v>
      </c>
      <c r="M82">
        <f t="shared" si="75"/>
        <v>3.6951003428883098</v>
      </c>
      <c r="N82">
        <f t="shared" si="76"/>
        <v>13.653766544013305</v>
      </c>
    </row>
    <row r="83" spans="1:14" x14ac:dyDescent="0.45">
      <c r="A83" s="22">
        <v>42755</v>
      </c>
      <c r="B83">
        <v>175.3</v>
      </c>
      <c r="C83">
        <v>173.44</v>
      </c>
      <c r="G83">
        <f t="shared" ref="G83:K83" si="92">SUMPRODUCT($B83:$B87,P$2:P$6)</f>
        <v>70.399092241117415</v>
      </c>
      <c r="H83">
        <f t="shared" si="92"/>
        <v>142.75361870599738</v>
      </c>
      <c r="I83">
        <f t="shared" si="92"/>
        <v>79.233717305785945</v>
      </c>
      <c r="J83">
        <f t="shared" si="92"/>
        <v>46.926272674323279</v>
      </c>
      <c r="K83">
        <f t="shared" si="92"/>
        <v>54.849018474819502</v>
      </c>
      <c r="L83">
        <f t="shared" si="74"/>
        <v>175.32551085258618</v>
      </c>
      <c r="M83">
        <f t="shared" si="75"/>
        <v>-1.3855108525861795</v>
      </c>
      <c r="N83">
        <f t="shared" si="76"/>
        <v>1.9196403226340819</v>
      </c>
    </row>
    <row r="84" spans="1:14" x14ac:dyDescent="0.45">
      <c r="A84" s="22">
        <v>42754</v>
      </c>
      <c r="B84">
        <v>176.84</v>
      </c>
      <c r="C84">
        <v>176.09</v>
      </c>
      <c r="G84">
        <f t="shared" ref="G84:K84" si="93">SUMPRODUCT($B84:$B88,P$2:P$6)</f>
        <v>71.011568563865112</v>
      </c>
      <c r="H84">
        <f t="shared" si="93"/>
        <v>143.99132516655925</v>
      </c>
      <c r="I84">
        <f t="shared" si="93"/>
        <v>79.919360782458327</v>
      </c>
      <c r="J84">
        <f t="shared" si="93"/>
        <v>47.331155888926801</v>
      </c>
      <c r="K84">
        <f t="shared" si="93"/>
        <v>55.323440708346304</v>
      </c>
      <c r="L84">
        <f t="shared" si="74"/>
        <v>176.77115892830875</v>
      </c>
      <c r="M84">
        <f t="shared" si="75"/>
        <v>-1.4711589283087392</v>
      </c>
      <c r="N84">
        <f t="shared" si="76"/>
        <v>2.1643085923425178</v>
      </c>
    </row>
    <row r="85" spans="1:14" x14ac:dyDescent="0.45">
      <c r="A85" s="22">
        <v>42753</v>
      </c>
      <c r="B85">
        <v>178.59</v>
      </c>
      <c r="C85">
        <v>176.54</v>
      </c>
      <c r="G85">
        <f t="shared" ref="G85:K85" si="94">SUMPRODUCT($B85:$B89,P$2:P$6)</f>
        <v>71.70647400559946</v>
      </c>
      <c r="H85">
        <f t="shared" si="94"/>
        <v>145.39482548511543</v>
      </c>
      <c r="I85">
        <f t="shared" si="94"/>
        <v>80.696599366055921</v>
      </c>
      <c r="J85">
        <f t="shared" si="94"/>
        <v>47.78990717317</v>
      </c>
      <c r="K85">
        <f t="shared" si="94"/>
        <v>55.861204935322199</v>
      </c>
      <c r="L85">
        <f t="shared" si="74"/>
        <v>178.41037026014519</v>
      </c>
      <c r="M85">
        <f t="shared" si="75"/>
        <v>-1.5703702601451823</v>
      </c>
      <c r="N85">
        <f t="shared" si="76"/>
        <v>2.4660627539484477</v>
      </c>
    </row>
    <row r="86" spans="1:14" x14ac:dyDescent="0.45">
      <c r="A86" s="22">
        <v>42752</v>
      </c>
      <c r="B86">
        <v>175.58</v>
      </c>
      <c r="C86">
        <v>176.96</v>
      </c>
      <c r="G86">
        <f t="shared" ref="G86:K86" si="95">SUMPRODUCT($B86:$B90,P$2:P$6)</f>
        <v>70.523632241367977</v>
      </c>
      <c r="H86">
        <f t="shared" si="95"/>
        <v>143.01477358433576</v>
      </c>
      <c r="I86">
        <f t="shared" si="95"/>
        <v>79.38136507515874</v>
      </c>
      <c r="J86">
        <f t="shared" si="95"/>
        <v>47.016125273594703</v>
      </c>
      <c r="K86">
        <f t="shared" si="95"/>
        <v>54.951650380768974</v>
      </c>
      <c r="L86">
        <f t="shared" si="74"/>
        <v>175.63155060156015</v>
      </c>
      <c r="M86">
        <f t="shared" si="75"/>
        <v>2.9584493984398534</v>
      </c>
      <c r="N86">
        <f t="shared" si="76"/>
        <v>8.7524228431291302</v>
      </c>
    </row>
    <row r="87" spans="1:14" x14ac:dyDescent="0.45">
      <c r="A87" s="22">
        <v>42748</v>
      </c>
      <c r="B87">
        <v>178</v>
      </c>
      <c r="C87">
        <v>176.48</v>
      </c>
      <c r="G87">
        <f t="shared" ref="G87:K87" si="96">SUMPRODUCT($B87:$B91,P$2:P$6)</f>
        <v>71.461940533756604</v>
      </c>
      <c r="H87">
        <f t="shared" si="96"/>
        <v>144.89355349884556</v>
      </c>
      <c r="I87">
        <f t="shared" si="96"/>
        <v>80.416681505776467</v>
      </c>
      <c r="J87">
        <f t="shared" si="96"/>
        <v>47.622619719432166</v>
      </c>
      <c r="K87">
        <f t="shared" si="96"/>
        <v>55.667164894422676</v>
      </c>
      <c r="L87">
        <f t="shared" si="74"/>
        <v>177.82412683559758</v>
      </c>
      <c r="M87">
        <f t="shared" si="75"/>
        <v>-2.2441268355975694</v>
      </c>
      <c r="N87">
        <f t="shared" si="76"/>
        <v>5.0361052542491604</v>
      </c>
    </row>
    <row r="88" spans="1:14" x14ac:dyDescent="0.45">
      <c r="A88" s="22">
        <v>42747</v>
      </c>
      <c r="B88">
        <v>178.8</v>
      </c>
      <c r="C88">
        <v>177.57</v>
      </c>
      <c r="G88">
        <f t="shared" ref="G88:K88" si="97">SUMPRODUCT($B88:$B92,P$2:P$6)</f>
        <v>71.763401097435491</v>
      </c>
      <c r="H88">
        <f t="shared" si="97"/>
        <v>145.49073195339363</v>
      </c>
      <c r="I88">
        <f t="shared" si="97"/>
        <v>80.743721178329679</v>
      </c>
      <c r="J88">
        <f t="shared" si="97"/>
        <v>47.812367495196149</v>
      </c>
      <c r="K88">
        <f t="shared" si="97"/>
        <v>55.892860729079388</v>
      </c>
      <c r="L88">
        <f t="shared" si="74"/>
        <v>178.5203554576006</v>
      </c>
      <c r="M88">
        <f t="shared" si="75"/>
        <v>-0.52035545760060131</v>
      </c>
      <c r="N88">
        <f t="shared" si="76"/>
        <v>0.27076980225473118</v>
      </c>
    </row>
    <row r="89" spans="1:14" x14ac:dyDescent="0.45">
      <c r="A89" s="22">
        <v>42746</v>
      </c>
      <c r="B89">
        <v>179.57</v>
      </c>
      <c r="C89">
        <v>179.32</v>
      </c>
      <c r="G89">
        <f t="shared" ref="G89:K89" si="98">SUMPRODUCT($B89:$B93,P$2:P$6)</f>
        <v>72.038108120488545</v>
      </c>
      <c r="H89">
        <f t="shared" si="98"/>
        <v>146.02318213120412</v>
      </c>
      <c r="I89">
        <f t="shared" si="98"/>
        <v>81.03155622380514</v>
      </c>
      <c r="J89">
        <f t="shared" si="98"/>
        <v>47.975971039734226</v>
      </c>
      <c r="K89">
        <f t="shared" si="98"/>
        <v>56.090901429713178</v>
      </c>
      <c r="L89">
        <f t="shared" si="74"/>
        <v>179.13984735618206</v>
      </c>
      <c r="M89">
        <f t="shared" si="75"/>
        <v>-0.33984735618204809</v>
      </c>
      <c r="N89">
        <f t="shared" si="76"/>
        <v>0.11549622550392787</v>
      </c>
    </row>
    <row r="90" spans="1:14" x14ac:dyDescent="0.45">
      <c r="A90" s="22">
        <v>42745</v>
      </c>
      <c r="B90">
        <v>179.83</v>
      </c>
      <c r="C90">
        <v>180.31</v>
      </c>
      <c r="G90">
        <f t="shared" ref="G90:K90" si="99">SUMPRODUCT($B90:$B94,P$2:P$6)</f>
        <v>72.117687210231296</v>
      </c>
      <c r="H90">
        <f t="shared" si="99"/>
        <v>146.16685765560393</v>
      </c>
      <c r="I90">
        <f t="shared" si="99"/>
        <v>81.10576480171629</v>
      </c>
      <c r="J90">
        <f t="shared" si="99"/>
        <v>48.014978072485079</v>
      </c>
      <c r="K90">
        <f t="shared" si="99"/>
        <v>56.141401528895322</v>
      </c>
      <c r="L90">
        <f t="shared" si="74"/>
        <v>179.30583718256591</v>
      </c>
      <c r="M90">
        <f t="shared" si="75"/>
        <v>0.26416281743408376</v>
      </c>
      <c r="N90">
        <f t="shared" si="76"/>
        <v>6.9781994114713072E-2</v>
      </c>
    </row>
    <row r="91" spans="1:14" x14ac:dyDescent="0.45">
      <c r="A91" s="22">
        <v>42744</v>
      </c>
      <c r="B91">
        <v>178</v>
      </c>
      <c r="C91">
        <v>177.16</v>
      </c>
      <c r="G91">
        <f t="shared" ref="G91:K91" si="100">SUMPRODUCT($B91:$B95,P$2:P$6)</f>
        <v>71.370397465721936</v>
      </c>
      <c r="H91">
        <f t="shared" si="100"/>
        <v>144.64270304467118</v>
      </c>
      <c r="I91">
        <f t="shared" si="100"/>
        <v>80.257041925606273</v>
      </c>
      <c r="J91">
        <f t="shared" si="100"/>
        <v>47.509858214569974</v>
      </c>
      <c r="K91">
        <f t="shared" si="100"/>
        <v>55.553444310301828</v>
      </c>
      <c r="L91">
        <f t="shared" si="74"/>
        <v>177.52412652979703</v>
      </c>
      <c r="M91">
        <f t="shared" si="75"/>
        <v>2.3058734702029824</v>
      </c>
      <c r="N91">
        <f t="shared" si="76"/>
        <v>5.3170524605859439</v>
      </c>
    </row>
    <row r="92" spans="1:14" x14ac:dyDescent="0.45">
      <c r="A92" s="22">
        <v>42741</v>
      </c>
      <c r="B92">
        <v>176.28</v>
      </c>
      <c r="C92">
        <v>176.38</v>
      </c>
      <c r="G92">
        <f t="shared" ref="G92:K92" si="101">SUMPRODUCT($B92:$B96,P$2:P$6)</f>
        <v>70.696921318775551</v>
      </c>
      <c r="H92">
        <f t="shared" si="101"/>
        <v>143.28934468105615</v>
      </c>
      <c r="I92">
        <f t="shared" si="101"/>
        <v>79.509724353526508</v>
      </c>
      <c r="J92">
        <f t="shared" si="101"/>
        <v>47.070687753918847</v>
      </c>
      <c r="K92">
        <f t="shared" si="101"/>
        <v>55.036725789902981</v>
      </c>
      <c r="L92">
        <f t="shared" si="74"/>
        <v>175.94420614316178</v>
      </c>
      <c r="M92">
        <f t="shared" si="75"/>
        <v>2.0557938568382212</v>
      </c>
      <c r="N92">
        <f t="shared" si="76"/>
        <v>4.2262883818137693</v>
      </c>
    </row>
    <row r="93" spans="1:14" x14ac:dyDescent="0.45">
      <c r="A93" s="22">
        <v>42740</v>
      </c>
      <c r="B93">
        <v>172.65</v>
      </c>
      <c r="C93">
        <v>177.47</v>
      </c>
      <c r="G93">
        <f t="shared" ref="G93:K93" si="102">SUMPRODUCT($B93:$B97,P$2:P$6)</f>
        <v>69.258983724664233</v>
      </c>
      <c r="H93">
        <f t="shared" si="102"/>
        <v>140.38766443257771</v>
      </c>
      <c r="I93">
        <f t="shared" si="102"/>
        <v>77.903604792246867</v>
      </c>
      <c r="J93">
        <f t="shared" si="102"/>
        <v>46.123410233608574</v>
      </c>
      <c r="K93">
        <f t="shared" si="102"/>
        <v>53.925595812842047</v>
      </c>
      <c r="L93">
        <f t="shared" si="74"/>
        <v>172.55547016380257</v>
      </c>
      <c r="M93">
        <f t="shared" si="75"/>
        <v>3.7245298361974335</v>
      </c>
      <c r="N93">
        <f t="shared" si="76"/>
        <v>13.872122500724881</v>
      </c>
    </row>
    <row r="94" spans="1:14" x14ac:dyDescent="0.45">
      <c r="A94" s="22">
        <v>42739</v>
      </c>
      <c r="B94">
        <v>169.74</v>
      </c>
      <c r="C94">
        <v>171.96</v>
      </c>
      <c r="G94">
        <f t="shared" ref="G94:K94" si="103">SUMPRODUCT($B94:$B98,P$2:P$6)</f>
        <v>68.109635619996013</v>
      </c>
      <c r="H94">
        <f t="shared" si="103"/>
        <v>138.0707841642708</v>
      </c>
      <c r="I94">
        <f t="shared" si="103"/>
        <v>76.621946247522871</v>
      </c>
      <c r="J94">
        <f t="shared" si="103"/>
        <v>45.368183933579054</v>
      </c>
      <c r="K94">
        <f t="shared" si="103"/>
        <v>53.039053177380048</v>
      </c>
      <c r="L94">
        <f t="shared" si="74"/>
        <v>169.84995372315055</v>
      </c>
      <c r="M94">
        <f t="shared" si="75"/>
        <v>2.8000462768494572</v>
      </c>
      <c r="N94">
        <f t="shared" si="76"/>
        <v>7.8402591524985068</v>
      </c>
    </row>
    <row r="95" spans="1:14" x14ac:dyDescent="0.45">
      <c r="A95" s="22">
        <v>42738</v>
      </c>
      <c r="B95">
        <v>166.3</v>
      </c>
      <c r="C95">
        <v>168.3</v>
      </c>
      <c r="G95">
        <f t="shared" ref="G95:K95" si="104">SUMPRODUCT($B95:$B99,P$2:P$6)</f>
        <v>66.743832516379626</v>
      </c>
      <c r="H95">
        <f t="shared" si="104"/>
        <v>135.31240606387374</v>
      </c>
      <c r="I95">
        <f t="shared" si="104"/>
        <v>75.094435465955428</v>
      </c>
      <c r="J95">
        <f t="shared" si="104"/>
        <v>44.466635486393535</v>
      </c>
      <c r="K95">
        <f t="shared" si="104"/>
        <v>51.982191753373698</v>
      </c>
      <c r="L95">
        <f t="shared" si="74"/>
        <v>166.62833295340991</v>
      </c>
      <c r="M95">
        <f t="shared" si="75"/>
        <v>3.1116670465900995</v>
      </c>
      <c r="N95">
        <f t="shared" si="76"/>
        <v>9.6824718088347517</v>
      </c>
    </row>
    <row r="96" spans="1:14" x14ac:dyDescent="0.45">
      <c r="A96" s="22">
        <v>42734</v>
      </c>
      <c r="B96">
        <v>166.76</v>
      </c>
      <c r="C96">
        <v>164.41</v>
      </c>
      <c r="G96">
        <f t="shared" ref="G96:K96" si="105">SUMPRODUCT($B96:$B100,P$2:P$6)</f>
        <v>66.922170961725314</v>
      </c>
      <c r="H96">
        <f t="shared" si="105"/>
        <v>135.66948206557259</v>
      </c>
      <c r="I96">
        <f t="shared" si="105"/>
        <v>75.291200632768209</v>
      </c>
      <c r="J96">
        <f t="shared" si="105"/>
        <v>44.581895792309254</v>
      </c>
      <c r="K96">
        <f t="shared" si="105"/>
        <v>52.118177738526299</v>
      </c>
      <c r="L96">
        <f t="shared" si="74"/>
        <v>167.0450462560236</v>
      </c>
      <c r="M96">
        <f t="shared" si="75"/>
        <v>-0.74504625602358487</v>
      </c>
      <c r="N96">
        <f t="shared" si="76"/>
        <v>0.55509392361476118</v>
      </c>
    </row>
    <row r="97" spans="1:14" x14ac:dyDescent="0.45">
      <c r="A97" s="22">
        <v>42733</v>
      </c>
      <c r="B97">
        <v>165.61</v>
      </c>
      <c r="C97">
        <v>166.5</v>
      </c>
      <c r="G97">
        <f t="shared" ref="G97:K97" si="106">SUMPRODUCT($B97:$B101,P$2:P$6)</f>
        <v>66.469554805105957</v>
      </c>
      <c r="H97">
        <f t="shared" si="106"/>
        <v>134.75824265770478</v>
      </c>
      <c r="I97">
        <f t="shared" si="106"/>
        <v>74.78748244214195</v>
      </c>
      <c r="J97">
        <f t="shared" si="106"/>
        <v>44.285400928374109</v>
      </c>
      <c r="K97">
        <f t="shared" si="106"/>
        <v>51.769805183694217</v>
      </c>
      <c r="L97">
        <f t="shared" si="74"/>
        <v>165.98107776682605</v>
      </c>
      <c r="M97">
        <f t="shared" si="75"/>
        <v>0.77892223317394382</v>
      </c>
      <c r="N97">
        <f t="shared" si="76"/>
        <v>0.60671984533268375</v>
      </c>
    </row>
    <row r="98" spans="1:14" x14ac:dyDescent="0.45">
      <c r="A98" s="22">
        <v>42732</v>
      </c>
      <c r="B98">
        <v>165.12</v>
      </c>
      <c r="C98">
        <v>165.54</v>
      </c>
      <c r="G98">
        <f t="shared" ref="G98:K98" si="107">SUMPRODUCT($B98:$B102,P$2:P$6)</f>
        <v>66.290045985782186</v>
      </c>
      <c r="H98">
        <f t="shared" si="107"/>
        <v>134.40654511455335</v>
      </c>
      <c r="I98">
        <f t="shared" si="107"/>
        <v>74.596127077532017</v>
      </c>
      <c r="J98">
        <f t="shared" si="107"/>
        <v>44.175504573400687</v>
      </c>
      <c r="K98">
        <f t="shared" si="107"/>
        <v>51.637947450884838</v>
      </c>
      <c r="L98">
        <f t="shared" si="74"/>
        <v>165.57146894546028</v>
      </c>
      <c r="M98">
        <f t="shared" si="75"/>
        <v>3.8531054539731713E-2</v>
      </c>
      <c r="N98">
        <f t="shared" si="76"/>
        <v>1.4846421639437798E-3</v>
      </c>
    </row>
    <row r="99" spans="1:14" x14ac:dyDescent="0.45">
      <c r="A99" s="22">
        <v>42731</v>
      </c>
      <c r="B99">
        <v>163.63</v>
      </c>
      <c r="C99">
        <v>164.77</v>
      </c>
      <c r="G99">
        <f t="shared" ref="G99:K99" si="108">SUMPRODUCT($B99:$B103,P$2:P$6)</f>
        <v>65.697722353499842</v>
      </c>
      <c r="H99">
        <f t="shared" si="108"/>
        <v>133.20975353513467</v>
      </c>
      <c r="I99">
        <f t="shared" si="108"/>
        <v>73.933210649119872</v>
      </c>
      <c r="J99">
        <f t="shared" si="108"/>
        <v>43.784098077899117</v>
      </c>
      <c r="K99">
        <f t="shared" si="108"/>
        <v>51.179259312916493</v>
      </c>
      <c r="L99">
        <f t="shared" si="74"/>
        <v>164.17363162794391</v>
      </c>
      <c r="M99">
        <f t="shared" si="75"/>
        <v>0.94636837205609936</v>
      </c>
      <c r="N99">
        <f t="shared" si="76"/>
        <v>0.89561309562811175</v>
      </c>
    </row>
    <row r="100" spans="1:14" x14ac:dyDescent="0.45">
      <c r="A100" s="22">
        <v>42727</v>
      </c>
      <c r="B100">
        <v>163.28</v>
      </c>
      <c r="C100">
        <v>163.62</v>
      </c>
      <c r="G100">
        <f t="shared" ref="G100:K100" si="109">SUMPRODUCT($B100:$B104,P$2:P$6)</f>
        <v>65.561354294032597</v>
      </c>
      <c r="H100">
        <f t="shared" si="109"/>
        <v>132.93621466403459</v>
      </c>
      <c r="I100">
        <f t="shared" si="109"/>
        <v>73.782319539128551</v>
      </c>
      <c r="J100">
        <f t="shared" si="109"/>
        <v>43.6955666124149</v>
      </c>
      <c r="K100">
        <f t="shared" si="109"/>
        <v>51.074952838406958</v>
      </c>
      <c r="L100">
        <f t="shared" si="74"/>
        <v>163.85435321156777</v>
      </c>
      <c r="M100">
        <f t="shared" si="75"/>
        <v>-0.22435321156777377</v>
      </c>
      <c r="N100">
        <f t="shared" si="76"/>
        <v>5.0334363540774259E-2</v>
      </c>
    </row>
    <row r="101" spans="1:14" x14ac:dyDescent="0.45">
      <c r="A101" s="22">
        <v>42726</v>
      </c>
      <c r="B101">
        <v>163.29</v>
      </c>
      <c r="C101">
        <v>162.88999999999999</v>
      </c>
      <c r="G101">
        <f t="shared" ref="G101:K101" si="110">SUMPRODUCT($B101:$B105,P$2:P$6)</f>
        <v>65.580782941888955</v>
      </c>
      <c r="H101">
        <f t="shared" si="110"/>
        <v>132.98659237077698</v>
      </c>
      <c r="I101">
        <f t="shared" si="110"/>
        <v>73.813717493116755</v>
      </c>
      <c r="J101">
        <f t="shared" si="110"/>
        <v>43.717226975389252</v>
      </c>
      <c r="K101">
        <f t="shared" si="110"/>
        <v>51.097228011633824</v>
      </c>
      <c r="L101">
        <f t="shared" si="74"/>
        <v>163.91437690774796</v>
      </c>
      <c r="M101">
        <f t="shared" si="75"/>
        <v>-0.63437690774796351</v>
      </c>
      <c r="N101">
        <f t="shared" si="76"/>
        <v>0.4024340610838682</v>
      </c>
    </row>
    <row r="102" spans="1:14" x14ac:dyDescent="0.45">
      <c r="A102" s="22">
        <v>42725</v>
      </c>
      <c r="B102">
        <v>165</v>
      </c>
      <c r="C102">
        <v>163.92</v>
      </c>
      <c r="G102">
        <f t="shared" ref="G102:K102" si="111">SUMPRODUCT($B102:$B106,P$2:P$6)</f>
        <v>66.275747901434414</v>
      </c>
      <c r="H102">
        <f t="shared" si="111"/>
        <v>134.4016995363819</v>
      </c>
      <c r="I102">
        <f t="shared" si="111"/>
        <v>74.600993661699775</v>
      </c>
      <c r="J102">
        <f t="shared" si="111"/>
        <v>44.185129422789117</v>
      </c>
      <c r="K102">
        <f t="shared" si="111"/>
        <v>51.642505354491789</v>
      </c>
      <c r="L102">
        <f t="shared" si="74"/>
        <v>165.5683673334029</v>
      </c>
      <c r="M102">
        <f t="shared" si="75"/>
        <v>-2.2783673334029118</v>
      </c>
      <c r="N102">
        <f t="shared" si="76"/>
        <v>5.1909577059174952</v>
      </c>
    </row>
    <row r="103" spans="1:14" x14ac:dyDescent="0.45">
      <c r="A103" s="22">
        <v>42724</v>
      </c>
      <c r="B103">
        <v>164.26</v>
      </c>
      <c r="C103">
        <v>165.28</v>
      </c>
      <c r="G103">
        <f t="shared" ref="G103:K103" si="112">SUMPRODUCT($B103:$B107,P$2:P$6)</f>
        <v>65.997672200155847</v>
      </c>
      <c r="H103">
        <f t="shared" si="112"/>
        <v>133.85143362211574</v>
      </c>
      <c r="I103">
        <f t="shared" si="112"/>
        <v>74.299833561053873</v>
      </c>
      <c r="J103">
        <f t="shared" si="112"/>
        <v>44.010569958596186</v>
      </c>
      <c r="K103">
        <f t="shared" si="112"/>
        <v>51.434698972054299</v>
      </c>
      <c r="L103">
        <f t="shared" si="74"/>
        <v>164.92689654746582</v>
      </c>
      <c r="M103">
        <f t="shared" si="75"/>
        <v>7.3103452534184044E-2</v>
      </c>
      <c r="N103">
        <f t="shared" si="76"/>
        <v>5.3441147724176997E-3</v>
      </c>
    </row>
    <row r="104" spans="1:14" x14ac:dyDescent="0.45">
      <c r="A104" s="22">
        <v>42723</v>
      </c>
      <c r="B104">
        <v>164.44</v>
      </c>
      <c r="C104">
        <v>163.69</v>
      </c>
      <c r="G104">
        <f t="shared" ref="G104:K104" si="113">SUMPRODUCT($B104:$B108,P$2:P$6)</f>
        <v>66.05624646316555</v>
      </c>
      <c r="H104">
        <f t="shared" si="113"/>
        <v>133.96043810449567</v>
      </c>
      <c r="I104">
        <f t="shared" si="113"/>
        <v>74.357278164931245</v>
      </c>
      <c r="J104">
        <f t="shared" si="113"/>
        <v>44.041868732789304</v>
      </c>
      <c r="K104">
        <f t="shared" si="113"/>
        <v>51.473982161960009</v>
      </c>
      <c r="L104">
        <f t="shared" si="74"/>
        <v>165.05321943786339</v>
      </c>
      <c r="M104">
        <f t="shared" si="75"/>
        <v>-0.79321943786339943</v>
      </c>
      <c r="N104">
        <f t="shared" si="76"/>
        <v>0.62919707660432744</v>
      </c>
    </row>
    <row r="105" spans="1:14" x14ac:dyDescent="0.45">
      <c r="A105" s="22">
        <v>42720</v>
      </c>
      <c r="B105">
        <v>166.42</v>
      </c>
      <c r="C105">
        <v>164.93</v>
      </c>
      <c r="G105">
        <f t="shared" ref="G105:K105" si="114">SUMPRODUCT($B105:$B109,P$2:P$6)</f>
        <v>66.830191969375022</v>
      </c>
      <c r="H105">
        <f t="shared" si="114"/>
        <v>135.51471731401719</v>
      </c>
      <c r="I105">
        <f t="shared" si="114"/>
        <v>75.21523458400182</v>
      </c>
      <c r="J105">
        <f t="shared" si="114"/>
        <v>44.545775264189096</v>
      </c>
      <c r="K105">
        <f t="shared" si="114"/>
        <v>52.067152352802516</v>
      </c>
      <c r="L105">
        <f t="shared" si="74"/>
        <v>166.86759018137454</v>
      </c>
      <c r="M105">
        <f t="shared" si="75"/>
        <v>-2.4275901813745406</v>
      </c>
      <c r="N105">
        <f t="shared" si="76"/>
        <v>5.8931940887060748</v>
      </c>
    </row>
    <row r="106" spans="1:14" x14ac:dyDescent="0.45">
      <c r="A106" s="22">
        <v>42719</v>
      </c>
      <c r="B106">
        <v>169.21</v>
      </c>
      <c r="C106">
        <v>165.78</v>
      </c>
      <c r="G106">
        <f t="shared" ref="G106:K106" si="115">SUMPRODUCT($B106:$B110,P$2:P$6)</f>
        <v>67.927372201831915</v>
      </c>
      <c r="H106">
        <f t="shared" si="115"/>
        <v>137.72298043336997</v>
      </c>
      <c r="I106">
        <f t="shared" si="115"/>
        <v>76.435719669470146</v>
      </c>
      <c r="J106">
        <f t="shared" si="115"/>
        <v>45.263978124382618</v>
      </c>
      <c r="K106">
        <f t="shared" si="115"/>
        <v>52.911209494163714</v>
      </c>
      <c r="L106">
        <f t="shared" si="74"/>
        <v>169.4459007064452</v>
      </c>
      <c r="M106">
        <f t="shared" si="75"/>
        <v>-3.0259007064452135</v>
      </c>
      <c r="N106">
        <f t="shared" si="76"/>
        <v>9.1560750852656412</v>
      </c>
    </row>
    <row r="107" spans="1:14" x14ac:dyDescent="0.45">
      <c r="A107" s="22">
        <v>42718</v>
      </c>
      <c r="B107">
        <v>170.9</v>
      </c>
      <c r="C107">
        <v>169.83</v>
      </c>
      <c r="G107">
        <f t="shared" ref="G107:K107" si="116">SUMPRODUCT($B107:$B111,P$2:P$6)</f>
        <v>68.595999003948435</v>
      </c>
      <c r="H107">
        <f t="shared" si="116"/>
        <v>139.0716372604447</v>
      </c>
      <c r="I107">
        <f t="shared" si="116"/>
        <v>77.182032103692364</v>
      </c>
      <c r="J107">
        <f t="shared" si="116"/>
        <v>45.703977371694634</v>
      </c>
      <c r="K107">
        <f t="shared" si="116"/>
        <v>53.42748798147575</v>
      </c>
      <c r="L107">
        <f t="shared" si="74"/>
        <v>171.02086980934675</v>
      </c>
      <c r="M107">
        <f t="shared" si="75"/>
        <v>-1.810869809346741</v>
      </c>
      <c r="N107">
        <f t="shared" si="76"/>
        <v>3.2792494664035021</v>
      </c>
    </row>
    <row r="108" spans="1:14" x14ac:dyDescent="0.45">
      <c r="A108" s="22">
        <v>42717</v>
      </c>
      <c r="B108">
        <v>169.33</v>
      </c>
      <c r="C108">
        <v>171.46</v>
      </c>
      <c r="G108">
        <f t="shared" ref="G108:K108" si="117">SUMPRODUCT($B108:$B112,P$2:P$6)</f>
        <v>67.951528088300563</v>
      </c>
      <c r="H108">
        <f t="shared" si="117"/>
        <v>137.75483883438295</v>
      </c>
      <c r="I108">
        <f t="shared" si="117"/>
        <v>76.448044031105823</v>
      </c>
      <c r="J108">
        <f t="shared" si="117"/>
        <v>45.266496943681666</v>
      </c>
      <c r="K108">
        <f t="shared" si="117"/>
        <v>52.918898453878235</v>
      </c>
      <c r="L108">
        <f t="shared" si="74"/>
        <v>169.48130830706179</v>
      </c>
      <c r="M108">
        <f t="shared" si="75"/>
        <v>1.4186916929382107</v>
      </c>
      <c r="N108">
        <f t="shared" si="76"/>
        <v>2.0126861196118866</v>
      </c>
    </row>
    <row r="109" spans="1:14" x14ac:dyDescent="0.45">
      <c r="A109" s="22">
        <v>42716</v>
      </c>
      <c r="B109">
        <v>168.63</v>
      </c>
      <c r="C109">
        <v>168.48</v>
      </c>
      <c r="G109">
        <f t="shared" ref="G109:K109" si="118">SUMPRODUCT($B109:$B113,P$2:P$6)</f>
        <v>67.671828107091017</v>
      </c>
      <c r="H109">
        <f t="shared" si="118"/>
        <v>137.18867841167929</v>
      </c>
      <c r="I109">
        <f t="shared" si="118"/>
        <v>76.134118124875187</v>
      </c>
      <c r="J109">
        <f t="shared" si="118"/>
        <v>45.080853887541849</v>
      </c>
      <c r="K109">
        <f t="shared" si="118"/>
        <v>52.701634949564195</v>
      </c>
      <c r="L109">
        <f t="shared" si="74"/>
        <v>168.819929635048</v>
      </c>
      <c r="M109">
        <f t="shared" si="75"/>
        <v>0.51007036495201419</v>
      </c>
      <c r="N109">
        <f t="shared" si="76"/>
        <v>0.26017177720228096</v>
      </c>
    </row>
    <row r="110" spans="1:14" x14ac:dyDescent="0.45">
      <c r="A110" s="22">
        <v>42713</v>
      </c>
      <c r="B110">
        <v>168.49</v>
      </c>
      <c r="C110">
        <v>170.82</v>
      </c>
      <c r="G110">
        <f t="shared" ref="G110:K110" si="119">SUMPRODUCT($B110:$B114,P$2:P$6)</f>
        <v>67.590976635792956</v>
      </c>
      <c r="H110">
        <f t="shared" si="119"/>
        <v>137.00718111382275</v>
      </c>
      <c r="I110">
        <f t="shared" si="119"/>
        <v>76.027890453725448</v>
      </c>
      <c r="J110">
        <f t="shared" si="119"/>
        <v>45.013041537279733</v>
      </c>
      <c r="K110">
        <f t="shared" si="119"/>
        <v>52.627234736936998</v>
      </c>
      <c r="L110">
        <f t="shared" si="74"/>
        <v>168.60601442080724</v>
      </c>
      <c r="M110">
        <f t="shared" si="75"/>
        <v>2.3985579192753903E-2</v>
      </c>
      <c r="N110">
        <f t="shared" si="76"/>
        <v>5.7530800921186897E-4</v>
      </c>
    </row>
    <row r="111" spans="1:14" x14ac:dyDescent="0.45">
      <c r="A111" s="22">
        <v>42712</v>
      </c>
      <c r="B111">
        <v>168.92</v>
      </c>
      <c r="C111">
        <v>167.75</v>
      </c>
      <c r="G111">
        <f t="shared" ref="G111:K111" si="120">SUMPRODUCT($B111:$B115,P$2:P$6)</f>
        <v>67.769866201757452</v>
      </c>
      <c r="H111">
        <f t="shared" si="120"/>
        <v>137.37435299000612</v>
      </c>
      <c r="I111">
        <f t="shared" si="120"/>
        <v>76.233067373047291</v>
      </c>
      <c r="J111">
        <f t="shared" si="120"/>
        <v>45.135786371517078</v>
      </c>
      <c r="K111">
        <f t="shared" si="120"/>
        <v>52.769487303390186</v>
      </c>
      <c r="L111">
        <f t="shared" si="74"/>
        <v>169.03547378161207</v>
      </c>
      <c r="M111">
        <f t="shared" si="75"/>
        <v>-0.54547378161205984</v>
      </c>
      <c r="N111">
        <f t="shared" si="76"/>
        <v>0.29754164642616115</v>
      </c>
    </row>
    <row r="112" spans="1:14" x14ac:dyDescent="0.45">
      <c r="A112" s="22">
        <v>42711</v>
      </c>
      <c r="B112">
        <v>165.54</v>
      </c>
      <c r="C112">
        <v>169.33</v>
      </c>
      <c r="G112">
        <f t="shared" ref="G112:K112" si="121">SUMPRODUCT($B112:$B116,P$2:P$6)</f>
        <v>66.475094517689413</v>
      </c>
      <c r="H112">
        <f t="shared" si="121"/>
        <v>134.7934524589468</v>
      </c>
      <c r="I112">
        <f t="shared" si="121"/>
        <v>74.814527507490268</v>
      </c>
      <c r="J112">
        <f t="shared" si="121"/>
        <v>44.308107885692024</v>
      </c>
      <c r="K112">
        <f t="shared" si="121"/>
        <v>51.789708293559499</v>
      </c>
      <c r="L112">
        <f t="shared" si="74"/>
        <v>166.02475635987133</v>
      </c>
      <c r="M112">
        <f t="shared" si="75"/>
        <v>2.8952436401286548</v>
      </c>
      <c r="N112">
        <f t="shared" si="76"/>
        <v>8.3824357357054229</v>
      </c>
    </row>
    <row r="113" spans="1:14" x14ac:dyDescent="0.45">
      <c r="A113" s="22">
        <v>42710</v>
      </c>
      <c r="B113">
        <v>165.01</v>
      </c>
      <c r="C113">
        <v>165.17</v>
      </c>
      <c r="G113">
        <f t="shared" ref="G113:K113" si="122">SUMPRODUCT($B113:$B117,P$2:P$6)</f>
        <v>66.285785819569298</v>
      </c>
      <c r="H113">
        <f t="shared" si="122"/>
        <v>134.4263454630819</v>
      </c>
      <c r="I113">
        <f t="shared" si="122"/>
        <v>74.616015739874314</v>
      </c>
      <c r="J113">
        <f t="shared" si="122"/>
        <v>44.19522254891195</v>
      </c>
      <c r="K113">
        <f t="shared" si="122"/>
        <v>51.653116904191855</v>
      </c>
      <c r="L113">
        <f t="shared" si="74"/>
        <v>165.59761757764872</v>
      </c>
      <c r="M113">
        <f t="shared" si="75"/>
        <v>-5.7617577648727547E-2</v>
      </c>
      <c r="N113">
        <f t="shared" si="76"/>
        <v>3.3197852541071481E-3</v>
      </c>
    </row>
    <row r="114" spans="1:14" x14ac:dyDescent="0.45">
      <c r="A114" s="22">
        <v>42709</v>
      </c>
      <c r="B114">
        <v>161.72</v>
      </c>
      <c r="C114">
        <v>164.32</v>
      </c>
      <c r="G114">
        <f t="shared" ref="G114:K114" si="123">SUMPRODUCT($B114:$B118,P$2:P$6)</f>
        <v>64.959549365944284</v>
      </c>
      <c r="H114">
        <f t="shared" si="123"/>
        <v>131.73347023125348</v>
      </c>
      <c r="I114">
        <f t="shared" si="123"/>
        <v>73.120252284906755</v>
      </c>
      <c r="J114">
        <f t="shared" si="123"/>
        <v>43.308372149655497</v>
      </c>
      <c r="K114">
        <f t="shared" si="123"/>
        <v>50.617506051125112</v>
      </c>
      <c r="L114">
        <f t="shared" si="74"/>
        <v>162.45096840013997</v>
      </c>
      <c r="M114">
        <f t="shared" si="75"/>
        <v>2.5590315998600204</v>
      </c>
      <c r="N114">
        <f t="shared" si="76"/>
        <v>6.5486427290821352</v>
      </c>
    </row>
    <row r="115" spans="1:14" x14ac:dyDescent="0.45">
      <c r="A115" s="22">
        <v>42706</v>
      </c>
      <c r="B115">
        <v>162.94999999999999</v>
      </c>
      <c r="C115">
        <v>161.66999999999999</v>
      </c>
      <c r="G115">
        <f t="shared" ref="G115:K115" si="124">SUMPRODUCT($B115:$B119,P$2:P$6)</f>
        <v>65.436851992254148</v>
      </c>
      <c r="H115">
        <f t="shared" si="124"/>
        <v>132.68946638522476</v>
      </c>
      <c r="I115">
        <f t="shared" si="124"/>
        <v>73.647153088195935</v>
      </c>
      <c r="J115">
        <f t="shared" si="124"/>
        <v>43.617116084926415</v>
      </c>
      <c r="K115">
        <f t="shared" si="124"/>
        <v>50.981663785828658</v>
      </c>
      <c r="L115">
        <f t="shared" si="74"/>
        <v>163.56666672160102</v>
      </c>
      <c r="M115">
        <f t="shared" si="75"/>
        <v>-1.8466667216010251</v>
      </c>
      <c r="N115">
        <f t="shared" si="76"/>
        <v>3.4101779806686778</v>
      </c>
    </row>
    <row r="116" spans="1:14" x14ac:dyDescent="0.45">
      <c r="A116" s="22">
        <v>42705</v>
      </c>
      <c r="B116">
        <v>167.52</v>
      </c>
      <c r="C116">
        <v>163.08000000000001</v>
      </c>
      <c r="G116">
        <f t="shared" ref="G116:K116" si="125">SUMPRODUCT($B116:$B120,P$2:P$6)</f>
        <v>67.234802180609393</v>
      </c>
      <c r="H116">
        <f t="shared" si="125"/>
        <v>136.30871413480619</v>
      </c>
      <c r="I116">
        <f t="shared" si="125"/>
        <v>75.647653855142721</v>
      </c>
      <c r="J116">
        <f t="shared" si="125"/>
        <v>44.794483400103104</v>
      </c>
      <c r="K116">
        <f t="shared" si="125"/>
        <v>52.365188686856179</v>
      </c>
      <c r="L116">
        <f t="shared" si="74"/>
        <v>167.79246660632441</v>
      </c>
      <c r="M116">
        <f t="shared" si="75"/>
        <v>-4.8424666063244217</v>
      </c>
      <c r="N116">
        <f t="shared" si="76"/>
        <v>23.449482833367163</v>
      </c>
    </row>
    <row r="117" spans="1:14" x14ac:dyDescent="0.45">
      <c r="A117" s="22">
        <v>42704</v>
      </c>
      <c r="B117">
        <v>169.99</v>
      </c>
      <c r="C117">
        <v>166.95</v>
      </c>
      <c r="G117">
        <f t="shared" ref="G117:K117" si="126">SUMPRODUCT($B117:$B121,P$2:P$6)</f>
        <v>68.194276875822538</v>
      </c>
      <c r="H117">
        <f t="shared" si="126"/>
        <v>138.23119116988363</v>
      </c>
      <c r="I117">
        <f t="shared" si="126"/>
        <v>76.707465827733145</v>
      </c>
      <c r="J117">
        <f t="shared" si="126"/>
        <v>45.415698074442247</v>
      </c>
      <c r="K117">
        <f t="shared" si="126"/>
        <v>53.097700796206567</v>
      </c>
      <c r="L117">
        <f t="shared" si="74"/>
        <v>170.0361785791942</v>
      </c>
      <c r="M117">
        <f t="shared" si="75"/>
        <v>-2.5161785791941895</v>
      </c>
      <c r="N117">
        <f t="shared" si="76"/>
        <v>6.3311546423956901</v>
      </c>
    </row>
    <row r="118" spans="1:14" x14ac:dyDescent="0.45">
      <c r="A118" s="22">
        <v>42703</v>
      </c>
      <c r="B118">
        <v>166.01</v>
      </c>
      <c r="C118">
        <v>169.18</v>
      </c>
      <c r="G118">
        <f t="shared" ref="G118:K118" si="127">SUMPRODUCT($B118:$B122,P$2:P$6)</f>
        <v>66.659952492042223</v>
      </c>
      <c r="H118">
        <f t="shared" si="127"/>
        <v>135.16553179925788</v>
      </c>
      <c r="I118">
        <f t="shared" si="127"/>
        <v>75.020177807939547</v>
      </c>
      <c r="J118">
        <f t="shared" si="127"/>
        <v>44.429132516228265</v>
      </c>
      <c r="K118">
        <f t="shared" si="127"/>
        <v>51.931931975670636</v>
      </c>
      <c r="L118">
        <f t="shared" si="74"/>
        <v>166.45918870072822</v>
      </c>
      <c r="M118">
        <f t="shared" si="75"/>
        <v>3.5308112992717895</v>
      </c>
      <c r="N118">
        <f t="shared" si="76"/>
        <v>12.466628431065342</v>
      </c>
    </row>
    <row r="119" spans="1:14" x14ac:dyDescent="0.45">
      <c r="A119" s="22">
        <v>42702</v>
      </c>
      <c r="B119">
        <v>165.13</v>
      </c>
      <c r="C119">
        <v>167</v>
      </c>
      <c r="G119">
        <f t="shared" ref="G119:K119" si="128">SUMPRODUCT($B119:$B123,P$2:P$6)</f>
        <v>66.293983620920514</v>
      </c>
      <c r="H119">
        <f t="shared" si="128"/>
        <v>134.41447202700058</v>
      </c>
      <c r="I119">
        <f t="shared" si="128"/>
        <v>74.600510106358811</v>
      </c>
      <c r="J119">
        <f t="shared" si="128"/>
        <v>44.178088889268544</v>
      </c>
      <c r="K119">
        <f t="shared" si="128"/>
        <v>51.640977678865035</v>
      </c>
      <c r="L119">
        <f t="shared" si="74"/>
        <v>165.58072604031585</v>
      </c>
      <c r="M119">
        <f t="shared" si="75"/>
        <v>0.42927395968413862</v>
      </c>
      <c r="N119">
        <f t="shared" si="76"/>
        <v>0.18427613246289948</v>
      </c>
    </row>
    <row r="120" spans="1:14" x14ac:dyDescent="0.45">
      <c r="A120" s="22">
        <v>42699</v>
      </c>
      <c r="B120">
        <v>165</v>
      </c>
      <c r="C120">
        <v>164.44</v>
      </c>
      <c r="G120">
        <f t="shared" ref="G120:K120" si="129">SUMPRODUCT($B120:$B124,P$2:P$6)</f>
        <v>66.250085047260029</v>
      </c>
      <c r="H120">
        <f t="shared" si="129"/>
        <v>134.33137734867105</v>
      </c>
      <c r="I120">
        <f t="shared" si="129"/>
        <v>74.556240091699493</v>
      </c>
      <c r="J120">
        <f t="shared" si="129"/>
        <v>44.153521852915731</v>
      </c>
      <c r="K120">
        <f t="shared" si="129"/>
        <v>51.610624730932194</v>
      </c>
      <c r="L120">
        <f t="shared" si="74"/>
        <v>165.48426689808838</v>
      </c>
      <c r="M120">
        <f t="shared" si="75"/>
        <v>-0.35426689808838319</v>
      </c>
      <c r="N120">
        <f t="shared" si="76"/>
        <v>0.12550503508116487</v>
      </c>
    </row>
    <row r="121" spans="1:14" x14ac:dyDescent="0.45">
      <c r="A121" s="22">
        <v>42697</v>
      </c>
      <c r="B121">
        <v>163.36000000000001</v>
      </c>
      <c r="C121">
        <v>163.63</v>
      </c>
      <c r="G121">
        <f t="shared" ref="G121:K121" si="130">SUMPRODUCT($B121:$B125,P$2:P$6)</f>
        <v>65.616867765231703</v>
      </c>
      <c r="H121">
        <f t="shared" si="130"/>
        <v>133.06544396557845</v>
      </c>
      <c r="I121">
        <f t="shared" si="130"/>
        <v>73.859261025028971</v>
      </c>
      <c r="J121">
        <f t="shared" si="130"/>
        <v>43.745788088034473</v>
      </c>
      <c r="K121">
        <f t="shared" si="130"/>
        <v>51.129033702751499</v>
      </c>
      <c r="L121">
        <f t="shared" si="74"/>
        <v>164.00710740279555</v>
      </c>
      <c r="M121">
        <f t="shared" si="75"/>
        <v>0.99289259720444534</v>
      </c>
      <c r="N121">
        <f t="shared" si="76"/>
        <v>0.98583570958338895</v>
      </c>
    </row>
    <row r="122" spans="1:14" x14ac:dyDescent="0.45">
      <c r="A122" s="22">
        <v>42696</v>
      </c>
      <c r="B122">
        <v>167.5</v>
      </c>
      <c r="C122">
        <v>164.47</v>
      </c>
      <c r="G122">
        <f t="shared" ref="G122:K122" si="131">SUMPRODUCT($B122:$B126,P$2:P$6)</f>
        <v>67.220746199470369</v>
      </c>
      <c r="H122">
        <f t="shared" si="131"/>
        <v>136.27592091830701</v>
      </c>
      <c r="I122">
        <f t="shared" si="131"/>
        <v>75.628109083162911</v>
      </c>
      <c r="J122">
        <f t="shared" si="131"/>
        <v>44.781710073328441</v>
      </c>
      <c r="K122">
        <f t="shared" si="131"/>
        <v>52.351449814986601</v>
      </c>
      <c r="L122">
        <f t="shared" si="74"/>
        <v>167.75369727195735</v>
      </c>
      <c r="M122">
        <f t="shared" si="75"/>
        <v>-4.3936972719573362</v>
      </c>
      <c r="N122">
        <f t="shared" si="76"/>
        <v>19.304575717605339</v>
      </c>
    </row>
    <row r="123" spans="1:14" x14ac:dyDescent="0.45">
      <c r="A123" s="22">
        <v>42695</v>
      </c>
      <c r="B123">
        <v>165</v>
      </c>
      <c r="C123">
        <v>165.69</v>
      </c>
      <c r="G123">
        <f t="shared" ref="G123:K123" si="132">SUMPRODUCT($B123:$B127,P$2:P$6)</f>
        <v>66.234907755729495</v>
      </c>
      <c r="H123">
        <f t="shared" si="132"/>
        <v>134.28978640460804</v>
      </c>
      <c r="I123">
        <f t="shared" si="132"/>
        <v>74.529772259237532</v>
      </c>
      <c r="J123">
        <f t="shared" si="132"/>
        <v>44.134828995060332</v>
      </c>
      <c r="K123">
        <f t="shared" si="132"/>
        <v>51.59176850912759</v>
      </c>
      <c r="L123">
        <f t="shared" si="74"/>
        <v>165.43452757386282</v>
      </c>
      <c r="M123">
        <f t="shared" si="75"/>
        <v>2.0654724261371769</v>
      </c>
      <c r="N123">
        <f t="shared" si="76"/>
        <v>4.2661763431329955</v>
      </c>
    </row>
    <row r="124" spans="1:14" x14ac:dyDescent="0.45">
      <c r="A124" s="22">
        <v>42692</v>
      </c>
      <c r="B124">
        <v>165.93</v>
      </c>
      <c r="C124">
        <v>164.38</v>
      </c>
      <c r="G124">
        <f t="shared" ref="G124:K124" si="133">SUMPRODUCT($B124:$B128,P$2:P$6)</f>
        <v>66.574554962967966</v>
      </c>
      <c r="H124">
        <f t="shared" si="133"/>
        <v>134.9544079707359</v>
      </c>
      <c r="I124">
        <f t="shared" si="133"/>
        <v>74.891120995671358</v>
      </c>
      <c r="J124">
        <f t="shared" si="133"/>
        <v>44.342108003931678</v>
      </c>
      <c r="K124">
        <f t="shared" si="133"/>
        <v>51.840721901363715</v>
      </c>
      <c r="L124">
        <f t="shared" si="74"/>
        <v>166.20849689080077</v>
      </c>
      <c r="M124">
        <f t="shared" si="75"/>
        <v>-1.2084968908007738</v>
      </c>
      <c r="N124">
        <f t="shared" si="76"/>
        <v>1.4604647350751374</v>
      </c>
    </row>
    <row r="125" spans="1:14" x14ac:dyDescent="0.45">
      <c r="A125" s="22">
        <v>42691</v>
      </c>
      <c r="B125">
        <v>167.51</v>
      </c>
      <c r="C125">
        <v>166.21</v>
      </c>
      <c r="G125">
        <f t="shared" ref="G125:K125" si="134">SUMPRODUCT($B125:$B129,P$2:P$6)</f>
        <v>67.210441739558419</v>
      </c>
      <c r="H125">
        <f t="shared" si="134"/>
        <v>136.24482473982204</v>
      </c>
      <c r="I125">
        <f t="shared" si="134"/>
        <v>75.60765643674786</v>
      </c>
      <c r="J125">
        <f t="shared" si="134"/>
        <v>44.766742544141138</v>
      </c>
      <c r="K125">
        <f t="shared" si="134"/>
        <v>52.336790046818955</v>
      </c>
      <c r="L125">
        <f t="shared" si="74"/>
        <v>167.71628220110355</v>
      </c>
      <c r="M125">
        <f t="shared" si="75"/>
        <v>-1.7862822011035462</v>
      </c>
      <c r="N125">
        <f t="shared" si="76"/>
        <v>3.1908041019793298</v>
      </c>
    </row>
    <row r="126" spans="1:14" x14ac:dyDescent="0.45">
      <c r="A126" s="22">
        <v>42690</v>
      </c>
      <c r="B126">
        <v>164.21</v>
      </c>
      <c r="C126">
        <v>166.74</v>
      </c>
      <c r="G126">
        <f t="shared" ref="G126:K126" si="135">SUMPRODUCT($B126:$B130,P$2:P$6)</f>
        <v>65.962418695914408</v>
      </c>
      <c r="H126">
        <f t="shared" si="135"/>
        <v>133.76913746916603</v>
      </c>
      <c r="I126">
        <f t="shared" si="135"/>
        <v>74.250773630407934</v>
      </c>
      <c r="J126">
        <f t="shared" si="135"/>
        <v>43.978488032523764</v>
      </c>
      <c r="K126">
        <f t="shared" si="135"/>
        <v>51.400205826263154</v>
      </c>
      <c r="L126">
        <f t="shared" si="74"/>
        <v>164.8295967942243</v>
      </c>
      <c r="M126">
        <f t="shared" si="75"/>
        <v>2.6804032057756899</v>
      </c>
      <c r="N126">
        <f t="shared" si="76"/>
        <v>7.1845613455325958</v>
      </c>
    </row>
    <row r="127" spans="1:14" x14ac:dyDescent="0.45">
      <c r="A127" s="22">
        <v>42689</v>
      </c>
      <c r="B127">
        <v>163.99</v>
      </c>
      <c r="C127">
        <v>164.44</v>
      </c>
      <c r="G127">
        <f t="shared" ref="G127:K127" si="136">SUMPRODUCT($B127:$B131,P$2:P$6)</f>
        <v>65.856959972308005</v>
      </c>
      <c r="H127">
        <f t="shared" si="136"/>
        <v>133.54310035801211</v>
      </c>
      <c r="I127">
        <f t="shared" si="136"/>
        <v>74.121500430301438</v>
      </c>
      <c r="J127">
        <f t="shared" si="136"/>
        <v>43.898529539241942</v>
      </c>
      <c r="K127">
        <f t="shared" si="136"/>
        <v>51.310117667082132</v>
      </c>
      <c r="L127">
        <f t="shared" si="74"/>
        <v>164.56421178461829</v>
      </c>
      <c r="M127">
        <f t="shared" si="75"/>
        <v>-0.35421178461828617</v>
      </c>
      <c r="N127">
        <f t="shared" si="76"/>
        <v>0.12546598836247116</v>
      </c>
    </row>
    <row r="128" spans="1:14" x14ac:dyDescent="0.45">
      <c r="A128" s="22">
        <v>42688</v>
      </c>
      <c r="B128">
        <v>160.61000000000001</v>
      </c>
      <c r="C128">
        <v>161.72999999999999</v>
      </c>
      <c r="G128">
        <f t="shared" ref="G128:K128" si="137">SUMPRODUCT($B128:$B132,P$2:P$6)</f>
        <v>64.566336498710555</v>
      </c>
      <c r="H128">
        <f t="shared" si="137"/>
        <v>130.97356862381667</v>
      </c>
      <c r="I128">
        <f t="shared" si="137"/>
        <v>72.710193028163957</v>
      </c>
      <c r="J128">
        <f t="shared" si="137"/>
        <v>43.075963114069417</v>
      </c>
      <c r="K128">
        <f t="shared" si="137"/>
        <v>50.335490047758242</v>
      </c>
      <c r="L128">
        <f t="shared" si="74"/>
        <v>161.56708929775672</v>
      </c>
      <c r="M128">
        <f t="shared" si="75"/>
        <v>2.4229107022432856</v>
      </c>
      <c r="N128">
        <f t="shared" si="76"/>
        <v>5.8704962710450515</v>
      </c>
    </row>
    <row r="129" spans="1:14" x14ac:dyDescent="0.45">
      <c r="A129" s="22">
        <v>42685</v>
      </c>
      <c r="B129">
        <v>162.38999999999999</v>
      </c>
      <c r="C129">
        <v>162.94999999999999</v>
      </c>
      <c r="G129">
        <f t="shared" ref="G129:K129" si="138">SUMPRODUCT($B129:$B133,P$2:P$6)</f>
        <v>65.265466820641905</v>
      </c>
      <c r="H129">
        <f t="shared" si="138"/>
        <v>132.38005594850762</v>
      </c>
      <c r="I129">
        <f t="shared" si="138"/>
        <v>73.487348491379436</v>
      </c>
      <c r="J129">
        <f t="shared" si="138"/>
        <v>43.533114275295169</v>
      </c>
      <c r="K129">
        <f t="shared" si="138"/>
        <v>50.87291674172215</v>
      </c>
      <c r="L129">
        <f t="shared" si="74"/>
        <v>163.20920270493738</v>
      </c>
      <c r="M129">
        <f t="shared" si="75"/>
        <v>-2.5992027049373689</v>
      </c>
      <c r="N129">
        <f t="shared" si="76"/>
        <v>6.7558547013537353</v>
      </c>
    </row>
    <row r="130" spans="1:14" x14ac:dyDescent="0.45">
      <c r="A130" s="22">
        <v>42684</v>
      </c>
      <c r="B130">
        <v>168.91</v>
      </c>
      <c r="C130">
        <v>163.47</v>
      </c>
      <c r="G130">
        <f t="shared" ref="G130:K130" si="139">SUMPRODUCT($B130:$B134,P$2:P$6)</f>
        <v>67.793237446164412</v>
      </c>
      <c r="H130">
        <f t="shared" si="139"/>
        <v>137.44125552199694</v>
      </c>
      <c r="I130">
        <f t="shared" si="139"/>
        <v>76.276306263352652</v>
      </c>
      <c r="J130">
        <f t="shared" si="139"/>
        <v>45.16685223999626</v>
      </c>
      <c r="K130">
        <f t="shared" si="139"/>
        <v>52.800379001898484</v>
      </c>
      <c r="L130">
        <f t="shared" si="74"/>
        <v>169.11571106900308</v>
      </c>
      <c r="M130">
        <f t="shared" si="75"/>
        <v>-6.725711069003097</v>
      </c>
      <c r="N130">
        <f t="shared" si="76"/>
        <v>45.235189383710782</v>
      </c>
    </row>
    <row r="131" spans="1:14" x14ac:dyDescent="0.45">
      <c r="A131" s="22">
        <v>42683</v>
      </c>
      <c r="B131">
        <v>166.5</v>
      </c>
      <c r="C131">
        <v>168.66</v>
      </c>
      <c r="G131">
        <f t="shared" ref="G131:K131" si="140">SUMPRODUCT($B131:$B135,P$2:P$6)</f>
        <v>66.856755498253918</v>
      </c>
      <c r="H131">
        <f t="shared" si="140"/>
        <v>135.56461794476976</v>
      </c>
      <c r="I131">
        <f t="shared" si="140"/>
        <v>75.241690788845702</v>
      </c>
      <c r="J131">
        <f t="shared" si="140"/>
        <v>44.560336523971891</v>
      </c>
      <c r="K131">
        <f t="shared" si="140"/>
        <v>52.085270279083893</v>
      </c>
      <c r="L131">
        <f t="shared" ref="L131:L194" si="141">(G131+$P$7)*$U$2+(H131+$Q$7)*$U$3+(I131+$R$7)*$U$4+(J131+$S$7)*$U$5+(K131+$T$7)*$U$6+$U$7</f>
        <v>166.9254719126296</v>
      </c>
      <c r="M131">
        <f t="shared" ref="M131:M194" si="142">B130-L131</f>
        <v>1.9845280873703928</v>
      </c>
      <c r="N131">
        <f t="shared" ref="N131:N194" si="143">M131^2</f>
        <v>3.9383517295619894</v>
      </c>
    </row>
    <row r="132" spans="1:14" x14ac:dyDescent="0.45">
      <c r="A132" s="22">
        <v>42682</v>
      </c>
      <c r="B132">
        <v>171.6</v>
      </c>
      <c r="C132">
        <v>170.92</v>
      </c>
      <c r="G132">
        <f t="shared" ref="G132:K132" si="144">SUMPRODUCT($B132:$B136,P$2:P$6)</f>
        <v>68.907777450097271</v>
      </c>
      <c r="H132">
        <f t="shared" si="144"/>
        <v>139.72570189891346</v>
      </c>
      <c r="I132">
        <f t="shared" si="144"/>
        <v>77.55189963284927</v>
      </c>
      <c r="J132">
        <f t="shared" si="144"/>
        <v>45.929126635054587</v>
      </c>
      <c r="K132">
        <f t="shared" si="144"/>
        <v>53.68460218979456</v>
      </c>
      <c r="L132">
        <f t="shared" si="141"/>
        <v>171.78737407081078</v>
      </c>
      <c r="M132">
        <f t="shared" si="142"/>
        <v>-5.2873740708107846</v>
      </c>
      <c r="N132">
        <f t="shared" si="143"/>
        <v>27.956324564682209</v>
      </c>
    </row>
    <row r="133" spans="1:14" x14ac:dyDescent="0.45">
      <c r="A133" s="22">
        <v>42681</v>
      </c>
      <c r="B133">
        <v>171.4</v>
      </c>
      <c r="C133">
        <v>171.56</v>
      </c>
      <c r="G133">
        <f t="shared" ref="G133:K133" si="145">SUMPRODUCT($B133:$B137,P$2:P$6)</f>
        <v>68.854083058004491</v>
      </c>
      <c r="H133">
        <f t="shared" si="145"/>
        <v>139.63579193993698</v>
      </c>
      <c r="I133">
        <f t="shared" si="145"/>
        <v>77.507931264349452</v>
      </c>
      <c r="J133">
        <f t="shared" si="145"/>
        <v>45.908383688634771</v>
      </c>
      <c r="K133">
        <f t="shared" si="145"/>
        <v>53.655101858547923</v>
      </c>
      <c r="L133">
        <f t="shared" si="141"/>
        <v>171.68433703829058</v>
      </c>
      <c r="M133">
        <f t="shared" si="142"/>
        <v>-8.4337038290584587E-2</v>
      </c>
      <c r="N133">
        <f t="shared" si="143"/>
        <v>7.1127360276275311E-3</v>
      </c>
    </row>
    <row r="134" spans="1:14" x14ac:dyDescent="0.45">
      <c r="A134" s="22">
        <v>42678</v>
      </c>
      <c r="B134">
        <v>166.44</v>
      </c>
      <c r="C134">
        <v>167.7</v>
      </c>
      <c r="G134">
        <f t="shared" ref="G134:K134" si="146">SUMPRODUCT($B134:$B138,P$2:P$6)</f>
        <v>66.912705791349822</v>
      </c>
      <c r="H134">
        <f t="shared" si="146"/>
        <v>135.73510427529615</v>
      </c>
      <c r="I134">
        <f t="shared" si="146"/>
        <v>75.354162414390188</v>
      </c>
      <c r="J134">
        <f t="shared" si="146"/>
        <v>44.642871674734145</v>
      </c>
      <c r="K134">
        <f t="shared" si="146"/>
        <v>52.165938700186842</v>
      </c>
      <c r="L134">
        <f t="shared" si="141"/>
        <v>167.13070868986287</v>
      </c>
      <c r="M134">
        <f t="shared" si="142"/>
        <v>4.2692913101371346</v>
      </c>
      <c r="N134">
        <f t="shared" si="143"/>
        <v>18.226848290812452</v>
      </c>
    </row>
    <row r="135" spans="1:14" x14ac:dyDescent="0.45">
      <c r="A135" s="22">
        <v>42677</v>
      </c>
      <c r="B135">
        <v>168</v>
      </c>
      <c r="C135">
        <v>168.57</v>
      </c>
      <c r="G135">
        <f t="shared" ref="G135:K135" si="147">SUMPRODUCT($B135:$B139,P$2:P$6)</f>
        <v>67.54690566828279</v>
      </c>
      <c r="H135">
        <f t="shared" si="147"/>
        <v>137.02661620129271</v>
      </c>
      <c r="I135">
        <f t="shared" si="147"/>
        <v>76.07272125106303</v>
      </c>
      <c r="J135">
        <f t="shared" si="147"/>
        <v>45.069975782785974</v>
      </c>
      <c r="K135">
        <f t="shared" si="147"/>
        <v>52.663625126615109</v>
      </c>
      <c r="L135">
        <f t="shared" si="141"/>
        <v>168.64025504997679</v>
      </c>
      <c r="M135">
        <f t="shared" si="142"/>
        <v>-2.2002550499767892</v>
      </c>
      <c r="N135">
        <f t="shared" si="143"/>
        <v>4.8411222849483631</v>
      </c>
    </row>
    <row r="136" spans="1:14" x14ac:dyDescent="0.45">
      <c r="A136" s="22">
        <v>42676</v>
      </c>
      <c r="B136">
        <v>173.55</v>
      </c>
      <c r="C136">
        <v>168.78</v>
      </c>
      <c r="G136">
        <f t="shared" ref="G136:K136" si="148">SUMPRODUCT($B136:$B140,P$2:P$6)</f>
        <v>69.674768176717166</v>
      </c>
      <c r="H136">
        <f t="shared" si="148"/>
        <v>141.26950276328347</v>
      </c>
      <c r="I136">
        <f t="shared" si="148"/>
        <v>78.405175587656998</v>
      </c>
      <c r="J136">
        <f t="shared" si="148"/>
        <v>46.431292546822974</v>
      </c>
      <c r="K136">
        <f t="shared" si="148"/>
        <v>54.274708268587773</v>
      </c>
      <c r="L136">
        <f t="shared" si="141"/>
        <v>173.58989097257512</v>
      </c>
      <c r="M136">
        <f t="shared" si="142"/>
        <v>-5.5898909725751196</v>
      </c>
      <c r="N136">
        <f t="shared" si="143"/>
        <v>31.246881085276815</v>
      </c>
    </row>
    <row r="137" spans="1:14" x14ac:dyDescent="0.45">
      <c r="A137" s="22">
        <v>42675</v>
      </c>
      <c r="B137">
        <v>176.75</v>
      </c>
      <c r="C137">
        <v>173.49</v>
      </c>
      <c r="G137">
        <f t="shared" ref="G137:K137" si="149">SUMPRODUCT($B137:$B141,P$2:P$6)</f>
        <v>70.946409080369364</v>
      </c>
      <c r="H137">
        <f t="shared" si="149"/>
        <v>143.83852440154826</v>
      </c>
      <c r="I137">
        <f t="shared" si="149"/>
        <v>79.828080045376637</v>
      </c>
      <c r="J137">
        <f t="shared" si="149"/>
        <v>47.271324887380061</v>
      </c>
      <c r="K137">
        <f t="shared" si="149"/>
        <v>55.259234255605463</v>
      </c>
      <c r="L137">
        <f t="shared" si="141"/>
        <v>176.59043893402503</v>
      </c>
      <c r="M137">
        <f t="shared" si="142"/>
        <v>-3.0404389340250191</v>
      </c>
      <c r="N137">
        <f t="shared" si="143"/>
        <v>9.2442689115351939</v>
      </c>
    </row>
    <row r="138" spans="1:14" x14ac:dyDescent="0.45">
      <c r="A138" s="22">
        <v>42674</v>
      </c>
      <c r="B138">
        <v>178.17</v>
      </c>
      <c r="C138">
        <v>176.86</v>
      </c>
      <c r="G138">
        <f t="shared" ref="G138:K138" si="150">SUMPRODUCT($B138:$B142,P$2:P$6)</f>
        <v>71.560077866274511</v>
      </c>
      <c r="H138">
        <f t="shared" si="150"/>
        <v>145.1138342252012</v>
      </c>
      <c r="I138">
        <f t="shared" si="150"/>
        <v>80.545604923808213</v>
      </c>
      <c r="J138">
        <f t="shared" si="150"/>
        <v>47.70490604482243</v>
      </c>
      <c r="K138">
        <f t="shared" si="150"/>
        <v>55.757459338119538</v>
      </c>
      <c r="L138">
        <f t="shared" si="141"/>
        <v>178.08374997339953</v>
      </c>
      <c r="M138">
        <f t="shared" si="142"/>
        <v>-1.3337499733995344</v>
      </c>
      <c r="N138">
        <f t="shared" si="143"/>
        <v>1.7788889915432586</v>
      </c>
    </row>
    <row r="139" spans="1:14" x14ac:dyDescent="0.45">
      <c r="A139" s="22">
        <v>42671</v>
      </c>
      <c r="B139">
        <v>180.74</v>
      </c>
      <c r="C139">
        <v>179.59</v>
      </c>
      <c r="G139">
        <f t="shared" ref="G139:K139" si="151">SUMPRODUCT($B139:$B143,P$2:P$6)</f>
        <v>72.546554897663754</v>
      </c>
      <c r="H139">
        <f t="shared" si="151"/>
        <v>147.08169115058828</v>
      </c>
      <c r="I139">
        <f t="shared" si="151"/>
        <v>81.627671384501085</v>
      </c>
      <c r="J139">
        <f t="shared" si="151"/>
        <v>48.336690698858995</v>
      </c>
      <c r="K139">
        <f t="shared" si="151"/>
        <v>56.504916139269042</v>
      </c>
      <c r="L139">
        <f t="shared" si="141"/>
        <v>180.37949070719858</v>
      </c>
      <c r="M139">
        <f t="shared" si="142"/>
        <v>-2.2094907071985972</v>
      </c>
      <c r="N139">
        <f t="shared" si="143"/>
        <v>4.8818491851969572</v>
      </c>
    </row>
    <row r="140" spans="1:14" x14ac:dyDescent="0.45">
      <c r="A140" s="22">
        <v>42670</v>
      </c>
      <c r="B140">
        <v>173.47</v>
      </c>
      <c r="C140">
        <v>175.1</v>
      </c>
      <c r="G140">
        <f t="shared" ref="G140:K140" si="152">SUMPRODUCT($B140:$B144,P$2:P$6)</f>
        <v>69.653681507632896</v>
      </c>
      <c r="H140">
        <f t="shared" si="152"/>
        <v>141.23461217132481</v>
      </c>
      <c r="I140">
        <f t="shared" si="152"/>
        <v>78.388269929065203</v>
      </c>
      <c r="J140">
        <f t="shared" si="152"/>
        <v>46.423475448355617</v>
      </c>
      <c r="K140">
        <f t="shared" si="152"/>
        <v>54.263394064916234</v>
      </c>
      <c r="L140">
        <f t="shared" si="141"/>
        <v>173.5499584410021</v>
      </c>
      <c r="M140">
        <f t="shared" si="142"/>
        <v>7.1900415589979048</v>
      </c>
      <c r="N140">
        <f t="shared" si="143"/>
        <v>51.696697620117021</v>
      </c>
    </row>
    <row r="141" spans="1:14" x14ac:dyDescent="0.45">
      <c r="A141" s="22">
        <v>42669</v>
      </c>
      <c r="B141">
        <v>175</v>
      </c>
      <c r="C141">
        <v>172.82</v>
      </c>
      <c r="G141">
        <f t="shared" ref="G141:K141" si="153">SUMPRODUCT($B141:$B145,P$2:P$6)</f>
        <v>70.263396704485885</v>
      </c>
      <c r="H141">
        <f t="shared" si="153"/>
        <v>142.46761345862498</v>
      </c>
      <c r="I141">
        <f t="shared" si="153"/>
        <v>79.071581448494115</v>
      </c>
      <c r="J141">
        <f t="shared" si="153"/>
        <v>46.827223906136176</v>
      </c>
      <c r="K141">
        <f t="shared" si="153"/>
        <v>54.736243995805232</v>
      </c>
      <c r="L141">
        <f t="shared" si="141"/>
        <v>174.99020265199485</v>
      </c>
      <c r="M141">
        <f t="shared" si="142"/>
        <v>-1.5202026519948504</v>
      </c>
      <c r="N141">
        <f t="shared" si="143"/>
        <v>2.3110161031321761</v>
      </c>
    </row>
    <row r="142" spans="1:14" x14ac:dyDescent="0.45">
      <c r="A142" s="22">
        <v>42668</v>
      </c>
      <c r="B142">
        <v>181.99</v>
      </c>
      <c r="C142">
        <v>176.68</v>
      </c>
      <c r="G142">
        <f t="shared" ref="G142:K142" si="154">SUMPRODUCT($B142:$B146,P$2:P$6)</f>
        <v>73.028678983332128</v>
      </c>
      <c r="H142">
        <f t="shared" si="154"/>
        <v>148.04517677992919</v>
      </c>
      <c r="I142">
        <f t="shared" si="154"/>
        <v>82.158013827698497</v>
      </c>
      <c r="J142">
        <f t="shared" si="154"/>
        <v>48.646831466801721</v>
      </c>
      <c r="K142">
        <f t="shared" si="154"/>
        <v>56.871343505553838</v>
      </c>
      <c r="L142">
        <f t="shared" si="141"/>
        <v>181.50369665312311</v>
      </c>
      <c r="M142">
        <f t="shared" si="142"/>
        <v>-6.5036966531231144</v>
      </c>
      <c r="N142">
        <f t="shared" si="143"/>
        <v>42.298070155844798</v>
      </c>
    </row>
    <row r="143" spans="1:14" x14ac:dyDescent="0.45">
      <c r="A143" s="22">
        <v>42667</v>
      </c>
      <c r="B143">
        <v>178.77</v>
      </c>
      <c r="C143">
        <v>180.86</v>
      </c>
      <c r="G143">
        <f t="shared" ref="G143:K143" si="155">SUMPRODUCT($B143:$B147,P$2:P$6)</f>
        <v>71.764420237084181</v>
      </c>
      <c r="H143">
        <f t="shared" si="155"/>
        <v>145.50211046866374</v>
      </c>
      <c r="I143">
        <f t="shared" si="155"/>
        <v>80.752949941347453</v>
      </c>
      <c r="J143">
        <f t="shared" si="155"/>
        <v>47.820426551551932</v>
      </c>
      <c r="K143">
        <f t="shared" si="155"/>
        <v>55.899710509545436</v>
      </c>
      <c r="L143">
        <f t="shared" si="141"/>
        <v>178.53463567061559</v>
      </c>
      <c r="M143">
        <f t="shared" si="142"/>
        <v>3.4553643293844232</v>
      </c>
      <c r="N143">
        <f t="shared" si="143"/>
        <v>11.939542648782265</v>
      </c>
    </row>
    <row r="144" spans="1:14" x14ac:dyDescent="0.45">
      <c r="A144" s="22">
        <v>42664</v>
      </c>
      <c r="B144">
        <v>174.8</v>
      </c>
      <c r="C144">
        <v>176.76</v>
      </c>
      <c r="G144">
        <f t="shared" ref="G144:K144" si="156">SUMPRODUCT($B144:$B148,P$2:P$6)</f>
        <v>70.180204921631528</v>
      </c>
      <c r="H144">
        <f t="shared" si="156"/>
        <v>142.29687327237269</v>
      </c>
      <c r="I144">
        <f t="shared" si="156"/>
        <v>78.976173453646751</v>
      </c>
      <c r="J144">
        <f t="shared" si="156"/>
        <v>46.770146656313329</v>
      </c>
      <c r="K144">
        <f t="shared" si="156"/>
        <v>54.670100376206292</v>
      </c>
      <c r="L144">
        <f t="shared" si="141"/>
        <v>174.79049830703264</v>
      </c>
      <c r="M144">
        <f t="shared" si="142"/>
        <v>3.979501692967375</v>
      </c>
      <c r="N144">
        <f t="shared" si="143"/>
        <v>15.836433724330204</v>
      </c>
    </row>
    <row r="145" spans="1:14" x14ac:dyDescent="0.45">
      <c r="A145" s="22">
        <v>42663</v>
      </c>
      <c r="B145">
        <v>175.75</v>
      </c>
      <c r="C145">
        <v>175.17</v>
      </c>
      <c r="G145">
        <f t="shared" ref="G145:K145" si="157">SUMPRODUCT($B145:$B149,P$2:P$6)</f>
        <v>70.564341196794459</v>
      </c>
      <c r="H145">
        <f t="shared" si="157"/>
        <v>143.07768599209416</v>
      </c>
      <c r="I145">
        <f t="shared" si="157"/>
        <v>79.410139019023021</v>
      </c>
      <c r="J145">
        <f t="shared" si="157"/>
        <v>47.027682009026798</v>
      </c>
      <c r="K145">
        <f t="shared" si="157"/>
        <v>54.970602257898811</v>
      </c>
      <c r="L145">
        <f t="shared" si="141"/>
        <v>175.70297333127635</v>
      </c>
      <c r="M145">
        <f t="shared" si="142"/>
        <v>-0.90297333127634261</v>
      </c>
      <c r="N145">
        <f t="shared" si="143"/>
        <v>0.81536083699629558</v>
      </c>
    </row>
    <row r="146" spans="1:14" x14ac:dyDescent="0.45">
      <c r="A146" s="22">
        <v>42662</v>
      </c>
      <c r="B146">
        <v>177.5</v>
      </c>
      <c r="C146">
        <v>176.2</v>
      </c>
      <c r="G146">
        <f t="shared" ref="G146:K146" si="158">SUMPRODUCT($B146:$B150,P$2:P$6)</f>
        <v>71.228343357553314</v>
      </c>
      <c r="H146">
        <f t="shared" si="158"/>
        <v>144.39650019349196</v>
      </c>
      <c r="I146">
        <f t="shared" si="158"/>
        <v>80.133485946060432</v>
      </c>
      <c r="J146">
        <f t="shared" si="158"/>
        <v>47.448370190026289</v>
      </c>
      <c r="K146">
        <f t="shared" si="158"/>
        <v>55.469973690308109</v>
      </c>
      <c r="L146">
        <f t="shared" si="141"/>
        <v>177.24090770905534</v>
      </c>
      <c r="M146">
        <f t="shared" si="142"/>
        <v>-1.4909077090553353</v>
      </c>
      <c r="N146">
        <f t="shared" si="143"/>
        <v>2.2228057969206283</v>
      </c>
    </row>
    <row r="147" spans="1:14" x14ac:dyDescent="0.45">
      <c r="A147" s="22">
        <v>42661</v>
      </c>
      <c r="B147">
        <v>177.92</v>
      </c>
      <c r="C147">
        <v>175.65</v>
      </c>
      <c r="G147">
        <f t="shared" ref="G147:K147" si="159">SUMPRODUCT($B147:$B151,P$2:P$6)</f>
        <v>71.422622057533701</v>
      </c>
      <c r="H147">
        <f t="shared" si="159"/>
        <v>144.80870394426384</v>
      </c>
      <c r="I147">
        <f t="shared" si="159"/>
        <v>80.367982960880312</v>
      </c>
      <c r="J147">
        <f t="shared" si="159"/>
        <v>47.59233963019831</v>
      </c>
      <c r="K147">
        <f t="shared" si="159"/>
        <v>55.633203736918645</v>
      </c>
      <c r="L147">
        <f t="shared" si="141"/>
        <v>177.72444600143194</v>
      </c>
      <c r="M147">
        <f t="shared" si="142"/>
        <v>-0.22444600143194293</v>
      </c>
      <c r="N147">
        <f t="shared" si="143"/>
        <v>5.0376007558787732E-2</v>
      </c>
    </row>
    <row r="148" spans="1:14" x14ac:dyDescent="0.45">
      <c r="A148" s="22">
        <v>42660</v>
      </c>
      <c r="B148">
        <v>175.18</v>
      </c>
      <c r="C148">
        <v>175.15</v>
      </c>
      <c r="G148">
        <f t="shared" ref="G148:K148" si="160">SUMPRODUCT($B148:$B152,P$2:P$6)</f>
        <v>70.376890747828497</v>
      </c>
      <c r="H148">
        <f t="shared" si="160"/>
        <v>142.72711564640966</v>
      </c>
      <c r="I148">
        <f t="shared" si="160"/>
        <v>79.224802337328015</v>
      </c>
      <c r="J148">
        <f t="shared" si="160"/>
        <v>46.926158308744739</v>
      </c>
      <c r="K148">
        <f t="shared" si="160"/>
        <v>54.843759462088592</v>
      </c>
      <c r="L148">
        <f t="shared" si="141"/>
        <v>175.29650824080713</v>
      </c>
      <c r="M148">
        <f t="shared" si="142"/>
        <v>2.6234917591928593</v>
      </c>
      <c r="N148">
        <f t="shared" si="143"/>
        <v>6.8827090105528432</v>
      </c>
    </row>
    <row r="149" spans="1:14" x14ac:dyDescent="0.45">
      <c r="A149" s="22">
        <v>42657</v>
      </c>
      <c r="B149">
        <v>176.48</v>
      </c>
      <c r="C149">
        <v>175.51</v>
      </c>
      <c r="G149">
        <f t="shared" ref="G149:K149" si="161">SUMPRODUCT($B149:$B153,P$2:P$6)</f>
        <v>70.888396342911804</v>
      </c>
      <c r="H149">
        <f t="shared" si="161"/>
        <v>143.75680900492927</v>
      </c>
      <c r="I149">
        <f t="shared" si="161"/>
        <v>79.793965720408792</v>
      </c>
      <c r="J149">
        <f t="shared" si="161"/>
        <v>47.261147536927069</v>
      </c>
      <c r="K149">
        <f t="shared" si="161"/>
        <v>55.237390250156309</v>
      </c>
      <c r="L149">
        <f t="shared" si="141"/>
        <v>176.498773384674</v>
      </c>
      <c r="M149">
        <f t="shared" si="142"/>
        <v>-1.3187733846739889</v>
      </c>
      <c r="N149">
        <f t="shared" si="143"/>
        <v>1.7391632401244885</v>
      </c>
    </row>
    <row r="150" spans="1:14" x14ac:dyDescent="0.45">
      <c r="A150" s="22">
        <v>42656</v>
      </c>
      <c r="B150">
        <v>173.3</v>
      </c>
      <c r="C150">
        <v>174.61</v>
      </c>
      <c r="G150">
        <f t="shared" ref="G150:K150" si="162">SUMPRODUCT($B150:$B154,P$2:P$6)</f>
        <v>69.644894561173402</v>
      </c>
      <c r="H150">
        <f t="shared" si="162"/>
        <v>141.25917483854809</v>
      </c>
      <c r="I150">
        <f t="shared" si="162"/>
        <v>78.415164721134758</v>
      </c>
      <c r="J150">
        <f t="shared" si="162"/>
        <v>46.451233601606766</v>
      </c>
      <c r="K150">
        <f t="shared" si="162"/>
        <v>54.284098522986774</v>
      </c>
      <c r="L150">
        <f t="shared" si="141"/>
        <v>173.58314859864535</v>
      </c>
      <c r="M150">
        <f t="shared" si="142"/>
        <v>2.8968514013546383</v>
      </c>
      <c r="N150">
        <f t="shared" si="143"/>
        <v>8.3917480415303309</v>
      </c>
    </row>
    <row r="151" spans="1:14" x14ac:dyDescent="0.45">
      <c r="A151" s="22">
        <v>42655</v>
      </c>
      <c r="B151">
        <v>177</v>
      </c>
      <c r="C151">
        <v>175.41</v>
      </c>
      <c r="G151">
        <f t="shared" ref="G151:K151" si="163">SUMPRODUCT($B151:$B155,P$2:P$6)</f>
        <v>71.113282803158583</v>
      </c>
      <c r="H151">
        <f t="shared" si="163"/>
        <v>144.22426738650816</v>
      </c>
      <c r="I151">
        <f t="shared" si="163"/>
        <v>80.057003178847992</v>
      </c>
      <c r="J151">
        <f t="shared" si="163"/>
        <v>47.420130359319813</v>
      </c>
      <c r="K151">
        <f t="shared" si="163"/>
        <v>55.42003601007282</v>
      </c>
      <c r="L151">
        <f t="shared" si="141"/>
        <v>177.04615093316022</v>
      </c>
      <c r="M151">
        <f t="shared" si="142"/>
        <v>-3.7461509331602088</v>
      </c>
      <c r="N151">
        <f t="shared" si="143"/>
        <v>14.033646814017104</v>
      </c>
    </row>
    <row r="152" spans="1:14" x14ac:dyDescent="0.45">
      <c r="A152" s="22">
        <v>42654</v>
      </c>
      <c r="B152">
        <v>181.2</v>
      </c>
      <c r="C152">
        <v>177.04</v>
      </c>
      <c r="G152">
        <f t="shared" ref="G152:K152" si="164">SUMPRODUCT($B152:$B156,P$2:P$6)</f>
        <v>72.783343468298696</v>
      </c>
      <c r="H152">
        <f t="shared" si="164"/>
        <v>147.59893312795705</v>
      </c>
      <c r="I152">
        <f t="shared" si="164"/>
        <v>81.926365031806952</v>
      </c>
      <c r="J152">
        <f t="shared" si="164"/>
        <v>48.523950745965614</v>
      </c>
      <c r="K152">
        <f t="shared" si="164"/>
        <v>56.713508300852489</v>
      </c>
      <c r="L152">
        <f t="shared" si="141"/>
        <v>180.98775167500386</v>
      </c>
      <c r="M152">
        <f t="shared" si="142"/>
        <v>-3.9877516750038637</v>
      </c>
      <c r="N152">
        <f t="shared" si="143"/>
        <v>15.902163421496121</v>
      </c>
    </row>
    <row r="153" spans="1:14" x14ac:dyDescent="0.45">
      <c r="A153" s="22">
        <v>42653</v>
      </c>
      <c r="B153">
        <v>181.17</v>
      </c>
      <c r="C153">
        <v>181.49</v>
      </c>
      <c r="G153">
        <f t="shared" ref="G153:K153" si="165">SUMPRODUCT($B153:$B157,P$2:P$6)</f>
        <v>72.756747712992009</v>
      </c>
      <c r="H153">
        <f t="shared" si="165"/>
        <v>147.53463637969494</v>
      </c>
      <c r="I153">
        <f t="shared" si="165"/>
        <v>81.887434762877078</v>
      </c>
      <c r="J153">
        <f t="shared" si="165"/>
        <v>48.498004833288114</v>
      </c>
      <c r="K153">
        <f t="shared" si="165"/>
        <v>56.686047587890641</v>
      </c>
      <c r="L153">
        <f t="shared" si="141"/>
        <v>180.91153171714248</v>
      </c>
      <c r="M153">
        <f t="shared" si="142"/>
        <v>0.28846828285750803</v>
      </c>
      <c r="N153">
        <f t="shared" si="143"/>
        <v>8.3213950214759261E-2</v>
      </c>
    </row>
    <row r="154" spans="1:14" x14ac:dyDescent="0.45">
      <c r="A154" s="22">
        <v>42650</v>
      </c>
      <c r="B154">
        <v>182.23</v>
      </c>
      <c r="C154">
        <v>179.8</v>
      </c>
      <c r="G154">
        <f t="shared" ref="G154:K154" si="166">SUMPRODUCT($B154:$B158,P$2:P$6)</f>
        <v>73.164938403767664</v>
      </c>
      <c r="H154">
        <f t="shared" si="166"/>
        <v>148.3498900785635</v>
      </c>
      <c r="I154">
        <f t="shared" si="166"/>
        <v>82.33603054001081</v>
      </c>
      <c r="J154">
        <f t="shared" si="166"/>
        <v>48.760205798746028</v>
      </c>
      <c r="K154">
        <f t="shared" si="166"/>
        <v>56.995970916362111</v>
      </c>
      <c r="L154">
        <f t="shared" si="141"/>
        <v>181.86272761045475</v>
      </c>
      <c r="M154">
        <f t="shared" si="142"/>
        <v>-0.69272761045476727</v>
      </c>
      <c r="N154">
        <f t="shared" si="143"/>
        <v>0.4798715422863718</v>
      </c>
    </row>
    <row r="155" spans="1:14" x14ac:dyDescent="0.45">
      <c r="A155" s="22">
        <v>42649</v>
      </c>
      <c r="B155">
        <v>183.75</v>
      </c>
      <c r="C155">
        <v>181.52</v>
      </c>
      <c r="G155">
        <f t="shared" ref="G155:K155" si="167">SUMPRODUCT($B155:$B159,P$2:P$6)</f>
        <v>73.771967068557572</v>
      </c>
      <c r="H155">
        <f t="shared" si="167"/>
        <v>149.57839228574093</v>
      </c>
      <c r="I155">
        <f t="shared" si="167"/>
        <v>83.017140705738655</v>
      </c>
      <c r="J155">
        <f t="shared" si="167"/>
        <v>49.162915913125907</v>
      </c>
      <c r="K155">
        <f t="shared" si="167"/>
        <v>57.467345864535318</v>
      </c>
      <c r="L155">
        <f t="shared" si="141"/>
        <v>183.29781574749188</v>
      </c>
      <c r="M155">
        <f t="shared" si="142"/>
        <v>-1.0678157474918919</v>
      </c>
      <c r="N155">
        <f t="shared" si="143"/>
        <v>1.1402304705916679</v>
      </c>
    </row>
    <row r="156" spans="1:14" x14ac:dyDescent="0.45">
      <c r="A156" s="22">
        <v>42648</v>
      </c>
      <c r="B156">
        <v>185.89</v>
      </c>
      <c r="C156">
        <v>184.11</v>
      </c>
      <c r="G156">
        <f t="shared" ref="G156:K156" si="168">SUMPRODUCT($B156:$B160,P$2:P$6)</f>
        <v>74.63510409236639</v>
      </c>
      <c r="H156">
        <f t="shared" si="168"/>
        <v>151.33130046279013</v>
      </c>
      <c r="I156">
        <f t="shared" si="168"/>
        <v>83.990903382904364</v>
      </c>
      <c r="J156">
        <f t="shared" si="168"/>
        <v>49.740365243155011</v>
      </c>
      <c r="K156">
        <f t="shared" si="168"/>
        <v>58.141559821958808</v>
      </c>
      <c r="L156">
        <f t="shared" si="141"/>
        <v>185.34614143209015</v>
      </c>
      <c r="M156">
        <f t="shared" si="142"/>
        <v>-1.5961414320901497</v>
      </c>
      <c r="N156">
        <f t="shared" si="143"/>
        <v>2.547667471234794</v>
      </c>
    </row>
    <row r="157" spans="1:14" x14ac:dyDescent="0.45">
      <c r="A157" s="22">
        <v>42647</v>
      </c>
      <c r="B157">
        <v>184</v>
      </c>
      <c r="C157">
        <v>184.08</v>
      </c>
      <c r="G157">
        <f t="shared" ref="G157:K157" si="169">SUMPRODUCT($B157:$B161,P$2:P$6)</f>
        <v>73.891971842238164</v>
      </c>
      <c r="H157">
        <f t="shared" si="169"/>
        <v>149.83570534421403</v>
      </c>
      <c r="I157">
        <f t="shared" si="169"/>
        <v>83.16433037178416</v>
      </c>
      <c r="J157">
        <f t="shared" si="169"/>
        <v>49.253988873908803</v>
      </c>
      <c r="K157">
        <f t="shared" si="169"/>
        <v>57.569926570031051</v>
      </c>
      <c r="L157">
        <f t="shared" si="141"/>
        <v>183.59993339399995</v>
      </c>
      <c r="M157">
        <f t="shared" si="142"/>
        <v>2.290066606000039</v>
      </c>
      <c r="N157">
        <f t="shared" si="143"/>
        <v>5.2444050599165379</v>
      </c>
    </row>
    <row r="158" spans="1:14" x14ac:dyDescent="0.45">
      <c r="A158" s="22">
        <v>42646</v>
      </c>
      <c r="B158">
        <v>182.84</v>
      </c>
      <c r="C158">
        <v>183.54</v>
      </c>
      <c r="G158">
        <f t="shared" ref="G158:K158" si="170">SUMPRODUCT($B158:$B162,P$2:P$6)</f>
        <v>73.453258973814442</v>
      </c>
      <c r="H158">
        <f t="shared" si="170"/>
        <v>148.96542595836036</v>
      </c>
      <c r="I158">
        <f t="shared" si="170"/>
        <v>82.687340652028098</v>
      </c>
      <c r="J158">
        <f t="shared" si="170"/>
        <v>48.976890355100046</v>
      </c>
      <c r="K158">
        <f t="shared" si="170"/>
        <v>57.240684757695455</v>
      </c>
      <c r="L158">
        <f t="shared" si="141"/>
        <v>182.58517436789248</v>
      </c>
      <c r="M158">
        <f t="shared" si="142"/>
        <v>1.4148256321075223</v>
      </c>
      <c r="N158">
        <f t="shared" si="143"/>
        <v>2.0017315692684501</v>
      </c>
    </row>
    <row r="159" spans="1:14" x14ac:dyDescent="0.45">
      <c r="A159" s="22">
        <v>42643</v>
      </c>
      <c r="B159">
        <v>183.95</v>
      </c>
      <c r="C159">
        <v>182.07</v>
      </c>
      <c r="G159">
        <f t="shared" ref="G159:K159" si="171">SUMPRODUCT($B159:$B163,P$2:P$6)</f>
        <v>73.894355331618272</v>
      </c>
      <c r="H159">
        <f t="shared" si="171"/>
        <v>149.8565415358384</v>
      </c>
      <c r="I159">
        <f t="shared" si="171"/>
        <v>83.180903188885338</v>
      </c>
      <c r="J159">
        <f t="shared" si="171"/>
        <v>49.268275699373291</v>
      </c>
      <c r="K159">
        <f t="shared" si="171"/>
        <v>57.582185287719177</v>
      </c>
      <c r="L159">
        <f t="shared" si="141"/>
        <v>183.62597477261119</v>
      </c>
      <c r="M159">
        <f t="shared" si="142"/>
        <v>-0.78597477261118343</v>
      </c>
      <c r="N159">
        <f t="shared" si="143"/>
        <v>0.61775634318120154</v>
      </c>
    </row>
    <row r="160" spans="1:14" x14ac:dyDescent="0.45">
      <c r="A160" s="22">
        <v>42642</v>
      </c>
      <c r="B160">
        <v>186.6</v>
      </c>
      <c r="C160">
        <v>182.23</v>
      </c>
      <c r="G160">
        <f t="shared" ref="G160:K160" si="172">SUMPRODUCT($B160:$B164,P$2:P$6)</f>
        <v>74.96654686404726</v>
      </c>
      <c r="H160">
        <f t="shared" si="172"/>
        <v>152.03638846103306</v>
      </c>
      <c r="I160">
        <f t="shared" si="172"/>
        <v>84.392578376171386</v>
      </c>
      <c r="J160">
        <f t="shared" si="172"/>
        <v>49.987474037991873</v>
      </c>
      <c r="K160">
        <f t="shared" si="172"/>
        <v>58.421240873119146</v>
      </c>
      <c r="L160">
        <f t="shared" si="141"/>
        <v>186.1734427958005</v>
      </c>
      <c r="M160">
        <f t="shared" si="142"/>
        <v>-2.2234427958005085</v>
      </c>
      <c r="N160">
        <f t="shared" si="143"/>
        <v>4.9436978661971818</v>
      </c>
    </row>
    <row r="161" spans="1:14" x14ac:dyDescent="0.45">
      <c r="A161" s="22">
        <v>42641</v>
      </c>
      <c r="B161">
        <v>186.71</v>
      </c>
      <c r="C161">
        <v>187.74</v>
      </c>
      <c r="G161">
        <f t="shared" ref="G161:K161" si="173">SUMPRODUCT($B161:$B165,P$2:P$6)</f>
        <v>75.039267621252549</v>
      </c>
      <c r="H161">
        <f t="shared" si="173"/>
        <v>152.2041867621744</v>
      </c>
      <c r="I161">
        <f t="shared" si="173"/>
        <v>84.492077257902764</v>
      </c>
      <c r="J161">
        <f t="shared" si="173"/>
        <v>50.052082147769909</v>
      </c>
      <c r="K161">
        <f t="shared" si="173"/>
        <v>58.49111887046822</v>
      </c>
      <c r="L161">
        <f t="shared" si="141"/>
        <v>186.37164968727654</v>
      </c>
      <c r="M161">
        <f t="shared" si="142"/>
        <v>0.22835031272344963</v>
      </c>
      <c r="N161">
        <f t="shared" si="143"/>
        <v>5.2143865320897244E-2</v>
      </c>
    </row>
    <row r="162" spans="1:14" x14ac:dyDescent="0.45">
      <c r="A162" s="22">
        <v>42640</v>
      </c>
      <c r="B162">
        <v>189</v>
      </c>
      <c r="C162">
        <v>190.83</v>
      </c>
      <c r="G162">
        <f t="shared" ref="G162:K162" si="174">SUMPRODUCT($B162:$B166,P$2:P$6)</f>
        <v>75.869131125234105</v>
      </c>
      <c r="H162">
        <f t="shared" si="174"/>
        <v>153.82299441431755</v>
      </c>
      <c r="I162">
        <f t="shared" si="174"/>
        <v>85.370561744946954</v>
      </c>
      <c r="J162">
        <f t="shared" si="174"/>
        <v>50.554515725829404</v>
      </c>
      <c r="K162">
        <f t="shared" si="174"/>
        <v>59.096093020098714</v>
      </c>
      <c r="L162">
        <f t="shared" si="141"/>
        <v>188.25623741140498</v>
      </c>
      <c r="M162">
        <f t="shared" si="142"/>
        <v>-1.5462374114049737</v>
      </c>
      <c r="N162">
        <f t="shared" si="143"/>
        <v>2.390850132428354</v>
      </c>
    </row>
    <row r="163" spans="1:14" x14ac:dyDescent="0.45">
      <c r="A163" s="22">
        <v>42639</v>
      </c>
      <c r="B163">
        <v>189.53</v>
      </c>
      <c r="C163">
        <v>188.86</v>
      </c>
      <c r="G163">
        <f t="shared" ref="G163:K163" si="175">SUMPRODUCT($B163:$B167,P$2:P$6)</f>
        <v>76.06821983307853</v>
      </c>
      <c r="H163">
        <f t="shared" si="175"/>
        <v>154.21690339540007</v>
      </c>
      <c r="I163">
        <f t="shared" si="175"/>
        <v>85.586128205237884</v>
      </c>
      <c r="J163">
        <f t="shared" si="175"/>
        <v>50.679445689475529</v>
      </c>
      <c r="K163">
        <f t="shared" si="175"/>
        <v>59.24483396890367</v>
      </c>
      <c r="L163">
        <f t="shared" si="141"/>
        <v>188.71542764490934</v>
      </c>
      <c r="M163">
        <f t="shared" si="142"/>
        <v>0.28457235509065981</v>
      </c>
      <c r="N163">
        <f t="shared" si="143"/>
        <v>8.0981425281844571E-2</v>
      </c>
    </row>
    <row r="164" spans="1:14" x14ac:dyDescent="0.45">
      <c r="A164" s="22">
        <v>42636</v>
      </c>
      <c r="B164">
        <v>193.24</v>
      </c>
      <c r="C164">
        <v>191.72</v>
      </c>
      <c r="G164">
        <f t="shared" ref="G164:K164" si="176">SUMPRODUCT($B164:$B168,P$2:P$6)</f>
        <v>77.523721816187077</v>
      </c>
      <c r="H164">
        <f t="shared" si="176"/>
        <v>157.14382225303564</v>
      </c>
      <c r="I164">
        <f t="shared" si="176"/>
        <v>87.203012472536159</v>
      </c>
      <c r="J164">
        <f t="shared" si="176"/>
        <v>51.63019516428335</v>
      </c>
      <c r="K164">
        <f t="shared" si="176"/>
        <v>60.3629042497166</v>
      </c>
      <c r="L164">
        <f t="shared" si="141"/>
        <v>192.13255257716003</v>
      </c>
      <c r="M164">
        <f t="shared" si="142"/>
        <v>-2.6025525771600257</v>
      </c>
      <c r="N164">
        <f t="shared" si="143"/>
        <v>6.7732799168822915</v>
      </c>
    </row>
    <row r="165" spans="1:14" x14ac:dyDescent="0.45">
      <c r="A165" s="22">
        <v>42635</v>
      </c>
      <c r="B165">
        <v>197</v>
      </c>
      <c r="C165">
        <v>195.45</v>
      </c>
      <c r="G165">
        <f t="shared" ref="G165:K165" si="177">SUMPRODUCT($B165:$B169,P$2:P$6)</f>
        <v>79.005942213456663</v>
      </c>
      <c r="H165">
        <f t="shared" si="177"/>
        <v>160.12965691677869</v>
      </c>
      <c r="I165">
        <f t="shared" si="177"/>
        <v>88.854073841674989</v>
      </c>
      <c r="J165">
        <f t="shared" si="177"/>
        <v>52.602505824461986</v>
      </c>
      <c r="K165">
        <f t="shared" si="177"/>
        <v>61.504873123852086</v>
      </c>
      <c r="L165">
        <f t="shared" si="141"/>
        <v>195.61901227372485</v>
      </c>
      <c r="M165">
        <f t="shared" si="142"/>
        <v>-2.3790122737248396</v>
      </c>
      <c r="N165">
        <f t="shared" si="143"/>
        <v>5.659699398533431</v>
      </c>
    </row>
    <row r="166" spans="1:14" x14ac:dyDescent="0.45">
      <c r="A166" s="22">
        <v>42634</v>
      </c>
      <c r="B166">
        <v>187.85</v>
      </c>
      <c r="C166">
        <v>196.03</v>
      </c>
      <c r="G166">
        <f t="shared" ref="G166:K166" si="178">SUMPRODUCT($B166:$B170,P$2:P$6)</f>
        <v>75.377627117418953</v>
      </c>
      <c r="H166">
        <f t="shared" si="178"/>
        <v>152.80519493342638</v>
      </c>
      <c r="I166">
        <f t="shared" si="178"/>
        <v>84.799028869220706</v>
      </c>
      <c r="J166">
        <f t="shared" si="178"/>
        <v>50.210112631848922</v>
      </c>
      <c r="K166">
        <f t="shared" si="178"/>
        <v>58.699413434841091</v>
      </c>
      <c r="L166">
        <f t="shared" si="141"/>
        <v>187.06482827355981</v>
      </c>
      <c r="M166">
        <f t="shared" si="142"/>
        <v>9.9351717264401884</v>
      </c>
      <c r="N166">
        <f t="shared" si="143"/>
        <v>98.707637233856516</v>
      </c>
    </row>
    <row r="167" spans="1:14" x14ac:dyDescent="0.45">
      <c r="A167" s="22">
        <v>42633</v>
      </c>
      <c r="B167">
        <v>186.63</v>
      </c>
      <c r="C167">
        <v>186.37</v>
      </c>
      <c r="G167">
        <f t="shared" ref="G167:K167" si="179">SUMPRODUCT($B167:$B171,P$2:P$6)</f>
        <v>74.890413855620622</v>
      </c>
      <c r="H167">
        <f t="shared" si="179"/>
        <v>151.81918050510129</v>
      </c>
      <c r="I167">
        <f t="shared" si="179"/>
        <v>84.252360993349782</v>
      </c>
      <c r="J167">
        <f t="shared" si="179"/>
        <v>49.886889879426136</v>
      </c>
      <c r="K167">
        <f t="shared" si="179"/>
        <v>58.32108191064799</v>
      </c>
      <c r="L167">
        <f t="shared" si="141"/>
        <v>185.91300429782652</v>
      </c>
      <c r="M167">
        <f t="shared" si="142"/>
        <v>1.9369957021734763</v>
      </c>
      <c r="N167">
        <f t="shared" si="143"/>
        <v>3.7519523502385184</v>
      </c>
    </row>
    <row r="168" spans="1:14" x14ac:dyDescent="0.45">
      <c r="A168" s="22">
        <v>42632</v>
      </c>
      <c r="B168">
        <v>186</v>
      </c>
      <c r="C168">
        <v>184.74</v>
      </c>
      <c r="G168">
        <f t="shared" ref="G168:K168" si="180">SUMPRODUCT($B168:$B172,P$2:P$6)</f>
        <v>74.648596923952638</v>
      </c>
      <c r="H168">
        <f t="shared" si="180"/>
        <v>151.33679928907145</v>
      </c>
      <c r="I168">
        <f t="shared" si="180"/>
        <v>83.987115406731832</v>
      </c>
      <c r="J168">
        <f t="shared" si="180"/>
        <v>49.732020475951877</v>
      </c>
      <c r="K168">
        <f t="shared" si="180"/>
        <v>58.137859641015815</v>
      </c>
      <c r="L168">
        <f t="shared" si="141"/>
        <v>185.35024936567027</v>
      </c>
      <c r="M168">
        <f t="shared" si="142"/>
        <v>1.27975063432973</v>
      </c>
      <c r="N168">
        <f t="shared" si="143"/>
        <v>1.6377616860673463</v>
      </c>
    </row>
    <row r="169" spans="1:14" x14ac:dyDescent="0.45">
      <c r="A169" s="22">
        <v>42629</v>
      </c>
      <c r="B169">
        <v>186.27</v>
      </c>
      <c r="C169">
        <v>185.01</v>
      </c>
      <c r="G169">
        <f t="shared" ref="G169:K169" si="181">SUMPRODUCT($B169:$B173,P$2:P$6)</f>
        <v>74.718029242640185</v>
      </c>
      <c r="H169">
        <f t="shared" si="181"/>
        <v>151.44980779837255</v>
      </c>
      <c r="I169">
        <f t="shared" si="181"/>
        <v>84.041145523357386</v>
      </c>
      <c r="J169">
        <f t="shared" si="181"/>
        <v>49.756264278027942</v>
      </c>
      <c r="K169">
        <f t="shared" si="181"/>
        <v>58.173894517251043</v>
      </c>
      <c r="L169">
        <f t="shared" si="141"/>
        <v>185.47934063705733</v>
      </c>
      <c r="M169">
        <f t="shared" si="142"/>
        <v>0.52065936294266635</v>
      </c>
      <c r="N169">
        <f t="shared" si="143"/>
        <v>0.27108617221986314</v>
      </c>
    </row>
    <row r="170" spans="1:14" x14ac:dyDescent="0.45">
      <c r="A170" s="22">
        <v>42628</v>
      </c>
      <c r="B170">
        <v>182.89</v>
      </c>
      <c r="C170">
        <v>186.5</v>
      </c>
      <c r="G170">
        <f t="shared" ref="G170:K170" si="182">SUMPRODUCT($B170:$B174,P$2:P$6)</f>
        <v>73.4532227114466</v>
      </c>
      <c r="H170">
        <f t="shared" si="182"/>
        <v>148.95102290669291</v>
      </c>
      <c r="I170">
        <f t="shared" si="182"/>
        <v>82.674861364229614</v>
      </c>
      <c r="J170">
        <f t="shared" si="182"/>
        <v>48.965489671702343</v>
      </c>
      <c r="K170">
        <f t="shared" si="182"/>
        <v>57.231341865699783</v>
      </c>
      <c r="L170">
        <f t="shared" si="141"/>
        <v>182.5668248912153</v>
      </c>
      <c r="M170">
        <f t="shared" si="142"/>
        <v>3.7031751087847056</v>
      </c>
      <c r="N170">
        <f t="shared" si="143"/>
        <v>13.713505886322617</v>
      </c>
    </row>
    <row r="171" spans="1:14" x14ac:dyDescent="0.45">
      <c r="A171" s="22">
        <v>42627</v>
      </c>
      <c r="B171">
        <v>182</v>
      </c>
      <c r="C171">
        <v>182.18</v>
      </c>
      <c r="G171">
        <f t="shared" ref="G171:K171" si="183">SUMPRODUCT($B171:$B175,P$2:P$6)</f>
        <v>73.123298375037947</v>
      </c>
      <c r="H171">
        <f t="shared" si="183"/>
        <v>148.30159449132526</v>
      </c>
      <c r="I171">
        <f t="shared" si="183"/>
        <v>82.320535093799208</v>
      </c>
      <c r="J171">
        <f t="shared" si="183"/>
        <v>48.76111178898654</v>
      </c>
      <c r="K171">
        <f t="shared" si="183"/>
        <v>56.987025103325223</v>
      </c>
      <c r="L171">
        <f t="shared" si="141"/>
        <v>181.81013117640484</v>
      </c>
      <c r="M171">
        <f t="shared" si="142"/>
        <v>1.0798688235951488</v>
      </c>
      <c r="N171">
        <f t="shared" si="143"/>
        <v>1.1661166761727706</v>
      </c>
    </row>
    <row r="172" spans="1:14" x14ac:dyDescent="0.45">
      <c r="A172" s="22">
        <v>42626</v>
      </c>
      <c r="B172">
        <v>182.79</v>
      </c>
      <c r="C172">
        <v>181.9</v>
      </c>
      <c r="G172">
        <f t="shared" ref="G172:K172" si="184">SUMPRODUCT($B172:$B176,P$2:P$6)</f>
        <v>73.436155966161891</v>
      </c>
      <c r="H172">
        <f t="shared" si="184"/>
        <v>148.93286749709418</v>
      </c>
      <c r="I172">
        <f t="shared" si="184"/>
        <v>82.669932619855985</v>
      </c>
      <c r="J172">
        <f t="shared" si="184"/>
        <v>48.967171784093502</v>
      </c>
      <c r="K172">
        <f t="shared" si="184"/>
        <v>57.228741430784609</v>
      </c>
      <c r="L172">
        <f t="shared" si="141"/>
        <v>182.5473587327468</v>
      </c>
      <c r="M172">
        <f t="shared" si="142"/>
        <v>-0.54735873274680102</v>
      </c>
      <c r="N172">
        <f t="shared" si="143"/>
        <v>0.29960158231418393</v>
      </c>
    </row>
    <row r="173" spans="1:14" x14ac:dyDescent="0.45">
      <c r="A173" s="22">
        <v>42625</v>
      </c>
      <c r="B173">
        <v>178.08</v>
      </c>
      <c r="C173">
        <v>184.13</v>
      </c>
      <c r="G173">
        <f t="shared" ref="G173:K173" si="185">SUMPRODUCT($B173:$B177,P$2:P$6)</f>
        <v>71.522386500811635</v>
      </c>
      <c r="H173">
        <f t="shared" si="185"/>
        <v>145.03629648965352</v>
      </c>
      <c r="I173">
        <f t="shared" si="185"/>
        <v>80.502222591534306</v>
      </c>
      <c r="J173">
        <f t="shared" si="185"/>
        <v>47.678928534133298</v>
      </c>
      <c r="K173">
        <f t="shared" si="185"/>
        <v>55.727369272220983</v>
      </c>
      <c r="L173">
        <f t="shared" si="141"/>
        <v>177.99304481594928</v>
      </c>
      <c r="M173">
        <f t="shared" si="142"/>
        <v>4.7969551840507165</v>
      </c>
      <c r="N173">
        <f t="shared" si="143"/>
        <v>23.010779037791043</v>
      </c>
    </row>
    <row r="174" spans="1:14" x14ac:dyDescent="0.45">
      <c r="A174" s="22">
        <v>42622</v>
      </c>
      <c r="B174">
        <v>186.48</v>
      </c>
      <c r="C174">
        <v>182.1</v>
      </c>
      <c r="G174">
        <f t="shared" ref="G174:K174" si="186">SUMPRODUCT($B174:$B178,P$2:P$6)</f>
        <v>74.80007267576697</v>
      </c>
      <c r="H174">
        <f t="shared" si="186"/>
        <v>151.61454002404116</v>
      </c>
      <c r="I174">
        <f t="shared" si="186"/>
        <v>84.132066491267693</v>
      </c>
      <c r="J174">
        <f t="shared" si="186"/>
        <v>49.809662509466335</v>
      </c>
      <c r="K174">
        <f t="shared" si="186"/>
        <v>58.236750532957572</v>
      </c>
      <c r="L174">
        <f t="shared" si="141"/>
        <v>185.6716359293539</v>
      </c>
      <c r="M174">
        <f t="shared" si="142"/>
        <v>-7.5916359293538846</v>
      </c>
      <c r="N174">
        <f t="shared" si="143"/>
        <v>57.632936083856819</v>
      </c>
    </row>
    <row r="175" spans="1:14" x14ac:dyDescent="0.45">
      <c r="A175" s="22">
        <v>42621</v>
      </c>
      <c r="B175">
        <v>189.09</v>
      </c>
      <c r="C175">
        <v>187.5</v>
      </c>
      <c r="G175">
        <f t="shared" ref="G175:K175" si="187">SUMPRODUCT($B175:$B179,P$2:P$6)</f>
        <v>75.779373021133026</v>
      </c>
      <c r="H175">
        <f t="shared" si="187"/>
        <v>153.5512842284364</v>
      </c>
      <c r="I175">
        <f t="shared" si="187"/>
        <v>85.191684787599684</v>
      </c>
      <c r="J175">
        <f t="shared" si="187"/>
        <v>50.423520229744938</v>
      </c>
      <c r="K175">
        <f t="shared" si="187"/>
        <v>58.967849167293011</v>
      </c>
      <c r="L175">
        <f t="shared" si="141"/>
        <v>187.9292690877266</v>
      </c>
      <c r="M175">
        <f t="shared" si="142"/>
        <v>-1.4492690877266057</v>
      </c>
      <c r="N175">
        <f t="shared" si="143"/>
        <v>2.1003808886399078</v>
      </c>
    </row>
    <row r="176" spans="1:14" x14ac:dyDescent="0.45">
      <c r="A176" s="22">
        <v>42620</v>
      </c>
      <c r="B176">
        <v>189.33</v>
      </c>
      <c r="C176">
        <v>189.15</v>
      </c>
      <c r="G176">
        <f t="shared" ref="G176:K176" si="188">SUMPRODUCT($B176:$B180,P$2:P$6)</f>
        <v>75.876894900061515</v>
      </c>
      <c r="H176">
        <f t="shared" si="188"/>
        <v>153.74985389004237</v>
      </c>
      <c r="I176">
        <f t="shared" si="188"/>
        <v>85.302151611556553</v>
      </c>
      <c r="J176">
        <f t="shared" si="188"/>
        <v>50.489160150387697</v>
      </c>
      <c r="K176">
        <f t="shared" si="188"/>
        <v>59.044363887879342</v>
      </c>
      <c r="L176">
        <f t="shared" si="141"/>
        <v>188.16135511029381</v>
      </c>
      <c r="M176">
        <f t="shared" si="142"/>
        <v>0.92864488970619163</v>
      </c>
      <c r="N176">
        <f t="shared" si="143"/>
        <v>0.86238133117742477</v>
      </c>
    </row>
    <row r="177" spans="1:14" x14ac:dyDescent="0.45">
      <c r="A177" s="22">
        <v>42619</v>
      </c>
      <c r="B177">
        <v>181.7</v>
      </c>
      <c r="C177">
        <v>189.06</v>
      </c>
      <c r="G177">
        <f t="shared" ref="G177:K177" si="189">SUMPRODUCT($B177:$B181,P$2:P$6)</f>
        <v>72.888857814696607</v>
      </c>
      <c r="H177">
        <f t="shared" si="189"/>
        <v>147.74500783466451</v>
      </c>
      <c r="I177">
        <f t="shared" si="189"/>
        <v>81.986201119976883</v>
      </c>
      <c r="J177">
        <f t="shared" si="189"/>
        <v>48.540426236770756</v>
      </c>
      <c r="K177">
        <f t="shared" si="189"/>
        <v>56.751587874353241</v>
      </c>
      <c r="L177">
        <f t="shared" si="141"/>
        <v>181.15122388107341</v>
      </c>
      <c r="M177">
        <f t="shared" si="142"/>
        <v>8.1787761189266064</v>
      </c>
      <c r="N177">
        <f t="shared" si="143"/>
        <v>66.892378803524167</v>
      </c>
    </row>
    <row r="178" spans="1:14" x14ac:dyDescent="0.45">
      <c r="A178" s="22">
        <v>42615</v>
      </c>
      <c r="B178">
        <v>178</v>
      </c>
      <c r="C178">
        <v>177.78</v>
      </c>
      <c r="G178">
        <f t="shared" ref="G178:K178" si="190">SUMPRODUCT($B178:$B182,P$2:P$6)</f>
        <v>71.429779508189853</v>
      </c>
      <c r="H178">
        <f t="shared" si="190"/>
        <v>144.80542706573246</v>
      </c>
      <c r="I178">
        <f t="shared" si="190"/>
        <v>80.360598232331327</v>
      </c>
      <c r="J178">
        <f t="shared" si="190"/>
        <v>47.582997979578629</v>
      </c>
      <c r="K178">
        <f t="shared" si="190"/>
        <v>55.627216866753713</v>
      </c>
      <c r="L178">
        <f t="shared" si="141"/>
        <v>177.71873224208471</v>
      </c>
      <c r="M178">
        <f t="shared" si="142"/>
        <v>3.9812677579152762</v>
      </c>
      <c r="N178">
        <f t="shared" si="143"/>
        <v>15.85049296021573</v>
      </c>
    </row>
    <row r="179" spans="1:14" x14ac:dyDescent="0.45">
      <c r="A179" s="22">
        <v>42614</v>
      </c>
      <c r="B179">
        <v>171.85</v>
      </c>
      <c r="C179">
        <v>176.55</v>
      </c>
      <c r="G179">
        <f t="shared" ref="G179:K179" si="191">SUMPRODUCT($B179:$B183,P$2:P$6)</f>
        <v>69.000714199544987</v>
      </c>
      <c r="H179">
        <f t="shared" si="191"/>
        <v>139.90883960654247</v>
      </c>
      <c r="I179">
        <f t="shared" si="191"/>
        <v>77.651883858594559</v>
      </c>
      <c r="J179">
        <f t="shared" si="191"/>
        <v>45.986868236692068</v>
      </c>
      <c r="K179">
        <f t="shared" si="191"/>
        <v>53.753552773802632</v>
      </c>
      <c r="L179">
        <f t="shared" si="141"/>
        <v>172.00078478229773</v>
      </c>
      <c r="M179">
        <f t="shared" si="142"/>
        <v>5.9992152177022717</v>
      </c>
      <c r="N179">
        <f t="shared" si="143"/>
        <v>35.990583228310513</v>
      </c>
    </row>
    <row r="180" spans="1:14" x14ac:dyDescent="0.45">
      <c r="A180" s="22">
        <v>42613</v>
      </c>
      <c r="B180">
        <v>172.24</v>
      </c>
      <c r="C180">
        <v>171.07</v>
      </c>
      <c r="G180">
        <f t="shared" ref="G180:K180" si="192">SUMPRODUCT($B180:$B184,P$2:P$6)</f>
        <v>69.144457391366856</v>
      </c>
      <c r="H180">
        <f t="shared" si="192"/>
        <v>140.19114286736098</v>
      </c>
      <c r="I180">
        <f t="shared" si="192"/>
        <v>77.805702291585234</v>
      </c>
      <c r="J180">
        <f t="shared" si="192"/>
        <v>46.075406006140213</v>
      </c>
      <c r="K180">
        <f t="shared" si="192"/>
        <v>53.859579836103983</v>
      </c>
      <c r="L180">
        <f t="shared" si="141"/>
        <v>172.32964694844864</v>
      </c>
      <c r="M180">
        <f t="shared" si="142"/>
        <v>-0.47964694844864653</v>
      </c>
      <c r="N180">
        <f t="shared" si="143"/>
        <v>0.23006119515609857</v>
      </c>
    </row>
    <row r="181" spans="1:14" x14ac:dyDescent="0.45">
      <c r="A181" s="22">
        <v>42612</v>
      </c>
      <c r="B181">
        <v>174.22</v>
      </c>
      <c r="C181">
        <v>175.45</v>
      </c>
      <c r="G181">
        <f t="shared" ref="G181:K181" si="193">SUMPRODUCT($B181:$B185,P$2:P$6)</f>
        <v>69.942968359981819</v>
      </c>
      <c r="H181">
        <f t="shared" si="193"/>
        <v>141.81273927788857</v>
      </c>
      <c r="I181">
        <f t="shared" si="193"/>
        <v>78.706498998010389</v>
      </c>
      <c r="J181">
        <f t="shared" si="193"/>
        <v>46.60956640536974</v>
      </c>
      <c r="K181">
        <f t="shared" si="193"/>
        <v>54.483269878292091</v>
      </c>
      <c r="L181">
        <f t="shared" si="141"/>
        <v>174.22452346547504</v>
      </c>
      <c r="M181">
        <f t="shared" si="142"/>
        <v>-1.9845234654750357</v>
      </c>
      <c r="N181">
        <f t="shared" si="143"/>
        <v>3.9383333850210449</v>
      </c>
    </row>
    <row r="182" spans="1:14" x14ac:dyDescent="0.45">
      <c r="A182" s="22">
        <v>42611</v>
      </c>
      <c r="B182">
        <v>173.89</v>
      </c>
      <c r="C182">
        <v>173.65</v>
      </c>
      <c r="G182">
        <f t="shared" ref="G182:K182" si="194">SUMPRODUCT($B182:$B186,P$2:P$6)</f>
        <v>69.814785813280622</v>
      </c>
      <c r="H182">
        <f t="shared" si="194"/>
        <v>141.55590732046716</v>
      </c>
      <c r="I182">
        <f t="shared" si="194"/>
        <v>78.564916091465108</v>
      </c>
      <c r="J182">
        <f t="shared" si="194"/>
        <v>46.52657864303491</v>
      </c>
      <c r="K182">
        <f t="shared" si="194"/>
        <v>54.385412577571763</v>
      </c>
      <c r="L182">
        <f t="shared" si="141"/>
        <v>173.92477743514669</v>
      </c>
      <c r="M182">
        <f t="shared" si="142"/>
        <v>0.29522256485330445</v>
      </c>
      <c r="N182">
        <f t="shared" si="143"/>
        <v>8.715636279856355E-2</v>
      </c>
    </row>
    <row r="183" spans="1:14" x14ac:dyDescent="0.45">
      <c r="A183" s="22">
        <v>42608</v>
      </c>
      <c r="B183">
        <v>172.85</v>
      </c>
      <c r="C183">
        <v>173.47</v>
      </c>
      <c r="G183">
        <f t="shared" ref="G183:K183" si="195">SUMPRODUCT($B183:$B187,P$2:P$6)</f>
        <v>69.433715272140091</v>
      </c>
      <c r="H183">
        <f t="shared" si="195"/>
        <v>140.80924883140534</v>
      </c>
      <c r="I183">
        <f t="shared" si="195"/>
        <v>78.158647430525278</v>
      </c>
      <c r="J183">
        <f t="shared" si="195"/>
        <v>46.293242711674132</v>
      </c>
      <c r="K183">
        <f t="shared" si="195"/>
        <v>54.105460023645222</v>
      </c>
      <c r="L183">
        <f t="shared" si="141"/>
        <v>173.05516653630113</v>
      </c>
      <c r="M183">
        <f t="shared" si="142"/>
        <v>0.8348334636988568</v>
      </c>
      <c r="N183">
        <f t="shared" si="143"/>
        <v>0.69694691211143045</v>
      </c>
    </row>
    <row r="184" spans="1:14" x14ac:dyDescent="0.45">
      <c r="A184" s="22">
        <v>42607</v>
      </c>
      <c r="B184">
        <v>171.6</v>
      </c>
      <c r="C184">
        <v>172.85</v>
      </c>
      <c r="G184">
        <f t="shared" ref="G184:K184" si="196">SUMPRODUCT($B184:$B188,P$2:P$6)</f>
        <v>68.92115949485688</v>
      </c>
      <c r="H184">
        <f t="shared" si="196"/>
        <v>139.76236920441659</v>
      </c>
      <c r="I184">
        <f t="shared" si="196"/>
        <v>77.575234603730536</v>
      </c>
      <c r="J184">
        <f t="shared" si="196"/>
        <v>45.945621339552787</v>
      </c>
      <c r="K184">
        <f t="shared" si="196"/>
        <v>53.701223002886557</v>
      </c>
      <c r="L184">
        <f t="shared" si="141"/>
        <v>171.83122832992569</v>
      </c>
      <c r="M184">
        <f t="shared" si="142"/>
        <v>1.018771670074301</v>
      </c>
      <c r="N184">
        <f t="shared" si="143"/>
        <v>1.0378957157459805</v>
      </c>
    </row>
    <row r="185" spans="1:14" x14ac:dyDescent="0.45">
      <c r="A185" s="22">
        <v>42606</v>
      </c>
      <c r="B185">
        <v>174.04</v>
      </c>
      <c r="C185">
        <v>171.49</v>
      </c>
      <c r="G185">
        <f t="shared" ref="G185:K185" si="197">SUMPRODUCT($B185:$B189,P$2:P$6)</f>
        <v>69.864210774988038</v>
      </c>
      <c r="H185">
        <f t="shared" si="197"/>
        <v>141.64842510847862</v>
      </c>
      <c r="I185">
        <f t="shared" si="197"/>
        <v>78.613855177720495</v>
      </c>
      <c r="J185">
        <f t="shared" si="197"/>
        <v>46.553417827334926</v>
      </c>
      <c r="K185">
        <f t="shared" si="197"/>
        <v>54.418909942870101</v>
      </c>
      <c r="L185">
        <f t="shared" si="141"/>
        <v>174.03205624392152</v>
      </c>
      <c r="M185">
        <f t="shared" si="142"/>
        <v>-2.4320562439215223</v>
      </c>
      <c r="N185">
        <f t="shared" si="143"/>
        <v>5.9148975735976634</v>
      </c>
    </row>
    <row r="186" spans="1:14" x14ac:dyDescent="0.45">
      <c r="A186" s="22">
        <v>42605</v>
      </c>
      <c r="B186">
        <v>174.26</v>
      </c>
      <c r="C186">
        <v>173.49</v>
      </c>
      <c r="G186">
        <f t="shared" ref="G186:K186" si="198">SUMPRODUCT($B186:$B190,P$2:P$6)</f>
        <v>69.958247101528173</v>
      </c>
      <c r="H186">
        <f t="shared" si="198"/>
        <v>141.84316001021097</v>
      </c>
      <c r="I186">
        <f t="shared" si="198"/>
        <v>78.723208854950926</v>
      </c>
      <c r="J186">
        <f t="shared" si="198"/>
        <v>46.619310953353484</v>
      </c>
      <c r="K186">
        <f t="shared" si="198"/>
        <v>54.494807402469071</v>
      </c>
      <c r="L186">
        <f t="shared" si="141"/>
        <v>174.26000771018144</v>
      </c>
      <c r="M186">
        <f t="shared" si="142"/>
        <v>-0.2200077101814486</v>
      </c>
      <c r="N186">
        <f t="shared" si="143"/>
        <v>4.840339253928428E-2</v>
      </c>
    </row>
    <row r="187" spans="1:14" x14ac:dyDescent="0.45">
      <c r="A187" s="22">
        <v>42604</v>
      </c>
      <c r="B187">
        <v>177.88</v>
      </c>
      <c r="C187">
        <v>173.85</v>
      </c>
      <c r="G187">
        <f t="shared" ref="G187:K187" si="199">SUMPRODUCT($B187:$B191,P$2:P$6)</f>
        <v>71.375580253982562</v>
      </c>
      <c r="H187">
        <f t="shared" si="199"/>
        <v>144.6912408216416</v>
      </c>
      <c r="I187">
        <f t="shared" si="199"/>
        <v>80.295881325212207</v>
      </c>
      <c r="J187">
        <f t="shared" si="199"/>
        <v>47.543476614733756</v>
      </c>
      <c r="K187">
        <f t="shared" si="199"/>
        <v>55.582204273075462</v>
      </c>
      <c r="L187">
        <f t="shared" si="141"/>
        <v>177.58486729205393</v>
      </c>
      <c r="M187">
        <f t="shared" si="142"/>
        <v>-3.3248672920539377</v>
      </c>
      <c r="N187">
        <f t="shared" si="143"/>
        <v>11.054742509770085</v>
      </c>
    </row>
    <row r="188" spans="1:14" x14ac:dyDescent="0.45">
      <c r="A188" s="22">
        <v>42601</v>
      </c>
      <c r="B188">
        <v>175.26</v>
      </c>
      <c r="C188">
        <v>177.53</v>
      </c>
      <c r="G188">
        <f t="shared" ref="G188:K188" si="200">SUMPRODUCT($B188:$B192,P$2:P$6)</f>
        <v>70.314649656322672</v>
      </c>
      <c r="H188">
        <f t="shared" si="200"/>
        <v>142.53366948674133</v>
      </c>
      <c r="I188">
        <f t="shared" si="200"/>
        <v>79.096393455981584</v>
      </c>
      <c r="J188">
        <f t="shared" si="200"/>
        <v>46.831340419401606</v>
      </c>
      <c r="K188">
        <f t="shared" si="200"/>
        <v>54.751558818047229</v>
      </c>
      <c r="L188">
        <f t="shared" si="141"/>
        <v>175.06336542805954</v>
      </c>
      <c r="M188">
        <f t="shared" si="142"/>
        <v>2.8166345719404546</v>
      </c>
      <c r="N188">
        <f t="shared" si="143"/>
        <v>7.9334303118501879</v>
      </c>
    </row>
    <row r="189" spans="1:14" x14ac:dyDescent="0.45">
      <c r="A189" s="22">
        <v>42600</v>
      </c>
      <c r="B189">
        <v>173.03</v>
      </c>
      <c r="C189">
        <v>175.4</v>
      </c>
      <c r="G189">
        <f t="shared" ref="G189:K189" si="201">SUMPRODUCT($B189:$B193,P$2:P$6)</f>
        <v>69.423907391889855</v>
      </c>
      <c r="H189">
        <f t="shared" si="201"/>
        <v>140.7308683905465</v>
      </c>
      <c r="I189">
        <f t="shared" si="201"/>
        <v>78.096841697738625</v>
      </c>
      <c r="J189">
        <f t="shared" si="201"/>
        <v>46.240311403526889</v>
      </c>
      <c r="K189">
        <f t="shared" si="201"/>
        <v>54.059792976031531</v>
      </c>
      <c r="L189">
        <f t="shared" si="141"/>
        <v>172.95739015546357</v>
      </c>
      <c r="M189">
        <f t="shared" si="142"/>
        <v>2.3026098445364198</v>
      </c>
      <c r="N189">
        <f t="shared" si="143"/>
        <v>5.3020120961560355</v>
      </c>
    </row>
    <row r="190" spans="1:14" x14ac:dyDescent="0.45">
      <c r="A190" s="22">
        <v>42599</v>
      </c>
      <c r="B190">
        <v>173.98</v>
      </c>
      <c r="C190">
        <v>172.73</v>
      </c>
      <c r="G190">
        <f t="shared" ref="G190:K190" si="202">SUMPRODUCT($B190:$B194,P$2:P$6)</f>
        <v>69.802252406079575</v>
      </c>
      <c r="H190">
        <f t="shared" si="202"/>
        <v>141.4958116848384</v>
      </c>
      <c r="I190">
        <f t="shared" si="202"/>
        <v>78.520708812589532</v>
      </c>
      <c r="J190">
        <f t="shared" si="202"/>
        <v>46.490711720217611</v>
      </c>
      <c r="K190">
        <f t="shared" si="202"/>
        <v>54.353102296867895</v>
      </c>
      <c r="L190">
        <f t="shared" si="141"/>
        <v>173.85088674647236</v>
      </c>
      <c r="M190">
        <f t="shared" si="142"/>
        <v>-0.82088674647235393</v>
      </c>
      <c r="N190">
        <f t="shared" si="143"/>
        <v>0.67385505053396666</v>
      </c>
    </row>
    <row r="191" spans="1:14" x14ac:dyDescent="0.45">
      <c r="A191" s="22">
        <v>42598</v>
      </c>
      <c r="B191">
        <v>173</v>
      </c>
      <c r="C191">
        <v>173.3</v>
      </c>
      <c r="G191">
        <f t="shared" ref="G191:K191" si="203">SUMPRODUCT($B191:$B195,P$2:P$6)</f>
        <v>69.40341052339555</v>
      </c>
      <c r="H191">
        <f t="shared" si="203"/>
        <v>140.6832869625656</v>
      </c>
      <c r="I191">
        <f t="shared" si="203"/>
        <v>78.068549067874756</v>
      </c>
      <c r="J191">
        <f t="shared" si="203"/>
        <v>46.221869090359888</v>
      </c>
      <c r="K191">
        <f t="shared" si="203"/>
        <v>54.039913583185772</v>
      </c>
      <c r="L191">
        <f t="shared" si="141"/>
        <v>172.90115886026842</v>
      </c>
      <c r="M191">
        <f t="shared" si="142"/>
        <v>1.0788411397315656</v>
      </c>
      <c r="N191">
        <f t="shared" si="143"/>
        <v>1.1638982047773034</v>
      </c>
    </row>
    <row r="192" spans="1:14" x14ac:dyDescent="0.45">
      <c r="A192" s="22">
        <v>42597</v>
      </c>
      <c r="B192">
        <v>169.22</v>
      </c>
      <c r="C192">
        <v>172.95</v>
      </c>
      <c r="G192">
        <f t="shared" ref="G192:K192" si="204">SUMPRODUCT($B192:$B196,P$2:P$6)</f>
        <v>67.911042708310291</v>
      </c>
      <c r="H192">
        <f t="shared" si="204"/>
        <v>137.6753736509331</v>
      </c>
      <c r="I192">
        <f t="shared" si="204"/>
        <v>76.40475998443884</v>
      </c>
      <c r="J192">
        <f t="shared" si="204"/>
        <v>45.241593081995049</v>
      </c>
      <c r="K192">
        <f t="shared" si="204"/>
        <v>52.889065622892474</v>
      </c>
      <c r="L192">
        <f t="shared" si="141"/>
        <v>169.38874133451611</v>
      </c>
      <c r="M192">
        <f t="shared" si="142"/>
        <v>3.6112586654838879</v>
      </c>
      <c r="N192">
        <f t="shared" si="143"/>
        <v>13.041189149032471</v>
      </c>
    </row>
    <row r="193" spans="1:14" x14ac:dyDescent="0.45">
      <c r="A193" s="22">
        <v>42594</v>
      </c>
      <c r="B193">
        <v>167.57</v>
      </c>
      <c r="C193">
        <v>167.98</v>
      </c>
      <c r="G193">
        <f t="shared" ref="G193:K193" si="205">SUMPRODUCT($B193:$B197,P$2:P$6)</f>
        <v>67.271305225828741</v>
      </c>
      <c r="H193">
        <f t="shared" si="205"/>
        <v>136.39443661701904</v>
      </c>
      <c r="I193">
        <f t="shared" si="205"/>
        <v>75.698894169533418</v>
      </c>
      <c r="J193">
        <f t="shared" si="205"/>
        <v>44.828096022908383</v>
      </c>
      <c r="K193">
        <f t="shared" si="205"/>
        <v>52.401236903232835</v>
      </c>
      <c r="L193">
        <f t="shared" si="141"/>
        <v>167.89386201127576</v>
      </c>
      <c r="M193">
        <f t="shared" si="142"/>
        <v>1.3261379887242413</v>
      </c>
      <c r="N193">
        <f t="shared" si="143"/>
        <v>1.7586419651375758</v>
      </c>
    </row>
    <row r="194" spans="1:14" x14ac:dyDescent="0.45">
      <c r="A194" s="22">
        <v>42593</v>
      </c>
      <c r="B194">
        <v>168.13</v>
      </c>
      <c r="C194">
        <v>167.72</v>
      </c>
      <c r="G194">
        <f t="shared" ref="G194:K194" si="206">SUMPRODUCT($B194:$B198,P$2:P$6)</f>
        <v>67.463189440413402</v>
      </c>
      <c r="H194">
        <f t="shared" si="206"/>
        <v>136.76001756517064</v>
      </c>
      <c r="I194">
        <f t="shared" si="206"/>
        <v>75.894447253185049</v>
      </c>
      <c r="J194">
        <f t="shared" si="206"/>
        <v>44.937348753717679</v>
      </c>
      <c r="K194">
        <f t="shared" si="206"/>
        <v>52.53544964363418</v>
      </c>
      <c r="L194">
        <f t="shared" si="141"/>
        <v>168.31850374064291</v>
      </c>
      <c r="M194">
        <f t="shared" si="142"/>
        <v>-0.74850374064291714</v>
      </c>
      <c r="N194">
        <f t="shared" si="143"/>
        <v>0.56025784975643933</v>
      </c>
    </row>
    <row r="195" spans="1:14" x14ac:dyDescent="0.45">
      <c r="A195" s="22">
        <v>42592</v>
      </c>
      <c r="B195">
        <v>166.46</v>
      </c>
      <c r="C195">
        <v>165.63</v>
      </c>
      <c r="G195">
        <f t="shared" ref="G195:K195" si="207">SUMPRODUCT($B195:$B199,P$2:P$6)</f>
        <v>66.799695770709249</v>
      </c>
      <c r="H195">
        <f t="shared" si="207"/>
        <v>135.41970649281171</v>
      </c>
      <c r="I195">
        <f t="shared" si="207"/>
        <v>75.152119890129228</v>
      </c>
      <c r="J195">
        <f t="shared" si="207"/>
        <v>44.499129645189562</v>
      </c>
      <c r="K195">
        <f t="shared" si="207"/>
        <v>52.021829555315882</v>
      </c>
      <c r="L195">
        <f t="shared" ref="L195:L247" si="208">(G195+$P$7)*$U$2+(H195+$Q$7)*$U$3+(I195+$R$7)*$U$4+(J195+$S$7)*$U$5+(K195+$T$7)*$U$6+$U$7</f>
        <v>166.75306526984986</v>
      </c>
      <c r="M195">
        <f t="shared" ref="M195:M247" si="209">B194-L195</f>
        <v>1.3769347301501398</v>
      </c>
      <c r="N195">
        <f t="shared" ref="N195:N247" si="210">M195^2</f>
        <v>1.8959492510936382</v>
      </c>
    </row>
    <row r="196" spans="1:14" x14ac:dyDescent="0.45">
      <c r="A196" s="22">
        <v>42591</v>
      </c>
      <c r="B196">
        <v>165.9</v>
      </c>
      <c r="C196">
        <v>165.54</v>
      </c>
      <c r="G196">
        <f t="shared" ref="G196:K196" si="211">SUMPRODUCT($B196:$B200,P$2:P$6)</f>
        <v>66.566735377832444</v>
      </c>
      <c r="H196">
        <f t="shared" si="211"/>
        <v>134.9415646556651</v>
      </c>
      <c r="I196">
        <f t="shared" si="211"/>
        <v>74.884934998515618</v>
      </c>
      <c r="J196">
        <f t="shared" si="211"/>
        <v>44.339283468855271</v>
      </c>
      <c r="K196">
        <f t="shared" si="211"/>
        <v>51.836588414472629</v>
      </c>
      <c r="L196">
        <f t="shared" si="208"/>
        <v>166.19380997361142</v>
      </c>
      <c r="M196">
        <f t="shared" si="209"/>
        <v>0.26619002638858547</v>
      </c>
      <c r="N196">
        <f t="shared" si="210"/>
        <v>7.0857130148755831E-2</v>
      </c>
    </row>
    <row r="197" spans="1:14" x14ac:dyDescent="0.45">
      <c r="A197" s="22">
        <v>42590</v>
      </c>
      <c r="B197">
        <v>167.15</v>
      </c>
      <c r="C197">
        <v>166.45</v>
      </c>
      <c r="G197">
        <f t="shared" ref="G197:K197" si="212">SUMPRODUCT($B197:$B201,P$2:P$6)</f>
        <v>67.066928941713087</v>
      </c>
      <c r="H197">
        <f t="shared" si="212"/>
        <v>135.95456812586065</v>
      </c>
      <c r="I197">
        <f t="shared" si="212"/>
        <v>75.446789581265833</v>
      </c>
      <c r="J197">
        <f t="shared" si="212"/>
        <v>44.671679793594798</v>
      </c>
      <c r="K197">
        <f t="shared" si="212"/>
        <v>52.225468341728728</v>
      </c>
      <c r="L197">
        <f t="shared" si="208"/>
        <v>167.37723547522327</v>
      </c>
      <c r="M197">
        <f t="shared" si="209"/>
        <v>-1.4772354752232673</v>
      </c>
      <c r="N197">
        <f t="shared" si="210"/>
        <v>2.1822246492581123</v>
      </c>
    </row>
    <row r="198" spans="1:14" x14ac:dyDescent="0.45">
      <c r="A198" s="22">
        <v>42587</v>
      </c>
      <c r="B198">
        <v>163.5</v>
      </c>
      <c r="C198">
        <v>167.38</v>
      </c>
      <c r="G198">
        <f t="shared" ref="G198:K198" si="213">SUMPRODUCT($B198:$B202,P$2:P$6)</f>
        <v>65.611652697981938</v>
      </c>
      <c r="H198">
        <f t="shared" si="213"/>
        <v>133.01109693055707</v>
      </c>
      <c r="I198">
        <f t="shared" si="213"/>
        <v>73.815399610325784</v>
      </c>
      <c r="J198">
        <f t="shared" si="213"/>
        <v>43.707587871601795</v>
      </c>
      <c r="K198">
        <f t="shared" si="213"/>
        <v>51.096517196203585</v>
      </c>
      <c r="L198">
        <f t="shared" si="208"/>
        <v>163.93896997930264</v>
      </c>
      <c r="M198">
        <f t="shared" si="209"/>
        <v>3.2110300206973648</v>
      </c>
      <c r="N198">
        <f t="shared" si="210"/>
        <v>10.310713793819719</v>
      </c>
    </row>
    <row r="199" spans="1:14" x14ac:dyDescent="0.45">
      <c r="A199" s="22">
        <v>42586</v>
      </c>
      <c r="B199">
        <v>162.72</v>
      </c>
      <c r="C199">
        <v>162.56</v>
      </c>
      <c r="G199">
        <f t="shared" ref="G199:K199" si="214">SUMPRODUCT($B199:$B203,P$2:P$6)</f>
        <v>65.314074080606929</v>
      </c>
      <c r="H199">
        <f t="shared" si="214"/>
        <v>132.41883528773315</v>
      </c>
      <c r="I199">
        <f t="shared" si="214"/>
        <v>73.490162832178314</v>
      </c>
      <c r="J199">
        <f t="shared" si="214"/>
        <v>43.518079726391235</v>
      </c>
      <c r="K199">
        <f t="shared" si="214"/>
        <v>50.871924603751665</v>
      </c>
      <c r="L199">
        <f t="shared" si="208"/>
        <v>163.24817127727141</v>
      </c>
      <c r="M199">
        <f t="shared" si="209"/>
        <v>0.25182872272858958</v>
      </c>
      <c r="N199">
        <f t="shared" si="210"/>
        <v>6.3417705591112858E-2</v>
      </c>
    </row>
    <row r="200" spans="1:14" x14ac:dyDescent="0.45">
      <c r="A200" s="22">
        <v>42585</v>
      </c>
      <c r="B200">
        <v>161.12</v>
      </c>
      <c r="C200">
        <v>162.24</v>
      </c>
      <c r="G200">
        <f t="shared" ref="G200:K200" si="215">SUMPRODUCT($B200:$B204,P$2:P$6)</f>
        <v>64.730322396303478</v>
      </c>
      <c r="H200">
        <f t="shared" si="215"/>
        <v>131.27700746840333</v>
      </c>
      <c r="I200">
        <f t="shared" si="215"/>
        <v>72.869513034043365</v>
      </c>
      <c r="J200">
        <f t="shared" si="215"/>
        <v>43.162192273713387</v>
      </c>
      <c r="K200">
        <f t="shared" si="215"/>
        <v>50.444346158165239</v>
      </c>
      <c r="L200">
        <f t="shared" si="208"/>
        <v>161.91853433183951</v>
      </c>
      <c r="M200">
        <f t="shared" si="209"/>
        <v>0.80146566816048903</v>
      </c>
      <c r="N200">
        <f t="shared" si="210"/>
        <v>0.64234721723993915</v>
      </c>
    </row>
    <row r="201" spans="1:14" x14ac:dyDescent="0.45">
      <c r="A201" s="22">
        <v>42584</v>
      </c>
      <c r="B201">
        <v>162.16</v>
      </c>
      <c r="C201">
        <v>160.75</v>
      </c>
      <c r="G201">
        <f t="shared" ref="G201:K201" si="216">SUMPRODUCT($B201:$B205,P$2:P$6)</f>
        <v>65.117025466922442</v>
      </c>
      <c r="H201">
        <f t="shared" si="216"/>
        <v>132.03910080080516</v>
      </c>
      <c r="I201">
        <f t="shared" si="216"/>
        <v>73.285603828024961</v>
      </c>
      <c r="J201">
        <f t="shared" si="216"/>
        <v>43.402470941541701</v>
      </c>
      <c r="K201">
        <f t="shared" si="216"/>
        <v>50.731296975244646</v>
      </c>
      <c r="L201">
        <f t="shared" si="208"/>
        <v>162.80660527632259</v>
      </c>
      <c r="M201">
        <f t="shared" si="209"/>
        <v>-1.6866052763225809</v>
      </c>
      <c r="N201">
        <f t="shared" si="210"/>
        <v>2.8446373581191695</v>
      </c>
    </row>
    <row r="202" spans="1:14" x14ac:dyDescent="0.45">
      <c r="A202" s="22">
        <v>42583</v>
      </c>
      <c r="B202">
        <v>159.80000000000001</v>
      </c>
      <c r="C202">
        <v>163.22999999999999</v>
      </c>
      <c r="G202">
        <f t="shared" ref="G202:K202" si="217">SUMPRODUCT($B202:$B206,P$2:P$6)</f>
        <v>64.155863031519758</v>
      </c>
      <c r="H202">
        <f t="shared" si="217"/>
        <v>130.08052680173057</v>
      </c>
      <c r="I202">
        <f t="shared" si="217"/>
        <v>72.195530458671243</v>
      </c>
      <c r="J202">
        <f t="shared" si="217"/>
        <v>42.75421424265285</v>
      </c>
      <c r="K202">
        <f t="shared" si="217"/>
        <v>49.97622845927085</v>
      </c>
      <c r="L202">
        <f t="shared" si="208"/>
        <v>160.51725470113257</v>
      </c>
      <c r="M202">
        <f t="shared" si="209"/>
        <v>1.6427452988674247</v>
      </c>
      <c r="N202">
        <f t="shared" si="210"/>
        <v>2.6986121169510247</v>
      </c>
    </row>
    <row r="203" spans="1:14" x14ac:dyDescent="0.45">
      <c r="A203" s="22">
        <v>42580</v>
      </c>
      <c r="B203">
        <v>161.01</v>
      </c>
      <c r="C203">
        <v>159.6</v>
      </c>
      <c r="G203">
        <f t="shared" ref="G203:K203" si="218">SUMPRODUCT($B203:$B207,P$2:P$6)</f>
        <v>64.627561821850989</v>
      </c>
      <c r="H203">
        <f t="shared" si="218"/>
        <v>131.02688829679178</v>
      </c>
      <c r="I203">
        <f t="shared" si="218"/>
        <v>72.717626311640302</v>
      </c>
      <c r="J203">
        <f t="shared" si="218"/>
        <v>43.060592471627842</v>
      </c>
      <c r="K203">
        <f t="shared" si="218"/>
        <v>50.337144560799224</v>
      </c>
      <c r="L203">
        <f t="shared" si="208"/>
        <v>161.62187985147659</v>
      </c>
      <c r="M203">
        <f t="shared" si="209"/>
        <v>-1.8218798514765808</v>
      </c>
      <c r="N203">
        <f t="shared" si="210"/>
        <v>3.3192461932163284</v>
      </c>
    </row>
    <row r="204" spans="1:14" x14ac:dyDescent="0.45">
      <c r="A204" s="22">
        <v>42579</v>
      </c>
      <c r="B204">
        <v>166.9</v>
      </c>
      <c r="C204">
        <v>165.63</v>
      </c>
      <c r="G204">
        <f t="shared" ref="G204:K204" si="219">SUMPRODUCT($B204:$B208,P$2:P$6)</f>
        <v>66.967734594253258</v>
      </c>
      <c r="H204">
        <f t="shared" si="219"/>
        <v>135.75428161050422</v>
      </c>
      <c r="I204">
        <f t="shared" si="219"/>
        <v>75.335891710259787</v>
      </c>
      <c r="J204">
        <f t="shared" si="219"/>
        <v>44.606237206092004</v>
      </c>
      <c r="K204">
        <f t="shared" si="219"/>
        <v>52.148742054900708</v>
      </c>
      <c r="L204">
        <f t="shared" si="208"/>
        <v>167.1433173875113</v>
      </c>
      <c r="M204">
        <f t="shared" si="209"/>
        <v>-6.1333173875113118</v>
      </c>
      <c r="N204">
        <f t="shared" si="210"/>
        <v>37.617582175948584</v>
      </c>
    </row>
    <row r="205" spans="1:14" x14ac:dyDescent="0.45">
      <c r="A205" s="22">
        <v>42578</v>
      </c>
      <c r="B205">
        <v>164</v>
      </c>
      <c r="C205">
        <v>165.5</v>
      </c>
      <c r="G205">
        <f t="shared" ref="G205:K205" si="220">SUMPRODUCT($B205:$B209,P$2:P$6)</f>
        <v>65.821540614896108</v>
      </c>
      <c r="H205">
        <f t="shared" si="220"/>
        <v>133.4431820564192</v>
      </c>
      <c r="I205">
        <f t="shared" si="220"/>
        <v>74.057250248882809</v>
      </c>
      <c r="J205">
        <f t="shared" si="220"/>
        <v>43.852628691196408</v>
      </c>
      <c r="K205">
        <f t="shared" si="220"/>
        <v>51.264257673757562</v>
      </c>
      <c r="L205">
        <f t="shared" si="208"/>
        <v>164.44449102310122</v>
      </c>
      <c r="M205">
        <f t="shared" si="209"/>
        <v>2.4555089768987841</v>
      </c>
      <c r="N205">
        <f t="shared" si="210"/>
        <v>6.0295243356305139</v>
      </c>
    </row>
    <row r="206" spans="1:14" x14ac:dyDescent="0.45">
      <c r="A206" s="22">
        <v>42577</v>
      </c>
      <c r="B206">
        <v>159.88999999999999</v>
      </c>
      <c r="C206">
        <v>164.03</v>
      </c>
      <c r="G206">
        <f t="shared" ref="G206:K206" si="221">SUMPRODUCT($B206:$B210,P$2:P$6)</f>
        <v>64.201617315464503</v>
      </c>
      <c r="H206">
        <f t="shared" si="221"/>
        <v>130.18015511040895</v>
      </c>
      <c r="I206">
        <f t="shared" si="221"/>
        <v>72.252971093652093</v>
      </c>
      <c r="J206">
        <f t="shared" si="221"/>
        <v>42.790138651021387</v>
      </c>
      <c r="K206">
        <f t="shared" si="221"/>
        <v>50.016329970289199</v>
      </c>
      <c r="L206">
        <f t="shared" si="208"/>
        <v>160.63438217007814</v>
      </c>
      <c r="M206">
        <f t="shared" si="209"/>
        <v>3.3656178299218595</v>
      </c>
      <c r="N206">
        <f t="shared" si="210"/>
        <v>11.327383377087926</v>
      </c>
    </row>
    <row r="207" spans="1:14" x14ac:dyDescent="0.45">
      <c r="A207" s="22">
        <v>42576</v>
      </c>
      <c r="B207">
        <v>159.30000000000001</v>
      </c>
      <c r="C207">
        <v>160.25</v>
      </c>
      <c r="G207">
        <f t="shared" ref="G207:K207" si="222">SUMPRODUCT($B207:$B211,P$2:P$6)</f>
        <v>63.98258931964363</v>
      </c>
      <c r="H207">
        <f t="shared" si="222"/>
        <v>129.74877565554607</v>
      </c>
      <c r="I207">
        <f t="shared" si="222"/>
        <v>72.01753248661241</v>
      </c>
      <c r="J207">
        <f t="shared" si="222"/>
        <v>42.654262776895507</v>
      </c>
      <c r="K207">
        <f t="shared" si="222"/>
        <v>49.853976122800105</v>
      </c>
      <c r="L207">
        <f t="shared" si="208"/>
        <v>160.13172426901789</v>
      </c>
      <c r="M207">
        <f t="shared" si="209"/>
        <v>-0.241724269017908</v>
      </c>
      <c r="N207">
        <f t="shared" si="210"/>
        <v>5.8430622232241956E-2</v>
      </c>
    </row>
    <row r="208" spans="1:14" x14ac:dyDescent="0.45">
      <c r="A208" s="22">
        <v>42573</v>
      </c>
      <c r="B208">
        <v>162.06</v>
      </c>
      <c r="C208">
        <v>160.88</v>
      </c>
      <c r="G208">
        <f t="shared" ref="G208:K208" si="223">SUMPRODUCT($B208:$B212,P$2:P$6)</f>
        <v>65.067802960353845</v>
      </c>
      <c r="H208">
        <f t="shared" si="223"/>
        <v>131.93283143221205</v>
      </c>
      <c r="I208">
        <f t="shared" si="223"/>
        <v>73.224599398730362</v>
      </c>
      <c r="J208">
        <f t="shared" si="223"/>
        <v>43.36453668414353</v>
      </c>
      <c r="K208">
        <f t="shared" si="223"/>
        <v>50.688748387030707</v>
      </c>
      <c r="L208">
        <f t="shared" si="208"/>
        <v>162.68175817061174</v>
      </c>
      <c r="M208">
        <f t="shared" si="209"/>
        <v>-3.3817581706117323</v>
      </c>
      <c r="N208">
        <f t="shared" si="210"/>
        <v>11.436288324499211</v>
      </c>
    </row>
    <row r="209" spans="1:14" x14ac:dyDescent="0.45">
      <c r="A209" s="22">
        <v>42572</v>
      </c>
      <c r="B209">
        <v>161.47</v>
      </c>
      <c r="C209">
        <v>161.4</v>
      </c>
      <c r="G209">
        <f t="shared" ref="G209:K209" si="224">SUMPRODUCT($B209:$B213,P$2:P$6)</f>
        <v>64.852138008293778</v>
      </c>
      <c r="H209">
        <f t="shared" si="224"/>
        <v>131.51066928575383</v>
      </c>
      <c r="I209">
        <f t="shared" si="224"/>
        <v>72.995025576775333</v>
      </c>
      <c r="J209">
        <f t="shared" si="224"/>
        <v>43.232803095074814</v>
      </c>
      <c r="K209">
        <f t="shared" si="224"/>
        <v>50.530574010381152</v>
      </c>
      <c r="L209">
        <f t="shared" si="208"/>
        <v>162.1901229253908</v>
      </c>
      <c r="M209">
        <f t="shared" si="209"/>
        <v>-0.1301229253907934</v>
      </c>
      <c r="N209">
        <f t="shared" si="210"/>
        <v>1.6931975712257984E-2</v>
      </c>
    </row>
    <row r="210" spans="1:14" x14ac:dyDescent="0.45">
      <c r="A210" s="22">
        <v>42571</v>
      </c>
      <c r="B210">
        <v>161.21</v>
      </c>
      <c r="C210">
        <v>160.65</v>
      </c>
      <c r="G210">
        <f t="shared" ref="G210:K210" si="225">SUMPRODUCT($B210:$B214,P$2:P$6)</f>
        <v>64.763795701578346</v>
      </c>
      <c r="H210">
        <f t="shared" si="225"/>
        <v>131.34298035999331</v>
      </c>
      <c r="I210">
        <f t="shared" si="225"/>
        <v>72.905535245753157</v>
      </c>
      <c r="J210">
        <f t="shared" si="225"/>
        <v>43.183000638106797</v>
      </c>
      <c r="K210">
        <f t="shared" si="225"/>
        <v>50.469187830917065</v>
      </c>
      <c r="L210">
        <f t="shared" si="208"/>
        <v>161.9954145842305</v>
      </c>
      <c r="M210">
        <f t="shared" si="209"/>
        <v>-0.52541458423050358</v>
      </c>
      <c r="N210">
        <f t="shared" si="210"/>
        <v>0.27606048532211291</v>
      </c>
    </row>
    <row r="211" spans="1:14" x14ac:dyDescent="0.45">
      <c r="A211" s="22">
        <v>42570</v>
      </c>
      <c r="B211">
        <v>162.9</v>
      </c>
      <c r="C211">
        <v>161.19</v>
      </c>
      <c r="G211">
        <f t="shared" ref="G211:K211" si="226">SUMPRODUCT($B211:$B215,P$2:P$6)</f>
        <v>65.419122960229757</v>
      </c>
      <c r="H211">
        <f t="shared" si="226"/>
        <v>132.65519182504266</v>
      </c>
      <c r="I211">
        <f t="shared" si="226"/>
        <v>73.6286540354631</v>
      </c>
      <c r="J211">
        <f t="shared" si="226"/>
        <v>43.606622930371948</v>
      </c>
      <c r="K211">
        <f t="shared" si="226"/>
        <v>50.968942859941457</v>
      </c>
      <c r="L211">
        <f t="shared" si="208"/>
        <v>163.5267986155005</v>
      </c>
      <c r="M211">
        <f t="shared" si="209"/>
        <v>-2.3167986155004883</v>
      </c>
      <c r="N211">
        <f t="shared" si="210"/>
        <v>5.3675558247849793</v>
      </c>
    </row>
    <row r="212" spans="1:14" x14ac:dyDescent="0.45">
      <c r="A212" s="22">
        <v>42569</v>
      </c>
      <c r="B212">
        <v>162.74</v>
      </c>
      <c r="C212">
        <v>164.79</v>
      </c>
      <c r="G212">
        <f t="shared" ref="G212:K212" si="227">SUMPRODUCT($B212:$B216,P$2:P$6)</f>
        <v>65.391426431071565</v>
      </c>
      <c r="H212">
        <f t="shared" si="227"/>
        <v>132.6250770270297</v>
      </c>
      <c r="I212">
        <f t="shared" si="227"/>
        <v>73.620088851946079</v>
      </c>
      <c r="J212">
        <f t="shared" si="227"/>
        <v>43.608820205324129</v>
      </c>
      <c r="K212">
        <f t="shared" si="227"/>
        <v>50.964295926842262</v>
      </c>
      <c r="L212">
        <f t="shared" si="208"/>
        <v>163.49437329145928</v>
      </c>
      <c r="M212">
        <f t="shared" si="209"/>
        <v>-0.5943732914592772</v>
      </c>
      <c r="N212">
        <f t="shared" si="210"/>
        <v>0.35327960960013488</v>
      </c>
    </row>
    <row r="213" spans="1:14" x14ac:dyDescent="0.45">
      <c r="A213" s="22">
        <v>42566</v>
      </c>
      <c r="B213">
        <v>164.86</v>
      </c>
      <c r="C213">
        <v>162.74</v>
      </c>
      <c r="G213">
        <f t="shared" ref="G213:K213" si="228">SUMPRODUCT($B213:$B217,P$2:P$6)</f>
        <v>66.154057266108026</v>
      </c>
      <c r="H213">
        <f t="shared" si="228"/>
        <v>134.10828982966822</v>
      </c>
      <c r="I213">
        <f t="shared" si="228"/>
        <v>74.423545817541694</v>
      </c>
      <c r="J213">
        <f t="shared" si="228"/>
        <v>44.067023492820994</v>
      </c>
      <c r="K213">
        <f t="shared" si="228"/>
        <v>51.517368379496247</v>
      </c>
      <c r="L213">
        <f t="shared" si="208"/>
        <v>165.22061513297305</v>
      </c>
      <c r="M213">
        <f t="shared" si="209"/>
        <v>-2.4806151329730426</v>
      </c>
      <c r="N213">
        <f t="shared" si="210"/>
        <v>6.1534514379348657</v>
      </c>
    </row>
    <row r="214" spans="1:14" x14ac:dyDescent="0.45">
      <c r="A214" s="22">
        <v>42565</v>
      </c>
      <c r="B214">
        <v>166.65</v>
      </c>
      <c r="C214">
        <v>164.85</v>
      </c>
      <c r="G214">
        <f t="shared" ref="G214:K214" si="229">SUMPRODUCT($B214:$B218,P$2:P$6)</f>
        <v>66.847026323722105</v>
      </c>
      <c r="H214">
        <f t="shared" si="229"/>
        <v>135.49504122284031</v>
      </c>
      <c r="I214">
        <f t="shared" si="229"/>
        <v>75.187473704551991</v>
      </c>
      <c r="J214">
        <f t="shared" si="229"/>
        <v>44.514306330109285</v>
      </c>
      <c r="K214">
        <f t="shared" si="229"/>
        <v>52.045286645681031</v>
      </c>
      <c r="L214">
        <f t="shared" si="208"/>
        <v>166.83889571356835</v>
      </c>
      <c r="M214">
        <f t="shared" si="209"/>
        <v>-1.9788957135683347</v>
      </c>
      <c r="N214">
        <f t="shared" si="210"/>
        <v>3.9160282451791288</v>
      </c>
    </row>
    <row r="215" spans="1:14" x14ac:dyDescent="0.45">
      <c r="A215" s="22">
        <v>42564</v>
      </c>
      <c r="B215">
        <v>165.38</v>
      </c>
      <c r="C215">
        <v>164.16</v>
      </c>
      <c r="G215">
        <f t="shared" ref="G215:K215" si="230">SUMPRODUCT($B215:$B219,P$2:P$6)</f>
        <v>66.372836664351695</v>
      </c>
      <c r="H215">
        <f t="shared" si="230"/>
        <v>134.55901775540241</v>
      </c>
      <c r="I215">
        <f t="shared" si="230"/>
        <v>74.675935556934292</v>
      </c>
      <c r="J215">
        <f t="shared" si="230"/>
        <v>44.218469183311598</v>
      </c>
      <c r="K215">
        <f t="shared" si="230"/>
        <v>51.692432619625471</v>
      </c>
      <c r="L215">
        <f t="shared" si="208"/>
        <v>165.74798049160134</v>
      </c>
      <c r="M215">
        <f t="shared" si="209"/>
        <v>0.9020195083986664</v>
      </c>
      <c r="N215">
        <f t="shared" si="210"/>
        <v>0.81363919353177183</v>
      </c>
    </row>
    <row r="216" spans="1:14" x14ac:dyDescent="0.45">
      <c r="A216" s="22">
        <v>42563</v>
      </c>
      <c r="B216">
        <v>169.89</v>
      </c>
      <c r="C216">
        <v>164.98</v>
      </c>
      <c r="G216">
        <f t="shared" ref="G216:K216" si="231">SUMPRODUCT($B216:$B220,P$2:P$6)</f>
        <v>68.136287846557678</v>
      </c>
      <c r="H216">
        <f t="shared" si="231"/>
        <v>138.10090079318246</v>
      </c>
      <c r="I216">
        <f t="shared" si="231"/>
        <v>76.631175158942355</v>
      </c>
      <c r="J216">
        <f t="shared" si="231"/>
        <v>45.366962167330172</v>
      </c>
      <c r="K216">
        <f t="shared" si="231"/>
        <v>53.044266167938936</v>
      </c>
      <c r="L216">
        <f t="shared" si="208"/>
        <v>169.88260399699374</v>
      </c>
      <c r="M216">
        <f t="shared" si="209"/>
        <v>-4.5026039969937415</v>
      </c>
      <c r="N216">
        <f t="shared" si="210"/>
        <v>20.273442753744018</v>
      </c>
    </row>
    <row r="217" spans="1:14" x14ac:dyDescent="0.45">
      <c r="A217" s="22">
        <v>42562</v>
      </c>
      <c r="B217">
        <v>160.69999999999999</v>
      </c>
      <c r="C217">
        <v>167.03</v>
      </c>
      <c r="G217">
        <f t="shared" ref="G217:K217" si="232">SUMPRODUCT($B217:$B221,P$2:P$6)</f>
        <v>64.545586118625138</v>
      </c>
      <c r="H217">
        <f t="shared" si="232"/>
        <v>130.89095676059389</v>
      </c>
      <c r="I217">
        <f t="shared" si="232"/>
        <v>72.651657164763776</v>
      </c>
      <c r="J217">
        <f t="shared" si="232"/>
        <v>43.029973291064621</v>
      </c>
      <c r="K217">
        <f t="shared" si="232"/>
        <v>50.292974098406319</v>
      </c>
      <c r="L217">
        <f t="shared" si="208"/>
        <v>161.46627099283185</v>
      </c>
      <c r="M217">
        <f t="shared" si="209"/>
        <v>8.4237290071681343</v>
      </c>
      <c r="N217">
        <f t="shared" si="210"/>
        <v>70.959210386205839</v>
      </c>
    </row>
    <row r="218" spans="1:14" x14ac:dyDescent="0.45">
      <c r="A218" s="22">
        <v>42559</v>
      </c>
      <c r="B218">
        <v>159.21</v>
      </c>
      <c r="C218">
        <v>159.80000000000001</v>
      </c>
      <c r="G218">
        <f t="shared" ref="G218:K218" si="233">SUMPRODUCT($B218:$B222,P$2:P$6)</f>
        <v>63.965469657528942</v>
      </c>
      <c r="H218">
        <f t="shared" si="233"/>
        <v>129.72761389889178</v>
      </c>
      <c r="I218">
        <f t="shared" si="233"/>
        <v>72.010028482312009</v>
      </c>
      <c r="J218">
        <f t="shared" si="233"/>
        <v>42.653603628796702</v>
      </c>
      <c r="K218">
        <f t="shared" si="233"/>
        <v>49.849448710128456</v>
      </c>
      <c r="L218">
        <f t="shared" si="208"/>
        <v>160.10843680528433</v>
      </c>
      <c r="M218">
        <f t="shared" si="209"/>
        <v>0.59156319471566121</v>
      </c>
      <c r="N218">
        <f t="shared" si="210"/>
        <v>0.3499470133421993</v>
      </c>
    </row>
    <row r="219" spans="1:14" x14ac:dyDescent="0.45">
      <c r="A219" s="22">
        <v>42558</v>
      </c>
      <c r="B219">
        <v>162.5</v>
      </c>
      <c r="C219">
        <v>163.41999999999999</v>
      </c>
      <c r="G219">
        <f t="shared" ref="G219:K219" si="234">SUMPRODUCT($B219:$B223,P$2:P$6)</f>
        <v>65.259237707032796</v>
      </c>
      <c r="H219">
        <f t="shared" si="234"/>
        <v>132.33151670682776</v>
      </c>
      <c r="I219">
        <f t="shared" si="234"/>
        <v>73.449169207754977</v>
      </c>
      <c r="J219">
        <f t="shared" si="234"/>
        <v>43.50047083818874</v>
      </c>
      <c r="K219">
        <f t="shared" si="234"/>
        <v>50.844722866612848</v>
      </c>
      <c r="L219">
        <f t="shared" si="208"/>
        <v>163.14868267522618</v>
      </c>
      <c r="M219">
        <f t="shared" si="209"/>
        <v>-3.9386826752261754</v>
      </c>
      <c r="N219">
        <f t="shared" si="210"/>
        <v>15.513221216126823</v>
      </c>
    </row>
    <row r="220" spans="1:14" x14ac:dyDescent="0.45">
      <c r="A220" s="22">
        <v>42557</v>
      </c>
      <c r="B220">
        <v>160.97999999999999</v>
      </c>
      <c r="C220">
        <v>161.56</v>
      </c>
      <c r="G220">
        <f t="shared" ref="G220:K220" si="235">SUMPRODUCT($B220:$B224,P$2:P$6)</f>
        <v>64.645482898155919</v>
      </c>
      <c r="H220">
        <f t="shared" si="235"/>
        <v>131.08458078367798</v>
      </c>
      <c r="I220">
        <f t="shared" si="235"/>
        <v>72.756328951650673</v>
      </c>
      <c r="J220">
        <f t="shared" si="235"/>
        <v>43.089476804598533</v>
      </c>
      <c r="K220">
        <f t="shared" si="235"/>
        <v>50.364988961658241</v>
      </c>
      <c r="L220">
        <f t="shared" si="208"/>
        <v>161.69154972861938</v>
      </c>
      <c r="M220">
        <f t="shared" si="209"/>
        <v>0.80845027138062164</v>
      </c>
      <c r="N220">
        <f t="shared" si="210"/>
        <v>0.65359184129540082</v>
      </c>
    </row>
    <row r="221" spans="1:14" x14ac:dyDescent="0.45">
      <c r="A221" s="22">
        <v>42556</v>
      </c>
      <c r="B221">
        <v>164.42</v>
      </c>
      <c r="C221">
        <v>161.87</v>
      </c>
      <c r="G221">
        <f t="shared" ref="G221:K221" si="236">SUMPRODUCT($B221:$B225,P$2:P$6)</f>
        <v>65.976156736552639</v>
      </c>
      <c r="H221">
        <f t="shared" si="236"/>
        <v>133.74669481979006</v>
      </c>
      <c r="I221">
        <f t="shared" si="236"/>
        <v>74.222578206358222</v>
      </c>
      <c r="J221">
        <f t="shared" si="236"/>
        <v>43.947756075268188</v>
      </c>
      <c r="K221">
        <f t="shared" si="236"/>
        <v>51.378208915417844</v>
      </c>
      <c r="L221">
        <f t="shared" si="208"/>
        <v>164.7980458406922</v>
      </c>
      <c r="M221">
        <f t="shared" si="209"/>
        <v>-3.8180458406922071</v>
      </c>
      <c r="N221">
        <f t="shared" si="210"/>
        <v>14.577474041627063</v>
      </c>
    </row>
    <row r="222" spans="1:14" x14ac:dyDescent="0.45">
      <c r="A222" s="22">
        <v>42552</v>
      </c>
      <c r="B222">
        <v>165.24</v>
      </c>
      <c r="C222">
        <v>165.19</v>
      </c>
      <c r="G222">
        <f t="shared" ref="G222:K222" si="237">SUMPRODUCT($B222:$B226,P$2:P$6)</f>
        <v>66.284394105197308</v>
      </c>
      <c r="H222">
        <f t="shared" si="237"/>
        <v>134.3567213941507</v>
      </c>
      <c r="I222">
        <f t="shared" si="237"/>
        <v>74.556469509272304</v>
      </c>
      <c r="J222">
        <f t="shared" si="237"/>
        <v>44.141309491616241</v>
      </c>
      <c r="K222">
        <f t="shared" si="237"/>
        <v>51.608604320353194</v>
      </c>
      <c r="L222">
        <f t="shared" si="208"/>
        <v>165.50919067439136</v>
      </c>
      <c r="M222">
        <f t="shared" si="209"/>
        <v>-1.0891906743913751</v>
      </c>
      <c r="N222">
        <f t="shared" si="210"/>
        <v>1.1863363251811385</v>
      </c>
    </row>
    <row r="223" spans="1:14" x14ac:dyDescent="0.45">
      <c r="A223" s="22">
        <v>42551</v>
      </c>
      <c r="B223">
        <v>165.07</v>
      </c>
      <c r="C223">
        <v>165.15</v>
      </c>
      <c r="G223">
        <f t="shared" ref="G223:K223" si="238">SUMPRODUCT($B223:$B227,P$2:P$6)</f>
        <v>66.222401777350285</v>
      </c>
      <c r="H223">
        <f t="shared" si="238"/>
        <v>134.2354891077095</v>
      </c>
      <c r="I223">
        <f t="shared" si="238"/>
        <v>74.490580762108991</v>
      </c>
      <c r="J223">
        <f t="shared" si="238"/>
        <v>44.103531296894168</v>
      </c>
      <c r="K223">
        <f t="shared" si="238"/>
        <v>51.563214785161918</v>
      </c>
      <c r="L223">
        <f t="shared" si="208"/>
        <v>165.36801990547568</v>
      </c>
      <c r="M223">
        <f t="shared" si="209"/>
        <v>-0.12801990547566788</v>
      </c>
      <c r="N223">
        <f t="shared" si="210"/>
        <v>1.6389096197998939E-2</v>
      </c>
    </row>
    <row r="224" spans="1:14" x14ac:dyDescent="0.45">
      <c r="A224" s="22">
        <v>42550</v>
      </c>
      <c r="B224">
        <v>163.1</v>
      </c>
      <c r="C224">
        <v>164.41</v>
      </c>
      <c r="G224">
        <f t="shared" ref="G224:K224" si="239">SUMPRODUCT($B224:$B228,P$2:P$6)</f>
        <v>65.483218826442382</v>
      </c>
      <c r="H224">
        <f t="shared" si="239"/>
        <v>132.77360813408444</v>
      </c>
      <c r="I224">
        <f t="shared" si="239"/>
        <v>73.69076317173591</v>
      </c>
      <c r="J224">
        <f t="shared" si="239"/>
        <v>43.640169894929173</v>
      </c>
      <c r="K224">
        <f t="shared" si="239"/>
        <v>51.011370357754359</v>
      </c>
      <c r="L224">
        <f t="shared" si="208"/>
        <v>163.66392540790727</v>
      </c>
      <c r="M224">
        <f t="shared" si="209"/>
        <v>1.4060745920927218</v>
      </c>
      <c r="N224">
        <f t="shared" si="210"/>
        <v>1.977045758528714</v>
      </c>
    </row>
    <row r="225" spans="1:14" x14ac:dyDescent="0.45">
      <c r="A225" s="22">
        <v>42549</v>
      </c>
      <c r="B225">
        <v>160.1</v>
      </c>
      <c r="C225">
        <v>160.41</v>
      </c>
      <c r="G225">
        <f t="shared" ref="G225:K225" si="240">SUMPRODUCT($B225:$B229,P$2:P$6)</f>
        <v>64.294297271240538</v>
      </c>
      <c r="H225">
        <f t="shared" si="240"/>
        <v>130.37403513661189</v>
      </c>
      <c r="I225">
        <f t="shared" si="240"/>
        <v>72.362443279119674</v>
      </c>
      <c r="J225">
        <f t="shared" si="240"/>
        <v>42.856631975462804</v>
      </c>
      <c r="K225">
        <f t="shared" si="240"/>
        <v>50.092404815093282</v>
      </c>
      <c r="L225">
        <f t="shared" si="208"/>
        <v>160.86153630355216</v>
      </c>
      <c r="M225">
        <f t="shared" si="209"/>
        <v>2.2384636964478375</v>
      </c>
      <c r="N225">
        <f t="shared" si="210"/>
        <v>5.0107197203149161</v>
      </c>
    </row>
    <row r="226" spans="1:14" x14ac:dyDescent="0.45">
      <c r="A226" s="22">
        <v>42548</v>
      </c>
      <c r="B226">
        <v>158.24</v>
      </c>
      <c r="C226">
        <v>156.91999999999999</v>
      </c>
      <c r="G226">
        <f t="shared" ref="G226:K226" si="241">SUMPRODUCT($B226:$B230,P$2:P$6)</f>
        <v>63.600843017401289</v>
      </c>
      <c r="H226">
        <f t="shared" si="241"/>
        <v>129.00598857093001</v>
      </c>
      <c r="I226">
        <f t="shared" si="241"/>
        <v>71.615052486506031</v>
      </c>
      <c r="J226">
        <f t="shared" si="241"/>
        <v>42.424633140597351</v>
      </c>
      <c r="K226">
        <f t="shared" si="241"/>
        <v>49.576905360409405</v>
      </c>
      <c r="L226">
        <f t="shared" si="208"/>
        <v>159.26719204431143</v>
      </c>
      <c r="M226">
        <f t="shared" si="209"/>
        <v>0.83280795568856547</v>
      </c>
      <c r="N226">
        <f t="shared" si="210"/>
        <v>0.69356909105816766</v>
      </c>
    </row>
    <row r="227" spans="1:14" x14ac:dyDescent="0.45">
      <c r="A227" s="22">
        <v>42545</v>
      </c>
      <c r="B227">
        <v>158.87</v>
      </c>
      <c r="C227">
        <v>159.12</v>
      </c>
      <c r="G227">
        <f t="shared" ref="G227:K227" si="242">SUMPRODUCT($B227:$B231,P$2:P$6)</f>
        <v>63.834212568128379</v>
      </c>
      <c r="H227">
        <f t="shared" si="242"/>
        <v>129.46521747965059</v>
      </c>
      <c r="I227">
        <f t="shared" si="242"/>
        <v>71.865566674522412</v>
      </c>
      <c r="J227">
        <f t="shared" si="242"/>
        <v>42.569100992673704</v>
      </c>
      <c r="K227">
        <f t="shared" si="242"/>
        <v>49.749630412062729</v>
      </c>
      <c r="L227">
        <f t="shared" si="208"/>
        <v>159.80226083215325</v>
      </c>
      <c r="M227">
        <f t="shared" si="209"/>
        <v>-1.5622608321532425</v>
      </c>
      <c r="N227">
        <f t="shared" si="210"/>
        <v>2.4406589076801417</v>
      </c>
    </row>
    <row r="228" spans="1:14" x14ac:dyDescent="0.45">
      <c r="A228" s="22">
        <v>42544</v>
      </c>
      <c r="B228">
        <v>163.51</v>
      </c>
      <c r="C228">
        <v>163.92</v>
      </c>
      <c r="G228">
        <f t="shared" ref="G228:K228" si="243">SUMPRODUCT($B228:$B232,P$2:P$6)</f>
        <v>65.659560528901338</v>
      </c>
      <c r="H228">
        <f t="shared" si="243"/>
        <v>133.1395164391167</v>
      </c>
      <c r="I228">
        <f t="shared" si="243"/>
        <v>73.896461243132933</v>
      </c>
      <c r="J228">
        <f t="shared" si="243"/>
        <v>43.764330122210161</v>
      </c>
      <c r="K228">
        <f t="shared" si="243"/>
        <v>51.154172107927209</v>
      </c>
      <c r="L228">
        <f t="shared" si="208"/>
        <v>164.09232584315978</v>
      </c>
      <c r="M228">
        <f t="shared" si="209"/>
        <v>-5.2223258431597799</v>
      </c>
      <c r="N228">
        <f t="shared" si="210"/>
        <v>27.272687212134507</v>
      </c>
    </row>
    <row r="229" spans="1:14" x14ac:dyDescent="0.45">
      <c r="A229" s="22">
        <v>42543</v>
      </c>
      <c r="B229">
        <v>162.49</v>
      </c>
      <c r="C229">
        <v>162.22</v>
      </c>
      <c r="G229">
        <f t="shared" ref="G229:K229" si="244">SUMPRODUCT($B229:$B233,P$2:P$6)</f>
        <v>65.220174994364726</v>
      </c>
      <c r="H229">
        <f t="shared" si="244"/>
        <v>132.22733244930816</v>
      </c>
      <c r="I229">
        <f t="shared" si="244"/>
        <v>73.383530544156145</v>
      </c>
      <c r="J229">
        <f t="shared" si="244"/>
        <v>43.454631483609091</v>
      </c>
      <c r="K229">
        <f t="shared" si="244"/>
        <v>50.798051259935292</v>
      </c>
      <c r="L229">
        <f t="shared" si="208"/>
        <v>163.02431191214023</v>
      </c>
      <c r="M229">
        <f t="shared" si="209"/>
        <v>0.48568808785975648</v>
      </c>
      <c r="N229">
        <f t="shared" si="210"/>
        <v>0.23589291868886653</v>
      </c>
    </row>
    <row r="230" spans="1:14" x14ac:dyDescent="0.45">
      <c r="A230" s="22">
        <v>42542</v>
      </c>
      <c r="B230">
        <v>167.44</v>
      </c>
      <c r="C230">
        <v>162.80000000000001</v>
      </c>
      <c r="G230">
        <f t="shared" ref="G230:K230" si="245">SUMPRODUCT($B230:$B234,P$2:P$6)</f>
        <v>67.17678455691599</v>
      </c>
      <c r="H230">
        <f t="shared" si="245"/>
        <v>136.17262369203891</v>
      </c>
      <c r="I230">
        <f t="shared" si="245"/>
        <v>75.56634562878024</v>
      </c>
      <c r="J230">
        <f t="shared" si="245"/>
        <v>44.7411750349426</v>
      </c>
      <c r="K230">
        <f t="shared" si="245"/>
        <v>52.307997481134805</v>
      </c>
      <c r="L230">
        <f t="shared" si="208"/>
        <v>167.63150614188217</v>
      </c>
      <c r="M230">
        <f t="shared" si="209"/>
        <v>-5.1415061418821608</v>
      </c>
      <c r="N230">
        <f t="shared" si="210"/>
        <v>26.435085407011982</v>
      </c>
    </row>
    <row r="231" spans="1:14" x14ac:dyDescent="0.45">
      <c r="A231" s="22">
        <v>42541</v>
      </c>
      <c r="B231">
        <v>165.57</v>
      </c>
      <c r="C231">
        <v>166.53</v>
      </c>
      <c r="G231">
        <f t="shared" ref="G231:K231" si="246">SUMPRODUCT($B231:$B235,P$2:P$6)</f>
        <v>66.422278145756664</v>
      </c>
      <c r="H231">
        <f t="shared" si="246"/>
        <v>134.64013668440774</v>
      </c>
      <c r="I231">
        <f t="shared" si="246"/>
        <v>74.714971257985454</v>
      </c>
      <c r="J231">
        <f t="shared" si="246"/>
        <v>44.236247076561639</v>
      </c>
      <c r="K231">
        <f t="shared" si="246"/>
        <v>51.71851409754801</v>
      </c>
      <c r="L231">
        <f t="shared" si="208"/>
        <v>165.84072954503111</v>
      </c>
      <c r="M231">
        <f t="shared" si="209"/>
        <v>1.5992704549688881</v>
      </c>
      <c r="N231">
        <f t="shared" si="210"/>
        <v>2.5576659881363941</v>
      </c>
    </row>
    <row r="232" spans="1:14" x14ac:dyDescent="0.45">
      <c r="A232" s="22">
        <v>42538</v>
      </c>
      <c r="B232">
        <v>165.42</v>
      </c>
      <c r="C232">
        <v>162.68</v>
      </c>
      <c r="G232">
        <f t="shared" ref="G232:K232" si="247">SUMPRODUCT($B232:$B236,P$2:P$6)</f>
        <v>66.376920469804517</v>
      </c>
      <c r="H232">
        <f t="shared" si="247"/>
        <v>134.55876730771067</v>
      </c>
      <c r="I232">
        <f t="shared" si="247"/>
        <v>74.673124426542742</v>
      </c>
      <c r="J232">
        <f t="shared" si="247"/>
        <v>44.214418999146133</v>
      </c>
      <c r="K232">
        <f t="shared" si="247"/>
        <v>51.690070959337113</v>
      </c>
      <c r="L232">
        <f t="shared" si="208"/>
        <v>165.74678216815522</v>
      </c>
      <c r="M232">
        <f t="shared" si="209"/>
        <v>-0.17678216815522774</v>
      </c>
      <c r="N232">
        <f t="shared" si="210"/>
        <v>3.1251934977663216E-2</v>
      </c>
    </row>
    <row r="233" spans="1:14" x14ac:dyDescent="0.45">
      <c r="A233" s="22">
        <v>42537</v>
      </c>
      <c r="B233">
        <v>160.58000000000001</v>
      </c>
      <c r="C233">
        <v>165.52</v>
      </c>
      <c r="G233">
        <f t="shared" ref="G233:K233" si="248">SUMPRODUCT($B233:$B237,P$2:P$6)</f>
        <v>64.515249072750237</v>
      </c>
      <c r="H233">
        <f t="shared" si="248"/>
        <v>130.84215950641598</v>
      </c>
      <c r="I233">
        <f t="shared" si="248"/>
        <v>72.628554103087495</v>
      </c>
      <c r="J233">
        <f t="shared" si="248"/>
        <v>43.019839663674169</v>
      </c>
      <c r="K233">
        <f t="shared" si="248"/>
        <v>50.277606582718754</v>
      </c>
      <c r="L233">
        <f t="shared" si="208"/>
        <v>161.41060617860009</v>
      </c>
      <c r="M233">
        <f t="shared" si="209"/>
        <v>4.0093938213998968</v>
      </c>
      <c r="N233">
        <f t="shared" si="210"/>
        <v>16.075238815079668</v>
      </c>
    </row>
    <row r="234" spans="1:14" x14ac:dyDescent="0.45">
      <c r="A234" s="22">
        <v>42536</v>
      </c>
      <c r="B234">
        <v>161.61000000000001</v>
      </c>
      <c r="C234">
        <v>161.03</v>
      </c>
      <c r="G234">
        <f t="shared" ref="G234:K234" si="249">SUMPRODUCT($B234:$B238,P$2:P$6)</f>
        <v>64.931815096142699</v>
      </c>
      <c r="H234">
        <f t="shared" si="249"/>
        <v>131.68894730422832</v>
      </c>
      <c r="I234">
        <f t="shared" si="249"/>
        <v>73.099206067489831</v>
      </c>
      <c r="J234">
        <f t="shared" si="249"/>
        <v>43.299168422833787</v>
      </c>
      <c r="K234">
        <f t="shared" si="249"/>
        <v>50.603516312768278</v>
      </c>
      <c r="L234">
        <f t="shared" si="208"/>
        <v>162.40018918323173</v>
      </c>
      <c r="M234">
        <f t="shared" si="209"/>
        <v>-1.8201891832317187</v>
      </c>
      <c r="N234">
        <f t="shared" si="210"/>
        <v>3.3130886627537515</v>
      </c>
    </row>
    <row r="235" spans="1:14" x14ac:dyDescent="0.45">
      <c r="A235" s="22">
        <v>42535</v>
      </c>
      <c r="B235">
        <v>159.26</v>
      </c>
      <c r="C235">
        <v>160.84</v>
      </c>
      <c r="G235">
        <f t="shared" ref="G235:K235" si="250">SUMPRODUCT($B235:$B239,P$2:P$6)</f>
        <v>64.038354963162078</v>
      </c>
      <c r="H235">
        <f t="shared" si="250"/>
        <v>129.91303369843442</v>
      </c>
      <c r="I235">
        <f t="shared" si="250"/>
        <v>72.124714639916036</v>
      </c>
      <c r="J235">
        <f t="shared" si="250"/>
        <v>42.7320314764968</v>
      </c>
      <c r="K235">
        <f t="shared" si="250"/>
        <v>49.930693552872548</v>
      </c>
      <c r="L235">
        <f t="shared" si="208"/>
        <v>160.32906293773786</v>
      </c>
      <c r="M235">
        <f t="shared" si="209"/>
        <v>1.2809370622621543</v>
      </c>
      <c r="N235">
        <f t="shared" si="210"/>
        <v>1.6407997574767983</v>
      </c>
    </row>
    <row r="236" spans="1:14" x14ac:dyDescent="0.45">
      <c r="A236" s="22">
        <v>42534</v>
      </c>
      <c r="B236">
        <v>161.01</v>
      </c>
      <c r="C236">
        <v>163.55000000000001</v>
      </c>
      <c r="G236">
        <f t="shared" ref="G236:K236" si="251">SUMPRODUCT($B236:$B240,P$2:P$6)</f>
        <v>64.757206088405567</v>
      </c>
      <c r="H236">
        <f t="shared" si="251"/>
        <v>131.38214697943454</v>
      </c>
      <c r="I236">
        <f t="shared" si="251"/>
        <v>72.943710979223354</v>
      </c>
      <c r="J236">
        <f t="shared" si="251"/>
        <v>43.220280527252378</v>
      </c>
      <c r="K236">
        <f t="shared" si="251"/>
        <v>50.498200094497982</v>
      </c>
      <c r="L236">
        <f t="shared" si="208"/>
        <v>162.04674442862859</v>
      </c>
      <c r="M236">
        <f t="shared" si="209"/>
        <v>-2.7867444286285945</v>
      </c>
      <c r="N236">
        <f t="shared" si="210"/>
        <v>7.7659445104925116</v>
      </c>
    </row>
    <row r="237" spans="1:14" x14ac:dyDescent="0.45">
      <c r="A237" s="22">
        <v>42531</v>
      </c>
      <c r="B237">
        <v>166.58</v>
      </c>
      <c r="C237">
        <v>164.28</v>
      </c>
      <c r="G237">
        <f t="shared" ref="G237:K237" si="252">SUMPRODUCT($B237:$B241,P$2:P$6)</f>
        <v>66.940901786418209</v>
      </c>
      <c r="H237">
        <f t="shared" si="252"/>
        <v>135.77231027552884</v>
      </c>
      <c r="I237">
        <f t="shared" si="252"/>
        <v>75.368565304859004</v>
      </c>
      <c r="J237">
        <f t="shared" si="252"/>
        <v>44.645827386611757</v>
      </c>
      <c r="K237">
        <f t="shared" si="252"/>
        <v>52.174925336398445</v>
      </c>
      <c r="L237">
        <f t="shared" si="208"/>
        <v>167.17206287153309</v>
      </c>
      <c r="M237">
        <f t="shared" si="209"/>
        <v>-6.1620628715330952</v>
      </c>
      <c r="N237">
        <f t="shared" si="210"/>
        <v>37.971018832726692</v>
      </c>
    </row>
    <row r="238" spans="1:14" x14ac:dyDescent="0.45">
      <c r="A238" s="22">
        <v>42530</v>
      </c>
      <c r="B238">
        <v>168</v>
      </c>
      <c r="C238">
        <v>168.99</v>
      </c>
      <c r="G238">
        <f t="shared" ref="G238:K238" si="253">SUMPRODUCT($B238:$B242,P$2:P$6)</f>
        <v>67.514826314847866</v>
      </c>
      <c r="H238">
        <f t="shared" si="253"/>
        <v>136.93871136749539</v>
      </c>
      <c r="I238">
        <f t="shared" si="253"/>
        <v>76.016778735231142</v>
      </c>
      <c r="J238">
        <f t="shared" si="253"/>
        <v>45.030461514503315</v>
      </c>
      <c r="K238">
        <f t="shared" si="253"/>
        <v>52.623774324913107</v>
      </c>
      <c r="L238">
        <f t="shared" si="208"/>
        <v>168.5351266377798</v>
      </c>
      <c r="M238">
        <f t="shared" si="209"/>
        <v>-1.9551266377797845</v>
      </c>
      <c r="N238">
        <f t="shared" si="210"/>
        <v>3.8225201697560847</v>
      </c>
    </row>
    <row r="239" spans="1:14" x14ac:dyDescent="0.45">
      <c r="A239" s="22">
        <v>42529</v>
      </c>
      <c r="B239">
        <v>172.04</v>
      </c>
      <c r="C239">
        <v>168.71</v>
      </c>
      <c r="G239">
        <f t="shared" ref="G239:K239" si="254">SUMPRODUCT($B239:$B243,P$2:P$6)</f>
        <v>69.109543366541516</v>
      </c>
      <c r="H239">
        <f t="shared" si="254"/>
        <v>140.15269397435731</v>
      </c>
      <c r="I239">
        <f t="shared" si="254"/>
        <v>77.794484311788281</v>
      </c>
      <c r="J239">
        <f t="shared" si="254"/>
        <v>46.077794467012346</v>
      </c>
      <c r="K239">
        <f t="shared" si="254"/>
        <v>53.853406752980135</v>
      </c>
      <c r="L239">
        <f t="shared" si="208"/>
        <v>172.28815368923395</v>
      </c>
      <c r="M239">
        <f t="shared" si="209"/>
        <v>-4.2881536892339511</v>
      </c>
      <c r="N239">
        <f t="shared" si="210"/>
        <v>18.388262062490746</v>
      </c>
    </row>
    <row r="240" spans="1:14" x14ac:dyDescent="0.45">
      <c r="A240" s="22">
        <v>42528</v>
      </c>
      <c r="B240">
        <v>175.87</v>
      </c>
      <c r="C240">
        <v>170.86</v>
      </c>
      <c r="G240">
        <f t="shared" ref="G240:K240" si="255">SUMPRODUCT($B240:$B244,P$2:P$6)</f>
        <v>70.611968820959831</v>
      </c>
      <c r="H240">
        <f t="shared" si="255"/>
        <v>143.17386318509946</v>
      </c>
      <c r="I240">
        <f t="shared" si="255"/>
        <v>79.463395631308686</v>
      </c>
      <c r="J240">
        <f t="shared" si="255"/>
        <v>47.059110795531836</v>
      </c>
      <c r="K240">
        <f t="shared" si="255"/>
        <v>55.007450330290787</v>
      </c>
      <c r="L240">
        <f t="shared" si="208"/>
        <v>175.81530155925029</v>
      </c>
      <c r="M240">
        <f t="shared" si="209"/>
        <v>-3.7753015592502948</v>
      </c>
      <c r="N240">
        <f t="shared" si="210"/>
        <v>14.252901863277707</v>
      </c>
    </row>
    <row r="241" spans="1:14" x14ac:dyDescent="0.45">
      <c r="A241" s="22">
        <v>42527</v>
      </c>
      <c r="B241">
        <v>174.73</v>
      </c>
      <c r="C241">
        <v>174.62</v>
      </c>
      <c r="G241">
        <f t="shared" ref="G241:K241" si="256">SUMPRODUCT($B241:$B245,P$2:P$6)</f>
        <v>70.230654528947298</v>
      </c>
      <c r="H241">
        <f t="shared" si="256"/>
        <v>142.45514900183261</v>
      </c>
      <c r="I241">
        <f t="shared" si="256"/>
        <v>79.081536266549506</v>
      </c>
      <c r="J241">
        <f t="shared" si="256"/>
        <v>46.848167276472417</v>
      </c>
      <c r="K241">
        <f t="shared" si="256"/>
        <v>54.745794529922385</v>
      </c>
      <c r="L241">
        <f t="shared" si="208"/>
        <v>174.98135367509383</v>
      </c>
      <c r="M241">
        <f t="shared" si="209"/>
        <v>0.88864632490617623</v>
      </c>
      <c r="N241">
        <f t="shared" si="210"/>
        <v>0.78969229076925329</v>
      </c>
    </row>
    <row r="242" spans="1:14" x14ac:dyDescent="0.45">
      <c r="A242" s="22">
        <v>42524</v>
      </c>
      <c r="B242">
        <v>176.64</v>
      </c>
      <c r="C242">
        <v>173.74</v>
      </c>
      <c r="G242">
        <f t="shared" ref="G242:K242" si="257">SUMPRODUCT($B242:$B246,P$2:P$6)</f>
        <v>70.928849223180862</v>
      </c>
      <c r="H242">
        <f t="shared" si="257"/>
        <v>143.82187646768469</v>
      </c>
      <c r="I242">
        <f t="shared" si="257"/>
        <v>79.82477562618503</v>
      </c>
      <c r="J242">
        <f t="shared" si="257"/>
        <v>47.2746665181974</v>
      </c>
      <c r="K242">
        <f t="shared" si="257"/>
        <v>55.257880324398919</v>
      </c>
      <c r="L242">
        <f t="shared" si="208"/>
        <v>176.5730009484746</v>
      </c>
      <c r="M242">
        <f t="shared" si="209"/>
        <v>-1.8430009484746108</v>
      </c>
      <c r="N242">
        <f t="shared" si="210"/>
        <v>3.3966524960783149</v>
      </c>
    </row>
    <row r="243" spans="1:14" x14ac:dyDescent="0.45">
      <c r="A243" s="22">
        <v>42523</v>
      </c>
      <c r="B243">
        <v>177.2</v>
      </c>
      <c r="C243">
        <v>175.64</v>
      </c>
      <c r="G243">
        <f t="shared" ref="G243:K243" si="258">SUMPRODUCT($B243:$B247,P$2:P$6)</f>
        <v>71.132860849661881</v>
      </c>
      <c r="H243">
        <f t="shared" si="258"/>
        <v>144.22069341883986</v>
      </c>
      <c r="I243">
        <f t="shared" si="258"/>
        <v>80.041476479040085</v>
      </c>
      <c r="J243">
        <f t="shared" si="258"/>
        <v>47.398854599593029</v>
      </c>
      <c r="K243">
        <f t="shared" si="258"/>
        <v>55.407158486015192</v>
      </c>
      <c r="L243">
        <f t="shared" si="208"/>
        <v>177.03738750109827</v>
      </c>
      <c r="M243">
        <f t="shared" si="209"/>
        <v>-0.39738750109827947</v>
      </c>
      <c r="N243">
        <f t="shared" si="210"/>
        <v>0.15791682602913507</v>
      </c>
    </row>
    <row r="244" spans="1:14" x14ac:dyDescent="0.45">
      <c r="A244" s="22">
        <v>42522</v>
      </c>
      <c r="B244">
        <v>176.53</v>
      </c>
      <c r="C244">
        <v>176.53</v>
      </c>
      <c r="G244">
        <f t="shared" ref="G244:K244" si="259">SUMPRODUCT($B244:$B248,P$2:P$6)</f>
        <v>70.875379864999999</v>
      </c>
      <c r="H244">
        <f t="shared" si="259"/>
        <v>143.70682994163883</v>
      </c>
      <c r="I244">
        <f t="shared" si="259"/>
        <v>79.758847850362656</v>
      </c>
      <c r="J244">
        <f t="shared" si="259"/>
        <v>47.233769997356049</v>
      </c>
      <c r="K244">
        <f t="shared" si="259"/>
        <v>55.211912710320384</v>
      </c>
      <c r="L244">
        <f t="shared" si="208"/>
        <v>176.43788072281606</v>
      </c>
      <c r="M244">
        <f t="shared" si="209"/>
        <v>0.76211927718392758</v>
      </c>
      <c r="N244">
        <f t="shared" si="210"/>
        <v>0.58082579265535228</v>
      </c>
    </row>
    <row r="245" spans="1:14" x14ac:dyDescent="0.45">
      <c r="A245" s="22">
        <v>42521</v>
      </c>
      <c r="B245">
        <v>185.15</v>
      </c>
      <c r="C245">
        <v>178.54</v>
      </c>
      <c r="G245">
        <f t="shared" ref="G245:K245" si="260">SUMPRODUCT($B245:$B249,P$2:P$6)</f>
        <v>74.226050947712494</v>
      </c>
      <c r="H245">
        <f t="shared" si="260"/>
        <v>150.42212390192282</v>
      </c>
      <c r="I245">
        <f t="shared" si="260"/>
        <v>83.461334988186977</v>
      </c>
      <c r="J245">
        <f t="shared" si="260"/>
        <v>49.404473099454478</v>
      </c>
      <c r="K245">
        <f t="shared" si="260"/>
        <v>57.771045589490072</v>
      </c>
      <c r="L245">
        <f t="shared" si="208"/>
        <v>184.27543866674338</v>
      </c>
      <c r="M245">
        <f t="shared" si="209"/>
        <v>-7.7454386667433823</v>
      </c>
      <c r="N245">
        <f t="shared" si="210"/>
        <v>59.991820140283501</v>
      </c>
    </row>
    <row r="246" spans="1:14" x14ac:dyDescent="0.45">
      <c r="A246" s="22">
        <v>42517</v>
      </c>
      <c r="B246">
        <v>178.29</v>
      </c>
      <c r="C246">
        <v>185.01</v>
      </c>
      <c r="G246">
        <f t="shared" ref="G246:K246" si="261">SUMPRODUCT($B246:$B250,P$2:P$6)</f>
        <v>71.518902707931176</v>
      </c>
      <c r="H246">
        <f t="shared" si="261"/>
        <v>144.96666992980343</v>
      </c>
      <c r="I246">
        <f t="shared" si="261"/>
        <v>80.443998690895185</v>
      </c>
      <c r="J246">
        <f t="shared" si="261"/>
        <v>47.626958260806802</v>
      </c>
      <c r="K246">
        <f t="shared" si="261"/>
        <v>55.683988781917932</v>
      </c>
      <c r="L246">
        <f t="shared" si="208"/>
        <v>177.90505902508605</v>
      </c>
      <c r="M246">
        <f t="shared" si="209"/>
        <v>7.2449409749139591</v>
      </c>
      <c r="N246">
        <f t="shared" si="210"/>
        <v>52.489169729987225</v>
      </c>
    </row>
    <row r="247" spans="1:14" x14ac:dyDescent="0.45">
      <c r="A247" s="22">
        <v>42516</v>
      </c>
      <c r="B247">
        <v>176.19</v>
      </c>
      <c r="C247">
        <v>177.67</v>
      </c>
      <c r="G247">
        <f t="shared" ref="G247:K247" si="262">SUMPRODUCT($B247:$B251,P$2:P$6)</f>
        <v>70.682229294659393</v>
      </c>
      <c r="H247">
        <f t="shared" si="262"/>
        <v>143.27483355526442</v>
      </c>
      <c r="I247">
        <f t="shared" si="262"/>
        <v>79.506453056378916</v>
      </c>
      <c r="J247">
        <f t="shared" si="262"/>
        <v>47.073022064788987</v>
      </c>
      <c r="K247">
        <f t="shared" si="262"/>
        <v>55.035211498922685</v>
      </c>
      <c r="L247">
        <f t="shared" si="208"/>
        <v>175.92887312867032</v>
      </c>
      <c r="M247">
        <f t="shared" si="209"/>
        <v>2.3611268713296738</v>
      </c>
      <c r="N247">
        <f t="shared" si="210"/>
        <v>5.5749201025150539</v>
      </c>
    </row>
    <row r="248" spans="1:14" x14ac:dyDescent="0.45">
      <c r="A248" s="22">
        <v>42515</v>
      </c>
      <c r="B248">
        <v>176.99</v>
      </c>
      <c r="C248">
        <v>176.71</v>
      </c>
      <c r="G248">
        <f>SUMPRODUCT($B248:$B252,P$2:P$6)</f>
        <v>70.991980206166971</v>
      </c>
      <c r="H248">
        <f>SUMPRODUCT($B248:$B252,Q$2:Q$6)</f>
        <v>143.89473231170334</v>
      </c>
      <c r="I248">
        <f>SUMPRODUCT($B248:$B252,R$2:R$6)</f>
        <v>79.847951054789803</v>
      </c>
      <c r="J248">
        <f>SUMPRODUCT($B248:$B252,S$2:S$6)</f>
        <v>47.272978366329632</v>
      </c>
      <c r="K248">
        <f>SUMPRODUCT($B248:$B252,T$2:T$6)</f>
        <v>55.27121021923994</v>
      </c>
      <c r="L248">
        <f>(G248+$P$7)*$U$2+(H248+$Q$7)*$U$3+(I248+$R$7)*$U$4+(J248+$S$7)*$U$5+(K248+$T$7)*$U$6+$U$7</f>
        <v>176.65227274177053</v>
      </c>
      <c r="M248">
        <f>B247-L248</f>
        <v>-0.46227274177053346</v>
      </c>
      <c r="N248">
        <f>M248^2</f>
        <v>0.21369608778404631</v>
      </c>
    </row>
    <row r="249" spans="1:14" x14ac:dyDescent="0.45">
      <c r="A249" s="22">
        <v>42514</v>
      </c>
      <c r="B249">
        <v>171.55</v>
      </c>
      <c r="C249">
        <v>175.91</v>
      </c>
    </row>
    <row r="250" spans="1:14" x14ac:dyDescent="0.45">
      <c r="A250" s="22">
        <v>42513</v>
      </c>
      <c r="B250">
        <v>170.69</v>
      </c>
      <c r="C250">
        <v>169.77</v>
      </c>
    </row>
    <row r="251" spans="1:14" x14ac:dyDescent="0.45">
      <c r="A251" s="22">
        <v>42510</v>
      </c>
      <c r="B251">
        <v>169.41</v>
      </c>
      <c r="C251">
        <v>170.05</v>
      </c>
    </row>
    <row r="252" spans="1:14" x14ac:dyDescent="0.45">
      <c r="A252" s="22">
        <v>42509</v>
      </c>
      <c r="B252">
        <v>168.75</v>
      </c>
      <c r="C252">
        <v>168.51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255.38</v>
      </c>
      <c r="C2">
        <v>251.34</v>
      </c>
      <c r="G2">
        <f t="shared" ref="G2" si="0">SUMPRODUCT($B2:$B6,P$2:P$6)</f>
        <v>152.98930352858306</v>
      </c>
      <c r="H2">
        <f t="shared" ref="H2" si="1">SUMPRODUCT($B2:$B6,Q$2:Q$6)</f>
        <v>129.99756813026718</v>
      </c>
      <c r="I2">
        <f t="shared" ref="I2" si="2">SUMPRODUCT($B2:$B6,R$2:R$6)</f>
        <v>112.07182488590396</v>
      </c>
      <c r="J2">
        <f t="shared" ref="J2" si="3">SUMPRODUCT($B2:$B6,S$2:S$6)</f>
        <v>96.890535711708793</v>
      </c>
      <c r="K2">
        <f t="shared" ref="K2" si="4">SUMPRODUCT($B2:$B6,T$2:T$6)</f>
        <v>79.050232191751192</v>
      </c>
      <c r="L2">
        <f t="shared" ref="L2" si="5">(G2+$P$7)*$U$2+(H2+$Q$7)*$U$3+(I2+$R$7)*$U$4+(J2+$S$7)*$U$5+(K2+$T$7)*$U$6+$U$7</f>
        <v>256.25370227894172</v>
      </c>
      <c r="P2">
        <v>0.5967916361485246</v>
      </c>
      <c r="Q2">
        <v>0.50711940861605087</v>
      </c>
      <c r="R2">
        <v>0.43736404977502891</v>
      </c>
      <c r="S2">
        <v>0.37826973963122545</v>
      </c>
      <c r="T2">
        <v>0.30808979754421589</v>
      </c>
      <c r="U2">
        <v>0.56089787058746987</v>
      </c>
      <c r="W2" t="s">
        <v>30</v>
      </c>
    </row>
    <row r="3" spans="1:23" x14ac:dyDescent="0.45">
      <c r="A3" s="22">
        <v>42871</v>
      </c>
      <c r="B3">
        <v>259.44</v>
      </c>
      <c r="C3">
        <v>257.64</v>
      </c>
      <c r="G3">
        <f t="shared" ref="G3:K3" si="6">SUMPRODUCT($B3:$B7,P$2:P$6)</f>
        <v>155.40003510478471</v>
      </c>
      <c r="H3">
        <f t="shared" si="6"/>
        <v>132.04615538367324</v>
      </c>
      <c r="I3">
        <f t="shared" si="6"/>
        <v>113.83956090254161</v>
      </c>
      <c r="J3">
        <f t="shared" si="6"/>
        <v>98.420245616888536</v>
      </c>
      <c r="K3">
        <f t="shared" si="6"/>
        <v>80.29327026141209</v>
      </c>
      <c r="L3">
        <f t="shared" ref="L3:L66" si="7">(G3+$P$7)*$U$2+(H3+$Q$7)*$U$3+(I3+$R$7)*$U$4+(J3+$S$7)*$U$5+(K3+$T$7)*$U$6+$U$7</f>
        <v>260.15376890576033</v>
      </c>
      <c r="M3">
        <f t="shared" ref="M3:M66" si="8">B2-L3</f>
        <v>-4.7737689057603347</v>
      </c>
      <c r="N3">
        <f t="shared" ref="N3:N66" si="9">M3^2</f>
        <v>22.788869565604223</v>
      </c>
      <c r="P3">
        <v>2.2381108887328852E-3</v>
      </c>
      <c r="Q3">
        <v>1.886261515788585E-3</v>
      </c>
      <c r="R3">
        <v>1.4558135315275429E-3</v>
      </c>
      <c r="S3">
        <v>1.1093164930691553E-3</v>
      </c>
      <c r="T3">
        <v>1.4271496103504977E-3</v>
      </c>
      <c r="U3">
        <v>0.47501749344812944</v>
      </c>
      <c r="V3" t="s">
        <v>28</v>
      </c>
      <c r="W3">
        <f>SUM(N3:N252)</f>
        <v>7496.1255371586749</v>
      </c>
    </row>
    <row r="4" spans="1:23" x14ac:dyDescent="0.45">
      <c r="A4" s="22">
        <v>42870</v>
      </c>
      <c r="B4">
        <v>253.97</v>
      </c>
      <c r="C4">
        <v>258.52999999999997</v>
      </c>
      <c r="G4">
        <f t="shared" ref="G4:K4" si="10">SUMPRODUCT($B4:$B8,P$2:P$6)</f>
        <v>152.13880773473204</v>
      </c>
      <c r="H4">
        <f t="shared" si="10"/>
        <v>129.27492898594258</v>
      </c>
      <c r="I4">
        <f t="shared" si="10"/>
        <v>111.44927605831852</v>
      </c>
      <c r="J4">
        <f t="shared" si="10"/>
        <v>96.352707848658682</v>
      </c>
      <c r="K4">
        <f t="shared" si="10"/>
        <v>78.610074164284129</v>
      </c>
      <c r="L4">
        <f t="shared" si="7"/>
        <v>254.87840500901265</v>
      </c>
      <c r="M4">
        <f t="shared" si="8"/>
        <v>4.561594990987345</v>
      </c>
      <c r="N4">
        <f t="shared" si="9"/>
        <v>20.808148861800834</v>
      </c>
      <c r="P4">
        <v>0</v>
      </c>
      <c r="Q4">
        <v>0</v>
      </c>
      <c r="R4">
        <v>0</v>
      </c>
      <c r="S4">
        <v>0</v>
      </c>
      <c r="T4">
        <v>0</v>
      </c>
      <c r="U4">
        <v>0.39807662737825122</v>
      </c>
      <c r="V4" t="s">
        <v>29</v>
      </c>
      <c r="W4">
        <f>MAX(N3:N252)</f>
        <v>664.8107868588761</v>
      </c>
    </row>
    <row r="5" spans="1:23" x14ac:dyDescent="0.45">
      <c r="A5" s="22">
        <v>42867</v>
      </c>
      <c r="B5">
        <v>255.41</v>
      </c>
      <c r="C5">
        <v>254.84</v>
      </c>
      <c r="G5">
        <f t="shared" ref="G5:K5" si="11">SUMPRODUCT($B5:$B9,P$2:P$6)</f>
        <v>153.00235057703898</v>
      </c>
      <c r="H5">
        <f t="shared" si="11"/>
        <v>130.00868943978512</v>
      </c>
      <c r="I5">
        <f t="shared" si="11"/>
        <v>112.08178868354706</v>
      </c>
      <c r="J5">
        <f t="shared" si="11"/>
        <v>96.899480842567229</v>
      </c>
      <c r="K5">
        <f t="shared" si="11"/>
        <v>79.056377971023053</v>
      </c>
      <c r="L5">
        <f t="shared" si="7"/>
        <v>256.27503754609967</v>
      </c>
      <c r="M5">
        <f t="shared" si="8"/>
        <v>-2.305037546099669</v>
      </c>
      <c r="N5">
        <f t="shared" si="9"/>
        <v>5.3131980889291839</v>
      </c>
      <c r="P5">
        <v>0</v>
      </c>
      <c r="Q5">
        <v>1.6393345578108566E-7</v>
      </c>
      <c r="R5">
        <v>0</v>
      </c>
      <c r="S5">
        <v>0</v>
      </c>
      <c r="T5">
        <v>0</v>
      </c>
      <c r="U5">
        <v>0.33376181623856849</v>
      </c>
    </row>
    <row r="6" spans="1:23" x14ac:dyDescent="0.45">
      <c r="A6" s="22">
        <v>42866</v>
      </c>
      <c r="B6">
        <v>257.27</v>
      </c>
      <c r="C6">
        <v>254.15</v>
      </c>
      <c r="G6">
        <f t="shared" ref="G6:K6" si="12">SUMPRODUCT($B6:$B10,P$2:P$6)</f>
        <v>154.11990307286135</v>
      </c>
      <c r="H6">
        <f t="shared" si="12"/>
        <v>130.95826962932219</v>
      </c>
      <c r="I6">
        <f t="shared" si="12"/>
        <v>112.90017954974257</v>
      </c>
      <c r="J6">
        <f t="shared" si="12"/>
        <v>97.606794562967494</v>
      </c>
      <c r="K6">
        <f t="shared" si="12"/>
        <v>79.634220217146066</v>
      </c>
      <c r="L6">
        <f t="shared" si="7"/>
        <v>258.08238859974631</v>
      </c>
      <c r="M6">
        <f t="shared" si="8"/>
        <v>-2.6723885997463128</v>
      </c>
      <c r="N6">
        <f t="shared" si="9"/>
        <v>7.1416608280540581</v>
      </c>
      <c r="P6">
        <v>0</v>
      </c>
      <c r="Q6">
        <v>0</v>
      </c>
      <c r="R6">
        <v>3.7933586336044903E-7</v>
      </c>
      <c r="S6">
        <v>8.1056370572640293E-7</v>
      </c>
      <c r="T6">
        <v>0</v>
      </c>
      <c r="U6">
        <v>0.29003495377712768</v>
      </c>
    </row>
    <row r="7" spans="1:23" x14ac:dyDescent="0.45">
      <c r="A7" s="22">
        <v>42865</v>
      </c>
      <c r="B7">
        <v>260.63</v>
      </c>
      <c r="C7">
        <v>257.92</v>
      </c>
      <c r="G7">
        <f t="shared" ref="G7:K7" si="13">SUMPRODUCT($B7:$B11,P$2:P$6)</f>
        <v>156.12592869024036</v>
      </c>
      <c r="H7">
        <f t="shared" si="13"/>
        <v>132.66287084723186</v>
      </c>
      <c r="I7">
        <f t="shared" si="13"/>
        <v>114.37024791579179</v>
      </c>
      <c r="J7">
        <f t="shared" si="13"/>
        <v>98.878182519749956</v>
      </c>
      <c r="K7">
        <f t="shared" si="13"/>
        <v>80.669915710754353</v>
      </c>
      <c r="L7">
        <f t="shared" si="7"/>
        <v>261.32720800012589</v>
      </c>
      <c r="M7">
        <f t="shared" si="8"/>
        <v>-4.057208000125911</v>
      </c>
      <c r="N7">
        <f t="shared" si="9"/>
        <v>16.460936756285694</v>
      </c>
      <c r="O7" t="s">
        <v>27</v>
      </c>
      <c r="P7">
        <v>1E-8</v>
      </c>
      <c r="Q7">
        <v>1E-8</v>
      </c>
      <c r="R7">
        <v>1E-8</v>
      </c>
      <c r="S7">
        <v>1E-8</v>
      </c>
      <c r="T7">
        <v>1E-8</v>
      </c>
      <c r="U7">
        <v>8.8123430289493694</v>
      </c>
    </row>
    <row r="8" spans="1:23" x14ac:dyDescent="0.45">
      <c r="A8" s="22">
        <v>42864</v>
      </c>
      <c r="B8">
        <v>260.99</v>
      </c>
      <c r="C8">
        <v>261.27999999999997</v>
      </c>
      <c r="G8">
        <f t="shared" ref="G8:K8" si="14">SUMPRODUCT($B8:$B12,P$2:P$6)</f>
        <v>156.34419798891358</v>
      </c>
      <c r="H8">
        <f t="shared" si="14"/>
        <v>132.84832027510581</v>
      </c>
      <c r="I8">
        <f t="shared" si="14"/>
        <v>114.52992648600816</v>
      </c>
      <c r="J8">
        <f t="shared" si="14"/>
        <v>99.016057131526338</v>
      </c>
      <c r="K8">
        <f t="shared" si="14"/>
        <v>80.783011576774129</v>
      </c>
      <c r="L8">
        <f t="shared" si="7"/>
        <v>261.68010984916589</v>
      </c>
      <c r="M8">
        <f t="shared" si="8"/>
        <v>-1.0501098491658922</v>
      </c>
      <c r="N8">
        <f t="shared" si="9"/>
        <v>1.1027306953152129</v>
      </c>
    </row>
    <row r="9" spans="1:23" x14ac:dyDescent="0.45">
      <c r="A9" s="22">
        <v>42863</v>
      </c>
      <c r="B9">
        <v>262.52</v>
      </c>
      <c r="C9">
        <v>260.42</v>
      </c>
      <c r="G9">
        <f t="shared" ref="G9:K9" si="15">SUMPRODUCT($B9:$B13,P$2:P$6)</f>
        <v>157.27027023537548</v>
      </c>
      <c r="H9">
        <f t="shared" si="15"/>
        <v>133.63515333789928</v>
      </c>
      <c r="I9">
        <f t="shared" si="15"/>
        <v>115.20753722720031</v>
      </c>
      <c r="J9">
        <f t="shared" si="15"/>
        <v>99.601243925561363</v>
      </c>
      <c r="K9">
        <f t="shared" si="15"/>
        <v>81.262666434756795</v>
      </c>
      <c r="L9">
        <f t="shared" si="7"/>
        <v>263.17747194977574</v>
      </c>
      <c r="M9">
        <f t="shared" si="8"/>
        <v>-2.1874719497757269</v>
      </c>
      <c r="N9">
        <f t="shared" si="9"/>
        <v>4.7850335310556202</v>
      </c>
    </row>
    <row r="10" spans="1:23" x14ac:dyDescent="0.45">
      <c r="A10" s="22">
        <v>42860</v>
      </c>
      <c r="B10">
        <v>268.32</v>
      </c>
      <c r="C10">
        <v>262.14999999999998</v>
      </c>
      <c r="G10">
        <f t="shared" ref="G10:K10" si="16">SUMPRODUCT($B10:$B14,P$2:P$6)</f>
        <v>160.73795081663425</v>
      </c>
      <c r="H10">
        <f t="shared" si="16"/>
        <v>136.58174631420709</v>
      </c>
      <c r="I10">
        <f t="shared" si="16"/>
        <v>117.74833949122534</v>
      </c>
      <c r="J10">
        <f t="shared" si="16"/>
        <v>101.79832546507781</v>
      </c>
      <c r="K10">
        <f t="shared" si="16"/>
        <v>83.053597550918326</v>
      </c>
      <c r="L10">
        <f t="shared" si="7"/>
        <v>268.78633835814423</v>
      </c>
      <c r="M10">
        <f t="shared" si="8"/>
        <v>-6.2663383581442531</v>
      </c>
      <c r="N10">
        <f t="shared" si="9"/>
        <v>39.266996418750011</v>
      </c>
    </row>
    <row r="11" spans="1:23" x14ac:dyDescent="0.45">
      <c r="A11" s="22">
        <v>42859</v>
      </c>
      <c r="B11">
        <v>271.13</v>
      </c>
      <c r="C11">
        <v>268.60000000000002</v>
      </c>
      <c r="G11">
        <f t="shared" ref="G11:K11" si="17">SUMPRODUCT($B11:$B15,P$2:P$6)</f>
        <v>162.41562912858714</v>
      </c>
      <c r="H11">
        <f t="shared" si="17"/>
        <v>138.00733656725873</v>
      </c>
      <c r="I11">
        <f t="shared" si="17"/>
        <v>118.97778595067579</v>
      </c>
      <c r="J11">
        <f t="shared" si="17"/>
        <v>102.86161197419007</v>
      </c>
      <c r="K11">
        <f t="shared" si="17"/>
        <v>83.919772298396794</v>
      </c>
      <c r="L11">
        <f t="shared" si="7"/>
        <v>271.50004414896932</v>
      </c>
      <c r="M11">
        <f t="shared" si="8"/>
        <v>-3.1800441489693299</v>
      </c>
      <c r="N11">
        <f t="shared" si="9"/>
        <v>10.112680789394069</v>
      </c>
    </row>
    <row r="12" spans="1:23" x14ac:dyDescent="0.45">
      <c r="A12" s="22">
        <v>42858</v>
      </c>
      <c r="B12">
        <v>271.44</v>
      </c>
      <c r="C12">
        <v>271.36</v>
      </c>
      <c r="G12">
        <f t="shared" ref="G12:K12" si="18">SUMPRODUCT($B12:$B16,P$2:P$6)</f>
        <v>162.60079120355539</v>
      </c>
      <c r="H12">
        <f t="shared" si="18"/>
        <v>138.16467656321385</v>
      </c>
      <c r="I12">
        <f t="shared" si="18"/>
        <v>119.1134716538062</v>
      </c>
      <c r="J12">
        <f t="shared" si="18"/>
        <v>102.97895525582825</v>
      </c>
      <c r="K12">
        <f t="shared" si="18"/>
        <v>84.015380036108226</v>
      </c>
      <c r="L12">
        <f t="shared" si="7"/>
        <v>271.79954801270674</v>
      </c>
      <c r="M12">
        <f t="shared" si="8"/>
        <v>-0.66954801270674125</v>
      </c>
      <c r="N12">
        <f t="shared" si="9"/>
        <v>0.44829454131954655</v>
      </c>
    </row>
    <row r="13" spans="1:23" x14ac:dyDescent="0.45">
      <c r="A13" s="22">
        <v>42857</v>
      </c>
      <c r="B13">
        <v>271.51</v>
      </c>
      <c r="C13">
        <v>271.33999999999997</v>
      </c>
      <c r="G13">
        <f t="shared" ref="G13:K13" si="19">SUMPRODUCT($B13:$B17,P$2:P$6)</f>
        <v>162.64220852034359</v>
      </c>
      <c r="H13">
        <f t="shared" si="19"/>
        <v>138.19987352652944</v>
      </c>
      <c r="I13">
        <f t="shared" si="19"/>
        <v>119.1438563731332</v>
      </c>
      <c r="J13">
        <f t="shared" si="19"/>
        <v>103.00526127528231</v>
      </c>
      <c r="K13">
        <f t="shared" si="19"/>
        <v>84.036717977998663</v>
      </c>
      <c r="L13">
        <f t="shared" si="7"/>
        <v>271.86656221120427</v>
      </c>
      <c r="M13">
        <f t="shared" si="8"/>
        <v>-0.42656221120427062</v>
      </c>
      <c r="N13">
        <f t="shared" si="9"/>
        <v>0.18195532002747677</v>
      </c>
    </row>
    <row r="14" spans="1:23" x14ac:dyDescent="0.45">
      <c r="A14" s="22">
        <v>42856</v>
      </c>
      <c r="B14">
        <v>271.35000000000002</v>
      </c>
      <c r="C14">
        <v>271.02999999999997</v>
      </c>
      <c r="G14">
        <f t="shared" ref="G14:K14" si="20">SUMPRODUCT($B14:$B18,P$2:P$6)</f>
        <v>162.55956861506115</v>
      </c>
      <c r="H14">
        <f t="shared" si="20"/>
        <v>138.12956249831151</v>
      </c>
      <c r="I14">
        <f t="shared" si="20"/>
        <v>119.08223628530546</v>
      </c>
      <c r="J14">
        <f t="shared" si="20"/>
        <v>102.95110941947223</v>
      </c>
      <c r="K14">
        <f t="shared" si="20"/>
        <v>83.995615449155011</v>
      </c>
      <c r="L14">
        <f t="shared" si="7"/>
        <v>271.73228618737755</v>
      </c>
      <c r="M14">
        <f t="shared" si="8"/>
        <v>-0.22228618737756278</v>
      </c>
      <c r="N14">
        <f t="shared" si="9"/>
        <v>4.9411149098852955E-2</v>
      </c>
    </row>
    <row r="15" spans="1:23" x14ac:dyDescent="0.45">
      <c r="A15" s="22">
        <v>42853</v>
      </c>
      <c r="B15">
        <v>277.08999999999997</v>
      </c>
      <c r="C15">
        <v>271.20999999999998</v>
      </c>
      <c r="G15">
        <f t="shared" ref="G15:K15" si="21">SUMPRODUCT($B15:$B19,P$2:P$6)</f>
        <v>165.99070312155771</v>
      </c>
      <c r="H15">
        <f t="shared" si="21"/>
        <v>141.04510660609273</v>
      </c>
      <c r="I15">
        <f t="shared" si="21"/>
        <v>121.59631063198083</v>
      </c>
      <c r="J15">
        <f t="shared" si="21"/>
        <v>105.12511661466323</v>
      </c>
      <c r="K15">
        <f t="shared" si="21"/>
        <v>85.767590218092451</v>
      </c>
      <c r="L15">
        <f t="shared" si="7"/>
        <v>277.28206612697477</v>
      </c>
      <c r="M15">
        <f t="shared" si="8"/>
        <v>-5.9320661269747461</v>
      </c>
      <c r="N15">
        <f t="shared" si="9"/>
        <v>35.189408534801167</v>
      </c>
    </row>
    <row r="16" spans="1:23" x14ac:dyDescent="0.45">
      <c r="A16" s="22">
        <v>42852</v>
      </c>
      <c r="B16">
        <v>279.57</v>
      </c>
      <c r="C16">
        <v>276.57</v>
      </c>
      <c r="G16">
        <f t="shared" ref="G16:K16" si="22">SUMPRODUCT($B16:$B20,P$2:P$6)</f>
        <v>167.48352599238072</v>
      </c>
      <c r="H16">
        <f t="shared" si="22"/>
        <v>142.3135308222385</v>
      </c>
      <c r="I16">
        <f t="shared" si="22"/>
        <v>122.68928533235565</v>
      </c>
      <c r="J16">
        <f t="shared" si="22"/>
        <v>106.06955797477829</v>
      </c>
      <c r="K16">
        <f t="shared" si="22"/>
        <v>86.539801940277229</v>
      </c>
      <c r="L16">
        <f t="shared" si="7"/>
        <v>279.69618552553396</v>
      </c>
      <c r="M16">
        <f t="shared" si="8"/>
        <v>-2.6061855255339879</v>
      </c>
      <c r="N16">
        <f t="shared" si="9"/>
        <v>6.792202993502868</v>
      </c>
    </row>
    <row r="17" spans="1:14" x14ac:dyDescent="0.45">
      <c r="A17" s="22">
        <v>42851</v>
      </c>
      <c r="B17">
        <v>285.27999999999997</v>
      </c>
      <c r="C17">
        <v>279.98</v>
      </c>
      <c r="G17">
        <f t="shared" ref="G17:K17" si="23">SUMPRODUCT($B17:$B21,P$2:P$6)</f>
        <v>170.90177011818363</v>
      </c>
      <c r="H17">
        <f t="shared" si="23"/>
        <v>145.21808543749771</v>
      </c>
      <c r="I17">
        <f t="shared" si="23"/>
        <v>125.19350529918523</v>
      </c>
      <c r="J17">
        <f t="shared" si="23"/>
        <v>108.23471374042674</v>
      </c>
      <c r="K17">
        <f t="shared" si="23"/>
        <v>88.305730830415541</v>
      </c>
      <c r="L17">
        <f t="shared" si="7"/>
        <v>285.22488449318456</v>
      </c>
      <c r="M17">
        <f t="shared" si="8"/>
        <v>-5.6548844931845679</v>
      </c>
      <c r="N17">
        <f t="shared" si="9"/>
        <v>31.977718631259286</v>
      </c>
    </row>
    <row r="18" spans="1:14" x14ac:dyDescent="0.45">
      <c r="A18" s="22">
        <v>42850</v>
      </c>
      <c r="B18">
        <v>290</v>
      </c>
      <c r="C18">
        <v>286.89</v>
      </c>
      <c r="G18">
        <f t="shared" ref="G18:K18" si="24">SUMPRODUCT($B18:$B22,P$2:P$6)</f>
        <v>173.68489830971146</v>
      </c>
      <c r="H18">
        <f t="shared" si="24"/>
        <v>147.58326299987715</v>
      </c>
      <c r="I18">
        <f t="shared" si="24"/>
        <v>127.2359247014579</v>
      </c>
      <c r="J18">
        <f t="shared" si="24"/>
        <v>110.00342993342871</v>
      </c>
      <c r="K18">
        <f t="shared" si="24"/>
        <v>89.738407530196284</v>
      </c>
      <c r="L18">
        <f t="shared" si="7"/>
        <v>289.72833156335969</v>
      </c>
      <c r="M18">
        <f t="shared" si="8"/>
        <v>-4.4483315633597158</v>
      </c>
      <c r="N18">
        <f t="shared" si="9"/>
        <v>19.787653697582293</v>
      </c>
    </row>
    <row r="19" spans="1:14" x14ac:dyDescent="0.45">
      <c r="A19" s="22">
        <v>42849</v>
      </c>
      <c r="B19">
        <v>274.93</v>
      </c>
      <c r="C19">
        <v>276.86</v>
      </c>
      <c r="G19">
        <f t="shared" ref="G19:K19" si="25">SUMPRODUCT($B19:$B23,P$2:P$6)</f>
        <v>164.68630212788912</v>
      </c>
      <c r="H19">
        <f t="shared" si="25"/>
        <v>139.93680495932881</v>
      </c>
      <c r="I19">
        <f t="shared" si="25"/>
        <v>120.64163158243994</v>
      </c>
      <c r="J19">
        <f t="shared" si="25"/>
        <v>104.30045434851856</v>
      </c>
      <c r="K19">
        <f t="shared" si="25"/>
        <v>85.092340280566063</v>
      </c>
      <c r="L19">
        <f t="shared" si="7"/>
        <v>275.17284544058339</v>
      </c>
      <c r="M19">
        <f t="shared" si="8"/>
        <v>14.827154559416613</v>
      </c>
      <c r="N19">
        <f t="shared" si="9"/>
        <v>219.84451232882884</v>
      </c>
    </row>
    <row r="20" spans="1:14" x14ac:dyDescent="0.45">
      <c r="A20" s="22">
        <v>42846</v>
      </c>
      <c r="B20">
        <v>272.72000000000003</v>
      </c>
      <c r="C20">
        <v>272.94</v>
      </c>
      <c r="G20">
        <f t="shared" ref="G20:K20" si="26">SUMPRODUCT($B20:$B24,P$2:P$6)</f>
        <v>163.36622879433872</v>
      </c>
      <c r="H20">
        <f t="shared" si="26"/>
        <v>138.81509040865862</v>
      </c>
      <c r="I20">
        <f t="shared" si="26"/>
        <v>119.6742990876146</v>
      </c>
      <c r="J20">
        <f t="shared" si="26"/>
        <v>103.46389940968734</v>
      </c>
      <c r="K20">
        <f t="shared" si="26"/>
        <v>84.410719710195977</v>
      </c>
      <c r="L20">
        <f t="shared" si="7"/>
        <v>273.03760874107007</v>
      </c>
      <c r="M20">
        <f t="shared" si="8"/>
        <v>1.8923912589299334</v>
      </c>
      <c r="N20">
        <f t="shared" si="9"/>
        <v>3.5811446768744184</v>
      </c>
    </row>
    <row r="21" spans="1:14" x14ac:dyDescent="0.45">
      <c r="A21" s="22">
        <v>42845</v>
      </c>
      <c r="B21">
        <v>272.2</v>
      </c>
      <c r="C21">
        <v>272.45999999999998</v>
      </c>
      <c r="G21">
        <f t="shared" ref="G21:K21" si="27">SUMPRODUCT($B21:$B25,P$2:P$6)</f>
        <v>163.05706096120363</v>
      </c>
      <c r="H21">
        <f t="shared" si="27"/>
        <v>138.55236877380815</v>
      </c>
      <c r="I21">
        <f t="shared" si="27"/>
        <v>119.44762589056853</v>
      </c>
      <c r="J21">
        <f t="shared" si="27"/>
        <v>103.26777403619695</v>
      </c>
      <c r="K21">
        <f t="shared" si="27"/>
        <v>84.251255133270348</v>
      </c>
      <c r="L21">
        <f t="shared" si="7"/>
        <v>272.5374570254877</v>
      </c>
      <c r="M21">
        <f t="shared" si="8"/>
        <v>0.18254297451233015</v>
      </c>
      <c r="N21">
        <f t="shared" si="9"/>
        <v>3.3321937543809216E-2</v>
      </c>
    </row>
    <row r="22" spans="1:14" x14ac:dyDescent="0.45">
      <c r="A22" s="22">
        <v>42844</v>
      </c>
      <c r="B22">
        <v>272.72000000000003</v>
      </c>
      <c r="C22">
        <v>271.94</v>
      </c>
      <c r="G22">
        <f t="shared" ref="G22:K22" si="28">SUMPRODUCT($B22:$B26,P$2:P$6)</f>
        <v>163.37010072617625</v>
      </c>
      <c r="H22">
        <f t="shared" si="28"/>
        <v>138.81835284764301</v>
      </c>
      <c r="I22">
        <f t="shared" si="28"/>
        <v>119.67681721637462</v>
      </c>
      <c r="J22">
        <f t="shared" si="28"/>
        <v>103.46581761128336</v>
      </c>
      <c r="K22">
        <f t="shared" si="28"/>
        <v>84.413188679021886</v>
      </c>
      <c r="L22">
        <f t="shared" si="7"/>
        <v>273.0436889328937</v>
      </c>
      <c r="M22">
        <f t="shared" si="8"/>
        <v>-0.84368893289371272</v>
      </c>
      <c r="N22">
        <f t="shared" si="9"/>
        <v>0.71181101548733172</v>
      </c>
    </row>
    <row r="23" spans="1:14" x14ac:dyDescent="0.45">
      <c r="A23" s="22">
        <v>42843</v>
      </c>
      <c r="B23">
        <v>273.93</v>
      </c>
      <c r="C23">
        <v>271.16000000000003</v>
      </c>
      <c r="G23">
        <f t="shared" ref="G23:K23" si="29">SUMPRODUCT($B23:$B27,P$2:P$6)</f>
        <v>164.08677999645633</v>
      </c>
      <c r="H23">
        <f t="shared" si="29"/>
        <v>139.42738392641985</v>
      </c>
      <c r="I23">
        <f t="shared" si="29"/>
        <v>120.2024896003775</v>
      </c>
      <c r="J23">
        <f t="shared" si="29"/>
        <v>103.92082731153181</v>
      </c>
      <c r="K23">
        <f t="shared" si="29"/>
        <v>84.78250936049723</v>
      </c>
      <c r="L23">
        <f t="shared" si="7"/>
        <v>274.20321188643203</v>
      </c>
      <c r="M23">
        <f t="shared" si="8"/>
        <v>-1.4832118864320023</v>
      </c>
      <c r="N23">
        <f t="shared" si="9"/>
        <v>2.199917500053179</v>
      </c>
    </row>
    <row r="24" spans="1:14" x14ac:dyDescent="0.45">
      <c r="A24" s="22">
        <v>42842</v>
      </c>
      <c r="B24">
        <v>271.5</v>
      </c>
      <c r="C24">
        <v>274.05</v>
      </c>
      <c r="G24">
        <f t="shared" ref="G24:K24" si="30">SUMPRODUCT($B24:$B28,P$2:P$6)</f>
        <v>162.63118247337354</v>
      </c>
      <c r="H24">
        <f t="shared" si="30"/>
        <v>138.19053766175566</v>
      </c>
      <c r="I24">
        <f t="shared" si="30"/>
        <v>119.13618629707886</v>
      </c>
      <c r="J24">
        <f t="shared" si="30"/>
        <v>102.99895806725415</v>
      </c>
      <c r="K24">
        <f t="shared" si="30"/>
        <v>84.030411721903832</v>
      </c>
      <c r="L24">
        <f t="shared" si="7"/>
        <v>271.84895694299172</v>
      </c>
      <c r="M24">
        <f t="shared" si="8"/>
        <v>2.0810430570082872</v>
      </c>
      <c r="N24">
        <f t="shared" si="9"/>
        <v>4.3307402051223969</v>
      </c>
    </row>
    <row r="25" spans="1:14" x14ac:dyDescent="0.45">
      <c r="A25" s="22">
        <v>42838</v>
      </c>
      <c r="B25">
        <v>269.08999999999997</v>
      </c>
      <c r="C25">
        <v>271.88</v>
      </c>
      <c r="G25">
        <f t="shared" ref="G25:K25" si="31">SUMPRODUCT($B25:$B29,P$2:P$6)</f>
        <v>161.19577941219319</v>
      </c>
      <c r="H25">
        <f t="shared" si="31"/>
        <v>136.97079423615776</v>
      </c>
      <c r="I25">
        <f t="shared" si="31"/>
        <v>118.08400310676625</v>
      </c>
      <c r="J25">
        <f t="shared" si="31"/>
        <v>102.08874947613631</v>
      </c>
      <c r="K25">
        <f t="shared" si="31"/>
        <v>83.289742061323508</v>
      </c>
      <c r="L25">
        <f t="shared" si="7"/>
        <v>269.52698045878185</v>
      </c>
      <c r="M25">
        <f t="shared" si="8"/>
        <v>1.9730195412181502</v>
      </c>
      <c r="N25">
        <f t="shared" si="9"/>
        <v>3.8928061100286797</v>
      </c>
    </row>
    <row r="26" spans="1:14" x14ac:dyDescent="0.45">
      <c r="A26" s="22">
        <v>42837</v>
      </c>
      <c r="B26">
        <v>270.37</v>
      </c>
      <c r="C26">
        <v>268.92</v>
      </c>
      <c r="G26">
        <f t="shared" ref="G26:K26" si="32">SUMPRODUCT($B26:$B30,P$2:P$6)</f>
        <v>161.95678554341686</v>
      </c>
      <c r="H26">
        <f t="shared" si="32"/>
        <v>137.6174741165832</v>
      </c>
      <c r="I26">
        <f t="shared" si="32"/>
        <v>118.64195091652812</v>
      </c>
      <c r="J26">
        <f t="shared" si="32"/>
        <v>102.57150335172895</v>
      </c>
      <c r="K26">
        <f t="shared" si="32"/>
        <v>83.68225597918277</v>
      </c>
      <c r="L26">
        <f t="shared" si="7"/>
        <v>270.75808498185256</v>
      </c>
      <c r="M26">
        <f t="shared" si="8"/>
        <v>-1.6680849818525871</v>
      </c>
      <c r="N26">
        <f t="shared" si="9"/>
        <v>2.7825075066821459</v>
      </c>
    </row>
    <row r="27" spans="1:14" x14ac:dyDescent="0.45">
      <c r="A27" s="22">
        <v>42836</v>
      </c>
      <c r="B27">
        <v>269.08</v>
      </c>
      <c r="C27">
        <v>268.64999999999998</v>
      </c>
      <c r="G27">
        <f t="shared" ref="G27:K27" si="33">SUMPRODUCT($B27:$B31,P$2:P$6)</f>
        <v>161.18602908842973</v>
      </c>
      <c r="H27">
        <f t="shared" si="33"/>
        <v>136.96253549945277</v>
      </c>
      <c r="I27">
        <f t="shared" si="33"/>
        <v>118.07717061322337</v>
      </c>
      <c r="J27">
        <f t="shared" si="33"/>
        <v>102.08309517885391</v>
      </c>
      <c r="K27">
        <f t="shared" si="33"/>
        <v>83.284249280506586</v>
      </c>
      <c r="L27">
        <f t="shared" si="7"/>
        <v>269.51138833558974</v>
      </c>
      <c r="M27">
        <f t="shared" si="8"/>
        <v>0.85861166441026171</v>
      </c>
      <c r="N27">
        <f t="shared" si="9"/>
        <v>0.73721399026135992</v>
      </c>
    </row>
    <row r="28" spans="1:14" x14ac:dyDescent="0.45">
      <c r="A28" s="22">
        <v>42835</v>
      </c>
      <c r="B28">
        <v>268.68</v>
      </c>
      <c r="C28">
        <v>269.3</v>
      </c>
      <c r="G28">
        <f t="shared" ref="G28:K28" si="34">SUMPRODUCT($B28:$B32,P$2:P$6)</f>
        <v>160.9516096068767</v>
      </c>
      <c r="H28">
        <f t="shared" si="34"/>
        <v>136.76331006958787</v>
      </c>
      <c r="I28">
        <f t="shared" si="34"/>
        <v>117.90501959387682</v>
      </c>
      <c r="J28">
        <f t="shared" si="34"/>
        <v>101.93391597103383</v>
      </c>
      <c r="K28">
        <f t="shared" si="34"/>
        <v>83.163753488740767</v>
      </c>
      <c r="L28">
        <f t="shared" si="7"/>
        <v>269.13199977131347</v>
      </c>
      <c r="M28">
        <f t="shared" si="8"/>
        <v>-5.1999771313489873E-2</v>
      </c>
      <c r="N28">
        <f t="shared" si="9"/>
        <v>2.7039762166552444E-3</v>
      </c>
    </row>
    <row r="29" spans="1:14" x14ac:dyDescent="0.45">
      <c r="A29" s="22">
        <v>42832</v>
      </c>
      <c r="B29">
        <v>270.60000000000002</v>
      </c>
      <c r="C29">
        <v>268.73</v>
      </c>
      <c r="G29">
        <f t="shared" ref="G29:K29" si="35">SUMPRODUCT($B29:$B33,P$2:P$6)</f>
        <v>162.09642001727306</v>
      </c>
      <c r="H29">
        <f t="shared" si="35"/>
        <v>137.73611141121194</v>
      </c>
      <c r="I29">
        <f t="shared" si="35"/>
        <v>118.74408930490311</v>
      </c>
      <c r="J29">
        <f t="shared" si="35"/>
        <v>102.65968446094777</v>
      </c>
      <c r="K29">
        <f t="shared" si="35"/>
        <v>83.754629411204917</v>
      </c>
      <c r="L29">
        <f t="shared" si="7"/>
        <v>270.98384166857528</v>
      </c>
      <c r="M29">
        <f t="shared" si="8"/>
        <v>-2.3038416685752736</v>
      </c>
      <c r="N29">
        <f t="shared" si="9"/>
        <v>5.3076864338637009</v>
      </c>
    </row>
    <row r="30" spans="1:14" x14ac:dyDescent="0.45">
      <c r="A30" s="22">
        <v>42831</v>
      </c>
      <c r="B30">
        <v>270.14</v>
      </c>
      <c r="C30">
        <v>270.94</v>
      </c>
      <c r="G30">
        <f t="shared" ref="G30:K30" si="36">SUMPRODUCT($B30:$B34,P$2:P$6)</f>
        <v>161.83160926590185</v>
      </c>
      <c r="H30">
        <f t="shared" si="36"/>
        <v>137.51102303527517</v>
      </c>
      <c r="I30">
        <f t="shared" si="36"/>
        <v>118.54921825950798</v>
      </c>
      <c r="J30">
        <f t="shared" si="36"/>
        <v>102.49049093980281</v>
      </c>
      <c r="K30">
        <f t="shared" si="36"/>
        <v>83.619101933643478</v>
      </c>
      <c r="L30">
        <f t="shared" si="7"/>
        <v>270.55503731475301</v>
      </c>
      <c r="M30">
        <f t="shared" si="8"/>
        <v>4.4962685247014633E-2</v>
      </c>
      <c r="N30">
        <f t="shared" si="9"/>
        <v>2.0216430646221072E-3</v>
      </c>
    </row>
    <row r="31" spans="1:14" x14ac:dyDescent="0.45">
      <c r="A31" s="22">
        <v>42830</v>
      </c>
      <c r="B31">
        <v>274.48</v>
      </c>
      <c r="C31">
        <v>270.44</v>
      </c>
      <c r="G31">
        <f t="shared" ref="G31:K31" si="37">SUMPRODUCT($B31:$B35,P$2:P$6)</f>
        <v>164.41837256267112</v>
      </c>
      <c r="H31">
        <f t="shared" si="37"/>
        <v>139.7091288180236</v>
      </c>
      <c r="I31">
        <f t="shared" si="37"/>
        <v>120.44522340011008</v>
      </c>
      <c r="J31">
        <f t="shared" si="37"/>
        <v>104.13053932694874</v>
      </c>
      <c r="K31">
        <f t="shared" si="37"/>
        <v>84.954099473562067</v>
      </c>
      <c r="L31">
        <f t="shared" si="7"/>
        <v>274.7394228489382</v>
      </c>
      <c r="M31">
        <f t="shared" si="8"/>
        <v>-4.5994228489382181</v>
      </c>
      <c r="N31">
        <f t="shared" si="9"/>
        <v>21.154690543334954</v>
      </c>
    </row>
    <row r="32" spans="1:14" x14ac:dyDescent="0.45">
      <c r="A32" s="22">
        <v>42829</v>
      </c>
      <c r="B32">
        <v>273</v>
      </c>
      <c r="C32">
        <v>274.24</v>
      </c>
      <c r="G32">
        <f t="shared" ref="G32:K32" si="38">SUMPRODUCT($B32:$B36,P$2:P$6)</f>
        <v>163.53753810093113</v>
      </c>
      <c r="H32">
        <f t="shared" si="38"/>
        <v>138.96062915570946</v>
      </c>
      <c r="I32">
        <f t="shared" si="38"/>
        <v>119.79949886519029</v>
      </c>
      <c r="J32">
        <f t="shared" si="38"/>
        <v>103.57190240524959</v>
      </c>
      <c r="K32">
        <f t="shared" si="38"/>
        <v>84.499667894775811</v>
      </c>
      <c r="L32">
        <f t="shared" si="7"/>
        <v>273.31451368094031</v>
      </c>
      <c r="M32">
        <f t="shared" si="8"/>
        <v>1.1654863190597098</v>
      </c>
      <c r="N32">
        <f t="shared" si="9"/>
        <v>1.3583583599153517</v>
      </c>
    </row>
    <row r="33" spans="1:14" x14ac:dyDescent="0.45">
      <c r="A33" s="22">
        <v>42828</v>
      </c>
      <c r="B33">
        <v>274.08</v>
      </c>
      <c r="C33">
        <v>272.69</v>
      </c>
      <c r="G33">
        <f t="shared" ref="G33:K33" si="39">SUMPRODUCT($B33:$B37,P$2:P$6)</f>
        <v>164.17137489792336</v>
      </c>
      <c r="H33">
        <f t="shared" si="39"/>
        <v>139.49930264270196</v>
      </c>
      <c r="I33">
        <f t="shared" si="39"/>
        <v>120.26489388755087</v>
      </c>
      <c r="J33">
        <f t="shared" si="39"/>
        <v>103.97513255296145</v>
      </c>
      <c r="K33">
        <f t="shared" si="39"/>
        <v>84.82558310098608</v>
      </c>
      <c r="L33">
        <f t="shared" si="7"/>
        <v>274.34028322938224</v>
      </c>
      <c r="M33">
        <f t="shared" si="8"/>
        <v>-1.3402832293822371</v>
      </c>
      <c r="N33">
        <f t="shared" si="9"/>
        <v>1.7963591349632784</v>
      </c>
    </row>
    <row r="34" spans="1:14" x14ac:dyDescent="0.45">
      <c r="A34" s="22">
        <v>42825</v>
      </c>
      <c r="B34">
        <v>269.3</v>
      </c>
      <c r="C34">
        <v>273.42</v>
      </c>
      <c r="G34">
        <f t="shared" ref="G34:K34" si="40">SUMPRODUCT($B34:$B38,P$2:P$6)</f>
        <v>161.31734562949131</v>
      </c>
      <c r="H34">
        <f t="shared" si="40"/>
        <v>137.07412152540081</v>
      </c>
      <c r="I34">
        <f t="shared" si="40"/>
        <v>118.17340453019098</v>
      </c>
      <c r="J34">
        <f t="shared" si="40"/>
        <v>102.16632405034977</v>
      </c>
      <c r="K34">
        <f t="shared" si="40"/>
        <v>83.352043307462409</v>
      </c>
      <c r="L34">
        <f t="shared" si="7"/>
        <v>269.7237985480881</v>
      </c>
      <c r="M34">
        <f t="shared" si="8"/>
        <v>4.3562014519118861</v>
      </c>
      <c r="N34">
        <f t="shared" si="9"/>
        <v>18.976491089639225</v>
      </c>
    </row>
    <row r="35" spans="1:14" x14ac:dyDescent="0.45">
      <c r="A35" s="22">
        <v>42824</v>
      </c>
      <c r="B35">
        <v>268.69</v>
      </c>
      <c r="C35">
        <v>269.06</v>
      </c>
      <c r="G35">
        <f t="shared" ref="G35:K35" si="41">SUMPRODUCT($B35:$B39,P$2:P$6)</f>
        <v>160.9649856702799</v>
      </c>
      <c r="H35">
        <f t="shared" si="41"/>
        <v>136.77462447289975</v>
      </c>
      <c r="I35">
        <f t="shared" si="41"/>
        <v>117.91421352485423</v>
      </c>
      <c r="J35">
        <f t="shared" si="41"/>
        <v>101.94137381312211</v>
      </c>
      <c r="K35">
        <f t="shared" si="41"/>
        <v>83.17155825192647</v>
      </c>
      <c r="L35">
        <f t="shared" si="7"/>
        <v>269.15328960238048</v>
      </c>
      <c r="M35">
        <f t="shared" si="8"/>
        <v>0.14671039761952898</v>
      </c>
      <c r="N35">
        <f t="shared" si="9"/>
        <v>2.1523940769680294E-2</v>
      </c>
    </row>
    <row r="36" spans="1:14" x14ac:dyDescent="0.45">
      <c r="A36" s="22">
        <v>42823</v>
      </c>
      <c r="B36">
        <v>273.91000000000003</v>
      </c>
      <c r="C36">
        <v>268.52999999999997</v>
      </c>
      <c r="G36">
        <f t="shared" ref="G36:K36" si="42">SUMPRODUCT($B36:$B40,P$2:P$6)</f>
        <v>164.08399803726826</v>
      </c>
      <c r="H36">
        <f t="shared" si="42"/>
        <v>139.4249574478406</v>
      </c>
      <c r="I36">
        <f t="shared" si="42"/>
        <v>120.19969961244607</v>
      </c>
      <c r="J36">
        <f t="shared" si="42"/>
        <v>103.9178054651773</v>
      </c>
      <c r="K36">
        <f t="shared" si="42"/>
        <v>84.782184606452674</v>
      </c>
      <c r="L36">
        <f t="shared" si="7"/>
        <v>274.19828547573661</v>
      </c>
      <c r="M36">
        <f t="shared" si="8"/>
        <v>-5.5082854757366135</v>
      </c>
      <c r="N36">
        <f t="shared" si="9"/>
        <v>30.341208882210932</v>
      </c>
    </row>
    <row r="37" spans="1:14" x14ac:dyDescent="0.45">
      <c r="A37" s="22">
        <v>42822</v>
      </c>
      <c r="B37">
        <v>275.58999999999997</v>
      </c>
      <c r="C37">
        <v>274.11</v>
      </c>
      <c r="G37">
        <f t="shared" ref="G37:K37" si="43">SUMPRODUCT($B37:$B41,P$2:P$6)</f>
        <v>165.07980412889603</v>
      </c>
      <c r="H37">
        <f t="shared" si="43"/>
        <v>140.27118381111089</v>
      </c>
      <c r="I37">
        <f t="shared" si="43"/>
        <v>120.93004531533074</v>
      </c>
      <c r="J37">
        <f t="shared" si="43"/>
        <v>104.54992581928059</v>
      </c>
      <c r="K37">
        <f t="shared" si="43"/>
        <v>85.295436931511489</v>
      </c>
      <c r="L37">
        <f t="shared" si="7"/>
        <v>275.80937562408485</v>
      </c>
      <c r="M37">
        <f t="shared" si="8"/>
        <v>-1.8993756240848256</v>
      </c>
      <c r="N37">
        <f t="shared" si="9"/>
        <v>3.6076277613676209</v>
      </c>
    </row>
    <row r="38" spans="1:14" x14ac:dyDescent="0.45">
      <c r="A38" s="22">
        <v>42821</v>
      </c>
      <c r="B38">
        <v>272.55</v>
      </c>
      <c r="C38">
        <v>275.23</v>
      </c>
      <c r="G38">
        <f t="shared" ref="G38:K38" si="44">SUMPRODUCT($B38:$B42,P$2:P$6)</f>
        <v>163.27569619733049</v>
      </c>
      <c r="H38">
        <f t="shared" si="44"/>
        <v>138.73808547522455</v>
      </c>
      <c r="I38">
        <f t="shared" si="44"/>
        <v>119.60705342793241</v>
      </c>
      <c r="J38">
        <f t="shared" si="44"/>
        <v>103.40501099019836</v>
      </c>
      <c r="K38">
        <f t="shared" si="44"/>
        <v>84.365308934711962</v>
      </c>
      <c r="L38">
        <f t="shared" si="7"/>
        <v>272.89065616630177</v>
      </c>
      <c r="M38">
        <f t="shared" si="8"/>
        <v>2.6993438336982081</v>
      </c>
      <c r="N38">
        <f t="shared" si="9"/>
        <v>7.2864571325245393</v>
      </c>
    </row>
    <row r="39" spans="1:14" x14ac:dyDescent="0.45">
      <c r="A39" s="22">
        <v>42818</v>
      </c>
      <c r="B39">
        <v>277.08</v>
      </c>
      <c r="C39">
        <v>274.82</v>
      </c>
      <c r="G39">
        <f t="shared" ref="G39:K39" si="45">SUMPRODUCT($B39:$B43,P$2:P$6)</f>
        <v>165.97905040353885</v>
      </c>
      <c r="H39">
        <f t="shared" si="45"/>
        <v>141.03524207826146</v>
      </c>
      <c r="I39">
        <f t="shared" si="45"/>
        <v>121.58823995723121</v>
      </c>
      <c r="J39">
        <f t="shared" si="45"/>
        <v>105.11851781776245</v>
      </c>
      <c r="K39">
        <f t="shared" si="45"/>
        <v>85.760884360106729</v>
      </c>
      <c r="L39">
        <f t="shared" si="7"/>
        <v>277.26348421233246</v>
      </c>
      <c r="M39">
        <f t="shared" si="8"/>
        <v>-4.7134842123324461</v>
      </c>
      <c r="N39">
        <f t="shared" si="9"/>
        <v>22.216933419907221</v>
      </c>
    </row>
    <row r="40" spans="1:14" x14ac:dyDescent="0.45">
      <c r="A40" s="22">
        <v>42817</v>
      </c>
      <c r="B40">
        <v>277.02999999999997</v>
      </c>
      <c r="C40">
        <v>275.41000000000003</v>
      </c>
      <c r="G40">
        <f t="shared" ref="G40:K40" si="46">SUMPRODUCT($B40:$B44,P$2:P$6)</f>
        <v>165.94786795519818</v>
      </c>
      <c r="H40">
        <f t="shared" si="46"/>
        <v>141.00875442633057</v>
      </c>
      <c r="I40">
        <f t="shared" si="46"/>
        <v>121.5654979669482</v>
      </c>
      <c r="J40">
        <f t="shared" si="46"/>
        <v>105.09893810053973</v>
      </c>
      <c r="K40">
        <f t="shared" si="46"/>
        <v>85.744623580463312</v>
      </c>
      <c r="L40">
        <f t="shared" si="7"/>
        <v>277.21310773418526</v>
      </c>
      <c r="M40">
        <f t="shared" si="8"/>
        <v>-0.13310773418527333</v>
      </c>
      <c r="N40">
        <f t="shared" si="9"/>
        <v>1.7717668899937384E-2</v>
      </c>
    </row>
    <row r="41" spans="1:14" x14ac:dyDescent="0.45">
      <c r="A41" s="22">
        <v>42816</v>
      </c>
      <c r="B41">
        <v>276.43</v>
      </c>
      <c r="C41">
        <v>277.87</v>
      </c>
      <c r="G41">
        <f t="shared" ref="G41:K41" si="47">SUMPRODUCT($B41:$B45,P$2:P$6)</f>
        <v>165.58972583018243</v>
      </c>
      <c r="H41">
        <f t="shared" si="47"/>
        <v>140.70442606380806</v>
      </c>
      <c r="I41">
        <f t="shared" si="47"/>
        <v>121.30303925393989</v>
      </c>
      <c r="J41">
        <f t="shared" si="47"/>
        <v>104.87195022370574</v>
      </c>
      <c r="K41">
        <f t="shared" si="47"/>
        <v>85.559726887448491</v>
      </c>
      <c r="L41">
        <f t="shared" si="7"/>
        <v>276.63380021379686</v>
      </c>
      <c r="M41">
        <f t="shared" si="8"/>
        <v>0.39619978620311258</v>
      </c>
      <c r="N41">
        <f t="shared" si="9"/>
        <v>0.15697427058739211</v>
      </c>
    </row>
    <row r="42" spans="1:14" x14ac:dyDescent="0.45">
      <c r="A42" s="22">
        <v>42815</v>
      </c>
      <c r="B42">
        <v>276.39999999999998</v>
      </c>
      <c r="C42">
        <v>275.79000000000002</v>
      </c>
      <c r="G42">
        <f t="shared" ref="G42:K42" si="48">SUMPRODUCT($B42:$B46,P$2:P$6)</f>
        <v>165.57285161210677</v>
      </c>
      <c r="H42">
        <f t="shared" si="48"/>
        <v>140.6900816274119</v>
      </c>
      <c r="I42">
        <f t="shared" si="48"/>
        <v>121.29059109067168</v>
      </c>
      <c r="J42">
        <f t="shared" si="48"/>
        <v>104.86111900698653</v>
      </c>
      <c r="K42">
        <f t="shared" si="48"/>
        <v>85.551140682342904</v>
      </c>
      <c r="L42">
        <f t="shared" si="7"/>
        <v>276.60646097357255</v>
      </c>
      <c r="M42">
        <f t="shared" si="8"/>
        <v>-0.17646097357254575</v>
      </c>
      <c r="N42">
        <f t="shared" si="9"/>
        <v>3.1138475194170692E-2</v>
      </c>
    </row>
    <row r="43" spans="1:14" x14ac:dyDescent="0.45">
      <c r="A43" s="22">
        <v>42814</v>
      </c>
      <c r="B43">
        <v>276.86</v>
      </c>
      <c r="C43">
        <v>274.8</v>
      </c>
      <c r="G43">
        <f t="shared" ref="G43:K43" si="49">SUMPRODUCT($B43:$B47,P$2:P$6)</f>
        <v>165.845607657133</v>
      </c>
      <c r="H43">
        <f t="shared" si="49"/>
        <v>140.92186774155684</v>
      </c>
      <c r="I43">
        <f t="shared" si="49"/>
        <v>121.49062813085609</v>
      </c>
      <c r="J43">
        <f t="shared" si="49"/>
        <v>105.03424602199698</v>
      </c>
      <c r="K43">
        <f t="shared" si="49"/>
        <v>85.691734541021077</v>
      </c>
      <c r="L43">
        <f t="shared" si="7"/>
        <v>277.04774210795506</v>
      </c>
      <c r="M43">
        <f t="shared" si="8"/>
        <v>-0.64774210795508225</v>
      </c>
      <c r="N43">
        <f t="shared" si="9"/>
        <v>0.41956983841809342</v>
      </c>
    </row>
    <row r="44" spans="1:14" x14ac:dyDescent="0.45">
      <c r="A44" s="22">
        <v>42811</v>
      </c>
      <c r="B44">
        <v>276.07</v>
      </c>
      <c r="C44">
        <v>276.08999999999997</v>
      </c>
      <c r="G44">
        <f t="shared" ref="G44:K44" si="50">SUMPRODUCT($B44:$B48,P$2:P$6)</f>
        <v>165.39415097592092</v>
      </c>
      <c r="H44">
        <f t="shared" si="50"/>
        <v>140.53810644407918</v>
      </c>
      <c r="I44">
        <f t="shared" si="50"/>
        <v>121.15812523138386</v>
      </c>
      <c r="J44">
        <f t="shared" si="50"/>
        <v>104.74532963353045</v>
      </c>
      <c r="K44">
        <f t="shared" si="50"/>
        <v>85.461102318477671</v>
      </c>
      <c r="L44">
        <f t="shared" si="7"/>
        <v>276.31654538981456</v>
      </c>
      <c r="M44">
        <f t="shared" si="8"/>
        <v>0.54345461018544938</v>
      </c>
      <c r="N44">
        <f t="shared" si="9"/>
        <v>0.29534291333181872</v>
      </c>
    </row>
    <row r="45" spans="1:14" x14ac:dyDescent="0.45">
      <c r="A45" s="22">
        <v>42810</v>
      </c>
      <c r="B45">
        <v>285.01</v>
      </c>
      <c r="C45">
        <v>278.95999999999998</v>
      </c>
      <c r="G45">
        <f t="shared" ref="G45:K45" si="51">SUMPRODUCT($B45:$B49,P$2:P$6)</f>
        <v>170.74766404461417</v>
      </c>
      <c r="H45">
        <f t="shared" si="51"/>
        <v>145.08708914519795</v>
      </c>
      <c r="I45">
        <f t="shared" si="51"/>
        <v>125.07999626801505</v>
      </c>
      <c r="J45">
        <f t="shared" si="51"/>
        <v>108.13608127551439</v>
      </c>
      <c r="K45">
        <f t="shared" si="51"/>
        <v>88.227027834855122</v>
      </c>
      <c r="L45">
        <f t="shared" si="7"/>
        <v>284.97528953164169</v>
      </c>
      <c r="M45">
        <f t="shared" si="8"/>
        <v>-8.9052895316416993</v>
      </c>
      <c r="N45">
        <f t="shared" si="9"/>
        <v>79.30418164236724</v>
      </c>
    </row>
    <row r="46" spans="1:14" x14ac:dyDescent="0.45">
      <c r="A46" s="22">
        <v>42809</v>
      </c>
      <c r="B46">
        <v>293.14</v>
      </c>
      <c r="C46">
        <v>292.64</v>
      </c>
      <c r="G46">
        <f t="shared" ref="G46:K46" si="52">SUMPRODUCT($B46:$B50,P$2:P$6)</f>
        <v>175.59763289002845</v>
      </c>
      <c r="H46">
        <f t="shared" si="52"/>
        <v>149.20832917825061</v>
      </c>
      <c r="I46">
        <f t="shared" si="52"/>
        <v>128.63449866106845</v>
      </c>
      <c r="J46">
        <f t="shared" si="52"/>
        <v>111.21044749981731</v>
      </c>
      <c r="K46">
        <f t="shared" si="52"/>
        <v>90.730556268728577</v>
      </c>
      <c r="L46">
        <f t="shared" si="7"/>
        <v>292.82046897288757</v>
      </c>
      <c r="M46">
        <f t="shared" si="8"/>
        <v>-7.8104689728875769</v>
      </c>
      <c r="N46">
        <f t="shared" si="9"/>
        <v>61.003425576439518</v>
      </c>
    </row>
    <row r="47" spans="1:14" x14ac:dyDescent="0.45">
      <c r="A47" s="22">
        <v>42808</v>
      </c>
      <c r="B47">
        <v>292.27</v>
      </c>
      <c r="C47">
        <v>292.47000000000003</v>
      </c>
      <c r="G47">
        <f t="shared" ref="G47:K47" si="53">SUMPRODUCT($B47:$B51,P$2:P$6)</f>
        <v>175.07681272673935</v>
      </c>
      <c r="H47">
        <f t="shared" si="53"/>
        <v>148.76577685003897</v>
      </c>
      <c r="I47">
        <f t="shared" si="53"/>
        <v>128.25294333854538</v>
      </c>
      <c r="J47">
        <f t="shared" si="53"/>
        <v>110.88055323494869</v>
      </c>
      <c r="K47">
        <f t="shared" si="53"/>
        <v>90.461490597145669</v>
      </c>
      <c r="L47">
        <f t="shared" si="7"/>
        <v>291.97808914009499</v>
      </c>
      <c r="M47">
        <f t="shared" si="8"/>
        <v>1.1619108599049923</v>
      </c>
      <c r="N47">
        <f t="shared" si="9"/>
        <v>1.3500368463651586</v>
      </c>
    </row>
    <row r="48" spans="1:14" x14ac:dyDescent="0.45">
      <c r="A48" s="22">
        <v>42807</v>
      </c>
      <c r="B48">
        <v>291.55</v>
      </c>
      <c r="C48">
        <v>292.95</v>
      </c>
      <c r="G48">
        <f t="shared" ref="G48:K48" si="54">SUMPRODUCT($B48:$B52,P$2:P$6)</f>
        <v>174.6510618238766</v>
      </c>
      <c r="H48">
        <f t="shared" si="54"/>
        <v>148.40397051741579</v>
      </c>
      <c r="I48">
        <f t="shared" si="54"/>
        <v>127.94060486185892</v>
      </c>
      <c r="J48">
        <f t="shared" si="54"/>
        <v>110.61015442663339</v>
      </c>
      <c r="K48">
        <f t="shared" si="54"/>
        <v>90.242177726228064</v>
      </c>
      <c r="L48">
        <f t="shared" si="7"/>
        <v>291.28923018489104</v>
      </c>
      <c r="M48">
        <f t="shared" si="8"/>
        <v>0.98076981510894257</v>
      </c>
      <c r="N48">
        <f t="shared" si="9"/>
        <v>0.96190943022882935</v>
      </c>
    </row>
    <row r="49" spans="1:14" x14ac:dyDescent="0.45">
      <c r="A49" s="22">
        <v>42804</v>
      </c>
      <c r="B49">
        <v>293.31</v>
      </c>
      <c r="C49">
        <v>292.24</v>
      </c>
      <c r="G49">
        <f t="shared" ref="G49:K49" si="55">SUMPRODUCT($B49:$B53,P$2:P$6)</f>
        <v>175.69684935728498</v>
      </c>
      <c r="H49">
        <f t="shared" si="55"/>
        <v>149.29265331128093</v>
      </c>
      <c r="I49">
        <f t="shared" si="55"/>
        <v>128.70739694373341</v>
      </c>
      <c r="J49">
        <f t="shared" si="55"/>
        <v>111.27364875654233</v>
      </c>
      <c r="K49">
        <f t="shared" si="55"/>
        <v>90.781504384700753</v>
      </c>
      <c r="L49">
        <f t="shared" si="7"/>
        <v>292.98106471960728</v>
      </c>
      <c r="M49">
        <f t="shared" si="8"/>
        <v>-1.4310647196072637</v>
      </c>
      <c r="N49">
        <f t="shared" si="9"/>
        <v>2.047946231704616</v>
      </c>
    </row>
    <row r="50" spans="1:14" x14ac:dyDescent="0.45">
      <c r="A50" s="22">
        <v>42803</v>
      </c>
      <c r="B50">
        <v>291.27</v>
      </c>
      <c r="C50">
        <v>293.06</v>
      </c>
      <c r="G50">
        <f t="shared" ref="G50:K50" si="56">SUMPRODUCT($B50:$B54,P$2:P$6)</f>
        <v>174.47695487867324</v>
      </c>
      <c r="H50">
        <f t="shared" si="56"/>
        <v>148.25607421723905</v>
      </c>
      <c r="I50">
        <f t="shared" si="56"/>
        <v>127.81358593947958</v>
      </c>
      <c r="J50">
        <f t="shared" si="56"/>
        <v>110.50076611477927</v>
      </c>
      <c r="K50">
        <f t="shared" si="56"/>
        <v>90.151445604635256</v>
      </c>
      <c r="L50">
        <f t="shared" si="7"/>
        <v>291.00793224770581</v>
      </c>
      <c r="M50">
        <f t="shared" si="8"/>
        <v>2.3020677522941924</v>
      </c>
      <c r="N50">
        <f t="shared" si="9"/>
        <v>5.2995159361528348</v>
      </c>
    </row>
    <row r="51" spans="1:14" x14ac:dyDescent="0.45">
      <c r="A51" s="22">
        <v>42802</v>
      </c>
      <c r="B51">
        <v>290.18</v>
      </c>
      <c r="C51">
        <v>294.08999999999997</v>
      </c>
      <c r="G51">
        <f t="shared" ref="G51:K51" si="57">SUMPRODUCT($B51:$B55,P$2:P$6)</f>
        <v>173.83475538666858</v>
      </c>
      <c r="H51">
        <f t="shared" si="57"/>
        <v>147.7103114412553</v>
      </c>
      <c r="I51">
        <f t="shared" si="57"/>
        <v>127.34226039068145</v>
      </c>
      <c r="J51">
        <f t="shared" si="57"/>
        <v>110.09256808426366</v>
      </c>
      <c r="K51">
        <f t="shared" si="57"/>
        <v>89.820922450366467</v>
      </c>
      <c r="L51">
        <f t="shared" si="7"/>
        <v>289.96874918559968</v>
      </c>
      <c r="M51">
        <f t="shared" si="8"/>
        <v>1.301250814400305</v>
      </c>
      <c r="N51">
        <f t="shared" si="9"/>
        <v>1.6932536819774571</v>
      </c>
    </row>
    <row r="52" spans="1:14" x14ac:dyDescent="0.45">
      <c r="A52" s="22">
        <v>42801</v>
      </c>
      <c r="B52">
        <v>293.89</v>
      </c>
      <c r="C52">
        <v>291.10000000000002</v>
      </c>
      <c r="G52">
        <f t="shared" ref="G52:K52" si="58">SUMPRODUCT($B52:$B56,P$2:P$6)</f>
        <v>176.05601431162353</v>
      </c>
      <c r="H52">
        <f t="shared" si="58"/>
        <v>149.59776056931676</v>
      </c>
      <c r="I52">
        <f t="shared" si="58"/>
        <v>128.96953826441865</v>
      </c>
      <c r="J52">
        <f t="shared" si="58"/>
        <v>111.49949573736087</v>
      </c>
      <c r="K52">
        <f t="shared" si="58"/>
        <v>90.968502478008631</v>
      </c>
      <c r="L52">
        <f t="shared" si="7"/>
        <v>293.56141827732426</v>
      </c>
      <c r="M52">
        <f t="shared" si="8"/>
        <v>-3.3814182773242578</v>
      </c>
      <c r="N52">
        <f t="shared" si="9"/>
        <v>11.433989566222552</v>
      </c>
    </row>
    <row r="53" spans="1:14" x14ac:dyDescent="0.45">
      <c r="A53" s="22">
        <v>42800</v>
      </c>
      <c r="B53">
        <v>297.08999999999997</v>
      </c>
      <c r="C53">
        <v>295.66000000000003</v>
      </c>
      <c r="G53">
        <f t="shared" ref="G53:K53" si="59">SUMPRODUCT($B53:$B57,P$2:P$6)</f>
        <v>177.95686224707055</v>
      </c>
      <c r="H53">
        <f t="shared" si="59"/>
        <v>151.21305363342799</v>
      </c>
      <c r="I53">
        <f t="shared" si="59"/>
        <v>130.36332366673872</v>
      </c>
      <c r="J53">
        <f t="shared" si="59"/>
        <v>112.70555496633713</v>
      </c>
      <c r="K53">
        <f t="shared" si="59"/>
        <v>91.948724046197029</v>
      </c>
      <c r="L53">
        <f t="shared" si="7"/>
        <v>296.63656072734523</v>
      </c>
      <c r="M53">
        <f t="shared" si="8"/>
        <v>-2.7465607273452406</v>
      </c>
      <c r="N53">
        <f t="shared" si="9"/>
        <v>7.5435958289952172</v>
      </c>
    </row>
    <row r="54" spans="1:14" x14ac:dyDescent="0.45">
      <c r="A54" s="22">
        <v>42797</v>
      </c>
      <c r="B54">
        <v>293.12</v>
      </c>
      <c r="C54">
        <v>297.85000000000002</v>
      </c>
      <c r="G54">
        <f t="shared" ref="G54:K54" si="60">SUMPRODUCT($B54:$B58,P$2:P$6)</f>
        <v>175.58876326922305</v>
      </c>
      <c r="H54">
        <f t="shared" si="60"/>
        <v>149.20077044704652</v>
      </c>
      <c r="I54">
        <f t="shared" si="60"/>
        <v>128.62774361411624</v>
      </c>
      <c r="J54">
        <f t="shared" si="60"/>
        <v>111.20439710250561</v>
      </c>
      <c r="K54">
        <f t="shared" si="60"/>
        <v>90.726349667743889</v>
      </c>
      <c r="L54">
        <f t="shared" si="7"/>
        <v>292.80597501268829</v>
      </c>
      <c r="M54">
        <f t="shared" si="8"/>
        <v>4.2840249873116818</v>
      </c>
      <c r="N54">
        <f t="shared" si="9"/>
        <v>18.352870091910855</v>
      </c>
    </row>
    <row r="55" spans="1:14" x14ac:dyDescent="0.45">
      <c r="A55" s="22">
        <v>42796</v>
      </c>
      <c r="B55">
        <v>293.64</v>
      </c>
      <c r="C55">
        <v>293.58999999999997</v>
      </c>
      <c r="G55">
        <f t="shared" ref="G55:K55" si="61">SUMPRODUCT($B55:$B59,P$2:P$6)</f>
        <v>175.89110486414751</v>
      </c>
      <c r="H55">
        <f t="shared" si="61"/>
        <v>149.45773780887092</v>
      </c>
      <c r="I55">
        <f t="shared" si="61"/>
        <v>128.84997552154408</v>
      </c>
      <c r="J55">
        <f t="shared" si="61"/>
        <v>111.39713679921937</v>
      </c>
      <c r="K55">
        <f t="shared" si="61"/>
        <v>90.881461438357917</v>
      </c>
      <c r="L55">
        <f t="shared" si="7"/>
        <v>293.29540407624472</v>
      </c>
      <c r="M55">
        <f t="shared" si="8"/>
        <v>-0.17540407624471754</v>
      </c>
      <c r="N55">
        <f t="shared" si="9"/>
        <v>3.0766589963262685E-2</v>
      </c>
    </row>
    <row r="56" spans="1:14" x14ac:dyDescent="0.45">
      <c r="A56" s="22">
        <v>42795</v>
      </c>
      <c r="B56">
        <v>290.07</v>
      </c>
      <c r="C56">
        <v>293.26</v>
      </c>
      <c r="G56">
        <f t="shared" ref="G56:K56" si="62">SUMPRODUCT($B56:$B60,P$2:P$6)</f>
        <v>173.76069300975061</v>
      </c>
      <c r="H56">
        <f t="shared" si="62"/>
        <v>147.64743463350783</v>
      </c>
      <c r="I56">
        <f t="shared" si="62"/>
        <v>127.2886742520394</v>
      </c>
      <c r="J56">
        <f t="shared" si="62"/>
        <v>110.04678260867003</v>
      </c>
      <c r="K56">
        <f t="shared" si="62"/>
        <v>89.781666490101685</v>
      </c>
      <c r="L56">
        <f t="shared" si="7"/>
        <v>289.84934173902627</v>
      </c>
      <c r="M56">
        <f t="shared" si="8"/>
        <v>3.7906582609737143</v>
      </c>
      <c r="N56">
        <f t="shared" si="9"/>
        <v>14.369090051488264</v>
      </c>
    </row>
    <row r="57" spans="1:14" x14ac:dyDescent="0.45">
      <c r="A57" s="22">
        <v>42794</v>
      </c>
      <c r="B57">
        <v>290.13</v>
      </c>
      <c r="C57">
        <v>288.60000000000002</v>
      </c>
      <c r="G57">
        <f t="shared" ref="G57:K57" si="63">SUMPRODUCT($B57:$B61,P$2:P$6)</f>
        <v>173.78589186230693</v>
      </c>
      <c r="H57">
        <f t="shared" si="63"/>
        <v>147.66892136761763</v>
      </c>
      <c r="I57">
        <f t="shared" si="63"/>
        <v>127.30801553888647</v>
      </c>
      <c r="J57">
        <f t="shared" si="63"/>
        <v>110.06422063287076</v>
      </c>
      <c r="K57">
        <f t="shared" si="63"/>
        <v>89.793387188801276</v>
      </c>
      <c r="L57">
        <f t="shared" si="7"/>
        <v>289.89060116951731</v>
      </c>
      <c r="M57">
        <f t="shared" si="8"/>
        <v>0.17939883048268257</v>
      </c>
      <c r="N57">
        <f t="shared" si="9"/>
        <v>3.2183940378554279E-2</v>
      </c>
    </row>
    <row r="58" spans="1:14" x14ac:dyDescent="0.45">
      <c r="A58" s="22">
        <v>42793</v>
      </c>
      <c r="B58">
        <v>285.39</v>
      </c>
      <c r="C58">
        <v>291.13</v>
      </c>
      <c r="G58">
        <f t="shared" ref="G58:K58" si="64">SUMPRODUCT($B58:$B62,P$2:P$6)</f>
        <v>170.95624902482518</v>
      </c>
      <c r="H58">
        <f t="shared" si="64"/>
        <v>145.26445859140154</v>
      </c>
      <c r="I58">
        <f t="shared" si="64"/>
        <v>125.2343572686744</v>
      </c>
      <c r="J58">
        <f t="shared" si="64"/>
        <v>108.2708016696462</v>
      </c>
      <c r="K58">
        <f t="shared" si="64"/>
        <v>88.332499231589765</v>
      </c>
      <c r="L58">
        <f t="shared" si="7"/>
        <v>285.31354041427619</v>
      </c>
      <c r="M58">
        <f t="shared" si="8"/>
        <v>4.8164595857238055</v>
      </c>
      <c r="N58">
        <f t="shared" si="9"/>
        <v>23.198282940910733</v>
      </c>
    </row>
    <row r="59" spans="1:14" x14ac:dyDescent="0.45">
      <c r="A59" s="22">
        <v>42790</v>
      </c>
      <c r="B59">
        <v>285.01</v>
      </c>
      <c r="C59">
        <v>285.13</v>
      </c>
      <c r="G59">
        <f t="shared" ref="G59:K59" si="65">SUMPRODUCT($B59:$B63,P$2:P$6)</f>
        <v>170.73560062692388</v>
      </c>
      <c r="H59">
        <f t="shared" si="65"/>
        <v>145.07692180382691</v>
      </c>
      <c r="I59">
        <f t="shared" si="65"/>
        <v>125.07214817747841</v>
      </c>
      <c r="J59">
        <f t="shared" si="65"/>
        <v>108.13009937665088</v>
      </c>
      <c r="K59">
        <f t="shared" si="65"/>
        <v>88.219335498455337</v>
      </c>
      <c r="L59">
        <f t="shared" si="7"/>
        <v>284.95634180406051</v>
      </c>
      <c r="M59">
        <f t="shared" si="8"/>
        <v>0.43365819593947208</v>
      </c>
      <c r="N59">
        <f t="shared" si="9"/>
        <v>0.18805943090547755</v>
      </c>
    </row>
    <row r="60" spans="1:14" x14ac:dyDescent="0.45">
      <c r="A60" s="22">
        <v>42789</v>
      </c>
      <c r="B60">
        <v>287.75</v>
      </c>
      <c r="C60">
        <v>284.75</v>
      </c>
      <c r="G60">
        <f t="shared" ref="G60:K60" si="66">SUMPRODUCT($B60:$B64,P$2:P$6)</f>
        <v>172.37080970997084</v>
      </c>
      <c r="H60">
        <f t="shared" si="66"/>
        <v>146.46642912113899</v>
      </c>
      <c r="I60">
        <f t="shared" si="66"/>
        <v>126.27052662220164</v>
      </c>
      <c r="J60">
        <f t="shared" si="66"/>
        <v>109.1665604896497</v>
      </c>
      <c r="K60">
        <f t="shared" si="66"/>
        <v>89.063501543726488</v>
      </c>
      <c r="L60">
        <f t="shared" si="7"/>
        <v>287.60138263275809</v>
      </c>
      <c r="M60">
        <f t="shared" si="8"/>
        <v>-2.5913826327580978</v>
      </c>
      <c r="N60">
        <f t="shared" si="9"/>
        <v>6.7152639493602901</v>
      </c>
    </row>
    <row r="61" spans="1:14" x14ac:dyDescent="0.45">
      <c r="A61" s="22">
        <v>42788</v>
      </c>
      <c r="B61">
        <v>287.75</v>
      </c>
      <c r="C61">
        <v>287.63</v>
      </c>
      <c r="G61">
        <f t="shared" ref="G61:K61" si="67">SUMPRODUCT($B61:$B65,P$2:P$6)</f>
        <v>172.37396544632395</v>
      </c>
      <c r="H61">
        <f t="shared" si="67"/>
        <v>146.46908915970988</v>
      </c>
      <c r="I61">
        <f t="shared" si="67"/>
        <v>126.2725763111477</v>
      </c>
      <c r="J61">
        <f t="shared" si="67"/>
        <v>109.16811819813474</v>
      </c>
      <c r="K61">
        <f t="shared" si="67"/>
        <v>89.065513824677069</v>
      </c>
      <c r="L61">
        <f t="shared" si="7"/>
        <v>287.6063357121015</v>
      </c>
      <c r="M61">
        <f t="shared" si="8"/>
        <v>0.14366428789850261</v>
      </c>
      <c r="N61">
        <f t="shared" si="9"/>
        <v>2.0639427617383844E-2</v>
      </c>
    </row>
    <row r="62" spans="1:14" x14ac:dyDescent="0.45">
      <c r="A62" s="22">
        <v>42787</v>
      </c>
      <c r="B62">
        <v>289.16000000000003</v>
      </c>
      <c r="C62">
        <v>286.89999999999998</v>
      </c>
      <c r="G62">
        <f t="shared" ref="G62:K62" si="68">SUMPRODUCT($B62:$B66,P$2:P$6)</f>
        <v>173.21732166643991</v>
      </c>
      <c r="H62">
        <f t="shared" si="68"/>
        <v>147.18571068553948</v>
      </c>
      <c r="I62">
        <f t="shared" si="68"/>
        <v>126.89048071802509</v>
      </c>
      <c r="J62">
        <f t="shared" si="68"/>
        <v>109.70240653911389</v>
      </c>
      <c r="K62">
        <f t="shared" si="68"/>
        <v>89.501119244887121</v>
      </c>
      <c r="L62">
        <f t="shared" si="7"/>
        <v>288.97041932838971</v>
      </c>
      <c r="M62">
        <f t="shared" si="8"/>
        <v>-1.2204193283897098</v>
      </c>
      <c r="N62">
        <f t="shared" si="9"/>
        <v>1.4894233371071903</v>
      </c>
    </row>
    <row r="63" spans="1:14" x14ac:dyDescent="0.45">
      <c r="A63" s="22">
        <v>42783</v>
      </c>
      <c r="B63">
        <v>290</v>
      </c>
      <c r="C63">
        <v>288.94</v>
      </c>
      <c r="G63">
        <f t="shared" ref="G63:K63" si="69">SUMPRODUCT($B63:$B67,P$2:P$6)</f>
        <v>173.7242219180265</v>
      </c>
      <c r="H63">
        <f t="shared" si="69"/>
        <v>147.61640587043982</v>
      </c>
      <c r="I63">
        <f t="shared" si="69"/>
        <v>127.26150469564253</v>
      </c>
      <c r="J63">
        <f t="shared" si="69"/>
        <v>110.02292350981872</v>
      </c>
      <c r="K63">
        <f t="shared" si="69"/>
        <v>89.763482548850135</v>
      </c>
      <c r="L63">
        <f t="shared" si="7"/>
        <v>289.79009317597831</v>
      </c>
      <c r="M63">
        <f t="shared" si="8"/>
        <v>-0.6300931759782884</v>
      </c>
      <c r="N63">
        <f t="shared" si="9"/>
        <v>0.3970174104144063</v>
      </c>
    </row>
    <row r="64" spans="1:14" x14ac:dyDescent="0.45">
      <c r="A64" s="22">
        <v>42782</v>
      </c>
      <c r="B64">
        <v>292.5</v>
      </c>
      <c r="C64">
        <v>290.13</v>
      </c>
      <c r="G64">
        <f t="shared" ref="G64:K64" si="70">SUMPRODUCT($B64:$B68,P$2:P$6)</f>
        <v>175.19845278905015</v>
      </c>
      <c r="H64">
        <f t="shared" si="70"/>
        <v>148.86924575127802</v>
      </c>
      <c r="I64">
        <f t="shared" si="70"/>
        <v>128.34336809449425</v>
      </c>
      <c r="J64">
        <f t="shared" si="70"/>
        <v>110.95979643995</v>
      </c>
      <c r="K64">
        <f t="shared" si="70"/>
        <v>90.52238974630059</v>
      </c>
      <c r="L64">
        <f t="shared" si="7"/>
        <v>292.17557354995529</v>
      </c>
      <c r="M64">
        <f t="shared" si="8"/>
        <v>-2.1755735499552884</v>
      </c>
      <c r="N64">
        <f t="shared" si="9"/>
        <v>4.7331202712650562</v>
      </c>
    </row>
    <row r="65" spans="1:14" x14ac:dyDescent="0.45">
      <c r="A65" s="22">
        <v>42781</v>
      </c>
      <c r="B65">
        <v>284.57</v>
      </c>
      <c r="C65">
        <v>292.64</v>
      </c>
      <c r="G65">
        <f t="shared" ref="G65:K65" si="71">SUMPRODUCT($B65:$B69,P$2:P$6)</f>
        <v>170.45535361210642</v>
      </c>
      <c r="H65">
        <f t="shared" si="71"/>
        <v>144.83890363118601</v>
      </c>
      <c r="I65">
        <f t="shared" si="71"/>
        <v>124.86821337246526</v>
      </c>
      <c r="J65">
        <f t="shared" si="71"/>
        <v>107.95489054621657</v>
      </c>
      <c r="K65">
        <f t="shared" si="71"/>
        <v>88.072515777110198</v>
      </c>
      <c r="L65">
        <f t="shared" si="7"/>
        <v>284.5038465065025</v>
      </c>
      <c r="M65">
        <f t="shared" si="8"/>
        <v>7.996153493497502</v>
      </c>
      <c r="N65">
        <f t="shared" si="9"/>
        <v>63.938470691572306</v>
      </c>
    </row>
    <row r="66" spans="1:14" x14ac:dyDescent="0.45">
      <c r="A66" s="22">
        <v>42780</v>
      </c>
      <c r="B66">
        <v>279.86</v>
      </c>
      <c r="C66">
        <v>285.14</v>
      </c>
      <c r="G66">
        <f t="shared" ref="G66:K66" si="72">SUMPRODUCT($B66:$B70,P$2:P$6)</f>
        <v>167.63645256886522</v>
      </c>
      <c r="H66">
        <f t="shared" si="72"/>
        <v>142.44361800038024</v>
      </c>
      <c r="I66">
        <f t="shared" si="72"/>
        <v>122.80301581964822</v>
      </c>
      <c r="J66">
        <f t="shared" si="72"/>
        <v>106.16926644182431</v>
      </c>
      <c r="K66">
        <f t="shared" si="72"/>
        <v>86.616303635071887</v>
      </c>
      <c r="L66">
        <f t="shared" si="7"/>
        <v>279.94449589531172</v>
      </c>
      <c r="M66">
        <f t="shared" si="8"/>
        <v>4.6255041046882752</v>
      </c>
      <c r="N66">
        <f t="shared" si="9"/>
        <v>21.395288222488084</v>
      </c>
    </row>
    <row r="67" spans="1:14" x14ac:dyDescent="0.45">
      <c r="A67" s="22">
        <v>42779</v>
      </c>
      <c r="B67">
        <v>276.27999999999997</v>
      </c>
      <c r="C67">
        <v>278.91000000000003</v>
      </c>
      <c r="G67">
        <f t="shared" ref="G67:K67" si="73">SUMPRODUCT($B67:$B71,P$2:P$6)</f>
        <v>165.48740509047659</v>
      </c>
      <c r="H67">
        <f t="shared" si="73"/>
        <v>140.61756699239334</v>
      </c>
      <c r="I67">
        <f t="shared" si="73"/>
        <v>121.22910149819396</v>
      </c>
      <c r="J67">
        <f t="shared" si="73"/>
        <v>104.80885187626069</v>
      </c>
      <c r="K67">
        <f t="shared" si="73"/>
        <v>85.505350122045627</v>
      </c>
      <c r="L67">
        <f t="shared" ref="L67:L130" si="74">(G67+$P$7)*$U$2+(H67+$Q$7)*$U$3+(I67+$R$7)*$U$4+(J67+$S$7)*$U$5+(K67+$T$7)*$U$6+$U$7</f>
        <v>276.46888527626396</v>
      </c>
      <c r="M67">
        <f t="shared" ref="M67:M130" si="75">B66-L67</f>
        <v>3.3911147237360524</v>
      </c>
      <c r="N67">
        <f t="shared" ref="N67:N130" si="76">M67^2</f>
        <v>11.499659069539442</v>
      </c>
    </row>
    <row r="68" spans="1:14" x14ac:dyDescent="0.45">
      <c r="A68" s="22">
        <v>42776</v>
      </c>
      <c r="B68">
        <v>270.68</v>
      </c>
      <c r="C68">
        <v>274.76</v>
      </c>
      <c r="G68">
        <f t="shared" ref="G68:K68" si="77">SUMPRODUCT($B68:$B72,P$2:P$6)</f>
        <v>162.13991093747634</v>
      </c>
      <c r="H68">
        <f t="shared" si="77"/>
        <v>137.77309648833614</v>
      </c>
      <c r="I68">
        <f t="shared" si="77"/>
        <v>118.77630873396421</v>
      </c>
      <c r="J68">
        <f t="shared" si="77"/>
        <v>102.6878305411586</v>
      </c>
      <c r="K68">
        <f t="shared" si="77"/>
        <v>83.776565010748783</v>
      </c>
      <c r="L68">
        <f t="shared" si="74"/>
        <v>271.05438617084542</v>
      </c>
      <c r="M68">
        <f t="shared" si="75"/>
        <v>5.225613829154554</v>
      </c>
      <c r="N68">
        <f t="shared" si="76"/>
        <v>27.307039891451321</v>
      </c>
    </row>
    <row r="69" spans="1:14" x14ac:dyDescent="0.45">
      <c r="A69" s="22">
        <v>42775</v>
      </c>
      <c r="B69">
        <v>268.24</v>
      </c>
      <c r="C69">
        <v>270.44</v>
      </c>
      <c r="G69">
        <f t="shared" ref="G69:K69" si="78">SUMPRODUCT($B69:$B73,P$2:P$6)</f>
        <v>160.6774502536766</v>
      </c>
      <c r="H69">
        <f t="shared" si="78"/>
        <v>136.53042391514697</v>
      </c>
      <c r="I69">
        <f t="shared" si="78"/>
        <v>117.7050498137442</v>
      </c>
      <c r="J69">
        <f t="shared" si="78"/>
        <v>101.76173561860601</v>
      </c>
      <c r="K69">
        <f t="shared" si="78"/>
        <v>83.020815614335802</v>
      </c>
      <c r="L69">
        <f t="shared" si="74"/>
        <v>268.68907187396491</v>
      </c>
      <c r="M69">
        <f t="shared" si="75"/>
        <v>1.9909281260351008</v>
      </c>
      <c r="N69">
        <f t="shared" si="76"/>
        <v>3.9637948030376382</v>
      </c>
    </row>
    <row r="70" spans="1:14" x14ac:dyDescent="0.45">
      <c r="A70" s="22">
        <v>42774</v>
      </c>
      <c r="B70">
        <v>265.43</v>
      </c>
      <c r="C70">
        <v>268.74</v>
      </c>
      <c r="G70">
        <f t="shared" ref="G70:K70" si="79">SUMPRODUCT($B70:$B74,P$2:P$6)</f>
        <v>159.00950772408976</v>
      </c>
      <c r="H70">
        <f t="shared" si="79"/>
        <v>135.11303895870503</v>
      </c>
      <c r="I70">
        <f t="shared" si="79"/>
        <v>116.48193785775396</v>
      </c>
      <c r="J70">
        <f t="shared" si="79"/>
        <v>100.70327829998655</v>
      </c>
      <c r="K70">
        <f t="shared" si="79"/>
        <v>82.160848967662375</v>
      </c>
      <c r="L70">
        <f t="shared" si="74"/>
        <v>265.9906585055594</v>
      </c>
      <c r="M70">
        <f t="shared" si="75"/>
        <v>2.249341494440614</v>
      </c>
      <c r="N70">
        <f t="shared" si="76"/>
        <v>5.0595371586123346</v>
      </c>
    </row>
    <row r="71" spans="1:14" x14ac:dyDescent="0.45">
      <c r="A71" s="22">
        <v>42773</v>
      </c>
      <c r="B71">
        <v>269.47000000000003</v>
      </c>
      <c r="C71">
        <v>266.11</v>
      </c>
      <c r="G71">
        <f t="shared" ref="G71:K71" si="80">SUMPRODUCT($B71:$B75,P$2:P$6)</f>
        <v>161.40933299857724</v>
      </c>
      <c r="H71">
        <f t="shared" si="80"/>
        <v>137.15235099932096</v>
      </c>
      <c r="I71">
        <f t="shared" si="80"/>
        <v>118.24160076654398</v>
      </c>
      <c r="J71">
        <f t="shared" si="80"/>
        <v>102.22594270924601</v>
      </c>
      <c r="K71">
        <f t="shared" si="80"/>
        <v>83.398381730193165</v>
      </c>
      <c r="L71">
        <f t="shared" si="74"/>
        <v>269.87303995808168</v>
      </c>
      <c r="M71">
        <f t="shared" si="75"/>
        <v>-4.4430399580816697</v>
      </c>
      <c r="N71">
        <f t="shared" si="76"/>
        <v>19.740604069110365</v>
      </c>
    </row>
    <row r="72" spans="1:14" x14ac:dyDescent="0.45">
      <c r="A72" s="22">
        <v>42772</v>
      </c>
      <c r="B72">
        <v>264.45999999999998</v>
      </c>
      <c r="C72">
        <v>264.91000000000003</v>
      </c>
      <c r="G72">
        <f t="shared" ref="G72:K72" si="81">SUMPRODUCT($B72:$B76,P$2:P$6)</f>
        <v>158.42057071913524</v>
      </c>
      <c r="H72">
        <f t="shared" si="81"/>
        <v>134.61266611320994</v>
      </c>
      <c r="I72">
        <f t="shared" si="81"/>
        <v>116.05116239424409</v>
      </c>
      <c r="J72">
        <f t="shared" si="81"/>
        <v>100.33138494033206</v>
      </c>
      <c r="K72">
        <f t="shared" si="81"/>
        <v>81.855593962293995</v>
      </c>
      <c r="L72">
        <f t="shared" si="74"/>
        <v>265.03849907050471</v>
      </c>
      <c r="M72">
        <f t="shared" si="75"/>
        <v>4.4315009294953143</v>
      </c>
      <c r="N72">
        <f t="shared" si="76"/>
        <v>19.638200488117835</v>
      </c>
    </row>
    <row r="73" spans="1:14" x14ac:dyDescent="0.45">
      <c r="A73" s="22">
        <v>42769</v>
      </c>
      <c r="B73">
        <v>264.98</v>
      </c>
      <c r="C73">
        <v>264.67</v>
      </c>
      <c r="G73">
        <f t="shared" ref="G73:K73" si="82">SUMPRODUCT($B73:$B77,P$2:P$6)</f>
        <v>158.72817187464824</v>
      </c>
      <c r="H73">
        <f t="shared" si="82"/>
        <v>134.87406631582525</v>
      </c>
      <c r="I73">
        <f t="shared" si="82"/>
        <v>116.27681684425357</v>
      </c>
      <c r="J73">
        <f t="shared" si="82"/>
        <v>100.52673448125644</v>
      </c>
      <c r="K73">
        <f t="shared" si="82"/>
        <v>82.01405953449239</v>
      </c>
      <c r="L73">
        <f t="shared" si="74"/>
        <v>265.53619010755619</v>
      </c>
      <c r="M73">
        <f t="shared" si="75"/>
        <v>-1.076190107556215</v>
      </c>
      <c r="N73">
        <f t="shared" si="76"/>
        <v>1.1581851476018576</v>
      </c>
    </row>
    <row r="74" spans="1:14" x14ac:dyDescent="0.45">
      <c r="A74" s="22">
        <v>42768</v>
      </c>
      <c r="B74">
        <v>263.76</v>
      </c>
      <c r="C74">
        <v>264.23</v>
      </c>
      <c r="G74">
        <f t="shared" ref="G74:K74" si="83">SUMPRODUCT($B74:$B78,P$2:P$6)</f>
        <v>158.03415012627352</v>
      </c>
      <c r="H74">
        <f t="shared" si="83"/>
        <v>134.28409007200702</v>
      </c>
      <c r="I74">
        <f t="shared" si="83"/>
        <v>115.7653910162234</v>
      </c>
      <c r="J74">
        <f t="shared" si="83"/>
        <v>100.08213097106535</v>
      </c>
      <c r="K74">
        <f t="shared" si="83"/>
        <v>81.659911198557964</v>
      </c>
      <c r="L74">
        <f t="shared" si="74"/>
        <v>264.4119720101321</v>
      </c>
      <c r="M74">
        <f t="shared" si="75"/>
        <v>0.56802798986791458</v>
      </c>
      <c r="N74">
        <f t="shared" si="76"/>
        <v>0.32265579727338367</v>
      </c>
    </row>
    <row r="75" spans="1:14" x14ac:dyDescent="0.45">
      <c r="A75" s="22">
        <v>42767</v>
      </c>
      <c r="B75">
        <v>278.98</v>
      </c>
      <c r="C75">
        <v>281.69</v>
      </c>
      <c r="G75">
        <f t="shared" ref="G75:K75" si="84">SUMPRODUCT($B75:$B79,P$2:P$6)</f>
        <v>167.10843352822585</v>
      </c>
      <c r="H75">
        <f t="shared" si="84"/>
        <v>141.9949593719399</v>
      </c>
      <c r="I75">
        <f t="shared" si="84"/>
        <v>122.41629134091299</v>
      </c>
      <c r="J75">
        <f t="shared" si="84"/>
        <v>105.83499042778843</v>
      </c>
      <c r="K75">
        <f t="shared" si="84"/>
        <v>86.343372133227845</v>
      </c>
      <c r="L75">
        <f t="shared" si="74"/>
        <v>279.09053622138111</v>
      </c>
      <c r="M75">
        <f t="shared" si="75"/>
        <v>-15.330536221381124</v>
      </c>
      <c r="N75">
        <f t="shared" si="76"/>
        <v>235.02534083507862</v>
      </c>
    </row>
    <row r="76" spans="1:14" x14ac:dyDescent="0.45">
      <c r="A76" s="22">
        <v>42766</v>
      </c>
      <c r="B76">
        <v>275.01</v>
      </c>
      <c r="C76">
        <v>277.24</v>
      </c>
      <c r="G76">
        <f t="shared" ref="G76:K76" si="85">SUMPRODUCT($B76:$B80,P$2:P$6)</f>
        <v>164.74646697421343</v>
      </c>
      <c r="H76">
        <f t="shared" si="85"/>
        <v>139.98784412899934</v>
      </c>
      <c r="I76">
        <f t="shared" si="85"/>
        <v>120.68470070291679</v>
      </c>
      <c r="J76">
        <f t="shared" si="85"/>
        <v>104.33687312866944</v>
      </c>
      <c r="K76">
        <f t="shared" si="85"/>
        <v>85.124908144707035</v>
      </c>
      <c r="L76">
        <f t="shared" si="74"/>
        <v>275.26958210061815</v>
      </c>
      <c r="M76">
        <f t="shared" si="75"/>
        <v>3.7104178993818664</v>
      </c>
      <c r="N76">
        <f t="shared" si="76"/>
        <v>13.767200988053341</v>
      </c>
    </row>
    <row r="77" spans="1:14" x14ac:dyDescent="0.45">
      <c r="A77" s="22">
        <v>42765</v>
      </c>
      <c r="B77">
        <v>278.27</v>
      </c>
      <c r="C77">
        <v>276.06</v>
      </c>
      <c r="G77">
        <f t="shared" ref="G77:K77" si="86">SUMPRODUCT($B77:$B81,P$2:P$6)</f>
        <v>166.69690917090395</v>
      </c>
      <c r="H77">
        <f t="shared" si="86"/>
        <v>141.64518374659747</v>
      </c>
      <c r="I77">
        <f t="shared" si="86"/>
        <v>122.11369619202047</v>
      </c>
      <c r="J77">
        <f t="shared" si="86"/>
        <v>105.57246285566349</v>
      </c>
      <c r="K77">
        <f t="shared" si="86"/>
        <v>86.132406342347863</v>
      </c>
      <c r="L77">
        <f t="shared" si="74"/>
        <v>278.42429835582124</v>
      </c>
      <c r="M77">
        <f t="shared" si="75"/>
        <v>-3.414298355821245</v>
      </c>
      <c r="N77">
        <f t="shared" si="76"/>
        <v>11.657433262563657</v>
      </c>
    </row>
    <row r="78" spans="1:14" x14ac:dyDescent="0.45">
      <c r="A78" s="22">
        <v>42762</v>
      </c>
      <c r="B78">
        <v>280.45999999999998</v>
      </c>
      <c r="C78">
        <v>278.20999999999998</v>
      </c>
      <c r="G78">
        <f t="shared" ref="G78:K78" si="87">SUMPRODUCT($B78:$B82,P$2:P$6)</f>
        <v>167.99837710128293</v>
      </c>
      <c r="H78">
        <f t="shared" si="87"/>
        <v>142.75113524485792</v>
      </c>
      <c r="I78">
        <f t="shared" si="87"/>
        <v>123.06794390847854</v>
      </c>
      <c r="J78">
        <f t="shared" si="87"/>
        <v>106.3981484035816</v>
      </c>
      <c r="K78">
        <f t="shared" si="87"/>
        <v>86.803612210928222</v>
      </c>
      <c r="L78">
        <f t="shared" si="74"/>
        <v>280.52975443902227</v>
      </c>
      <c r="M78">
        <f t="shared" si="75"/>
        <v>-2.2597544390222879</v>
      </c>
      <c r="N78">
        <f t="shared" si="76"/>
        <v>5.1064901246809349</v>
      </c>
    </row>
    <row r="79" spans="1:14" x14ac:dyDescent="0.45">
      <c r="A79" s="22">
        <v>42761</v>
      </c>
      <c r="B79">
        <v>278</v>
      </c>
      <c r="C79">
        <v>278.89</v>
      </c>
      <c r="G79">
        <f t="shared" ref="G79:K79" si="88">SUMPRODUCT($B79:$B83,P$2:P$6)</f>
        <v>166.52252581268257</v>
      </c>
      <c r="H79">
        <f t="shared" si="88"/>
        <v>141.49709579055107</v>
      </c>
      <c r="I79">
        <f t="shared" si="88"/>
        <v>121.98699188367057</v>
      </c>
      <c r="J79">
        <f t="shared" si="88"/>
        <v>105.46376800319236</v>
      </c>
      <c r="K79">
        <f t="shared" si="88"/>
        <v>86.040773371317641</v>
      </c>
      <c r="L79">
        <f t="shared" si="74"/>
        <v>278.14284975220198</v>
      </c>
      <c r="M79">
        <f t="shared" si="75"/>
        <v>2.3171502477979971</v>
      </c>
      <c r="N79">
        <f t="shared" si="76"/>
        <v>5.3691852708703189</v>
      </c>
    </row>
    <row r="80" spans="1:14" x14ac:dyDescent="0.45">
      <c r="A80" s="22">
        <v>42760</v>
      </c>
      <c r="B80">
        <v>274.54000000000002</v>
      </c>
      <c r="C80">
        <v>273.24</v>
      </c>
      <c r="G80">
        <f t="shared" ref="G80:K80" si="89">SUMPRODUCT($B80:$B84,P$2:P$6)</f>
        <v>164.46031248467514</v>
      </c>
      <c r="H80">
        <f t="shared" si="89"/>
        <v>139.74472643252403</v>
      </c>
      <c r="I80">
        <f t="shared" si="89"/>
        <v>120.47545950184185</v>
      </c>
      <c r="J80">
        <f t="shared" si="89"/>
        <v>104.1562864269377</v>
      </c>
      <c r="K80">
        <f t="shared" si="89"/>
        <v>84.976495251347089</v>
      </c>
      <c r="L80">
        <f t="shared" si="74"/>
        <v>274.80698159412788</v>
      </c>
      <c r="M80">
        <f t="shared" si="75"/>
        <v>3.1930184058721238</v>
      </c>
      <c r="N80">
        <f t="shared" si="76"/>
        <v>10.195366540238158</v>
      </c>
    </row>
    <row r="81" spans="1:14" x14ac:dyDescent="0.45">
      <c r="A81" s="22">
        <v>42759</v>
      </c>
      <c r="B81">
        <v>275.74</v>
      </c>
      <c r="C81">
        <v>273.82</v>
      </c>
      <c r="G81">
        <f t="shared" ref="G81:K81" si="90">SUMPRODUCT($B81:$B85,P$2:P$6)</f>
        <v>165.18678013925043</v>
      </c>
      <c r="H81">
        <f t="shared" si="90"/>
        <v>140.36196549828651</v>
      </c>
      <c r="I81">
        <f t="shared" si="90"/>
        <v>121.00700843959075</v>
      </c>
      <c r="J81">
        <f t="shared" si="90"/>
        <v>104.61532572518381</v>
      </c>
      <c r="K81">
        <f t="shared" si="90"/>
        <v>85.352782168103857</v>
      </c>
      <c r="L81">
        <f t="shared" si="74"/>
        <v>275.98159846534816</v>
      </c>
      <c r="M81">
        <f t="shared" si="75"/>
        <v>-1.441598465348136</v>
      </c>
      <c r="N81">
        <f t="shared" si="76"/>
        <v>2.0782061352941006</v>
      </c>
    </row>
    <row r="82" spans="1:14" x14ac:dyDescent="0.45">
      <c r="A82" s="22">
        <v>42758</v>
      </c>
      <c r="B82">
        <v>280.35000000000002</v>
      </c>
      <c r="C82">
        <v>276.02</v>
      </c>
      <c r="G82">
        <f t="shared" ref="G82:K82" si="91">SUMPRODUCT($B82:$B86,P$2:P$6)</f>
        <v>167.94183913262378</v>
      </c>
      <c r="H82">
        <f t="shared" si="91"/>
        <v>142.70303067787725</v>
      </c>
      <c r="I82">
        <f t="shared" si="91"/>
        <v>123.02576051486658</v>
      </c>
      <c r="J82">
        <f t="shared" si="91"/>
        <v>106.36105683586436</v>
      </c>
      <c r="K82">
        <f t="shared" si="91"/>
        <v>86.775530832112494</v>
      </c>
      <c r="L82">
        <f t="shared" si="74"/>
        <v>280.43787534848781</v>
      </c>
      <c r="M82">
        <f t="shared" si="75"/>
        <v>-4.6978753484877984</v>
      </c>
      <c r="N82">
        <f t="shared" si="76"/>
        <v>22.070032789929353</v>
      </c>
    </row>
    <row r="83" spans="1:14" x14ac:dyDescent="0.45">
      <c r="A83" s="22">
        <v>42755</v>
      </c>
      <c r="B83">
        <v>282.07</v>
      </c>
      <c r="C83">
        <v>280.66000000000003</v>
      </c>
      <c r="G83">
        <f t="shared" ref="G83:K83" si="92">SUMPRODUCT($B83:$B87,P$2:P$6)</f>
        <v>168.96982028109466</v>
      </c>
      <c r="H83">
        <f t="shared" si="92"/>
        <v>143.57653977230635</v>
      </c>
      <c r="I83">
        <f t="shared" si="92"/>
        <v>123.77900351322866</v>
      </c>
      <c r="J83">
        <f t="shared" si="92"/>
        <v>107.01242710211683</v>
      </c>
      <c r="K83">
        <f t="shared" si="92"/>
        <v>87.306401474127469</v>
      </c>
      <c r="L83">
        <f t="shared" si="74"/>
        <v>282.10062188382</v>
      </c>
      <c r="M83">
        <f t="shared" si="75"/>
        <v>-1.7506218838199743</v>
      </c>
      <c r="N83">
        <f t="shared" si="76"/>
        <v>3.0646769801093954</v>
      </c>
    </row>
    <row r="84" spans="1:14" x14ac:dyDescent="0.45">
      <c r="A84" s="22">
        <v>42754</v>
      </c>
      <c r="B84">
        <v>282.74</v>
      </c>
      <c r="C84">
        <v>280.35000000000002</v>
      </c>
      <c r="G84">
        <f t="shared" ref="G84:K84" si="93">SUMPRODUCT($B84:$B88,P$2:P$6)</f>
        <v>169.3742588046361</v>
      </c>
      <c r="H84">
        <f t="shared" si="93"/>
        <v>143.92017723349429</v>
      </c>
      <c r="I84">
        <f t="shared" si="93"/>
        <v>124.07502129048721</v>
      </c>
      <c r="J84">
        <f t="shared" si="93"/>
        <v>107.26814074305756</v>
      </c>
      <c r="K84">
        <f t="shared" si="93"/>
        <v>87.515747295183331</v>
      </c>
      <c r="L84">
        <f t="shared" si="74"/>
        <v>282.75460720911212</v>
      </c>
      <c r="M84">
        <f t="shared" si="75"/>
        <v>-0.68460720911213002</v>
      </c>
      <c r="N84">
        <f t="shared" si="76"/>
        <v>0.46868703076829971</v>
      </c>
    </row>
    <row r="85" spans="1:14" x14ac:dyDescent="0.45">
      <c r="A85" s="22">
        <v>42753</v>
      </c>
      <c r="B85">
        <v>284.79000000000002</v>
      </c>
      <c r="C85">
        <v>283.61</v>
      </c>
      <c r="G85">
        <f t="shared" ref="G85:K85" si="94">SUMPRODUCT($B85:$B89,P$2:P$6)</f>
        <v>170.59654022218731</v>
      </c>
      <c r="H85">
        <f t="shared" si="94"/>
        <v>144.95880978844127</v>
      </c>
      <c r="I85">
        <f t="shared" si="94"/>
        <v>124.97087904995776</v>
      </c>
      <c r="J85">
        <f t="shared" si="94"/>
        <v>108.04303633911883</v>
      </c>
      <c r="K85">
        <f t="shared" si="94"/>
        <v>88.146603533847696</v>
      </c>
      <c r="L85">
        <f t="shared" si="74"/>
        <v>284.73177184339818</v>
      </c>
      <c r="M85">
        <f t="shared" si="75"/>
        <v>-1.991771843398169</v>
      </c>
      <c r="N85">
        <f t="shared" si="76"/>
        <v>3.9671550761537406</v>
      </c>
    </row>
    <row r="86" spans="1:14" x14ac:dyDescent="0.45">
      <c r="A86" s="22">
        <v>42752</v>
      </c>
      <c r="B86">
        <v>284.27999999999997</v>
      </c>
      <c r="C86">
        <v>283.01</v>
      </c>
      <c r="G86">
        <f t="shared" ref="G86:K86" si="95">SUMPRODUCT($B86:$B90,P$2:P$6)</f>
        <v>170.30065892801983</v>
      </c>
      <c r="H86">
        <f t="shared" si="95"/>
        <v>144.70732951626385</v>
      </c>
      <c r="I86">
        <f t="shared" si="95"/>
        <v>124.75334223415243</v>
      </c>
      <c r="J86">
        <f t="shared" si="95"/>
        <v>107.85432589407166</v>
      </c>
      <c r="K86">
        <f t="shared" si="95"/>
        <v>87.994886634123347</v>
      </c>
      <c r="L86">
        <f t="shared" si="74"/>
        <v>284.25277126016431</v>
      </c>
      <c r="M86">
        <f t="shared" si="75"/>
        <v>0.53722873983571162</v>
      </c>
      <c r="N86">
        <f t="shared" si="76"/>
        <v>0.28861471890546675</v>
      </c>
    </row>
    <row r="87" spans="1:14" x14ac:dyDescent="0.45">
      <c r="A87" s="22">
        <v>42748</v>
      </c>
      <c r="B87">
        <v>288.07</v>
      </c>
      <c r="C87">
        <v>284.75</v>
      </c>
      <c r="G87">
        <f t="shared" ref="G87:K87" si="96">SUMPRODUCT($B87:$B91,P$2:P$6)</f>
        <v>172.55923158712523</v>
      </c>
      <c r="H87">
        <f t="shared" si="96"/>
        <v>146.62655870195471</v>
      </c>
      <c r="I87">
        <f t="shared" si="96"/>
        <v>126.40882458698437</v>
      </c>
      <c r="J87">
        <f t="shared" si="96"/>
        <v>109.28634452805871</v>
      </c>
      <c r="K87">
        <f t="shared" si="96"/>
        <v>89.160463328384836</v>
      </c>
      <c r="L87">
        <f t="shared" si="74"/>
        <v>287.90628724687332</v>
      </c>
      <c r="M87">
        <f t="shared" si="75"/>
        <v>-3.6262872468733462</v>
      </c>
      <c r="N87">
        <f t="shared" si="76"/>
        <v>13.149959196836273</v>
      </c>
    </row>
    <row r="88" spans="1:14" x14ac:dyDescent="0.45">
      <c r="A88" s="22">
        <v>42747</v>
      </c>
      <c r="B88">
        <v>286.61</v>
      </c>
      <c r="C88">
        <v>287.77</v>
      </c>
      <c r="G88">
        <f t="shared" ref="G88:K88" si="97">SUMPRODUCT($B88:$B92,P$2:P$6)</f>
        <v>171.71105786493786</v>
      </c>
      <c r="H88">
        <f t="shared" si="97"/>
        <v>145.90566748486327</v>
      </c>
      <c r="I88">
        <f t="shared" si="97"/>
        <v>125.78532588276013</v>
      </c>
      <c r="J88">
        <f t="shared" si="97"/>
        <v>108.7455403922845</v>
      </c>
      <c r="K88">
        <f t="shared" si="97"/>
        <v>88.725408950941301</v>
      </c>
      <c r="L88">
        <f t="shared" si="74"/>
        <v>286.53323146502868</v>
      </c>
      <c r="M88">
        <f t="shared" si="75"/>
        <v>1.5367685349713156</v>
      </c>
      <c r="N88">
        <f t="shared" si="76"/>
        <v>2.3616575300778835</v>
      </c>
    </row>
    <row r="89" spans="1:14" x14ac:dyDescent="0.45">
      <c r="A89" s="22">
        <v>42746</v>
      </c>
      <c r="B89">
        <v>296.95</v>
      </c>
      <c r="C89">
        <v>287.11</v>
      </c>
      <c r="G89">
        <f t="shared" ref="G89:K89" si="98">SUMPRODUCT($B89:$B93,P$2:P$6)</f>
        <v>177.8896496274975</v>
      </c>
      <c r="H89">
        <f t="shared" si="98"/>
        <v>151.15582736626624</v>
      </c>
      <c r="I89">
        <f t="shared" si="98"/>
        <v>130.31272191384218</v>
      </c>
      <c r="J89">
        <f t="shared" si="98"/>
        <v>112.66069900662632</v>
      </c>
      <c r="K89">
        <f t="shared" si="98"/>
        <v>91.916009666696397</v>
      </c>
      <c r="L89">
        <f t="shared" si="74"/>
        <v>296.5270749389025</v>
      </c>
      <c r="M89">
        <f t="shared" si="75"/>
        <v>-9.9170749389024877</v>
      </c>
      <c r="N89">
        <f t="shared" si="76"/>
        <v>98.348375343807774</v>
      </c>
    </row>
    <row r="90" spans="1:14" x14ac:dyDescent="0.45">
      <c r="A90" s="22">
        <v>42745</v>
      </c>
      <c r="B90">
        <v>300.42</v>
      </c>
      <c r="C90">
        <v>297.79000000000002</v>
      </c>
      <c r="G90">
        <f t="shared" ref="G90:K90" si="99">SUMPRODUCT($B90:$B94,P$2:P$6)</f>
        <v>179.94925890716257</v>
      </c>
      <c r="H90">
        <f t="shared" si="99"/>
        <v>152.90604385480489</v>
      </c>
      <c r="I90">
        <f t="shared" si="99"/>
        <v>131.82305120303653</v>
      </c>
      <c r="J90">
        <f t="shared" si="99"/>
        <v>113.9677125311714</v>
      </c>
      <c r="K90">
        <f t="shared" si="99"/>
        <v>92.977902701634775</v>
      </c>
      <c r="L90">
        <f t="shared" si="74"/>
        <v>299.8591329422643</v>
      </c>
      <c r="M90">
        <f t="shared" si="75"/>
        <v>-2.9091329422643071</v>
      </c>
      <c r="N90">
        <f t="shared" si="76"/>
        <v>8.4630544757673842</v>
      </c>
    </row>
    <row r="91" spans="1:14" x14ac:dyDescent="0.45">
      <c r="A91" s="22">
        <v>42744</v>
      </c>
      <c r="B91">
        <v>295.39</v>
      </c>
      <c r="C91">
        <v>299.02</v>
      </c>
      <c r="G91">
        <f t="shared" ref="G91:K91" si="100">SUMPRODUCT($B91:$B95,P$2:P$6)</f>
        <v>176.94560648862449</v>
      </c>
      <c r="H91">
        <f t="shared" si="100"/>
        <v>150.3537236923878</v>
      </c>
      <c r="I91">
        <f t="shared" si="100"/>
        <v>129.62194319307494</v>
      </c>
      <c r="J91">
        <f t="shared" si="100"/>
        <v>112.0641236106793</v>
      </c>
      <c r="K91">
        <f t="shared" si="100"/>
        <v>91.427069300299081</v>
      </c>
      <c r="L91">
        <f t="shared" si="74"/>
        <v>295.00064312824469</v>
      </c>
      <c r="M91">
        <f t="shared" si="75"/>
        <v>5.4193568717553262</v>
      </c>
      <c r="N91">
        <f t="shared" si="76"/>
        <v>29.369428903441676</v>
      </c>
    </row>
    <row r="92" spans="1:14" x14ac:dyDescent="0.45">
      <c r="A92" s="22">
        <v>42741</v>
      </c>
      <c r="B92">
        <v>294.58999999999997</v>
      </c>
      <c r="C92">
        <v>295</v>
      </c>
      <c r="G92">
        <f t="shared" ref="G92:K92" si="101">SUMPRODUCT($B92:$B96,P$2:P$6)</f>
        <v>176.4686655641012</v>
      </c>
      <c r="H92">
        <f t="shared" si="101"/>
        <v>149.94844219713238</v>
      </c>
      <c r="I92">
        <f t="shared" si="101"/>
        <v>129.27237297952348</v>
      </c>
      <c r="J92">
        <f t="shared" si="101"/>
        <v>111.76175346541328</v>
      </c>
      <c r="K92">
        <f t="shared" si="101"/>
        <v>91.18091143517799</v>
      </c>
      <c r="L92">
        <f t="shared" si="74"/>
        <v>294.2291424537313</v>
      </c>
      <c r="M92">
        <f t="shared" si="75"/>
        <v>1.1608575462686872</v>
      </c>
      <c r="N92">
        <f t="shared" si="76"/>
        <v>1.3475902427289572</v>
      </c>
    </row>
    <row r="93" spans="1:14" x14ac:dyDescent="0.45">
      <c r="A93" s="22">
        <v>42740</v>
      </c>
      <c r="B93">
        <v>294.81</v>
      </c>
      <c r="C93">
        <v>293.57</v>
      </c>
      <c r="G93">
        <f t="shared" ref="G93:K93" si="102">SUMPRODUCT($B93:$B97,P$2:P$6)</f>
        <v>176.59275300699215</v>
      </c>
      <c r="H93">
        <f t="shared" si="102"/>
        <v>150.05393502789599</v>
      </c>
      <c r="I93">
        <f t="shared" si="102"/>
        <v>129.36390579472547</v>
      </c>
      <c r="J93">
        <f t="shared" si="102"/>
        <v>111.84140175738402</v>
      </c>
      <c r="K93">
        <f t="shared" si="102"/>
        <v>91.244095768892393</v>
      </c>
      <c r="L93">
        <f t="shared" si="74"/>
        <v>294.43020007452833</v>
      </c>
      <c r="M93">
        <f t="shared" si="75"/>
        <v>0.15979992547164557</v>
      </c>
      <c r="N93">
        <f t="shared" si="76"/>
        <v>2.5536016180743477E-2</v>
      </c>
    </row>
    <row r="94" spans="1:14" x14ac:dyDescent="0.45">
      <c r="A94" s="22">
        <v>42739</v>
      </c>
      <c r="B94">
        <v>291.58999999999997</v>
      </c>
      <c r="C94">
        <v>294.05</v>
      </c>
      <c r="G94">
        <f t="shared" ref="G94:K94" si="103">SUMPRODUCT($B94:$B98,P$2:P$6)</f>
        <v>174.65817003876592</v>
      </c>
      <c r="H94">
        <f t="shared" si="103"/>
        <v>148.41012699500834</v>
      </c>
      <c r="I94">
        <f t="shared" si="103"/>
        <v>127.94719465976061</v>
      </c>
      <c r="J94">
        <f t="shared" si="103"/>
        <v>110.61697489561449</v>
      </c>
      <c r="K94">
        <f t="shared" si="103"/>
        <v>90.243811967548282</v>
      </c>
      <c r="L94">
        <f t="shared" si="74"/>
        <v>291.30151524578497</v>
      </c>
      <c r="M94">
        <f t="shared" si="75"/>
        <v>3.5084847542150328</v>
      </c>
      <c r="N94">
        <f t="shared" si="76"/>
        <v>12.309465270559318</v>
      </c>
    </row>
    <row r="95" spans="1:14" x14ac:dyDescent="0.45">
      <c r="A95" s="22">
        <v>42738</v>
      </c>
      <c r="B95">
        <v>285.82</v>
      </c>
      <c r="C95">
        <v>291.70999999999998</v>
      </c>
      <c r="G95">
        <f t="shared" ref="G95:K95" si="104">SUMPRODUCT($B95:$B99,P$2:P$6)</f>
        <v>171.21909137663971</v>
      </c>
      <c r="H95">
        <f t="shared" si="104"/>
        <v>145.4877644391982</v>
      </c>
      <c r="I95">
        <f t="shared" si="104"/>
        <v>125.42647325150385</v>
      </c>
      <c r="J95">
        <f t="shared" si="104"/>
        <v>108.43654642902625</v>
      </c>
      <c r="K95">
        <f t="shared" si="104"/>
        <v>88.468945320450558</v>
      </c>
      <c r="L95">
        <f t="shared" si="74"/>
        <v>285.73841260331056</v>
      </c>
      <c r="M95">
        <f t="shared" si="75"/>
        <v>5.8515873966894105</v>
      </c>
      <c r="N95">
        <f t="shared" si="76"/>
        <v>34.24107506109435</v>
      </c>
    </row>
    <row r="96" spans="1:14" x14ac:dyDescent="0.45">
      <c r="A96" s="22">
        <v>42734</v>
      </c>
      <c r="B96">
        <v>287.79000000000002</v>
      </c>
      <c r="C96">
        <v>283.58</v>
      </c>
      <c r="G96">
        <f t="shared" ref="G96:K96" si="105">SUMPRODUCT($B96:$B100,P$2:P$6)</f>
        <v>172.39738948959214</v>
      </c>
      <c r="H96">
        <f t="shared" si="105"/>
        <v>146.48899712145371</v>
      </c>
      <c r="I96">
        <f t="shared" si="105"/>
        <v>126.2897791338419</v>
      </c>
      <c r="J96">
        <f t="shared" si="105"/>
        <v>109.18302589236454</v>
      </c>
      <c r="K96">
        <f t="shared" si="105"/>
        <v>89.077551986656786</v>
      </c>
      <c r="L96">
        <f t="shared" si="74"/>
        <v>287.64424598667335</v>
      </c>
      <c r="M96">
        <f t="shared" si="75"/>
        <v>-1.8242459866733611</v>
      </c>
      <c r="N96">
        <f t="shared" si="76"/>
        <v>3.3278734198938649</v>
      </c>
    </row>
    <row r="97" spans="1:14" x14ac:dyDescent="0.45">
      <c r="A97" s="22">
        <v>42733</v>
      </c>
      <c r="B97">
        <v>288.95999999999998</v>
      </c>
      <c r="C97">
        <v>287.02999999999997</v>
      </c>
      <c r="G97">
        <f t="shared" ref="G97:K97" si="106">SUMPRODUCT($B97:$B101,P$2:P$6)</f>
        <v>173.10241717987876</v>
      </c>
      <c r="H97">
        <f t="shared" si="106"/>
        <v>147.08804021505384</v>
      </c>
      <c r="I97">
        <f t="shared" si="106"/>
        <v>126.80590572428945</v>
      </c>
      <c r="J97">
        <f t="shared" si="106"/>
        <v>109.62896172781934</v>
      </c>
      <c r="K97">
        <f t="shared" si="106"/>
        <v>89.442341313102858</v>
      </c>
      <c r="L97">
        <f t="shared" si="74"/>
        <v>288.78434640787668</v>
      </c>
      <c r="M97">
        <f t="shared" si="75"/>
        <v>-0.9943464078766624</v>
      </c>
      <c r="N97">
        <f t="shared" si="76"/>
        <v>0.98872477885722188</v>
      </c>
    </row>
    <row r="98" spans="1:14" x14ac:dyDescent="0.45">
      <c r="A98" s="22">
        <v>42732</v>
      </c>
      <c r="B98">
        <v>291.99</v>
      </c>
      <c r="C98">
        <v>289.25</v>
      </c>
      <c r="G98">
        <f t="shared" ref="G98:K98" si="107">SUMPRODUCT($B98:$B102,P$2:P$6)</f>
        <v>174.91781303003501</v>
      </c>
      <c r="H98">
        <f t="shared" si="107"/>
        <v>148.63061013478188</v>
      </c>
      <c r="I98">
        <f t="shared" si="107"/>
        <v>128.13574950739289</v>
      </c>
      <c r="J98">
        <f t="shared" si="107"/>
        <v>110.7786492834707</v>
      </c>
      <c r="K98">
        <f t="shared" si="107"/>
        <v>90.380391735422762</v>
      </c>
      <c r="L98">
        <f t="shared" si="74"/>
        <v>291.72051471691736</v>
      </c>
      <c r="M98">
        <f t="shared" si="75"/>
        <v>-2.7605147169173847</v>
      </c>
      <c r="N98">
        <f t="shared" si="76"/>
        <v>7.620441502317469</v>
      </c>
    </row>
    <row r="99" spans="1:14" x14ac:dyDescent="0.45">
      <c r="A99" s="22">
        <v>42731</v>
      </c>
      <c r="B99">
        <v>295.17</v>
      </c>
      <c r="C99">
        <v>291.12</v>
      </c>
      <c r="G99">
        <f t="shared" ref="G99:K99" si="108">SUMPRODUCT($B99:$B103,P$2:P$6)</f>
        <v>176.78848452901585</v>
      </c>
      <c r="H99">
        <f t="shared" si="108"/>
        <v>150.22038889411459</v>
      </c>
      <c r="I99">
        <f t="shared" si="108"/>
        <v>129.50892117798506</v>
      </c>
      <c r="J99">
        <f t="shared" si="108"/>
        <v>111.96809883250208</v>
      </c>
      <c r="K99">
        <f t="shared" si="108"/>
        <v>91.342820238335918</v>
      </c>
      <c r="L99">
        <f t="shared" si="74"/>
        <v>294.74770139426545</v>
      </c>
      <c r="M99">
        <f t="shared" si="75"/>
        <v>-2.7577013942654389</v>
      </c>
      <c r="N99">
        <f t="shared" si="76"/>
        <v>7.6049169799335461</v>
      </c>
    </row>
    <row r="100" spans="1:14" x14ac:dyDescent="0.45">
      <c r="A100" s="22">
        <v>42727</v>
      </c>
      <c r="B100">
        <v>283.05</v>
      </c>
      <c r="C100">
        <v>287.52999999999997</v>
      </c>
      <c r="G100">
        <f t="shared" ref="G100:K100" si="109">SUMPRODUCT($B100:$B104,P$2:P$6)</f>
        <v>169.55263940361147</v>
      </c>
      <c r="H100">
        <f t="shared" si="109"/>
        <v>144.07179975379029</v>
      </c>
      <c r="I100">
        <f t="shared" si="109"/>
        <v>124.20629493027742</v>
      </c>
      <c r="J100">
        <f t="shared" si="109"/>
        <v>107.38212076931248</v>
      </c>
      <c r="K100">
        <f t="shared" si="109"/>
        <v>87.607030769575388</v>
      </c>
      <c r="L100">
        <f t="shared" si="74"/>
        <v>283.04345840341779</v>
      </c>
      <c r="M100">
        <f t="shared" si="75"/>
        <v>12.126541596582229</v>
      </c>
      <c r="N100">
        <f t="shared" si="76"/>
        <v>147.05301109363907</v>
      </c>
    </row>
    <row r="101" spans="1:14" x14ac:dyDescent="0.45">
      <c r="A101" s="22">
        <v>42726</v>
      </c>
      <c r="B101">
        <v>281.83</v>
      </c>
      <c r="C101">
        <v>283.07</v>
      </c>
      <c r="G101">
        <f t="shared" ref="G101:K101" si="110">SUMPRODUCT($B101:$B105,P$2:P$6)</f>
        <v>168.83178270568089</v>
      </c>
      <c r="H101">
        <f t="shared" si="110"/>
        <v>143.45920761964138</v>
      </c>
      <c r="I101">
        <f t="shared" si="110"/>
        <v>123.67741345797465</v>
      </c>
      <c r="J101">
        <f t="shared" si="110"/>
        <v>106.9242156141156</v>
      </c>
      <c r="K101">
        <f t="shared" si="110"/>
        <v>87.235770909812871</v>
      </c>
      <c r="L101">
        <f t="shared" si="74"/>
        <v>281.87709449117426</v>
      </c>
      <c r="M101">
        <f t="shared" si="75"/>
        <v>1.1729055088257496</v>
      </c>
      <c r="N101">
        <f t="shared" si="76"/>
        <v>1.3757073326337905</v>
      </c>
    </row>
    <row r="102" spans="1:14" x14ac:dyDescent="0.45">
      <c r="A102" s="22">
        <v>42725</v>
      </c>
      <c r="B102">
        <v>285.06</v>
      </c>
      <c r="C102">
        <v>283.11</v>
      </c>
      <c r="G102">
        <f t="shared" ref="G102:K102" si="111">SUMPRODUCT($B102:$B106,P$2:P$6)</f>
        <v>170.7502881980146</v>
      </c>
      <c r="H102">
        <f t="shared" si="111"/>
        <v>145.08950753133831</v>
      </c>
      <c r="I102">
        <f t="shared" si="111"/>
        <v>125.08415944504488</v>
      </c>
      <c r="J102">
        <f t="shared" si="111"/>
        <v>108.14150048897345</v>
      </c>
      <c r="K102">
        <f t="shared" si="111"/>
        <v>88.225078185470466</v>
      </c>
      <c r="L102">
        <f t="shared" si="74"/>
        <v>284.9808107129474</v>
      </c>
      <c r="M102">
        <f t="shared" si="75"/>
        <v>-3.1508107129474183</v>
      </c>
      <c r="N102">
        <f t="shared" si="76"/>
        <v>9.927608148824218</v>
      </c>
    </row>
    <row r="103" spans="1:14" x14ac:dyDescent="0.45">
      <c r="A103" s="22">
        <v>42724</v>
      </c>
      <c r="B103">
        <v>280.98</v>
      </c>
      <c r="C103">
        <v>285.58999999999997</v>
      </c>
      <c r="G103">
        <f t="shared" ref="G103:K103" si="112">SUMPRODUCT($B103:$B107,P$2:P$6)</f>
        <v>168.32793412461442</v>
      </c>
      <c r="H103">
        <f t="shared" si="112"/>
        <v>143.031042195879</v>
      </c>
      <c r="I103">
        <f t="shared" si="112"/>
        <v>123.30788163417729</v>
      </c>
      <c r="J103">
        <f t="shared" si="112"/>
        <v>106.60438406789605</v>
      </c>
      <c r="K103">
        <f t="shared" si="112"/>
        <v>86.976078120804132</v>
      </c>
      <c r="L103">
        <f t="shared" si="74"/>
        <v>281.06193130263955</v>
      </c>
      <c r="M103">
        <f t="shared" si="75"/>
        <v>3.998068697360452</v>
      </c>
      <c r="N103">
        <f t="shared" si="76"/>
        <v>15.984553308813501</v>
      </c>
    </row>
    <row r="104" spans="1:14" x14ac:dyDescent="0.45">
      <c r="A104" s="22">
        <v>42723</v>
      </c>
      <c r="B104">
        <v>286.58999999999997</v>
      </c>
      <c r="C104">
        <v>278.77</v>
      </c>
      <c r="G104">
        <f t="shared" ref="G104:K104" si="113">SUMPRODUCT($B104:$B108,P$2:P$6)</f>
        <v>171.67824045762299</v>
      </c>
      <c r="H104">
        <f t="shared" si="113"/>
        <v>145.8779250997064</v>
      </c>
      <c r="I104">
        <f t="shared" si="113"/>
        <v>125.7629928875223</v>
      </c>
      <c r="J104">
        <f t="shared" si="113"/>
        <v>108.72761871979206</v>
      </c>
      <c r="K104">
        <f t="shared" si="113"/>
        <v>88.705931849125832</v>
      </c>
      <c r="L104">
        <f t="shared" si="74"/>
        <v>286.48112527917863</v>
      </c>
      <c r="M104">
        <f t="shared" si="75"/>
        <v>-5.5011252791786092</v>
      </c>
      <c r="N104">
        <f t="shared" si="76"/>
        <v>30.262379337217929</v>
      </c>
    </row>
    <row r="105" spans="1:14" x14ac:dyDescent="0.45">
      <c r="A105" s="22">
        <v>42720</v>
      </c>
      <c r="B105">
        <v>287.62</v>
      </c>
      <c r="C105">
        <v>286.39999999999998</v>
      </c>
      <c r="G105">
        <f t="shared" ref="G105:K105" si="114">SUMPRODUCT($B105:$B109,P$2:P$6)</f>
        <v>172.29190631184719</v>
      </c>
      <c r="H105">
        <f t="shared" si="114"/>
        <v>146.39939017094085</v>
      </c>
      <c r="I105">
        <f t="shared" si="114"/>
        <v>126.21280911393895</v>
      </c>
      <c r="J105">
        <f t="shared" si="114"/>
        <v>109.11672825190651</v>
      </c>
      <c r="K105">
        <f t="shared" si="114"/>
        <v>89.022607851775618</v>
      </c>
      <c r="L105">
        <f t="shared" si="74"/>
        <v>287.47381252142083</v>
      </c>
      <c r="M105">
        <f t="shared" si="75"/>
        <v>-0.88381252142085032</v>
      </c>
      <c r="N105">
        <f t="shared" si="76"/>
        <v>0.78112457302028104</v>
      </c>
    </row>
    <row r="106" spans="1:14" x14ac:dyDescent="0.45">
      <c r="A106" s="22">
        <v>42719</v>
      </c>
      <c r="B106">
        <v>287.16000000000003</v>
      </c>
      <c r="C106">
        <v>286.97000000000003</v>
      </c>
      <c r="G106">
        <f t="shared" ref="G106:K106" si="115">SUMPRODUCT($B106:$B110,P$2:P$6)</f>
        <v>172.01973217565202</v>
      </c>
      <c r="H106">
        <f t="shared" si="115"/>
        <v>146.16809621920603</v>
      </c>
      <c r="I106">
        <f t="shared" si="115"/>
        <v>126.01315633979779</v>
      </c>
      <c r="J106">
        <f t="shared" si="115"/>
        <v>108.94390195543572</v>
      </c>
      <c r="K106">
        <f t="shared" si="115"/>
        <v>88.882385051996152</v>
      </c>
      <c r="L106">
        <f t="shared" si="74"/>
        <v>287.03345251996399</v>
      </c>
      <c r="M106">
        <f t="shared" si="75"/>
        <v>0.58654748003601753</v>
      </c>
      <c r="N106">
        <f t="shared" si="76"/>
        <v>0.3440379463366024</v>
      </c>
    </row>
    <row r="107" spans="1:14" x14ac:dyDescent="0.45">
      <c r="A107" s="22">
        <v>42718</v>
      </c>
      <c r="B107">
        <v>288.20999999999998</v>
      </c>
      <c r="C107">
        <v>286.25</v>
      </c>
      <c r="G107">
        <f t="shared" ref="G107:K107" si="116">SUMPRODUCT($B107:$B111,P$2:P$6)</f>
        <v>172.64309575171043</v>
      </c>
      <c r="H107">
        <f t="shared" si="116"/>
        <v>146.69782028593241</v>
      </c>
      <c r="I107">
        <f t="shared" si="116"/>
        <v>126.47025573001635</v>
      </c>
      <c r="J107">
        <f t="shared" si="116"/>
        <v>109.33944982261016</v>
      </c>
      <c r="K107">
        <f t="shared" si="116"/>
        <v>89.203795700986461</v>
      </c>
      <c r="L107">
        <f t="shared" si="74"/>
        <v>288.04192370168812</v>
      </c>
      <c r="M107">
        <f t="shared" si="75"/>
        <v>-0.88192370168809475</v>
      </c>
      <c r="N107">
        <f t="shared" si="76"/>
        <v>0.77778941559923154</v>
      </c>
    </row>
    <row r="108" spans="1:14" x14ac:dyDescent="0.45">
      <c r="A108" s="22">
        <v>42717</v>
      </c>
      <c r="B108">
        <v>286.75</v>
      </c>
      <c r="C108">
        <v>287.38</v>
      </c>
      <c r="G108">
        <f t="shared" ref="G108:K108" si="117">SUMPRODUCT($B108:$B112,P$2:P$6)</f>
        <v>171.77726333461098</v>
      </c>
      <c r="H108">
        <f t="shared" si="117"/>
        <v>145.96204410320033</v>
      </c>
      <c r="I108">
        <f t="shared" si="117"/>
        <v>125.83527084669629</v>
      </c>
      <c r="J108">
        <f t="shared" si="117"/>
        <v>108.78989358498748</v>
      </c>
      <c r="K108">
        <f t="shared" si="117"/>
        <v>88.757481113117279</v>
      </c>
      <c r="L108">
        <f t="shared" si="74"/>
        <v>286.64113322494609</v>
      </c>
      <c r="M108">
        <f t="shared" si="75"/>
        <v>1.5688667750538912</v>
      </c>
      <c r="N108">
        <f t="shared" si="76"/>
        <v>2.4613429578679966</v>
      </c>
    </row>
    <row r="109" spans="1:14" x14ac:dyDescent="0.45">
      <c r="A109" s="22">
        <v>42716</v>
      </c>
      <c r="B109">
        <v>289.2</v>
      </c>
      <c r="C109">
        <v>286.49</v>
      </c>
      <c r="G109">
        <f t="shared" ref="G109:K109" si="118">SUMPRODUCT($B109:$B113,P$2:P$6)</f>
        <v>173.27530214183014</v>
      </c>
      <c r="H109">
        <f t="shared" si="118"/>
        <v>147.23474223984286</v>
      </c>
      <c r="I109">
        <f t="shared" si="118"/>
        <v>126.93016638853996</v>
      </c>
      <c r="J109">
        <f t="shared" si="118"/>
        <v>109.73445294965596</v>
      </c>
      <c r="K109">
        <f t="shared" si="118"/>
        <v>89.535192596850621</v>
      </c>
      <c r="L109">
        <f t="shared" si="74"/>
        <v>289.06260756871882</v>
      </c>
      <c r="M109">
        <f t="shared" si="75"/>
        <v>-2.3126075687188177</v>
      </c>
      <c r="N109">
        <f t="shared" si="76"/>
        <v>5.3481537668955612</v>
      </c>
    </row>
    <row r="110" spans="1:14" x14ac:dyDescent="0.45">
      <c r="A110" s="22">
        <v>42713</v>
      </c>
      <c r="B110">
        <v>305.24</v>
      </c>
      <c r="C110">
        <v>287.77</v>
      </c>
      <c r="G110">
        <f t="shared" ref="G110:K110" si="119">SUMPRODUCT($B110:$B114,P$2:P$6)</f>
        <v>182.80433110997552</v>
      </c>
      <c r="H110">
        <f t="shared" si="119"/>
        <v>155.33226965476146</v>
      </c>
      <c r="I110">
        <f t="shared" si="119"/>
        <v>133.91718745930339</v>
      </c>
      <c r="J110">
        <f t="shared" si="119"/>
        <v>115.78034028866861</v>
      </c>
      <c r="K110">
        <f t="shared" si="119"/>
        <v>94.449209161034631</v>
      </c>
      <c r="L110">
        <f t="shared" si="74"/>
        <v>304.47837949084607</v>
      </c>
      <c r="M110">
        <f t="shared" si="75"/>
        <v>-15.278379490846078</v>
      </c>
      <c r="N110">
        <f t="shared" si="76"/>
        <v>233.42887986630606</v>
      </c>
    </row>
    <row r="111" spans="1:14" x14ac:dyDescent="0.45">
      <c r="A111" s="22">
        <v>42712</v>
      </c>
      <c r="B111">
        <v>285.8</v>
      </c>
      <c r="C111">
        <v>289.54000000000002</v>
      </c>
      <c r="G111">
        <f t="shared" ref="G111:K111" si="120">SUMPRODUCT($B111:$B115,P$2:P$6)</f>
        <v>171.20203026998158</v>
      </c>
      <c r="H111">
        <f t="shared" si="120"/>
        <v>145.47330365149224</v>
      </c>
      <c r="I111">
        <f t="shared" si="120"/>
        <v>125.41439267341795</v>
      </c>
      <c r="J111">
        <f t="shared" si="120"/>
        <v>108.42644180183115</v>
      </c>
      <c r="K111">
        <f t="shared" si="120"/>
        <v>88.459515351891966</v>
      </c>
      <c r="L111">
        <f t="shared" si="74"/>
        <v>285.71105738278555</v>
      </c>
      <c r="M111">
        <f t="shared" si="75"/>
        <v>19.528942617214454</v>
      </c>
      <c r="N111">
        <f t="shared" si="76"/>
        <v>381.37959974645497</v>
      </c>
    </row>
    <row r="112" spans="1:14" x14ac:dyDescent="0.45">
      <c r="A112" s="22">
        <v>42711</v>
      </c>
      <c r="B112">
        <v>285.5</v>
      </c>
      <c r="C112">
        <v>285.3</v>
      </c>
      <c r="G112">
        <f t="shared" ref="G112:K112" si="121">SUMPRODUCT($B112:$B116,P$2:P$6)</f>
        <v>171.0369809721916</v>
      </c>
      <c r="H112">
        <f t="shared" si="121"/>
        <v>145.33295656830148</v>
      </c>
      <c r="I112">
        <f t="shared" si="121"/>
        <v>125.29228221339694</v>
      </c>
      <c r="J112">
        <f t="shared" si="121"/>
        <v>108.31989393780508</v>
      </c>
      <c r="K112">
        <f t="shared" si="121"/>
        <v>88.376008097693401</v>
      </c>
      <c r="L112">
        <f t="shared" si="74"/>
        <v>285.44342331212522</v>
      </c>
      <c r="M112">
        <f t="shared" si="75"/>
        <v>0.35657668787479224</v>
      </c>
      <c r="N112">
        <f t="shared" si="76"/>
        <v>0.12714693433575702</v>
      </c>
    </row>
    <row r="113" spans="1:14" x14ac:dyDescent="0.45">
      <c r="A113" s="22">
        <v>42710</v>
      </c>
      <c r="B113">
        <v>291.75</v>
      </c>
      <c r="C113">
        <v>291.16000000000003</v>
      </c>
      <c r="G113">
        <f t="shared" ref="G113:K113" si="122">SUMPRODUCT($B113:$B117,P$2:P$6)</f>
        <v>174.78302071540986</v>
      </c>
      <c r="H113">
        <f t="shared" si="122"/>
        <v>148.51601505802432</v>
      </c>
      <c r="I113">
        <f t="shared" si="122"/>
        <v>128.03627748672031</v>
      </c>
      <c r="J113">
        <f t="shared" si="122"/>
        <v>110.69206148624262</v>
      </c>
      <c r="K113">
        <f t="shared" si="122"/>
        <v>90.311830538043168</v>
      </c>
      <c r="L113">
        <f t="shared" si="74"/>
        <v>291.50209299786195</v>
      </c>
      <c r="M113">
        <f t="shared" si="75"/>
        <v>-6.0020929978619506</v>
      </c>
      <c r="N113">
        <f t="shared" si="76"/>
        <v>36.025120354983457</v>
      </c>
    </row>
    <row r="114" spans="1:14" x14ac:dyDescent="0.45">
      <c r="A114" s="22">
        <v>42709</v>
      </c>
      <c r="B114">
        <v>298.94</v>
      </c>
      <c r="C114">
        <v>290.22000000000003</v>
      </c>
      <c r="G114">
        <f t="shared" ref="G114:K114" si="123">SUMPRODUCT($B114:$B118,P$2:P$6)</f>
        <v>179.0685587320759</v>
      </c>
      <c r="H114">
        <f t="shared" si="123"/>
        <v>152.15765886653352</v>
      </c>
      <c r="I114">
        <f t="shared" si="123"/>
        <v>131.17741702126864</v>
      </c>
      <c r="J114">
        <f t="shared" si="123"/>
        <v>113.40914858812637</v>
      </c>
      <c r="K114">
        <f t="shared" si="123"/>
        <v>92.523556751825126</v>
      </c>
      <c r="L114">
        <f t="shared" si="74"/>
        <v>298.43443872790306</v>
      </c>
      <c r="M114">
        <f t="shared" si="75"/>
        <v>-6.684438727903057</v>
      </c>
      <c r="N114">
        <f t="shared" si="76"/>
        <v>44.68172110709024</v>
      </c>
    </row>
    <row r="115" spans="1:14" x14ac:dyDescent="0.45">
      <c r="A115" s="22">
        <v>42706</v>
      </c>
      <c r="B115">
        <v>296.52999999999997</v>
      </c>
      <c r="C115">
        <v>297.19</v>
      </c>
      <c r="G115">
        <f t="shared" ref="G115:K115" si="124">SUMPRODUCT($B115:$B119,P$2:P$6)</f>
        <v>177.62982088567134</v>
      </c>
      <c r="H115">
        <f t="shared" si="124"/>
        <v>150.93510520471801</v>
      </c>
      <c r="I115">
        <f t="shared" si="124"/>
        <v>130.12306380011492</v>
      </c>
      <c r="J115">
        <f t="shared" si="124"/>
        <v>112.49728525924301</v>
      </c>
      <c r="K115">
        <f t="shared" si="124"/>
        <v>91.78076063832539</v>
      </c>
      <c r="L115">
        <f t="shared" si="74"/>
        <v>296.10722398588325</v>
      </c>
      <c r="M115">
        <f t="shared" si="75"/>
        <v>2.832776014116746</v>
      </c>
      <c r="N115">
        <f t="shared" si="76"/>
        <v>8.0246199461551591</v>
      </c>
    </row>
    <row r="116" spans="1:14" x14ac:dyDescent="0.45">
      <c r="A116" s="22">
        <v>42705</v>
      </c>
      <c r="B116">
        <v>296.32</v>
      </c>
      <c r="C116">
        <v>295.77999999999997</v>
      </c>
      <c r="G116">
        <f t="shared" ref="G116:K116" si="125">SUMPRODUCT($B116:$B120,P$2:P$6)</f>
        <v>177.52020618051904</v>
      </c>
      <c r="H116">
        <f t="shared" si="125"/>
        <v>150.84185162409412</v>
      </c>
      <c r="I116">
        <f t="shared" si="125"/>
        <v>130.04143795725881</v>
      </c>
      <c r="J116">
        <f t="shared" si="125"/>
        <v>112.42563771788558</v>
      </c>
      <c r="K116">
        <f t="shared" si="125"/>
        <v>91.72608037110578</v>
      </c>
      <c r="L116">
        <f t="shared" si="74"/>
        <v>295.92917850651617</v>
      </c>
      <c r="M116">
        <f t="shared" si="75"/>
        <v>0.60082149348380653</v>
      </c>
      <c r="N116">
        <f t="shared" si="76"/>
        <v>0.36098646703211179</v>
      </c>
    </row>
    <row r="117" spans="1:14" x14ac:dyDescent="0.45">
      <c r="A117" s="22">
        <v>42704</v>
      </c>
      <c r="B117">
        <v>303.33999999999997</v>
      </c>
      <c r="C117">
        <v>294.07</v>
      </c>
      <c r="G117">
        <f t="shared" ref="G117:K117" si="126">SUMPRODUCT($B117:$B121,P$2:P$6)</f>
        <v>181.71279444041699</v>
      </c>
      <c r="H117">
        <f t="shared" si="126"/>
        <v>154.40445212034598</v>
      </c>
      <c r="I117">
        <f t="shared" si="126"/>
        <v>133.11375237268302</v>
      </c>
      <c r="J117">
        <f t="shared" si="126"/>
        <v>115.0826229944969</v>
      </c>
      <c r="K117">
        <f t="shared" si="126"/>
        <v>93.890854487824555</v>
      </c>
      <c r="L117">
        <f t="shared" si="74"/>
        <v>302.71076684488855</v>
      </c>
      <c r="M117">
        <f t="shared" si="75"/>
        <v>-6.3907668448885602</v>
      </c>
      <c r="N117">
        <f t="shared" si="76"/>
        <v>40.841900865726885</v>
      </c>
    </row>
    <row r="118" spans="1:14" x14ac:dyDescent="0.45">
      <c r="A118" s="22">
        <v>42703</v>
      </c>
      <c r="B118">
        <v>304.73</v>
      </c>
      <c r="C118">
        <v>302.77</v>
      </c>
      <c r="G118">
        <f t="shared" ref="G118:K118" si="127">SUMPRODUCT($B118:$B122,P$2:P$6)</f>
        <v>182.54150671363465</v>
      </c>
      <c r="H118">
        <f t="shared" si="127"/>
        <v>155.10864810944258</v>
      </c>
      <c r="I118">
        <f t="shared" si="127"/>
        <v>133.72115998155192</v>
      </c>
      <c r="J118">
        <f t="shared" si="127"/>
        <v>115.60802934638502</v>
      </c>
      <c r="K118">
        <f t="shared" si="127"/>
        <v>94.318571261055183</v>
      </c>
      <c r="L118">
        <f t="shared" si="74"/>
        <v>304.05130337310851</v>
      </c>
      <c r="M118">
        <f t="shared" si="75"/>
        <v>-0.7113033731085352</v>
      </c>
      <c r="N118">
        <f t="shared" si="76"/>
        <v>0.50595248859558006</v>
      </c>
    </row>
    <row r="119" spans="1:14" x14ac:dyDescent="0.45">
      <c r="A119" s="22">
        <v>42702</v>
      </c>
      <c r="B119">
        <v>304.36</v>
      </c>
      <c r="C119">
        <v>303.77999999999997</v>
      </c>
      <c r="G119">
        <f t="shared" ref="G119:K119" si="128">SUMPRODUCT($B119:$B123,P$2:P$6)</f>
        <v>182.32539384112604</v>
      </c>
      <c r="H119">
        <f t="shared" si="128"/>
        <v>154.9249794987231</v>
      </c>
      <c r="I119">
        <f t="shared" si="128"/>
        <v>133.5623915697652</v>
      </c>
      <c r="J119">
        <f t="shared" si="128"/>
        <v>115.47039713768712</v>
      </c>
      <c r="K119">
        <f t="shared" si="128"/>
        <v>94.207575050145564</v>
      </c>
      <c r="L119">
        <f t="shared" si="74"/>
        <v>303.70150916927599</v>
      </c>
      <c r="M119">
        <f t="shared" si="75"/>
        <v>1.0284908307240244</v>
      </c>
      <c r="N119">
        <f t="shared" si="76"/>
        <v>1.0577933888833937</v>
      </c>
    </row>
    <row r="120" spans="1:14" x14ac:dyDescent="0.45">
      <c r="A120" s="22">
        <v>42699</v>
      </c>
      <c r="B120">
        <v>306.45999999999998</v>
      </c>
      <c r="C120">
        <v>305.2</v>
      </c>
      <c r="G120">
        <f t="shared" ref="G120:K120" si="129">SUMPRODUCT($B120:$B124,P$2:P$6)</f>
        <v>183.55036655540431</v>
      </c>
      <c r="H120">
        <f t="shared" si="129"/>
        <v>155.96608751289892</v>
      </c>
      <c r="I120">
        <f t="shared" si="129"/>
        <v>134.46245478092217</v>
      </c>
      <c r="J120">
        <f t="shared" si="129"/>
        <v>116.25074223572213</v>
      </c>
      <c r="K120">
        <f t="shared" si="129"/>
        <v>94.836524453913583</v>
      </c>
      <c r="L120">
        <f t="shared" si="74"/>
        <v>305.6842991115326</v>
      </c>
      <c r="M120">
        <f t="shared" si="75"/>
        <v>-1.3242991115325822</v>
      </c>
      <c r="N120">
        <f t="shared" si="76"/>
        <v>1.7537681368059865</v>
      </c>
    </row>
    <row r="121" spans="1:14" x14ac:dyDescent="0.45">
      <c r="A121" s="22">
        <v>42697</v>
      </c>
      <c r="B121">
        <v>293.82</v>
      </c>
      <c r="C121">
        <v>305.93</v>
      </c>
      <c r="G121">
        <f t="shared" ref="G121:K121" si="130">SUMPRODUCT($B121:$B125,P$2:P$6)</f>
        <v>176.06728212515614</v>
      </c>
      <c r="H121">
        <f t="shared" si="130"/>
        <v>149.6069707430396</v>
      </c>
      <c r="I121">
        <f t="shared" si="130"/>
        <v>128.97343624372951</v>
      </c>
      <c r="J121">
        <f t="shared" si="130"/>
        <v>111.49933048194639</v>
      </c>
      <c r="K121">
        <f t="shared" si="130"/>
        <v>90.980759637945852</v>
      </c>
      <c r="L121">
        <f t="shared" si="74"/>
        <v>293.57716490690314</v>
      </c>
      <c r="M121">
        <f t="shared" si="75"/>
        <v>12.882835093096844</v>
      </c>
      <c r="N121">
        <f t="shared" si="76"/>
        <v>165.96744003592758</v>
      </c>
    </row>
    <row r="122" spans="1:14" x14ac:dyDescent="0.45">
      <c r="A122" s="22">
        <v>42696</v>
      </c>
      <c r="B122">
        <v>320.79000000000002</v>
      </c>
      <c r="C122">
        <v>318.11</v>
      </c>
      <c r="G122">
        <f t="shared" ref="G122:K122" si="131">SUMPRODUCT($B122:$B126,P$2:P$6)</f>
        <v>192.15731394262221</v>
      </c>
      <c r="H122">
        <f t="shared" si="131"/>
        <v>163.27939747465305</v>
      </c>
      <c r="I122">
        <f t="shared" si="131"/>
        <v>140.76560890561288</v>
      </c>
      <c r="J122">
        <f t="shared" si="131"/>
        <v>121.69857370869582</v>
      </c>
      <c r="K122">
        <f t="shared" si="131"/>
        <v>99.286473504160199</v>
      </c>
      <c r="L122">
        <f t="shared" si="74"/>
        <v>319.60392497000555</v>
      </c>
      <c r="M122">
        <f t="shared" si="75"/>
        <v>-25.783924970005557</v>
      </c>
      <c r="N122">
        <f t="shared" si="76"/>
        <v>664.8107868588761</v>
      </c>
    </row>
    <row r="123" spans="1:14" x14ac:dyDescent="0.45">
      <c r="A123" s="22">
        <v>42695</v>
      </c>
      <c r="B123">
        <v>318.36</v>
      </c>
      <c r="C123">
        <v>318.32</v>
      </c>
      <c r="G123">
        <f t="shared" ref="G123:K123" si="132">SUMPRODUCT($B123:$B127,P$2:P$6)</f>
        <v>190.70822932222566</v>
      </c>
      <c r="H123">
        <f t="shared" si="132"/>
        <v>162.04804124902654</v>
      </c>
      <c r="I123">
        <f t="shared" si="132"/>
        <v>139.70354156448795</v>
      </c>
      <c r="J123">
        <f t="shared" si="132"/>
        <v>120.77993160273654</v>
      </c>
      <c r="K123">
        <f t="shared" si="132"/>
        <v>98.538528870932936</v>
      </c>
      <c r="L123">
        <f t="shared" si="74"/>
        <v>317.25989881419753</v>
      </c>
      <c r="M123">
        <f t="shared" si="75"/>
        <v>3.5301011858024935</v>
      </c>
      <c r="N123">
        <f t="shared" si="76"/>
        <v>12.461614382004171</v>
      </c>
    </row>
    <row r="124" spans="1:14" x14ac:dyDescent="0.45">
      <c r="A124" s="22">
        <v>42692</v>
      </c>
      <c r="B124">
        <v>318.86</v>
      </c>
      <c r="C124">
        <v>317</v>
      </c>
      <c r="G124">
        <f t="shared" ref="G124:K124" si="133">SUMPRODUCT($B124:$B128,P$2:P$6)</f>
        <v>191.00521513044001</v>
      </c>
      <c r="H124">
        <f t="shared" si="133"/>
        <v>162.30041234628609</v>
      </c>
      <c r="I124">
        <f t="shared" si="133"/>
        <v>139.92130573645932</v>
      </c>
      <c r="J124">
        <f t="shared" si="133"/>
        <v>120.96836612793558</v>
      </c>
      <c r="K124">
        <f t="shared" si="133"/>
        <v>98.69167466545052</v>
      </c>
      <c r="L124">
        <f t="shared" si="74"/>
        <v>317.74035491760736</v>
      </c>
      <c r="M124">
        <f t="shared" si="75"/>
        <v>0.61964508239265115</v>
      </c>
      <c r="N124">
        <f t="shared" si="76"/>
        <v>0.38396002813339541</v>
      </c>
    </row>
    <row r="125" spans="1:14" x14ac:dyDescent="0.45">
      <c r="A125" s="22">
        <v>42691</v>
      </c>
      <c r="B125">
        <v>318.23</v>
      </c>
      <c r="C125">
        <v>319.3</v>
      </c>
      <c r="G125">
        <f t="shared" ref="G125:K125" si="134">SUMPRODUCT($B125:$B129,P$2:P$6)</f>
        <v>190.64024790523902</v>
      </c>
      <c r="H125">
        <f t="shared" si="134"/>
        <v>161.99020722715676</v>
      </c>
      <c r="I125">
        <f t="shared" si="134"/>
        <v>139.65292920010427</v>
      </c>
      <c r="J125">
        <f t="shared" si="134"/>
        <v>120.73551448302949</v>
      </c>
      <c r="K125">
        <f t="shared" si="134"/>
        <v>98.504599669080591</v>
      </c>
      <c r="L125">
        <f t="shared" si="74"/>
        <v>317.14948301771165</v>
      </c>
      <c r="M125">
        <f t="shared" si="75"/>
        <v>1.7105169822883681</v>
      </c>
      <c r="N125">
        <f t="shared" si="76"/>
        <v>2.9258683466969053</v>
      </c>
    </row>
    <row r="126" spans="1:14" x14ac:dyDescent="0.45">
      <c r="A126" s="22">
        <v>42690</v>
      </c>
      <c r="B126">
        <v>323.14999999999998</v>
      </c>
      <c r="C126">
        <v>317.64999999999998</v>
      </c>
      <c r="G126">
        <f t="shared" ref="G126:K126" si="135">SUMPRODUCT($B126:$B130,P$2:P$6)</f>
        <v>193.57288177766776</v>
      </c>
      <c r="H126">
        <f t="shared" si="135"/>
        <v>164.48221679092521</v>
      </c>
      <c r="I126">
        <f t="shared" si="135"/>
        <v>141.80243165304447</v>
      </c>
      <c r="J126">
        <f t="shared" si="135"/>
        <v>122.59482804116195</v>
      </c>
      <c r="K126">
        <f t="shared" si="135"/>
        <v>100.01811803362156</v>
      </c>
      <c r="L126">
        <f t="shared" si="74"/>
        <v>321.89334703462708</v>
      </c>
      <c r="M126">
        <f t="shared" si="75"/>
        <v>-3.6633470346270656</v>
      </c>
      <c r="N126">
        <f t="shared" si="76"/>
        <v>13.420111496110914</v>
      </c>
    </row>
    <row r="127" spans="1:14" x14ac:dyDescent="0.45">
      <c r="A127" s="22">
        <v>42689</v>
      </c>
      <c r="B127">
        <v>321.55</v>
      </c>
      <c r="C127">
        <v>322.58</v>
      </c>
      <c r="G127">
        <f t="shared" ref="G127:K127" si="136">SUMPRODUCT($B127:$B131,P$2:P$6)</f>
        <v>192.61394179801266</v>
      </c>
      <c r="H127">
        <f t="shared" si="136"/>
        <v>163.66739301331035</v>
      </c>
      <c r="I127">
        <f t="shared" si="136"/>
        <v>141.09999581838522</v>
      </c>
      <c r="J127">
        <f t="shared" si="136"/>
        <v>121.98756943662575</v>
      </c>
      <c r="K127">
        <f t="shared" si="136"/>
        <v>99.522576945259985</v>
      </c>
      <c r="L127">
        <f t="shared" si="74"/>
        <v>320.34239683412795</v>
      </c>
      <c r="M127">
        <f t="shared" si="75"/>
        <v>2.807603165872024</v>
      </c>
      <c r="N127">
        <f t="shared" si="76"/>
        <v>7.8826355370146119</v>
      </c>
    </row>
    <row r="128" spans="1:14" x14ac:dyDescent="0.45">
      <c r="A128" s="22">
        <v>42688</v>
      </c>
      <c r="B128">
        <v>319.73</v>
      </c>
      <c r="C128">
        <v>321.49</v>
      </c>
      <c r="G128">
        <f t="shared" ref="G128:K128" si="137">SUMPRODUCT($B128:$B132,P$2:P$6)</f>
        <v>191.52903436232003</v>
      </c>
      <c r="H128">
        <f t="shared" si="137"/>
        <v>162.74549036494008</v>
      </c>
      <c r="I128">
        <f t="shared" si="137"/>
        <v>140.30480213052982</v>
      </c>
      <c r="J128">
        <f t="shared" si="137"/>
        <v>121.29972611026277</v>
      </c>
      <c r="K128">
        <f t="shared" si="137"/>
        <v>98.962652717511318</v>
      </c>
      <c r="L128">
        <f t="shared" si="74"/>
        <v>318.58743322164923</v>
      </c>
      <c r="M128">
        <f t="shared" si="75"/>
        <v>2.9625667783507765</v>
      </c>
      <c r="N128">
        <f t="shared" si="76"/>
        <v>8.7768019161876989</v>
      </c>
    </row>
    <row r="129" spans="1:14" x14ac:dyDescent="0.45">
      <c r="A129" s="22">
        <v>42685</v>
      </c>
      <c r="B129">
        <v>320.29000000000002</v>
      </c>
      <c r="C129">
        <v>319.18</v>
      </c>
      <c r="G129">
        <f t="shared" ref="G129:K129" si="138">SUMPRODUCT($B129:$B133,P$2:P$6)</f>
        <v>191.86695294263851</v>
      </c>
      <c r="H129">
        <f t="shared" si="138"/>
        <v>163.0326056737992</v>
      </c>
      <c r="I129">
        <f t="shared" si="138"/>
        <v>140.55214091909465</v>
      </c>
      <c r="J129">
        <f t="shared" si="138"/>
        <v>121.51339493366426</v>
      </c>
      <c r="K129">
        <f t="shared" si="138"/>
        <v>99.137552072489257</v>
      </c>
      <c r="L129">
        <f t="shared" si="74"/>
        <v>319.13385703980703</v>
      </c>
      <c r="M129">
        <f t="shared" si="75"/>
        <v>0.59614296019299218</v>
      </c>
      <c r="N129">
        <f t="shared" si="76"/>
        <v>0.35538642898766348</v>
      </c>
    </row>
    <row r="130" spans="1:14" x14ac:dyDescent="0.45">
      <c r="A130" s="22">
        <v>42684</v>
      </c>
      <c r="B130">
        <v>321.95</v>
      </c>
      <c r="C130">
        <v>324.39999999999998</v>
      </c>
      <c r="G130">
        <f t="shared" ref="G130:K130" si="139">SUMPRODUCT($B130:$B134,P$2:P$6)</f>
        <v>192.83535785530214</v>
      </c>
      <c r="H130">
        <f t="shared" si="139"/>
        <v>163.8556548424832</v>
      </c>
      <c r="I130">
        <f t="shared" si="139"/>
        <v>141.26367183619539</v>
      </c>
      <c r="J130">
        <f t="shared" si="139"/>
        <v>122.13026777786729</v>
      </c>
      <c r="K130">
        <f t="shared" si="139"/>
        <v>99.634780997789662</v>
      </c>
      <c r="L130">
        <f t="shared" si="74"/>
        <v>320.70134224326978</v>
      </c>
      <c r="M130">
        <f t="shared" si="75"/>
        <v>-0.41134224326975755</v>
      </c>
      <c r="N130">
        <f t="shared" si="76"/>
        <v>0.1692024410981964</v>
      </c>
    </row>
    <row r="131" spans="1:14" x14ac:dyDescent="0.45">
      <c r="A131" s="22">
        <v>42683</v>
      </c>
      <c r="B131">
        <v>312</v>
      </c>
      <c r="C131">
        <v>319.86</v>
      </c>
      <c r="G131">
        <f t="shared" ref="G131:K131" si="140">SUMPRODUCT($B131:$B135,P$2:P$6)</f>
        <v>186.85968081269363</v>
      </c>
      <c r="H131">
        <f t="shared" si="140"/>
        <v>158.77812404970231</v>
      </c>
      <c r="I131">
        <f t="shared" si="140"/>
        <v>136.8874450069184</v>
      </c>
      <c r="J131">
        <f t="shared" si="140"/>
        <v>118.34785404670924</v>
      </c>
      <c r="K131">
        <f t="shared" si="140"/>
        <v>96.545311398770821</v>
      </c>
      <c r="L131">
        <f t="shared" ref="L131:L194" si="141">(G131+$P$7)*$U$2+(H131+$Q$7)*$U$3+(I131+$R$7)*$U$4+(J131+$S$7)*$U$5+(K131+$T$7)*$U$6+$U$7</f>
        <v>311.03712869879473</v>
      </c>
      <c r="M131">
        <f t="shared" ref="M131:M194" si="142">B130-L131</f>
        <v>10.912871301205257</v>
      </c>
      <c r="N131">
        <f t="shared" ref="N131:N194" si="143">M131^2</f>
        <v>119.09076003666932</v>
      </c>
    </row>
    <row r="132" spans="1:14" x14ac:dyDescent="0.45">
      <c r="A132" s="22">
        <v>42682</v>
      </c>
      <c r="B132">
        <v>295.2</v>
      </c>
      <c r="C132">
        <v>295.60000000000002</v>
      </c>
      <c r="G132">
        <f t="shared" ref="G132:K132" si="144">SUMPRODUCT($B132:$B136,P$2:P$6)</f>
        <v>176.82337553974577</v>
      </c>
      <c r="H132">
        <f t="shared" si="144"/>
        <v>150.24991798653102</v>
      </c>
      <c r="I132">
        <f t="shared" si="144"/>
        <v>129.53309222869927</v>
      </c>
      <c r="J132">
        <f t="shared" si="144"/>
        <v>111.98786771492314</v>
      </c>
      <c r="K132">
        <f t="shared" si="144"/>
        <v>91.362894997804801</v>
      </c>
      <c r="L132">
        <f t="shared" si="141"/>
        <v>294.80334093373489</v>
      </c>
      <c r="M132">
        <f t="shared" si="142"/>
        <v>17.196659066265113</v>
      </c>
      <c r="N132">
        <f t="shared" si="143"/>
        <v>295.72508304135812</v>
      </c>
    </row>
    <row r="133" spans="1:14" x14ac:dyDescent="0.45">
      <c r="A133" s="22">
        <v>42681</v>
      </c>
      <c r="B133">
        <v>290.64</v>
      </c>
      <c r="C133">
        <v>295.62</v>
      </c>
      <c r="G133">
        <f t="shared" ref="G133:K133" si="145">SUMPRODUCT($B133:$B137,P$2:P$6)</f>
        <v>174.05444582252292</v>
      </c>
      <c r="H133">
        <f t="shared" si="145"/>
        <v>147.89737118996121</v>
      </c>
      <c r="I133">
        <f t="shared" si="145"/>
        <v>127.50777525929442</v>
      </c>
      <c r="J133">
        <f t="shared" si="145"/>
        <v>110.23938287864178</v>
      </c>
      <c r="K133">
        <f t="shared" si="145"/>
        <v>89.92767859178322</v>
      </c>
      <c r="L133">
        <f t="shared" si="141"/>
        <v>290.32668152185613</v>
      </c>
      <c r="M133">
        <f t="shared" si="142"/>
        <v>4.8733184781438581</v>
      </c>
      <c r="N133">
        <f t="shared" si="143"/>
        <v>23.74923298941837</v>
      </c>
    </row>
    <row r="134" spans="1:14" x14ac:dyDescent="0.45">
      <c r="A134" s="22">
        <v>42678</v>
      </c>
      <c r="B134">
        <v>269.39</v>
      </c>
      <c r="C134">
        <v>277</v>
      </c>
      <c r="G134">
        <f t="shared" ref="G134:K134" si="146">SUMPRODUCT($B134:$B138,P$2:P$6)</f>
        <v>161.39111035030771</v>
      </c>
      <c r="H134">
        <f t="shared" si="146"/>
        <v>137.13666390322226</v>
      </c>
      <c r="I134">
        <f t="shared" si="146"/>
        <v>118.22581607250449</v>
      </c>
      <c r="J134">
        <f t="shared" si="146"/>
        <v>102.21031782126187</v>
      </c>
      <c r="K134">
        <f t="shared" si="146"/>
        <v>83.392558649750129</v>
      </c>
      <c r="L134">
        <f t="shared" si="141"/>
        <v>269.84217986277588</v>
      </c>
      <c r="M134">
        <f t="shared" si="142"/>
        <v>20.797820137224107</v>
      </c>
      <c r="N134">
        <f t="shared" si="143"/>
        <v>432.54932246032456</v>
      </c>
    </row>
    <row r="135" spans="1:14" x14ac:dyDescent="0.45">
      <c r="A135" s="22">
        <v>42677</v>
      </c>
      <c r="B135">
        <v>277.64999999999998</v>
      </c>
      <c r="C135">
        <v>273.49</v>
      </c>
      <c r="G135">
        <f t="shared" ref="G135:K135" si="147">SUMPRODUCT($B135:$B139,P$2:P$6)</f>
        <v>166.33103886163602</v>
      </c>
      <c r="H135">
        <f t="shared" si="147"/>
        <v>141.33426099704968</v>
      </c>
      <c r="I135">
        <f t="shared" si="147"/>
        <v>121.84522925553009</v>
      </c>
      <c r="J135">
        <f t="shared" si="147"/>
        <v>105.33999964630623</v>
      </c>
      <c r="K135">
        <f t="shared" si="147"/>
        <v>85.944030894649586</v>
      </c>
      <c r="L135">
        <f t="shared" si="141"/>
        <v>277.83229551342521</v>
      </c>
      <c r="M135">
        <f t="shared" si="142"/>
        <v>-8.442295513425222</v>
      </c>
      <c r="N135">
        <f t="shared" si="143"/>
        <v>71.272353535999628</v>
      </c>
    </row>
    <row r="136" spans="1:14" x14ac:dyDescent="0.45">
      <c r="A136" s="22">
        <v>42676</v>
      </c>
      <c r="B136">
        <v>282.31</v>
      </c>
      <c r="C136">
        <v>277.26</v>
      </c>
      <c r="G136">
        <f t="shared" ref="G136:K136" si="148">SUMPRODUCT($B136:$B140,P$2:P$6)</f>
        <v>169.10698499326185</v>
      </c>
      <c r="H136">
        <f t="shared" si="148"/>
        <v>143.69313764690648</v>
      </c>
      <c r="I136">
        <f t="shared" si="148"/>
        <v>123.88002939730934</v>
      </c>
      <c r="J136">
        <f t="shared" si="148"/>
        <v>107.10021364082971</v>
      </c>
      <c r="K136">
        <f t="shared" si="148"/>
        <v>87.376475450094034</v>
      </c>
      <c r="L136">
        <f t="shared" si="141"/>
        <v>282.32278304912353</v>
      </c>
      <c r="M136">
        <f t="shared" si="142"/>
        <v>-4.6727830491235522</v>
      </c>
      <c r="N136">
        <f t="shared" si="143"/>
        <v>21.834901424176401</v>
      </c>
    </row>
    <row r="137" spans="1:14" x14ac:dyDescent="0.45">
      <c r="A137" s="22">
        <v>42675</v>
      </c>
      <c r="B137">
        <v>280.02999999999997</v>
      </c>
      <c r="C137">
        <v>282.56</v>
      </c>
      <c r="G137">
        <f t="shared" ref="G137:K137" si="149">SUMPRODUCT($B137:$B141,P$2:P$6)</f>
        <v>167.75722204398022</v>
      </c>
      <c r="H137">
        <f t="shared" si="149"/>
        <v>142.54611161538585</v>
      </c>
      <c r="I137">
        <f t="shared" si="149"/>
        <v>122.88994258826182</v>
      </c>
      <c r="J137">
        <f t="shared" si="149"/>
        <v>106.2431696510543</v>
      </c>
      <c r="K137">
        <f t="shared" si="149"/>
        <v>86.680995201791731</v>
      </c>
      <c r="L137">
        <f t="shared" si="141"/>
        <v>280.13895389661053</v>
      </c>
      <c r="M137">
        <f t="shared" si="142"/>
        <v>2.1710461033894717</v>
      </c>
      <c r="N137">
        <f t="shared" si="143"/>
        <v>4.7134411830426082</v>
      </c>
    </row>
    <row r="138" spans="1:14" x14ac:dyDescent="0.45">
      <c r="A138" s="22">
        <v>42674</v>
      </c>
      <c r="B138">
        <v>284.91000000000003</v>
      </c>
      <c r="C138">
        <v>280.18</v>
      </c>
      <c r="G138">
        <f t="shared" ref="G138:K138" si="150">SUMPRODUCT($B138:$B142,P$2:P$6)</f>
        <v>170.68160626496643</v>
      </c>
      <c r="H138">
        <f t="shared" si="150"/>
        <v>145.03100192130813</v>
      </c>
      <c r="I138">
        <f t="shared" si="150"/>
        <v>125.03210985751313</v>
      </c>
      <c r="J138">
        <f t="shared" si="150"/>
        <v>108.09509074745367</v>
      </c>
      <c r="K138">
        <f t="shared" si="150"/>
        <v>88.19215147871121</v>
      </c>
      <c r="L138">
        <f t="shared" si="141"/>
        <v>284.86873655496885</v>
      </c>
      <c r="M138">
        <f t="shared" si="142"/>
        <v>-4.8387365549688752</v>
      </c>
      <c r="N138">
        <f t="shared" si="143"/>
        <v>23.413371448392059</v>
      </c>
    </row>
    <row r="139" spans="1:14" x14ac:dyDescent="0.45">
      <c r="A139" s="22">
        <v>42671</v>
      </c>
      <c r="B139">
        <v>290.29000000000002</v>
      </c>
      <c r="C139">
        <v>283.64</v>
      </c>
      <c r="G139">
        <f t="shared" ref="G139:K139" si="151">SUMPRODUCT($B139:$B143,P$2:P$6)</f>
        <v>173.90960110239763</v>
      </c>
      <c r="H139">
        <f t="shared" si="151"/>
        <v>147.77384673726468</v>
      </c>
      <c r="I139">
        <f t="shared" si="151"/>
        <v>127.39635332146122</v>
      </c>
      <c r="J139">
        <f t="shared" si="151"/>
        <v>110.13873596025424</v>
      </c>
      <c r="K139">
        <f t="shared" si="151"/>
        <v>89.860677912994888</v>
      </c>
      <c r="L139">
        <f t="shared" si="141"/>
        <v>290.08938304458866</v>
      </c>
      <c r="M139">
        <f t="shared" si="142"/>
        <v>-5.1793830445886329</v>
      </c>
      <c r="N139">
        <f t="shared" si="143"/>
        <v>26.826008722572215</v>
      </c>
    </row>
    <row r="140" spans="1:14" x14ac:dyDescent="0.45">
      <c r="A140" s="22">
        <v>42670</v>
      </c>
      <c r="B140">
        <v>298</v>
      </c>
      <c r="C140">
        <v>290.89</v>
      </c>
      <c r="G140">
        <f t="shared" ref="G140:K140" si="152">SUMPRODUCT($B140:$B144,P$2:P$6)</f>
        <v>178.50410552221874</v>
      </c>
      <c r="H140">
        <f t="shared" si="152"/>
        <v>151.67804110725962</v>
      </c>
      <c r="I140">
        <f t="shared" si="152"/>
        <v>130.76403615646527</v>
      </c>
      <c r="J140">
        <f t="shared" si="152"/>
        <v>113.0518510045182</v>
      </c>
      <c r="K140">
        <f t="shared" si="152"/>
        <v>92.231740260237515</v>
      </c>
      <c r="L140">
        <f t="shared" si="141"/>
        <v>297.52156476504899</v>
      </c>
      <c r="M140">
        <f t="shared" si="142"/>
        <v>-7.2315647650489723</v>
      </c>
      <c r="N140">
        <f t="shared" si="143"/>
        <v>52.295528951097801</v>
      </c>
    </row>
    <row r="141" spans="1:14" x14ac:dyDescent="0.45">
      <c r="A141" s="22">
        <v>42669</v>
      </c>
      <c r="B141">
        <v>294.98</v>
      </c>
      <c r="C141">
        <v>296.45999999999998</v>
      </c>
      <c r="G141">
        <f t="shared" ref="G141:K141" si="153">SUMPRODUCT($B141:$B145,P$2:P$6)</f>
        <v>176.69252900197085</v>
      </c>
      <c r="H141">
        <f t="shared" si="153"/>
        <v>150.13873248039326</v>
      </c>
      <c r="I141">
        <f t="shared" si="153"/>
        <v>129.43716767799097</v>
      </c>
      <c r="J141">
        <f t="shared" si="153"/>
        <v>111.90487958940805</v>
      </c>
      <c r="K141">
        <f t="shared" si="153"/>
        <v>91.295400672267149</v>
      </c>
      <c r="L141">
        <f t="shared" si="141"/>
        <v>294.59167502617555</v>
      </c>
      <c r="M141">
        <f t="shared" si="142"/>
        <v>3.408324973824449</v>
      </c>
      <c r="N141">
        <f t="shared" si="143"/>
        <v>11.616679127195431</v>
      </c>
    </row>
    <row r="142" spans="1:14" x14ac:dyDescent="0.45">
      <c r="A142" s="22">
        <v>42668</v>
      </c>
      <c r="B142">
        <v>290.83999999999997</v>
      </c>
      <c r="C142">
        <v>286</v>
      </c>
      <c r="G142">
        <f t="shared" ref="G142:K142" si="154">SUMPRODUCT($B142:$B146,P$2:P$6)</f>
        <v>174.22507927021351</v>
      </c>
      <c r="H142">
        <f t="shared" si="154"/>
        <v>148.04201121480321</v>
      </c>
      <c r="I142">
        <f t="shared" si="154"/>
        <v>127.62860691387779</v>
      </c>
      <c r="J142">
        <f t="shared" si="154"/>
        <v>110.34046442287317</v>
      </c>
      <c r="K142">
        <f t="shared" si="154"/>
        <v>90.021992548865185</v>
      </c>
      <c r="L142">
        <f t="shared" si="141"/>
        <v>290.60028776288027</v>
      </c>
      <c r="M142">
        <f t="shared" si="142"/>
        <v>4.3797122371197474</v>
      </c>
      <c r="N142">
        <f t="shared" si="143"/>
        <v>19.181879279976464</v>
      </c>
    </row>
    <row r="143" spans="1:14" x14ac:dyDescent="0.45">
      <c r="A143" s="22">
        <v>42667</v>
      </c>
      <c r="B143">
        <v>292.3</v>
      </c>
      <c r="C143">
        <v>290.77999999999997</v>
      </c>
      <c r="G143">
        <f t="shared" ref="G143:K143" si="155">SUMPRODUCT($B143:$B147,P$2:P$6)</f>
        <v>175.11154706970709</v>
      </c>
      <c r="H143">
        <f t="shared" si="155"/>
        <v>148.79517593692418</v>
      </c>
      <c r="I143">
        <f t="shared" si="155"/>
        <v>128.27701299820922</v>
      </c>
      <c r="J143">
        <f t="shared" si="155"/>
        <v>110.9002455675819</v>
      </c>
      <c r="K143">
        <f t="shared" si="155"/>
        <v>90.481465456141819</v>
      </c>
      <c r="L143">
        <f t="shared" si="141"/>
        <v>292.03348416461608</v>
      </c>
      <c r="M143">
        <f t="shared" si="142"/>
        <v>-1.193484164616109</v>
      </c>
      <c r="N143">
        <f t="shared" si="143"/>
        <v>1.4244044511894114</v>
      </c>
    </row>
    <row r="144" spans="1:14" x14ac:dyDescent="0.45">
      <c r="A144" s="22">
        <v>42664</v>
      </c>
      <c r="B144">
        <v>299.07</v>
      </c>
      <c r="C144">
        <v>290.64999999999998</v>
      </c>
      <c r="G144">
        <f t="shared" ref="G144:K144" si="156">SUMPRODUCT($B144:$B148,P$2:P$6)</f>
        <v>179.14014350759339</v>
      </c>
      <c r="H144">
        <f t="shared" si="156"/>
        <v>152.21852749240799</v>
      </c>
      <c r="I144">
        <f t="shared" si="156"/>
        <v>131.23036713813067</v>
      </c>
      <c r="J144">
        <f t="shared" si="156"/>
        <v>113.45533865731161</v>
      </c>
      <c r="K144">
        <f t="shared" si="156"/>
        <v>92.559783664550139</v>
      </c>
      <c r="L144">
        <f t="shared" si="141"/>
        <v>298.55050589443067</v>
      </c>
      <c r="M144">
        <f t="shared" si="142"/>
        <v>-6.2505058944306597</v>
      </c>
      <c r="N144">
        <f t="shared" si="143"/>
        <v>39.06882393631242</v>
      </c>
    </row>
    <row r="145" spans="1:14" x14ac:dyDescent="0.45">
      <c r="A145" s="22">
        <v>42663</v>
      </c>
      <c r="B145">
        <v>293.85000000000002</v>
      </c>
      <c r="C145">
        <v>299.66000000000003</v>
      </c>
      <c r="G145">
        <f t="shared" ref="G145:K145" si="157">SUMPRODUCT($B145:$B149,P$2:P$6)</f>
        <v>176.03028501413996</v>
      </c>
      <c r="H145">
        <f t="shared" si="157"/>
        <v>149.57590958116359</v>
      </c>
      <c r="I145">
        <f t="shared" si="157"/>
        <v>128.9508374863039</v>
      </c>
      <c r="J145">
        <f t="shared" si="157"/>
        <v>111.48344872182061</v>
      </c>
      <c r="K145">
        <f t="shared" si="157"/>
        <v>90.954994351930281</v>
      </c>
      <c r="L145">
        <f t="shared" si="141"/>
        <v>293.51988911507618</v>
      </c>
      <c r="M145">
        <f t="shared" si="142"/>
        <v>5.5501108849238108</v>
      </c>
      <c r="N145">
        <f t="shared" si="143"/>
        <v>30.803730834949764</v>
      </c>
    </row>
    <row r="146" spans="1:14" x14ac:dyDescent="0.45">
      <c r="A146" s="22">
        <v>42662</v>
      </c>
      <c r="B146">
        <v>296.26</v>
      </c>
      <c r="C146">
        <v>295.14</v>
      </c>
      <c r="G146">
        <f t="shared" ref="G146:K146" si="158">SUMPRODUCT($B146:$B150,P$2:P$6)</f>
        <v>177.46096566134509</v>
      </c>
      <c r="H146">
        <f t="shared" si="158"/>
        <v>150.79167387036779</v>
      </c>
      <c r="I146">
        <f t="shared" si="158"/>
        <v>129.99994719546686</v>
      </c>
      <c r="J146">
        <f t="shared" si="158"/>
        <v>112.39131299139007</v>
      </c>
      <c r="K146">
        <f t="shared" si="158"/>
        <v>91.692652726832748</v>
      </c>
      <c r="L146">
        <f t="shared" si="141"/>
        <v>295.83444734381686</v>
      </c>
      <c r="M146">
        <f t="shared" si="142"/>
        <v>-1.9844473438168393</v>
      </c>
      <c r="N146">
        <f t="shared" si="143"/>
        <v>3.9380312603817087</v>
      </c>
    </row>
    <row r="147" spans="1:14" x14ac:dyDescent="0.45">
      <c r="A147" s="22">
        <v>42661</v>
      </c>
      <c r="B147">
        <v>292.87</v>
      </c>
      <c r="C147">
        <v>295.05</v>
      </c>
      <c r="G147">
        <f t="shared" ref="G147:K147" si="159">SUMPRODUCT($B147:$B151,P$2:P$6)</f>
        <v>175.43117244435317</v>
      </c>
      <c r="H147">
        <f t="shared" si="159"/>
        <v>149.06691696011083</v>
      </c>
      <c r="I147">
        <f t="shared" si="159"/>
        <v>128.51294819436191</v>
      </c>
      <c r="J147">
        <f t="shared" si="159"/>
        <v>111.1056801870206</v>
      </c>
      <c r="K147">
        <f t="shared" si="159"/>
        <v>90.643975407319004</v>
      </c>
      <c r="L147">
        <f t="shared" si="141"/>
        <v>292.55146318138634</v>
      </c>
      <c r="M147">
        <f t="shared" si="142"/>
        <v>3.708536818613652</v>
      </c>
      <c r="N147">
        <f t="shared" si="143"/>
        <v>13.753245335013068</v>
      </c>
    </row>
    <row r="148" spans="1:14" x14ac:dyDescent="0.45">
      <c r="A148" s="22">
        <v>42660</v>
      </c>
      <c r="B148">
        <v>289.89</v>
      </c>
      <c r="C148">
        <v>291.67</v>
      </c>
      <c r="G148">
        <f t="shared" ref="G148:K148" si="160">SUMPRODUCT($B148:$B152,P$2:P$6)</f>
        <v>173.6655801251319</v>
      </c>
      <c r="H148">
        <f t="shared" si="160"/>
        <v>147.56652975533007</v>
      </c>
      <c r="I148">
        <f t="shared" si="160"/>
        <v>127.21796191102474</v>
      </c>
      <c r="J148">
        <f t="shared" si="160"/>
        <v>109.9848085732818</v>
      </c>
      <c r="K148">
        <f t="shared" si="160"/>
        <v>89.734059649400649</v>
      </c>
      <c r="L148">
        <f t="shared" si="141"/>
        <v>289.69492074746034</v>
      </c>
      <c r="M148">
        <f t="shared" si="142"/>
        <v>3.1750792525396605</v>
      </c>
      <c r="N148">
        <f t="shared" si="143"/>
        <v>10.081128259907809</v>
      </c>
    </row>
    <row r="149" spans="1:14" x14ac:dyDescent="0.45">
      <c r="A149" s="22">
        <v>42657</v>
      </c>
      <c r="B149">
        <v>295.63</v>
      </c>
      <c r="C149">
        <v>290.5</v>
      </c>
      <c r="G149">
        <f t="shared" ref="G149:K149" si="161">SUMPRODUCT($B149:$B153,P$2:P$6)</f>
        <v>177.076750682501</v>
      </c>
      <c r="H149">
        <f t="shared" si="161"/>
        <v>150.46524859399591</v>
      </c>
      <c r="I149">
        <f t="shared" si="161"/>
        <v>129.71905758562013</v>
      </c>
      <c r="J149">
        <f t="shared" si="161"/>
        <v>112.14893601743121</v>
      </c>
      <c r="K149">
        <f t="shared" si="161"/>
        <v>91.493304243813796</v>
      </c>
      <c r="L149">
        <f t="shared" si="141"/>
        <v>295.21335446810093</v>
      </c>
      <c r="M149">
        <f t="shared" si="142"/>
        <v>-5.3233544681009448</v>
      </c>
      <c r="N149">
        <f t="shared" si="143"/>
        <v>28.338102793050293</v>
      </c>
    </row>
    <row r="150" spans="1:14" x14ac:dyDescent="0.45">
      <c r="A150" s="22">
        <v>42656</v>
      </c>
      <c r="B150">
        <v>289.19</v>
      </c>
      <c r="C150">
        <v>294.41000000000003</v>
      </c>
      <c r="G150">
        <f t="shared" ref="G150:K150" si="162">SUMPRODUCT($B150:$B154,P$2:P$6)</f>
        <v>173.25377935479196</v>
      </c>
      <c r="H150">
        <f t="shared" si="162"/>
        <v>147.21656521672469</v>
      </c>
      <c r="I150">
        <f t="shared" si="162"/>
        <v>126.91568074646415</v>
      </c>
      <c r="J150">
        <f t="shared" si="162"/>
        <v>109.72297311500409</v>
      </c>
      <c r="K150">
        <f t="shared" si="162"/>
        <v>89.522193009083239</v>
      </c>
      <c r="L150">
        <f t="shared" si="141"/>
        <v>289.02853281849633</v>
      </c>
      <c r="M150">
        <f t="shared" si="142"/>
        <v>6.601467181503665</v>
      </c>
      <c r="N150">
        <f t="shared" si="143"/>
        <v>43.579368948469941</v>
      </c>
    </row>
    <row r="151" spans="1:14" x14ac:dyDescent="0.45">
      <c r="A151" s="22">
        <v>42655</v>
      </c>
      <c r="B151">
        <v>298.29000000000002</v>
      </c>
      <c r="C151">
        <v>291.88</v>
      </c>
      <c r="G151">
        <f t="shared" ref="G151:K151" si="163">SUMPRODUCT($B151:$B155,P$2:P$6)</f>
        <v>178.69765381133374</v>
      </c>
      <c r="H151">
        <f t="shared" si="163"/>
        <v>151.8423674892689</v>
      </c>
      <c r="I151">
        <f t="shared" si="163"/>
        <v>130.90419592598349</v>
      </c>
      <c r="J151">
        <f t="shared" si="163"/>
        <v>113.17170695642585</v>
      </c>
      <c r="K151">
        <f t="shared" si="163"/>
        <v>92.334144720460074</v>
      </c>
      <c r="L151">
        <f t="shared" si="141"/>
        <v>297.83368203578578</v>
      </c>
      <c r="M151">
        <f t="shared" si="142"/>
        <v>-8.6436820357857869</v>
      </c>
      <c r="N151">
        <f t="shared" si="143"/>
        <v>74.713239135765932</v>
      </c>
    </row>
    <row r="152" spans="1:14" x14ac:dyDescent="0.45">
      <c r="A152" s="22">
        <v>42654</v>
      </c>
      <c r="B152">
        <v>304.13</v>
      </c>
      <c r="C152">
        <v>298.3</v>
      </c>
      <c r="G152">
        <f t="shared" ref="G152:K152" si="164">SUMPRODUCT($B152:$B156,P$2:P$6)</f>
        <v>182.1915784555805</v>
      </c>
      <c r="H152">
        <f t="shared" si="164"/>
        <v>154.81124482994684</v>
      </c>
      <c r="I152">
        <f t="shared" si="164"/>
        <v>133.46403786033591</v>
      </c>
      <c r="J152">
        <f t="shared" si="164"/>
        <v>115.385099319202</v>
      </c>
      <c r="K152">
        <f t="shared" si="164"/>
        <v>94.138912207110323</v>
      </c>
      <c r="L152">
        <f t="shared" si="141"/>
        <v>303.4848903549269</v>
      </c>
      <c r="M152">
        <f t="shared" si="142"/>
        <v>-5.1948903549268834</v>
      </c>
      <c r="N152">
        <f t="shared" si="143"/>
        <v>26.986885799712361</v>
      </c>
    </row>
    <row r="153" spans="1:14" x14ac:dyDescent="0.45">
      <c r="A153" s="22">
        <v>42653</v>
      </c>
      <c r="B153">
        <v>308</v>
      </c>
      <c r="C153">
        <v>304.58999999999997</v>
      </c>
      <c r="G153">
        <f t="shared" ref="G153:K153" si="165">SUMPRODUCT($B153:$B157,P$2:P$6)</f>
        <v>184.49961779096208</v>
      </c>
      <c r="H153">
        <f t="shared" si="165"/>
        <v>156.77249623559436</v>
      </c>
      <c r="I153">
        <f t="shared" si="165"/>
        <v>135.15563171711182</v>
      </c>
      <c r="J153">
        <f t="shared" si="165"/>
        <v>116.84823670514488</v>
      </c>
      <c r="K153">
        <f t="shared" si="165"/>
        <v>95.330234990375317</v>
      </c>
      <c r="L153">
        <f t="shared" si="141"/>
        <v>307.21834204722273</v>
      </c>
      <c r="M153">
        <f t="shared" si="142"/>
        <v>-3.0883420472227385</v>
      </c>
      <c r="N153">
        <f t="shared" si="143"/>
        <v>9.537856600643936</v>
      </c>
    </row>
    <row r="154" spans="1:14" x14ac:dyDescent="0.45">
      <c r="A154" s="22">
        <v>42650</v>
      </c>
      <c r="B154">
        <v>307.31</v>
      </c>
      <c r="C154">
        <v>305.58999999999997</v>
      </c>
      <c r="G154">
        <f t="shared" ref="G154:K154" si="166">SUMPRODUCT($B154:$B158,P$2:P$6)</f>
        <v>184.09004729179944</v>
      </c>
      <c r="H154">
        <f t="shared" si="166"/>
        <v>156.42445102451842</v>
      </c>
      <c r="I154">
        <f t="shared" si="166"/>
        <v>134.85529218025931</v>
      </c>
      <c r="J154">
        <f t="shared" si="166"/>
        <v>116.58832966732501</v>
      </c>
      <c r="K154">
        <f t="shared" si="166"/>
        <v>95.119065908184041</v>
      </c>
      <c r="L154">
        <f t="shared" si="141"/>
        <v>306.555735652728</v>
      </c>
      <c r="M154">
        <f t="shared" si="142"/>
        <v>1.4442643472719965</v>
      </c>
      <c r="N154">
        <f t="shared" si="143"/>
        <v>2.0858995048010063</v>
      </c>
    </row>
    <row r="155" spans="1:14" x14ac:dyDescent="0.45">
      <c r="A155" s="22">
        <v>42649</v>
      </c>
      <c r="B155">
        <v>308.3</v>
      </c>
      <c r="C155">
        <v>305.99</v>
      </c>
      <c r="G155">
        <f t="shared" ref="G155:K155" si="167">SUMPRODUCT($B155:$B159,P$2:P$6)</f>
        <v>184.69199442270349</v>
      </c>
      <c r="H155">
        <f t="shared" si="167"/>
        <v>156.93587413255125</v>
      </c>
      <c r="I155">
        <f t="shared" si="167"/>
        <v>135.29551555124539</v>
      </c>
      <c r="J155">
        <f t="shared" si="167"/>
        <v>116.96832481681713</v>
      </c>
      <c r="K155">
        <f t="shared" si="167"/>
        <v>95.431167741316258</v>
      </c>
      <c r="L155">
        <f t="shared" si="141"/>
        <v>307.52889238634538</v>
      </c>
      <c r="M155">
        <f t="shared" si="142"/>
        <v>-0.21889238634537378</v>
      </c>
      <c r="N155">
        <f t="shared" si="143"/>
        <v>4.7913876799972374E-2</v>
      </c>
    </row>
    <row r="156" spans="1:14" x14ac:dyDescent="0.45">
      <c r="A156" s="22">
        <v>42648</v>
      </c>
      <c r="B156">
        <v>313.27</v>
      </c>
      <c r="C156">
        <v>309.7</v>
      </c>
      <c r="G156">
        <f t="shared" ref="G156:K156" si="168">SUMPRODUCT($B156:$B160,P$2:P$6)</f>
        <v>187.65507216687962</v>
      </c>
      <c r="H156">
        <f t="shared" si="168"/>
        <v>159.45374781474354</v>
      </c>
      <c r="I156">
        <f t="shared" si="168"/>
        <v>137.46728000465274</v>
      </c>
      <c r="J156">
        <f t="shared" si="168"/>
        <v>118.84685293366658</v>
      </c>
      <c r="K156">
        <f t="shared" si="168"/>
        <v>96.960475926129234</v>
      </c>
      <c r="L156">
        <f t="shared" si="141"/>
        <v>312.32197288267332</v>
      </c>
      <c r="M156">
        <f t="shared" si="142"/>
        <v>-4.0219728826733103</v>
      </c>
      <c r="N156">
        <f t="shared" si="143"/>
        <v>16.176265868959458</v>
      </c>
    </row>
    <row r="157" spans="1:14" x14ac:dyDescent="0.45">
      <c r="A157" s="22">
        <v>42647</v>
      </c>
      <c r="B157">
        <v>311.94</v>
      </c>
      <c r="C157">
        <v>311.48</v>
      </c>
      <c r="G157">
        <f t="shared" ref="G157:K157" si="169">SUMPRODUCT($B157:$B161,P$2:P$6)</f>
        <v>186.86371168834415</v>
      </c>
      <c r="H157">
        <f t="shared" si="169"/>
        <v>158.7812790253727</v>
      </c>
      <c r="I157">
        <f t="shared" si="169"/>
        <v>136.88713118853011</v>
      </c>
      <c r="J157">
        <f t="shared" si="169"/>
        <v>118.3449347729205</v>
      </c>
      <c r="K157">
        <f t="shared" si="169"/>
        <v>96.552229273982405</v>
      </c>
      <c r="L157">
        <f t="shared" si="141"/>
        <v>311.04179543672825</v>
      </c>
      <c r="M157">
        <f t="shared" si="142"/>
        <v>2.2282045632717313</v>
      </c>
      <c r="N157">
        <f t="shared" si="143"/>
        <v>4.9648955757849667</v>
      </c>
    </row>
    <row r="158" spans="1:14" x14ac:dyDescent="0.45">
      <c r="A158" s="22">
        <v>42646</v>
      </c>
      <c r="B158">
        <v>313</v>
      </c>
      <c r="C158">
        <v>311.58999999999997</v>
      </c>
      <c r="G158">
        <f t="shared" ref="G158:K158" si="170">SUMPRODUCT($B158:$B162,P$2:P$6)</f>
        <v>187.4819645318648</v>
      </c>
      <c r="H158">
        <f t="shared" si="170"/>
        <v>159.30673561628225</v>
      </c>
      <c r="I158">
        <f t="shared" si="170"/>
        <v>137.34140296087884</v>
      </c>
      <c r="J158">
        <f t="shared" si="170"/>
        <v>118.73878494460841</v>
      </c>
      <c r="K158">
        <f t="shared" si="170"/>
        <v>96.869656430376935</v>
      </c>
      <c r="L158">
        <f t="shared" si="141"/>
        <v>312.04252530718395</v>
      </c>
      <c r="M158">
        <f t="shared" si="142"/>
        <v>-0.10252530718395292</v>
      </c>
      <c r="N158">
        <f t="shared" si="143"/>
        <v>1.0511438613163908E-2</v>
      </c>
    </row>
    <row r="159" spans="1:14" x14ac:dyDescent="0.45">
      <c r="A159" s="22">
        <v>42643</v>
      </c>
      <c r="B159">
        <v>306.58999999999997</v>
      </c>
      <c r="C159">
        <v>313.02999999999997</v>
      </c>
      <c r="G159">
        <f t="shared" ref="G159:K159" si="171">SUMPRODUCT($B159:$B163,P$2:P$6)</f>
        <v>183.66454258113441</v>
      </c>
      <c r="H159">
        <f t="shared" si="171"/>
        <v>156.06285200525309</v>
      </c>
      <c r="I159">
        <f t="shared" si="171"/>
        <v>134.54311194258861</v>
      </c>
      <c r="J159">
        <f t="shared" si="171"/>
        <v>116.31804882289974</v>
      </c>
      <c r="K159">
        <f t="shared" si="171"/>
        <v>94.899910023723564</v>
      </c>
      <c r="L159">
        <f t="shared" si="141"/>
        <v>305.8672611583309</v>
      </c>
      <c r="M159">
        <f t="shared" si="142"/>
        <v>7.1327388416690951</v>
      </c>
      <c r="N159">
        <f t="shared" si="143"/>
        <v>50.875963383454987</v>
      </c>
    </row>
    <row r="160" spans="1:14" x14ac:dyDescent="0.45">
      <c r="A160" s="22">
        <v>42642</v>
      </c>
      <c r="B160">
        <v>310.17</v>
      </c>
      <c r="C160">
        <v>305.77999999999997</v>
      </c>
      <c r="G160">
        <f t="shared" ref="G160:K160" si="172">SUMPRODUCT($B160:$B164,P$2:P$6)</f>
        <v>185.81408244391858</v>
      </c>
      <c r="H160">
        <f t="shared" si="172"/>
        <v>157.88931784487272</v>
      </c>
      <c r="I160">
        <f t="shared" si="172"/>
        <v>136.1173484093523</v>
      </c>
      <c r="J160">
        <f t="shared" si="172"/>
        <v>117.67871142606526</v>
      </c>
      <c r="K160">
        <f t="shared" si="172"/>
        <v>96.011177509664108</v>
      </c>
      <c r="L160">
        <f t="shared" si="141"/>
        <v>309.34364709413853</v>
      </c>
      <c r="M160">
        <f t="shared" si="142"/>
        <v>-2.7536470941385573</v>
      </c>
      <c r="N160">
        <f t="shared" si="143"/>
        <v>7.5825723190577206</v>
      </c>
    </row>
    <row r="161" spans="1:14" x14ac:dyDescent="0.45">
      <c r="A161" s="22">
        <v>42641</v>
      </c>
      <c r="B161">
        <v>315.99</v>
      </c>
      <c r="C161">
        <v>310.55</v>
      </c>
      <c r="G161">
        <f t="shared" ref="G161:K161" si="173">SUMPRODUCT($B161:$B165,P$2:P$6)</f>
        <v>189.27351109768398</v>
      </c>
      <c r="H161">
        <f t="shared" si="173"/>
        <v>160.82903926326651</v>
      </c>
      <c r="I161">
        <f t="shared" si="173"/>
        <v>138.65376676288673</v>
      </c>
      <c r="J161">
        <f t="shared" si="173"/>
        <v>119.87335285247326</v>
      </c>
      <c r="K161">
        <f t="shared" si="173"/>
        <v>97.795397532291162</v>
      </c>
      <c r="L161">
        <f t="shared" si="141"/>
        <v>314.9401149031425</v>
      </c>
      <c r="M161">
        <f t="shared" si="142"/>
        <v>-4.7701149031424848</v>
      </c>
      <c r="N161">
        <f t="shared" si="143"/>
        <v>22.753996189182036</v>
      </c>
    </row>
    <row r="162" spans="1:14" x14ac:dyDescent="0.45">
      <c r="A162" s="22">
        <v>42640</v>
      </c>
      <c r="B162">
        <v>309.77999999999997</v>
      </c>
      <c r="C162">
        <v>314.52999999999997</v>
      </c>
      <c r="G162">
        <f t="shared" ref="G162:K162" si="174">SUMPRODUCT($B162:$B166,P$2:P$6)</f>
        <v>185.571732210108</v>
      </c>
      <c r="H162">
        <f t="shared" si="174"/>
        <v>157.68344943819855</v>
      </c>
      <c r="I162">
        <f t="shared" si="174"/>
        <v>135.94052963186735</v>
      </c>
      <c r="J162">
        <f t="shared" si="174"/>
        <v>117.52642435803574</v>
      </c>
      <c r="K162">
        <f t="shared" si="174"/>
        <v>95.884900016793438</v>
      </c>
      <c r="L162">
        <f t="shared" si="141"/>
        <v>308.95208235171788</v>
      </c>
      <c r="M162">
        <f t="shared" si="142"/>
        <v>7.0379176482821322</v>
      </c>
      <c r="N162">
        <f t="shared" si="143"/>
        <v>49.532284824001096</v>
      </c>
    </row>
    <row r="163" spans="1:14" x14ac:dyDescent="0.45">
      <c r="A163" s="22">
        <v>42639</v>
      </c>
      <c r="B163">
        <v>311.7</v>
      </c>
      <c r="C163">
        <v>309.82</v>
      </c>
      <c r="G163">
        <f t="shared" ref="G163:K163" si="175">SUMPRODUCT($B163:$B167,P$2:P$6)</f>
        <v>186.71954168909525</v>
      </c>
      <c r="H163">
        <f t="shared" si="175"/>
        <v>158.65877794566609</v>
      </c>
      <c r="I163">
        <f t="shared" si="175"/>
        <v>136.78154860809576</v>
      </c>
      <c r="J163">
        <f t="shared" si="175"/>
        <v>118.25367607358432</v>
      </c>
      <c r="K163">
        <f t="shared" si="175"/>
        <v>96.477688319735449</v>
      </c>
      <c r="L163">
        <f t="shared" si="141"/>
        <v>310.80863252633333</v>
      </c>
      <c r="M163">
        <f t="shared" si="142"/>
        <v>-1.0286325263333538</v>
      </c>
      <c r="N163">
        <f t="shared" si="143"/>
        <v>1.0580848742309377</v>
      </c>
    </row>
    <row r="164" spans="1:14" x14ac:dyDescent="0.45">
      <c r="A164" s="22">
        <v>42636</v>
      </c>
      <c r="B164">
        <v>312.58</v>
      </c>
      <c r="C164">
        <v>312.58</v>
      </c>
      <c r="G164">
        <f t="shared" ref="G164:K164" si="176">SUMPRODUCT($B164:$B168,P$2:P$6)</f>
        <v>187.2458150032414</v>
      </c>
      <c r="H164">
        <f t="shared" si="176"/>
        <v>159.10596681142658</v>
      </c>
      <c r="I164">
        <f t="shared" si="176"/>
        <v>137.16714185394508</v>
      </c>
      <c r="J164">
        <f t="shared" si="176"/>
        <v>118.58709601254802</v>
      </c>
      <c r="K164">
        <f t="shared" si="176"/>
        <v>96.749506644883439</v>
      </c>
      <c r="L164">
        <f t="shared" si="141"/>
        <v>311.65985596031265</v>
      </c>
      <c r="M164">
        <f t="shared" si="142"/>
        <v>4.0144039687334043E-2</v>
      </c>
      <c r="N164">
        <f t="shared" si="143"/>
        <v>1.6115439224182507E-3</v>
      </c>
    </row>
    <row r="165" spans="1:14" x14ac:dyDescent="0.45">
      <c r="A165" s="22">
        <v>42635</v>
      </c>
      <c r="B165">
        <v>313.07</v>
      </c>
      <c r="C165">
        <v>314.81</v>
      </c>
      <c r="G165">
        <f t="shared" ref="G165:K165" si="177">SUMPRODUCT($B165:$B169,P$2:P$6)</f>
        <v>187.52913379363704</v>
      </c>
      <c r="H165">
        <f t="shared" si="177"/>
        <v>159.34677803564102</v>
      </c>
      <c r="I165">
        <f t="shared" si="177"/>
        <v>137.37552443997728</v>
      </c>
      <c r="J165">
        <f t="shared" si="177"/>
        <v>118.76793190509352</v>
      </c>
      <c r="K165">
        <f t="shared" si="177"/>
        <v>96.894662146765967</v>
      </c>
      <c r="L165">
        <f t="shared" si="141"/>
        <v>312.11856693293169</v>
      </c>
      <c r="M165">
        <f t="shared" si="142"/>
        <v>0.4614330670682989</v>
      </c>
      <c r="N165">
        <f t="shared" si="143"/>
        <v>0.21292047538405723</v>
      </c>
    </row>
    <row r="166" spans="1:14" x14ac:dyDescent="0.45">
      <c r="A166" s="22">
        <v>42634</v>
      </c>
      <c r="B166">
        <v>309</v>
      </c>
      <c r="C166">
        <v>312</v>
      </c>
      <c r="G166">
        <f t="shared" ref="G166:K166" si="178">SUMPRODUCT($B166:$B170,P$2:P$6)</f>
        <v>185.09361178849969</v>
      </c>
      <c r="H166">
        <f t="shared" si="178"/>
        <v>157.27725615830909</v>
      </c>
      <c r="I166">
        <f t="shared" si="178"/>
        <v>135.59117147070228</v>
      </c>
      <c r="J166">
        <f t="shared" si="178"/>
        <v>117.22511012102912</v>
      </c>
      <c r="K166">
        <f t="shared" si="178"/>
        <v>95.636540850906584</v>
      </c>
      <c r="L166">
        <f t="shared" si="141"/>
        <v>308.1792853669412</v>
      </c>
      <c r="M166">
        <f t="shared" si="142"/>
        <v>4.8907146330587921</v>
      </c>
      <c r="N166">
        <f t="shared" si="143"/>
        <v>23.919089622015395</v>
      </c>
    </row>
    <row r="167" spans="1:14" x14ac:dyDescent="0.45">
      <c r="A167" s="22">
        <v>42633</v>
      </c>
      <c r="B167">
        <v>306.06</v>
      </c>
      <c r="C167">
        <v>307.05</v>
      </c>
      <c r="G167">
        <f t="shared" ref="G167:K167" si="179">SUMPRODUCT($B167:$B171,P$2:P$6)</f>
        <v>183.33629150182989</v>
      </c>
      <c r="H167">
        <f t="shared" si="179"/>
        <v>155.78400447892309</v>
      </c>
      <c r="I167">
        <f t="shared" si="179"/>
        <v>134.30352988402237</v>
      </c>
      <c r="J167">
        <f t="shared" si="179"/>
        <v>116.11163128169109</v>
      </c>
      <c r="K167">
        <f t="shared" si="179"/>
        <v>94.729001452105848</v>
      </c>
      <c r="L167">
        <f t="shared" si="141"/>
        <v>305.33685260293851</v>
      </c>
      <c r="M167">
        <f t="shared" si="142"/>
        <v>3.6631473970614934</v>
      </c>
      <c r="N167">
        <f t="shared" si="143"/>
        <v>13.418648852598395</v>
      </c>
    </row>
    <row r="168" spans="1:14" x14ac:dyDescent="0.45">
      <c r="A168" s="22">
        <v>42632</v>
      </c>
      <c r="B168">
        <v>304.83</v>
      </c>
      <c r="C168">
        <v>303.5</v>
      </c>
      <c r="G168">
        <f t="shared" ref="G168:K168" si="180">SUMPRODUCT($B168:$B172,P$2:P$6)</f>
        <v>182.59847776307413</v>
      </c>
      <c r="H168">
        <f t="shared" si="180"/>
        <v>155.15707841484928</v>
      </c>
      <c r="I168">
        <f t="shared" si="180"/>
        <v>133.76312706059758</v>
      </c>
      <c r="J168">
        <f t="shared" si="180"/>
        <v>115.64449739841301</v>
      </c>
      <c r="K168">
        <f t="shared" si="180"/>
        <v>94.347653389781073</v>
      </c>
      <c r="L168">
        <f t="shared" si="141"/>
        <v>304.14357614613317</v>
      </c>
      <c r="M168">
        <f t="shared" si="142"/>
        <v>1.9164238538668315</v>
      </c>
      <c r="N168">
        <f t="shared" si="143"/>
        <v>3.6726803876697987</v>
      </c>
    </row>
    <row r="169" spans="1:14" x14ac:dyDescent="0.45">
      <c r="A169" s="22">
        <v>42629</v>
      </c>
      <c r="B169">
        <v>303.14999999999998</v>
      </c>
      <c r="C169">
        <v>304.51</v>
      </c>
      <c r="G169">
        <f t="shared" ref="G169:K169" si="181">SUMPRODUCT($B169:$B173,P$2:P$6)</f>
        <v>181.58881776504506</v>
      </c>
      <c r="H169">
        <f t="shared" si="181"/>
        <v>154.2991763977125</v>
      </c>
      <c r="I169">
        <f t="shared" si="181"/>
        <v>133.02376732660909</v>
      </c>
      <c r="J169">
        <f t="shared" si="181"/>
        <v>115.00550493633513</v>
      </c>
      <c r="K169">
        <f t="shared" si="181"/>
        <v>93.825567008634195</v>
      </c>
      <c r="L169">
        <f t="shared" si="141"/>
        <v>302.51072512396195</v>
      </c>
      <c r="M169">
        <f t="shared" si="142"/>
        <v>2.3192748760380368</v>
      </c>
      <c r="N169">
        <f t="shared" si="143"/>
        <v>5.3790359506212511</v>
      </c>
    </row>
    <row r="170" spans="1:14" x14ac:dyDescent="0.45">
      <c r="A170" s="22">
        <v>42628</v>
      </c>
      <c r="B170">
        <v>300</v>
      </c>
      <c r="C170">
        <v>302.82</v>
      </c>
      <c r="G170">
        <f t="shared" ref="G170:K170" si="182">SUMPRODUCT($B170:$B174,P$2:P$6)</f>
        <v>179.70520884710194</v>
      </c>
      <c r="H170">
        <f t="shared" si="182"/>
        <v>152.69861806482231</v>
      </c>
      <c r="I170">
        <f t="shared" si="182"/>
        <v>131.6436578947953</v>
      </c>
      <c r="J170">
        <f t="shared" si="182"/>
        <v>113.81212228582594</v>
      </c>
      <c r="K170">
        <f t="shared" si="182"/>
        <v>92.852715078016743</v>
      </c>
      <c r="L170">
        <f t="shared" si="141"/>
        <v>299.46406375180158</v>
      </c>
      <c r="M170">
        <f t="shared" si="142"/>
        <v>3.6859362481984022</v>
      </c>
      <c r="N170">
        <f t="shared" si="143"/>
        <v>13.586126025782914</v>
      </c>
    </row>
    <row r="171" spans="1:14" x14ac:dyDescent="0.45">
      <c r="A171" s="22">
        <v>42627</v>
      </c>
      <c r="B171">
        <v>298.33999999999997</v>
      </c>
      <c r="C171">
        <v>299.79000000000002</v>
      </c>
      <c r="G171">
        <f t="shared" ref="G171:K171" si="183">SUMPRODUCT($B171:$B175,P$2:P$6)</f>
        <v>178.71880952289288</v>
      </c>
      <c r="H171">
        <f t="shared" si="183"/>
        <v>151.86040432403743</v>
      </c>
      <c r="I171">
        <f t="shared" si="183"/>
        <v>130.92041672894433</v>
      </c>
      <c r="J171">
        <f t="shared" si="183"/>
        <v>113.18631876763358</v>
      </c>
      <c r="K171">
        <f t="shared" si="183"/>
        <v>92.344011869849098</v>
      </c>
      <c r="L171">
        <f t="shared" si="141"/>
        <v>297.86831184679176</v>
      </c>
      <c r="M171">
        <f t="shared" si="142"/>
        <v>2.1316881532082448</v>
      </c>
      <c r="N171">
        <f t="shared" si="143"/>
        <v>4.5440943825283773</v>
      </c>
    </row>
    <row r="172" spans="1:14" x14ac:dyDescent="0.45">
      <c r="A172" s="22">
        <v>42626</v>
      </c>
      <c r="B172">
        <v>300.25</v>
      </c>
      <c r="C172">
        <v>297.41000000000003</v>
      </c>
      <c r="G172">
        <f t="shared" ref="G172:K172" si="184">SUMPRODUCT($B172:$B176,P$2:P$6)</f>
        <v>179.84500669040642</v>
      </c>
      <c r="H172">
        <f t="shared" si="184"/>
        <v>152.81747843990479</v>
      </c>
      <c r="I172">
        <f t="shared" si="184"/>
        <v>131.74688651606016</v>
      </c>
      <c r="J172">
        <f t="shared" si="184"/>
        <v>113.90203491987303</v>
      </c>
      <c r="K172">
        <f t="shared" si="184"/>
        <v>92.923743499039318</v>
      </c>
      <c r="L172">
        <f t="shared" si="141"/>
        <v>299.69063985211835</v>
      </c>
      <c r="M172">
        <f t="shared" si="142"/>
        <v>-1.3506398521183769</v>
      </c>
      <c r="N172">
        <f t="shared" si="143"/>
        <v>1.824228010130351</v>
      </c>
    </row>
    <row r="173" spans="1:14" x14ac:dyDescent="0.45">
      <c r="A173" s="22">
        <v>42625</v>
      </c>
      <c r="B173">
        <v>294.14</v>
      </c>
      <c r="C173">
        <v>302.66000000000003</v>
      </c>
      <c r="G173">
        <f t="shared" ref="G173:K173" si="185">SUMPRODUCT($B173:$B177,P$2:P$6)</f>
        <v>176.22206519565282</v>
      </c>
      <c r="H173">
        <f t="shared" si="185"/>
        <v>149.73874664607868</v>
      </c>
      <c r="I173">
        <f t="shared" si="185"/>
        <v>129.08984927603296</v>
      </c>
      <c r="J173">
        <f t="shared" si="185"/>
        <v>111.60243282853854</v>
      </c>
      <c r="K173">
        <f t="shared" si="185"/>
        <v>91.056271363960619</v>
      </c>
      <c r="L173">
        <f t="shared" si="141"/>
        <v>293.82923223440974</v>
      </c>
      <c r="M173">
        <f t="shared" si="142"/>
        <v>6.4207677655902557</v>
      </c>
      <c r="N173">
        <f t="shared" si="143"/>
        <v>41.226258699642884</v>
      </c>
    </row>
    <row r="174" spans="1:14" x14ac:dyDescent="0.45">
      <c r="A174" s="22">
        <v>42622</v>
      </c>
      <c r="B174">
        <v>304.62</v>
      </c>
      <c r="C174">
        <v>296.10000000000002</v>
      </c>
      <c r="G174">
        <f t="shared" ref="G174:K174" si="186">SUMPRODUCT($B174:$B178,P$2:P$6)</f>
        <v>182.49150402877055</v>
      </c>
      <c r="H174">
        <f t="shared" si="186"/>
        <v>155.06605266542488</v>
      </c>
      <c r="I174">
        <f t="shared" si="186"/>
        <v>133.68322267381268</v>
      </c>
      <c r="J174">
        <f t="shared" si="186"/>
        <v>115.57416653466133</v>
      </c>
      <c r="K174">
        <f t="shared" si="186"/>
        <v>94.294657159101675</v>
      </c>
      <c r="L174">
        <f t="shared" si="141"/>
        <v>303.96968339807972</v>
      </c>
      <c r="M174">
        <f t="shared" si="142"/>
        <v>-9.8296833980797373</v>
      </c>
      <c r="N174">
        <f t="shared" si="143"/>
        <v>96.622675706484415</v>
      </c>
    </row>
    <row r="175" spans="1:14" x14ac:dyDescent="0.45">
      <c r="A175" s="22">
        <v>42621</v>
      </c>
      <c r="B175">
        <v>311.35000000000002</v>
      </c>
      <c r="C175">
        <v>307.73</v>
      </c>
      <c r="G175">
        <f t="shared" ref="G175:K175" si="187">SUMPRODUCT($B175:$B179,P$2:P$6)</f>
        <v>186.50480076591478</v>
      </c>
      <c r="H175">
        <f t="shared" si="187"/>
        <v>158.47634461141078</v>
      </c>
      <c r="I175">
        <f t="shared" si="187"/>
        <v>136.62465767995999</v>
      </c>
      <c r="J175">
        <f t="shared" si="187"/>
        <v>118.11837679557259</v>
      </c>
      <c r="K175">
        <f t="shared" si="187"/>
        <v>96.366117758615871</v>
      </c>
      <c r="L175">
        <f t="shared" si="141"/>
        <v>310.46155406779337</v>
      </c>
      <c r="M175">
        <f t="shared" si="142"/>
        <v>-5.8415540677933677</v>
      </c>
      <c r="N175">
        <f t="shared" si="143"/>
        <v>34.123753926953242</v>
      </c>
    </row>
    <row r="176" spans="1:14" x14ac:dyDescent="0.45">
      <c r="A176" s="22">
        <v>42620</v>
      </c>
      <c r="B176">
        <v>309.95999999999998</v>
      </c>
      <c r="C176">
        <v>312.3</v>
      </c>
      <c r="G176">
        <f t="shared" ref="G176:K176" si="188">SUMPRODUCT($B176:$B180,P$2:P$6)</f>
        <v>185.67631230378601</v>
      </c>
      <c r="H176">
        <f t="shared" si="188"/>
        <v>157.77233454192444</v>
      </c>
      <c r="I176">
        <f t="shared" si="188"/>
        <v>136.01740577691848</v>
      </c>
      <c r="J176">
        <f t="shared" si="188"/>
        <v>117.59310300927908</v>
      </c>
      <c r="K176">
        <f t="shared" si="188"/>
        <v>95.938543700346258</v>
      </c>
      <c r="L176">
        <f t="shared" si="141"/>
        <v>309.12137901031525</v>
      </c>
      <c r="M176">
        <f t="shared" si="142"/>
        <v>2.2286209896847708</v>
      </c>
      <c r="N176">
        <f t="shared" si="143"/>
        <v>4.9667515156635273</v>
      </c>
    </row>
    <row r="177" spans="1:14" x14ac:dyDescent="0.45">
      <c r="A177" s="22">
        <v>42619</v>
      </c>
      <c r="B177">
        <v>310.43</v>
      </c>
      <c r="C177">
        <v>310.67</v>
      </c>
      <c r="G177">
        <f t="shared" ref="G177:K177" si="189">SUMPRODUCT($B177:$B181,P$2:P$6)</f>
        <v>185.95993772802007</v>
      </c>
      <c r="H177">
        <f t="shared" si="189"/>
        <v>158.01332138419471</v>
      </c>
      <c r="I177">
        <f t="shared" si="189"/>
        <v>136.2250040936774</v>
      </c>
      <c r="J177">
        <f t="shared" si="189"/>
        <v>117.77244085222061</v>
      </c>
      <c r="K177">
        <f t="shared" si="189"/>
        <v>96.085343914646529</v>
      </c>
      <c r="L177">
        <f t="shared" si="141"/>
        <v>309.58001022791615</v>
      </c>
      <c r="M177">
        <f t="shared" si="142"/>
        <v>0.37998977208383167</v>
      </c>
      <c r="N177">
        <f t="shared" si="143"/>
        <v>0.14439222688832234</v>
      </c>
    </row>
    <row r="178" spans="1:14" x14ac:dyDescent="0.45">
      <c r="A178" s="22">
        <v>42615</v>
      </c>
      <c r="B178">
        <v>311.83</v>
      </c>
      <c r="C178">
        <v>313.58999999999997</v>
      </c>
      <c r="G178">
        <f t="shared" ref="G178:K178" si="190">SUMPRODUCT($B178:$B182,P$2:P$6)</f>
        <v>186.78678452948859</v>
      </c>
      <c r="H178">
        <f t="shared" si="190"/>
        <v>158.71598832419343</v>
      </c>
      <c r="I178">
        <f t="shared" si="190"/>
        <v>136.83168076264874</v>
      </c>
      <c r="J178">
        <f t="shared" si="190"/>
        <v>118.29772756465867</v>
      </c>
      <c r="K178">
        <f t="shared" si="190"/>
        <v>96.511146562216382</v>
      </c>
      <c r="L178">
        <f t="shared" si="141"/>
        <v>310.91788802741758</v>
      </c>
      <c r="M178">
        <f t="shared" si="142"/>
        <v>-0.48788802741756854</v>
      </c>
      <c r="N178">
        <f t="shared" si="143"/>
        <v>0.2380347272974061</v>
      </c>
    </row>
    <row r="179" spans="1:14" x14ac:dyDescent="0.45">
      <c r="A179" s="22">
        <v>42614</v>
      </c>
      <c r="B179">
        <v>307.95999999999998</v>
      </c>
      <c r="C179">
        <v>306.02999999999997</v>
      </c>
      <c r="G179">
        <f t="shared" ref="G179:K179" si="191">SUMPRODUCT($B179:$B183,P$2:P$6)</f>
        <v>184.47657422654495</v>
      </c>
      <c r="H179">
        <f t="shared" si="191"/>
        <v>156.7529084907699</v>
      </c>
      <c r="I179">
        <f t="shared" si="191"/>
        <v>135.13867401186889</v>
      </c>
      <c r="J179">
        <f t="shared" si="191"/>
        <v>116.83351252869573</v>
      </c>
      <c r="K179">
        <f t="shared" si="191"/>
        <v>95.318439443829362</v>
      </c>
      <c r="L179">
        <f t="shared" si="141"/>
        <v>307.18102648477895</v>
      </c>
      <c r="M179">
        <f t="shared" si="142"/>
        <v>4.6489735152210301</v>
      </c>
      <c r="N179">
        <f t="shared" si="143"/>
        <v>21.612954745226581</v>
      </c>
    </row>
    <row r="180" spans="1:14" x14ac:dyDescent="0.45">
      <c r="A180" s="22">
        <v>42613</v>
      </c>
      <c r="B180">
        <v>307.68</v>
      </c>
      <c r="C180">
        <v>305.63</v>
      </c>
      <c r="G180">
        <f t="shared" ref="G180:K180" si="192">SUMPRODUCT($B180:$B184,P$2:P$6)</f>
        <v>184.30401157785488</v>
      </c>
      <c r="H180">
        <f t="shared" si="192"/>
        <v>156.60631247006282</v>
      </c>
      <c r="I180">
        <f t="shared" si="192"/>
        <v>135.0126605833062</v>
      </c>
      <c r="J180">
        <f t="shared" si="192"/>
        <v>116.72489174458185</v>
      </c>
      <c r="K180">
        <f t="shared" si="192"/>
        <v>95.228692055467732</v>
      </c>
      <c r="L180">
        <f t="shared" si="141"/>
        <v>306.90215443781119</v>
      </c>
      <c r="M180">
        <f t="shared" si="142"/>
        <v>1.0578455621887883</v>
      </c>
      <c r="N180">
        <f t="shared" si="143"/>
        <v>1.1190372334425136</v>
      </c>
    </row>
    <row r="181" spans="1:14" x14ac:dyDescent="0.45">
      <c r="A181" s="22">
        <v>42612</v>
      </c>
      <c r="B181">
        <v>305.24</v>
      </c>
      <c r="C181">
        <v>307.86</v>
      </c>
      <c r="G181">
        <f t="shared" ref="G181:K181" si="193">SUMPRODUCT($B181:$B185,P$2:P$6)</f>
        <v>182.85372621728985</v>
      </c>
      <c r="H181">
        <f t="shared" si="193"/>
        <v>155.37390227918505</v>
      </c>
      <c r="I181">
        <f t="shared" si="193"/>
        <v>133.94932456236623</v>
      </c>
      <c r="J181">
        <f t="shared" si="193"/>
        <v>115.80483849891634</v>
      </c>
      <c r="K181">
        <f t="shared" si="193"/>
        <v>94.480706352935073</v>
      </c>
      <c r="L181">
        <f t="shared" si="141"/>
        <v>304.55596620960023</v>
      </c>
      <c r="M181">
        <f t="shared" si="142"/>
        <v>3.1240337903997784</v>
      </c>
      <c r="N181">
        <f t="shared" si="143"/>
        <v>9.7595871235596068</v>
      </c>
    </row>
    <row r="182" spans="1:14" x14ac:dyDescent="0.45">
      <c r="A182" s="22">
        <v>42611</v>
      </c>
      <c r="B182">
        <v>307.87</v>
      </c>
      <c r="C182">
        <v>306.13</v>
      </c>
      <c r="G182">
        <f t="shared" ref="G182:K182" si="194">SUMPRODUCT($B182:$B186,P$2:P$6)</f>
        <v>184.42181106717391</v>
      </c>
      <c r="H182">
        <f t="shared" si="194"/>
        <v>156.70638289123596</v>
      </c>
      <c r="I182">
        <f t="shared" si="194"/>
        <v>135.0986306566536</v>
      </c>
      <c r="J182">
        <f t="shared" si="194"/>
        <v>116.79895465478877</v>
      </c>
      <c r="K182">
        <f t="shared" si="194"/>
        <v>95.290040601733523</v>
      </c>
      <c r="L182">
        <f t="shared" si="141"/>
        <v>307.09249839222116</v>
      </c>
      <c r="M182">
        <f t="shared" si="142"/>
        <v>-1.8524983922211504</v>
      </c>
      <c r="N182">
        <f t="shared" si="143"/>
        <v>3.4317502931819472</v>
      </c>
    </row>
    <row r="183" spans="1:14" x14ac:dyDescent="0.45">
      <c r="A183" s="22">
        <v>42608</v>
      </c>
      <c r="B183">
        <v>307.20999999999998</v>
      </c>
      <c r="C183">
        <v>308.17</v>
      </c>
      <c r="G183">
        <f t="shared" ref="G183:K183" si="195">SUMPRODUCT($B183:$B187,P$2:P$6)</f>
        <v>184.03200194913336</v>
      </c>
      <c r="H183">
        <f t="shared" si="195"/>
        <v>156.37511685291926</v>
      </c>
      <c r="I183">
        <f t="shared" si="195"/>
        <v>134.81261971406778</v>
      </c>
      <c r="J183">
        <f t="shared" si="195"/>
        <v>116.55131504767749</v>
      </c>
      <c r="K183">
        <f t="shared" si="195"/>
        <v>95.089298747645174</v>
      </c>
      <c r="L183">
        <f t="shared" si="141"/>
        <v>306.46176905395936</v>
      </c>
      <c r="M183">
        <f t="shared" si="142"/>
        <v>1.4082309460406464</v>
      </c>
      <c r="N183">
        <f t="shared" si="143"/>
        <v>1.9831143973865339</v>
      </c>
    </row>
    <row r="184" spans="1:14" x14ac:dyDescent="0.45">
      <c r="A184" s="22">
        <v>42607</v>
      </c>
      <c r="B184">
        <v>309.02999999999997</v>
      </c>
      <c r="C184">
        <v>306.85000000000002</v>
      </c>
      <c r="G184">
        <f t="shared" ref="G184:K184" si="196">SUMPRODUCT($B184:$B188,P$2:P$6)</f>
        <v>185.13864144155556</v>
      </c>
      <c r="H184">
        <f t="shared" si="196"/>
        <v>157.31533336127382</v>
      </c>
      <c r="I184">
        <f t="shared" si="196"/>
        <v>135.62194204530559</v>
      </c>
      <c r="J184">
        <f t="shared" si="196"/>
        <v>117.2499142257312</v>
      </c>
      <c r="K184">
        <f t="shared" si="196"/>
        <v>95.663080598110341</v>
      </c>
      <c r="L184">
        <f t="shared" si="141"/>
        <v>308.25085490491301</v>
      </c>
      <c r="M184">
        <f t="shared" si="142"/>
        <v>-1.0408549049130329</v>
      </c>
      <c r="N184">
        <f t="shared" si="143"/>
        <v>1.0833789330815187</v>
      </c>
    </row>
    <row r="185" spans="1:14" x14ac:dyDescent="0.45">
      <c r="A185" s="22">
        <v>42606</v>
      </c>
      <c r="B185">
        <v>318.18</v>
      </c>
      <c r="C185">
        <v>309.33</v>
      </c>
      <c r="G185">
        <f t="shared" ref="G185:K185" si="197">SUMPRODUCT($B185:$B189,P$2:P$6)</f>
        <v>190.59621870039703</v>
      </c>
      <c r="H185">
        <f t="shared" si="197"/>
        <v>161.9528913685578</v>
      </c>
      <c r="I185">
        <f t="shared" si="197"/>
        <v>139.62182859068861</v>
      </c>
      <c r="J185">
        <f t="shared" si="197"/>
        <v>120.70956248249377</v>
      </c>
      <c r="K185">
        <f t="shared" si="197"/>
        <v>98.480147050673764</v>
      </c>
      <c r="L185">
        <f t="shared" si="141"/>
        <v>317.07892711826582</v>
      </c>
      <c r="M185">
        <f t="shared" si="142"/>
        <v>-8.0489271182658513</v>
      </c>
      <c r="N185">
        <f t="shared" si="143"/>
        <v>64.785227755155418</v>
      </c>
    </row>
    <row r="186" spans="1:14" x14ac:dyDescent="0.45">
      <c r="A186" s="22">
        <v>42605</v>
      </c>
      <c r="B186">
        <v>316.81</v>
      </c>
      <c r="C186">
        <v>318.17</v>
      </c>
      <c r="G186">
        <f t="shared" ref="G186:K186" si="198">SUMPRODUCT($B186:$B190,P$2:P$6)</f>
        <v>189.77713700568697</v>
      </c>
      <c r="H186">
        <f t="shared" si="198"/>
        <v>161.25689282648139</v>
      </c>
      <c r="I186">
        <f t="shared" si="198"/>
        <v>139.02167923316753</v>
      </c>
      <c r="J186">
        <f t="shared" si="198"/>
        <v>120.19060127665179</v>
      </c>
      <c r="K186">
        <f t="shared" si="198"/>
        <v>98.057122109295349</v>
      </c>
      <c r="L186">
        <f t="shared" si="141"/>
        <v>315.75408757086143</v>
      </c>
      <c r="M186">
        <f t="shared" si="142"/>
        <v>2.4259124291385774</v>
      </c>
      <c r="N186">
        <f t="shared" si="143"/>
        <v>5.8850511138490331</v>
      </c>
    </row>
    <row r="187" spans="1:14" x14ac:dyDescent="0.45">
      <c r="A187" s="22">
        <v>42604</v>
      </c>
      <c r="B187">
        <v>316.14999999999998</v>
      </c>
      <c r="C187">
        <v>316.81</v>
      </c>
      <c r="G187">
        <f t="shared" ref="G187:K187" si="199">SUMPRODUCT($B187:$B191,P$2:P$6)</f>
        <v>189.37774877304264</v>
      </c>
      <c r="H187">
        <f t="shared" si="199"/>
        <v>160.91755391182599</v>
      </c>
      <c r="I187">
        <f t="shared" si="199"/>
        <v>138.72943731762615</v>
      </c>
      <c r="J187">
        <f t="shared" si="199"/>
        <v>119.93821360041488</v>
      </c>
      <c r="K187">
        <f t="shared" si="199"/>
        <v>97.850272054874694</v>
      </c>
      <c r="L187">
        <f t="shared" si="141"/>
        <v>315.10831384965746</v>
      </c>
      <c r="M187">
        <f t="shared" si="142"/>
        <v>1.7016861503425389</v>
      </c>
      <c r="N187">
        <f t="shared" si="143"/>
        <v>2.8957357542676099</v>
      </c>
    </row>
    <row r="188" spans="1:14" x14ac:dyDescent="0.45">
      <c r="A188" s="22">
        <v>42601</v>
      </c>
      <c r="B188">
        <v>313.69</v>
      </c>
      <c r="C188">
        <v>316.81</v>
      </c>
      <c r="G188">
        <f t="shared" ref="G188:K188" si="200">SUMPRODUCT($B188:$B192,P$2:P$6)</f>
        <v>187.90937277481063</v>
      </c>
      <c r="H188">
        <f t="shared" si="200"/>
        <v>159.66981366770852</v>
      </c>
      <c r="I188">
        <f t="shared" si="200"/>
        <v>137.65334710686949</v>
      </c>
      <c r="J188">
        <f t="shared" si="200"/>
        <v>119.00753702831618</v>
      </c>
      <c r="K188">
        <f t="shared" si="200"/>
        <v>97.09219989496269</v>
      </c>
      <c r="L188">
        <f t="shared" si="141"/>
        <v>312.73314834704541</v>
      </c>
      <c r="M188">
        <f t="shared" si="142"/>
        <v>3.4168516529545627</v>
      </c>
      <c r="N188">
        <f t="shared" si="143"/>
        <v>11.674875218298327</v>
      </c>
    </row>
    <row r="189" spans="1:14" x14ac:dyDescent="0.45">
      <c r="A189" s="22">
        <v>42600</v>
      </c>
      <c r="B189">
        <v>313.57</v>
      </c>
      <c r="C189">
        <v>313.38</v>
      </c>
      <c r="G189">
        <f t="shared" ref="G189:K189" si="201">SUMPRODUCT($B189:$B193,P$2:P$6)</f>
        <v>187.83910064500606</v>
      </c>
      <c r="H189">
        <f t="shared" si="201"/>
        <v>159.6100911168954</v>
      </c>
      <c r="I189">
        <f t="shared" si="201"/>
        <v>137.60173637415184</v>
      </c>
      <c r="J189">
        <f t="shared" si="201"/>
        <v>118.96280910656144</v>
      </c>
      <c r="K189">
        <f t="shared" si="201"/>
        <v>97.056085409023595</v>
      </c>
      <c r="L189">
        <f t="shared" si="141"/>
        <v>312.61941564060857</v>
      </c>
      <c r="M189">
        <f t="shared" si="142"/>
        <v>1.0705843593914324</v>
      </c>
      <c r="N189">
        <f t="shared" si="143"/>
        <v>1.1461508705735637</v>
      </c>
    </row>
    <row r="190" spans="1:14" x14ac:dyDescent="0.45">
      <c r="A190" s="22">
        <v>42599</v>
      </c>
      <c r="B190">
        <v>314.17</v>
      </c>
      <c r="C190">
        <v>313.82</v>
      </c>
      <c r="G190">
        <f t="shared" ref="G190:K190" si="202">SUMPRODUCT($B190:$B194,P$2:P$6)</f>
        <v>188.19516132689532</v>
      </c>
      <c r="H190">
        <f t="shared" si="202"/>
        <v>159.91266489555466</v>
      </c>
      <c r="I190">
        <f t="shared" si="202"/>
        <v>137.86284361591211</v>
      </c>
      <c r="J190">
        <f t="shared" si="202"/>
        <v>119.1887705228759</v>
      </c>
      <c r="K190">
        <f t="shared" si="202"/>
        <v>97.239654852900813</v>
      </c>
      <c r="L190">
        <f t="shared" si="141"/>
        <v>313.19545669486484</v>
      </c>
      <c r="M190">
        <f t="shared" si="142"/>
        <v>0.37454330513514833</v>
      </c>
      <c r="N190">
        <f t="shared" si="143"/>
        <v>0.14028268742156083</v>
      </c>
    </row>
    <row r="191" spans="1:14" x14ac:dyDescent="0.45">
      <c r="A191" s="22">
        <v>42598</v>
      </c>
      <c r="B191">
        <v>313.27</v>
      </c>
      <c r="C191">
        <v>313.42</v>
      </c>
      <c r="G191">
        <f t="shared" ref="G191:K191" si="203">SUMPRODUCT($B191:$B195,P$2:P$6)</f>
        <v>187.65833980877719</v>
      </c>
      <c r="H191">
        <f t="shared" si="203"/>
        <v>159.45650222868494</v>
      </c>
      <c r="I191">
        <f t="shared" si="203"/>
        <v>137.46940732460095</v>
      </c>
      <c r="J191">
        <f t="shared" si="203"/>
        <v>118.84847645076917</v>
      </c>
      <c r="K191">
        <f t="shared" si="203"/>
        <v>96.962559564560351</v>
      </c>
      <c r="L191">
        <f t="shared" si="141"/>
        <v>312.32710712320511</v>
      </c>
      <c r="M191">
        <f t="shared" si="142"/>
        <v>1.842892876794906</v>
      </c>
      <c r="N191">
        <f t="shared" si="143"/>
        <v>3.3962541553414045</v>
      </c>
    </row>
    <row r="192" spans="1:14" x14ac:dyDescent="0.45">
      <c r="A192" s="22">
        <v>42597</v>
      </c>
      <c r="B192">
        <v>313.39999999999998</v>
      </c>
      <c r="C192">
        <v>313.39</v>
      </c>
      <c r="G192">
        <f t="shared" ref="G192:K192" si="204">SUMPRODUCT($B192:$B196,P$2:P$6)</f>
        <v>187.73276698512336</v>
      </c>
      <c r="H192">
        <f t="shared" si="204"/>
        <v>159.51976902961977</v>
      </c>
      <c r="I192">
        <f t="shared" si="204"/>
        <v>137.52421146844239</v>
      </c>
      <c r="J192">
        <f t="shared" si="204"/>
        <v>118.89608634314445</v>
      </c>
      <c r="K192">
        <f t="shared" si="204"/>
        <v>97.000598957290507</v>
      </c>
      <c r="L192">
        <f t="shared" si="141"/>
        <v>312.44764537153912</v>
      </c>
      <c r="M192">
        <f t="shared" si="142"/>
        <v>0.82235462846085738</v>
      </c>
      <c r="N192">
        <f t="shared" si="143"/>
        <v>0.67626713495099477</v>
      </c>
    </row>
    <row r="193" spans="1:14" x14ac:dyDescent="0.45">
      <c r="A193" s="22">
        <v>42594</v>
      </c>
      <c r="B193">
        <v>311.99</v>
      </c>
      <c r="C193">
        <v>313.94</v>
      </c>
      <c r="G193">
        <f t="shared" ref="G193:K193" si="205">SUMPRODUCT($B193:$B197,P$2:P$6)</f>
        <v>186.88565073871436</v>
      </c>
      <c r="H193">
        <f t="shared" si="205"/>
        <v>158.79997707461655</v>
      </c>
      <c r="I193">
        <f t="shared" si="205"/>
        <v>136.90386038063264</v>
      </c>
      <c r="J193">
        <f t="shared" si="205"/>
        <v>118.35993239699843</v>
      </c>
      <c r="K193">
        <f t="shared" si="205"/>
        <v>96.562595925735081</v>
      </c>
      <c r="L193">
        <f t="shared" si="141"/>
        <v>311.0776547298322</v>
      </c>
      <c r="M193">
        <f t="shared" si="142"/>
        <v>2.3223452701677729</v>
      </c>
      <c r="N193">
        <f t="shared" si="143"/>
        <v>5.3932875538706266</v>
      </c>
    </row>
    <row r="194" spans="1:14" x14ac:dyDescent="0.45">
      <c r="A194" s="22">
        <v>42593</v>
      </c>
      <c r="B194">
        <v>309.47000000000003</v>
      </c>
      <c r="C194">
        <v>314.49</v>
      </c>
      <c r="G194">
        <f t="shared" ref="G194:K194" si="206">SUMPRODUCT($B194:$B198,P$2:P$6)</f>
        <v>185.39411256883477</v>
      </c>
      <c r="H194">
        <f t="shared" si="206"/>
        <v>157.53246756813337</v>
      </c>
      <c r="I194">
        <f t="shared" si="206"/>
        <v>135.80975367713597</v>
      </c>
      <c r="J194">
        <f t="shared" si="206"/>
        <v>117.41282728681334</v>
      </c>
      <c r="K194">
        <f t="shared" si="206"/>
        <v>95.794101773268906</v>
      </c>
      <c r="L194">
        <f t="shared" si="141"/>
        <v>308.66442896350281</v>
      </c>
      <c r="M194">
        <f t="shared" si="142"/>
        <v>3.3255710364971947</v>
      </c>
      <c r="N194">
        <f t="shared" si="143"/>
        <v>11.059422718789026</v>
      </c>
    </row>
    <row r="195" spans="1:14" x14ac:dyDescent="0.45">
      <c r="A195" s="22">
        <v>42592</v>
      </c>
      <c r="B195">
        <v>315</v>
      </c>
      <c r="C195">
        <v>308.87</v>
      </c>
      <c r="G195">
        <f t="shared" ref="G195:K195" si="207">SUMPRODUCT($B195:$B199,P$2:P$6)</f>
        <v>188.69150553479852</v>
      </c>
      <c r="H195">
        <f t="shared" si="207"/>
        <v>160.3344235059906</v>
      </c>
      <c r="I195">
        <f t="shared" si="207"/>
        <v>138.22651494462158</v>
      </c>
      <c r="J195">
        <f t="shared" si="207"/>
        <v>119.50324225601206</v>
      </c>
      <c r="K195">
        <f t="shared" si="207"/>
        <v>97.496011602187167</v>
      </c>
      <c r="L195">
        <f t="shared" ref="L195:L247" si="208">(G195+$P$7)*$U$2+(H195+$Q$7)*$U$3+(I195+$R$7)*$U$4+(J195+$S$7)*$U$5+(K195+$T$7)*$U$6+$U$7</f>
        <v>313.99827795286933</v>
      </c>
      <c r="M195">
        <f t="shared" ref="M195:M247" si="209">B194-L195</f>
        <v>-4.5282779528693027</v>
      </c>
      <c r="N195">
        <f t="shared" ref="N195:N247" si="210">M195^2</f>
        <v>20.505301218442202</v>
      </c>
    </row>
    <row r="196" spans="1:14" x14ac:dyDescent="0.45">
      <c r="A196" s="22">
        <v>42591</v>
      </c>
      <c r="B196">
        <v>313.72000000000003</v>
      </c>
      <c r="C196">
        <v>314.42</v>
      </c>
      <c r="G196">
        <f t="shared" ref="G196:K196" si="211">SUMPRODUCT($B196:$B200,P$2:P$6)</f>
        <v>187.93275989557253</v>
      </c>
      <c r="H196">
        <f t="shared" si="211"/>
        <v>159.68964971854285</v>
      </c>
      <c r="I196">
        <f t="shared" si="211"/>
        <v>137.67003794655619</v>
      </c>
      <c r="J196">
        <f t="shared" si="211"/>
        <v>119.02160973033136</v>
      </c>
      <c r="K196">
        <f t="shared" si="211"/>
        <v>97.104939105434383</v>
      </c>
      <c r="L196">
        <f t="shared" si="208"/>
        <v>312.77072458450209</v>
      </c>
      <c r="M196">
        <f t="shared" si="209"/>
        <v>2.2292754154979093</v>
      </c>
      <c r="N196">
        <f t="shared" si="210"/>
        <v>4.9696688781433762</v>
      </c>
    </row>
    <row r="197" spans="1:14" x14ac:dyDescent="0.45">
      <c r="A197" s="22">
        <v>42590</v>
      </c>
      <c r="B197">
        <v>316.02</v>
      </c>
      <c r="C197">
        <v>313.64999999999998</v>
      </c>
      <c r="G197">
        <f t="shared" ref="G197:K197" si="212">SUMPRODUCT($B197:$B201,P$2:P$6)</f>
        <v>189.30569399423854</v>
      </c>
      <c r="H197">
        <f t="shared" si="212"/>
        <v>160.85628870054416</v>
      </c>
      <c r="I197">
        <f t="shared" si="212"/>
        <v>138.67617190927868</v>
      </c>
      <c r="J197">
        <f t="shared" si="212"/>
        <v>119.89177012424381</v>
      </c>
      <c r="K197">
        <f t="shared" si="212"/>
        <v>97.813745440731523</v>
      </c>
      <c r="L197">
        <f t="shared" si="208"/>
        <v>314.99149766264713</v>
      </c>
      <c r="M197">
        <f t="shared" si="209"/>
        <v>-1.2714976626471071</v>
      </c>
      <c r="N197">
        <f t="shared" si="210"/>
        <v>1.6167063061170566</v>
      </c>
    </row>
    <row r="198" spans="1:14" x14ac:dyDescent="0.45">
      <c r="A198" s="22">
        <v>42587</v>
      </c>
      <c r="B198">
        <v>316.16000000000003</v>
      </c>
      <c r="C198">
        <v>315.95999999999998</v>
      </c>
      <c r="G198">
        <f t="shared" ref="G198:K198" si="213">SUMPRODUCT($B198:$B202,P$2:P$6)</f>
        <v>189.39817488574539</v>
      </c>
      <c r="H198">
        <f t="shared" si="213"/>
        <v>160.93480850449544</v>
      </c>
      <c r="I198">
        <f t="shared" si="213"/>
        <v>138.7432104797507</v>
      </c>
      <c r="J198">
        <f t="shared" si="213"/>
        <v>119.94915172617605</v>
      </c>
      <c r="K198">
        <f t="shared" si="213"/>
        <v>97.862572339333013</v>
      </c>
      <c r="L198">
        <f t="shared" si="208"/>
        <v>315.14066806121861</v>
      </c>
      <c r="M198">
        <f t="shared" si="209"/>
        <v>0.87933193878137672</v>
      </c>
      <c r="N198">
        <f t="shared" si="210"/>
        <v>0.77322465856101485</v>
      </c>
    </row>
    <row r="199" spans="1:14" x14ac:dyDescent="0.45">
      <c r="A199" s="22">
        <v>42586</v>
      </c>
      <c r="B199">
        <v>320.14999999999998</v>
      </c>
      <c r="C199">
        <v>314.56</v>
      </c>
      <c r="G199">
        <f t="shared" ref="G199:K199" si="214">SUMPRODUCT($B199:$B203,P$2:P$6)</f>
        <v>191.7829992536177</v>
      </c>
      <c r="H199">
        <f t="shared" si="214"/>
        <v>162.96127021640069</v>
      </c>
      <c r="I199">
        <f t="shared" si="214"/>
        <v>140.49064722667924</v>
      </c>
      <c r="J199">
        <f t="shared" si="214"/>
        <v>121.46023604223808</v>
      </c>
      <c r="K199">
        <f t="shared" si="214"/>
        <v>99.09416261390318</v>
      </c>
      <c r="L199">
        <f t="shared" si="208"/>
        <v>318.99807593479107</v>
      </c>
      <c r="M199">
        <f t="shared" si="209"/>
        <v>-2.8380759347910498</v>
      </c>
      <c r="N199">
        <f t="shared" si="210"/>
        <v>8.0546750116400911</v>
      </c>
    </row>
    <row r="200" spans="1:14" x14ac:dyDescent="0.45">
      <c r="A200" s="22">
        <v>42585</v>
      </c>
      <c r="B200">
        <v>321.77</v>
      </c>
      <c r="C200">
        <v>321.33999999999997</v>
      </c>
      <c r="G200">
        <f t="shared" ref="G200:K200" si="215">SUMPRODUCT($B200:$B204,P$2:P$6)</f>
        <v>192.70752378949018</v>
      </c>
      <c r="H200">
        <f t="shared" si="215"/>
        <v>163.74717035046746</v>
      </c>
      <c r="I200">
        <f t="shared" si="215"/>
        <v>141.17167657866361</v>
      </c>
      <c r="J200">
        <f t="shared" si="215"/>
        <v>122.05207783735129</v>
      </c>
      <c r="K200">
        <f t="shared" si="215"/>
        <v>99.566309229785304</v>
      </c>
      <c r="L200">
        <f t="shared" si="208"/>
        <v>320.49553117201259</v>
      </c>
      <c r="M200">
        <f t="shared" si="209"/>
        <v>-0.3455311720126133</v>
      </c>
      <c r="N200">
        <f t="shared" si="210"/>
        <v>0.11939179083241015</v>
      </c>
    </row>
    <row r="201" spans="1:14" x14ac:dyDescent="0.45">
      <c r="A201" s="22">
        <v>42584</v>
      </c>
      <c r="B201">
        <v>302.88</v>
      </c>
      <c r="C201">
        <v>330.11</v>
      </c>
      <c r="G201">
        <f t="shared" ref="G201:K201" si="216">SUMPRODUCT($B201:$B205,P$2:P$6)</f>
        <v>181.427684023285</v>
      </c>
      <c r="H201">
        <f t="shared" si="216"/>
        <v>154.16225224920075</v>
      </c>
      <c r="I201">
        <f t="shared" si="216"/>
        <v>132.90567626022471</v>
      </c>
      <c r="J201">
        <f t="shared" si="216"/>
        <v>114.90336618141401</v>
      </c>
      <c r="K201">
        <f t="shared" si="216"/>
        <v>93.742382763297257</v>
      </c>
      <c r="L201">
        <f t="shared" si="208"/>
        <v>302.25007853697849</v>
      </c>
      <c r="M201">
        <f t="shared" si="209"/>
        <v>19.51992146302149</v>
      </c>
      <c r="N201">
        <f t="shared" si="210"/>
        <v>381.02733392252702</v>
      </c>
    </row>
    <row r="202" spans="1:14" x14ac:dyDescent="0.45">
      <c r="A202" s="22">
        <v>42583</v>
      </c>
      <c r="B202">
        <v>300</v>
      </c>
      <c r="C202">
        <v>301.83</v>
      </c>
      <c r="G202">
        <f t="shared" ref="G202:K202" si="217">SUMPRODUCT($B202:$B206,P$2:P$6)</f>
        <v>179.68396917476787</v>
      </c>
      <c r="H202">
        <f t="shared" si="217"/>
        <v>152.68071624468391</v>
      </c>
      <c r="I202">
        <f t="shared" si="217"/>
        <v>131.62983516114733</v>
      </c>
      <c r="J202">
        <f t="shared" si="217"/>
        <v>113.80157977961051</v>
      </c>
      <c r="K202">
        <f t="shared" si="217"/>
        <v>92.839171428214513</v>
      </c>
      <c r="L202">
        <f t="shared" si="208"/>
        <v>299.43069746202889</v>
      </c>
      <c r="M202">
        <f t="shared" si="209"/>
        <v>3.4493025379711071</v>
      </c>
      <c r="N202">
        <f t="shared" si="210"/>
        <v>11.89768799845392</v>
      </c>
    </row>
    <row r="203" spans="1:14" x14ac:dyDescent="0.45">
      <c r="A203" s="22">
        <v>42580</v>
      </c>
      <c r="B203">
        <v>288.85000000000002</v>
      </c>
      <c r="C203">
        <v>289.93</v>
      </c>
      <c r="G203">
        <f t="shared" ref="G203:K203" si="218">SUMPRODUCT($B203:$B207,P$2:P$6)</f>
        <v>173.02920528509853</v>
      </c>
      <c r="H203">
        <f t="shared" si="218"/>
        <v>147.02588199978641</v>
      </c>
      <c r="I203">
        <f t="shared" si="218"/>
        <v>126.7528773088862</v>
      </c>
      <c r="J203">
        <f t="shared" si="218"/>
        <v>109.58360743820123</v>
      </c>
      <c r="K203">
        <f t="shared" si="218"/>
        <v>89.403627669690025</v>
      </c>
      <c r="L203">
        <f t="shared" si="208"/>
        <v>288.66628055976537</v>
      </c>
      <c r="M203">
        <f t="shared" si="209"/>
        <v>11.333719440234631</v>
      </c>
      <c r="N203">
        <f t="shared" si="210"/>
        <v>128.45319634995241</v>
      </c>
    </row>
    <row r="204" spans="1:14" x14ac:dyDescent="0.45">
      <c r="A204" s="22">
        <v>42579</v>
      </c>
      <c r="B204">
        <v>288.61</v>
      </c>
      <c r="C204">
        <v>289.02999999999997</v>
      </c>
      <c r="G204">
        <f t="shared" ref="G204:K204" si="219">SUMPRODUCT($B204:$B208,P$2:P$6)</f>
        <v>172.88199145504095</v>
      </c>
      <c r="H204">
        <f t="shared" si="219"/>
        <v>146.90081609785801</v>
      </c>
      <c r="I204">
        <f t="shared" si="219"/>
        <v>126.64531640767284</v>
      </c>
      <c r="J204">
        <f t="shared" si="219"/>
        <v>109.49084345659075</v>
      </c>
      <c r="K204">
        <f t="shared" si="219"/>
        <v>89.327145791972981</v>
      </c>
      <c r="L204">
        <f t="shared" si="208"/>
        <v>288.42833917107009</v>
      </c>
      <c r="M204">
        <f t="shared" si="209"/>
        <v>0.42166082892993018</v>
      </c>
      <c r="N204">
        <f t="shared" si="210"/>
        <v>0.17779785465387585</v>
      </c>
    </row>
    <row r="205" spans="1:14" x14ac:dyDescent="0.45">
      <c r="A205" s="22">
        <v>42578</v>
      </c>
      <c r="B205">
        <v>286.83</v>
      </c>
      <c r="C205">
        <v>288.35000000000002</v>
      </c>
      <c r="G205">
        <f t="shared" ref="G205:K205" si="220">SUMPRODUCT($B205:$B209,P$2:P$6)</f>
        <v>171.8178447106589</v>
      </c>
      <c r="H205">
        <f t="shared" si="220"/>
        <v>145.99657701084595</v>
      </c>
      <c r="I205">
        <f t="shared" si="220"/>
        <v>125.86559918998955</v>
      </c>
      <c r="J205">
        <f t="shared" si="220"/>
        <v>108.81660069874448</v>
      </c>
      <c r="K205">
        <f t="shared" si="220"/>
        <v>88.777561418167679</v>
      </c>
      <c r="L205">
        <f t="shared" si="208"/>
        <v>286.70710977734149</v>
      </c>
      <c r="M205">
        <f t="shared" si="209"/>
        <v>1.9028902226585274</v>
      </c>
      <c r="N205">
        <f t="shared" si="210"/>
        <v>3.6209911994894197</v>
      </c>
    </row>
    <row r="206" spans="1:14" x14ac:dyDescent="0.45">
      <c r="A206" s="22">
        <v>42577</v>
      </c>
      <c r="B206">
        <v>286</v>
      </c>
      <c r="C206">
        <v>287.04000000000002</v>
      </c>
      <c r="G206">
        <f t="shared" ref="G206:K206" si="221">SUMPRODUCT($B206:$B210,P$2:P$6)</f>
        <v>171.32662577669092</v>
      </c>
      <c r="H206">
        <f t="shared" si="221"/>
        <v>145.57913824091872</v>
      </c>
      <c r="I206">
        <f t="shared" si="221"/>
        <v>125.50525818058395</v>
      </c>
      <c r="J206">
        <f t="shared" si="221"/>
        <v>108.50466183508571</v>
      </c>
      <c r="K206">
        <f t="shared" si="221"/>
        <v>88.524472841489043</v>
      </c>
      <c r="L206">
        <f t="shared" si="208"/>
        <v>285.91233425606879</v>
      </c>
      <c r="M206">
        <f t="shared" si="209"/>
        <v>0.91766574393119527</v>
      </c>
      <c r="N206">
        <f t="shared" si="210"/>
        <v>0.84211041758479399</v>
      </c>
    </row>
    <row r="207" spans="1:14" x14ac:dyDescent="0.45">
      <c r="A207" s="22">
        <v>42576</v>
      </c>
      <c r="B207">
        <v>287.83999999999997</v>
      </c>
      <c r="C207">
        <v>287.35000000000002</v>
      </c>
      <c r="G207">
        <f t="shared" ref="G207:K207" si="222">SUMPRODUCT($B207:$B211,P$2:P$6)</f>
        <v>172.41185324959397</v>
      </c>
      <c r="H207">
        <f t="shared" si="222"/>
        <v>146.50138868842001</v>
      </c>
      <c r="I207">
        <f t="shared" si="222"/>
        <v>126.3016375102531</v>
      </c>
      <c r="J207">
        <f t="shared" si="222"/>
        <v>109.19430045347518</v>
      </c>
      <c r="K207">
        <f t="shared" si="222"/>
        <v>89.083151958710872</v>
      </c>
      <c r="L207">
        <f t="shared" si="208"/>
        <v>287.66835263805666</v>
      </c>
      <c r="M207">
        <f t="shared" si="209"/>
        <v>-1.6683526380566605</v>
      </c>
      <c r="N207">
        <f t="shared" si="210"/>
        <v>2.7834005249106184</v>
      </c>
    </row>
    <row r="208" spans="1:14" x14ac:dyDescent="0.45">
      <c r="A208" s="22">
        <v>42573</v>
      </c>
      <c r="B208">
        <v>282.08999999999997</v>
      </c>
      <c r="C208">
        <v>287.77999999999997</v>
      </c>
      <c r="G208">
        <f t="shared" ref="G208:K208" si="223">SUMPRODUCT($B208:$B212,P$2:P$6)</f>
        <v>168.9750865433692</v>
      </c>
      <c r="H208">
        <f t="shared" si="223"/>
        <v>143.58105727495476</v>
      </c>
      <c r="I208">
        <f t="shared" si="223"/>
        <v>123.78340183711595</v>
      </c>
      <c r="J208">
        <f t="shared" si="223"/>
        <v>107.01666401365944</v>
      </c>
      <c r="K208">
        <f t="shared" si="223"/>
        <v>87.308310364239517</v>
      </c>
      <c r="L208">
        <f t="shared" si="208"/>
        <v>282.10944024598672</v>
      </c>
      <c r="M208">
        <f t="shared" si="209"/>
        <v>5.7305597540132567</v>
      </c>
      <c r="N208">
        <f t="shared" si="210"/>
        <v>32.839315094316476</v>
      </c>
    </row>
    <row r="209" spans="1:14" x14ac:dyDescent="0.45">
      <c r="A209" s="22">
        <v>42572</v>
      </c>
      <c r="B209">
        <v>279.76</v>
      </c>
      <c r="C209">
        <v>282.45</v>
      </c>
      <c r="G209">
        <f t="shared" ref="G209:K209" si="224">SUMPRODUCT($B209:$B213,P$2:P$6)</f>
        <v>167.54004600556624</v>
      </c>
      <c r="H209">
        <f t="shared" si="224"/>
        <v>142.3619511637902</v>
      </c>
      <c r="I209">
        <f t="shared" si="224"/>
        <v>122.73538522432973</v>
      </c>
      <c r="J209">
        <f t="shared" si="224"/>
        <v>106.11322641673441</v>
      </c>
      <c r="K209">
        <f t="shared" si="224"/>
        <v>86.56207513021161</v>
      </c>
      <c r="L209">
        <f t="shared" si="208"/>
        <v>279.79027414148328</v>
      </c>
      <c r="M209">
        <f t="shared" si="209"/>
        <v>2.2997258585166946</v>
      </c>
      <c r="N209">
        <f t="shared" si="210"/>
        <v>5.288739024330348</v>
      </c>
    </row>
    <row r="210" spans="1:14" x14ac:dyDescent="0.45">
      <c r="A210" s="22">
        <v>42571</v>
      </c>
      <c r="B210">
        <v>259.87</v>
      </c>
      <c r="C210">
        <v>262.41000000000003</v>
      </c>
      <c r="G210">
        <f t="shared" ref="G210:K210" si="225">SUMPRODUCT($B210:$B214,P$2:P$6)</f>
        <v>155.67225514122305</v>
      </c>
      <c r="H210">
        <f t="shared" si="225"/>
        <v>132.27736345575281</v>
      </c>
      <c r="I210">
        <f t="shared" si="225"/>
        <v>114.03777168372774</v>
      </c>
      <c r="J210">
        <f t="shared" si="225"/>
        <v>98.590627599454677</v>
      </c>
      <c r="K210">
        <f t="shared" si="225"/>
        <v>80.435696107140245</v>
      </c>
      <c r="L210">
        <f t="shared" si="208"/>
        <v>260.59336297621672</v>
      </c>
      <c r="M210">
        <f t="shared" si="209"/>
        <v>19.166637023783267</v>
      </c>
      <c r="N210">
        <f t="shared" si="210"/>
        <v>367.35997480145949</v>
      </c>
    </row>
    <row r="211" spans="1:14" x14ac:dyDescent="0.45">
      <c r="A211" s="22">
        <v>42570</v>
      </c>
      <c r="B211">
        <v>260.94</v>
      </c>
      <c r="C211">
        <v>259.82</v>
      </c>
      <c r="G211">
        <f t="shared" ref="G211:K211" si="226">SUMPRODUCT($B211:$B215,P$2:P$6)</f>
        <v>156.3088078921021</v>
      </c>
      <c r="H211">
        <f t="shared" si="226"/>
        <v>132.81828345318232</v>
      </c>
      <c r="I211">
        <f t="shared" si="226"/>
        <v>114.50444134138436</v>
      </c>
      <c r="J211">
        <f t="shared" si="226"/>
        <v>98.994378597946223</v>
      </c>
      <c r="K211">
        <f t="shared" si="226"/>
        <v>80.764067755863238</v>
      </c>
      <c r="L211">
        <f t="shared" si="208"/>
        <v>261.62311672597974</v>
      </c>
      <c r="M211">
        <f t="shared" si="209"/>
        <v>-1.7531167259797371</v>
      </c>
      <c r="N211">
        <f t="shared" si="210"/>
        <v>3.0734182549099125</v>
      </c>
    </row>
    <row r="212" spans="1:14" x14ac:dyDescent="0.45">
      <c r="A212" s="22">
        <v>42569</v>
      </c>
      <c r="B212">
        <v>260.04000000000002</v>
      </c>
      <c r="C212">
        <v>261.5</v>
      </c>
      <c r="G212">
        <f t="shared" ref="G212:K212" si="227">SUMPRODUCT($B212:$B216,P$2:P$6)</f>
        <v>155.75844580310715</v>
      </c>
      <c r="H212">
        <f t="shared" si="227"/>
        <v>132.35070947135185</v>
      </c>
      <c r="I212">
        <f t="shared" si="227"/>
        <v>114.1021951059857</v>
      </c>
      <c r="J212">
        <f t="shared" si="227"/>
        <v>98.64736830577985</v>
      </c>
      <c r="K212">
        <f t="shared" si="227"/>
        <v>80.47833821238018</v>
      </c>
      <c r="L212">
        <f t="shared" si="208"/>
        <v>260.73349881629281</v>
      </c>
      <c r="M212">
        <f t="shared" si="209"/>
        <v>0.20650118370718928</v>
      </c>
      <c r="N212">
        <f t="shared" si="210"/>
        <v>4.2642738872470339E-2</v>
      </c>
    </row>
    <row r="213" spans="1:14" x14ac:dyDescent="0.45">
      <c r="A213" s="22">
        <v>42566</v>
      </c>
      <c r="B213">
        <v>254.12</v>
      </c>
      <c r="C213">
        <v>260.3</v>
      </c>
      <c r="G213">
        <f t="shared" ref="G213:K213" si="228">SUMPRODUCT($B213:$B217,P$2:P$6)</f>
        <v>152.22360406617909</v>
      </c>
      <c r="H213">
        <f t="shared" si="228"/>
        <v>129.3470157624925</v>
      </c>
      <c r="I213">
        <f t="shared" si="228"/>
        <v>111.51180596317367</v>
      </c>
      <c r="J213">
        <f t="shared" si="228"/>
        <v>96.407101378039911</v>
      </c>
      <c r="K213">
        <f t="shared" si="228"/>
        <v>78.653276348237924</v>
      </c>
      <c r="L213">
        <f t="shared" si="208"/>
        <v>255.01578589088146</v>
      </c>
      <c r="M213">
        <f t="shared" si="209"/>
        <v>5.0242141091185601</v>
      </c>
      <c r="N213">
        <f t="shared" si="210"/>
        <v>25.242727414266007</v>
      </c>
    </row>
    <row r="214" spans="1:14" x14ac:dyDescent="0.45">
      <c r="A214" s="22">
        <v>42565</v>
      </c>
      <c r="B214">
        <v>253.3</v>
      </c>
      <c r="C214">
        <v>252.87</v>
      </c>
      <c r="G214">
        <f t="shared" ref="G214:K214" si="229">SUMPRODUCT($B214:$B218,P$2:P$6)</f>
        <v>151.73633874877274</v>
      </c>
      <c r="H214">
        <f t="shared" si="229"/>
        <v>128.93295084636748</v>
      </c>
      <c r="I214">
        <f t="shared" si="229"/>
        <v>111.1545341545461</v>
      </c>
      <c r="J214">
        <f t="shared" si="229"/>
        <v>96.097959204241462</v>
      </c>
      <c r="K214">
        <f t="shared" si="229"/>
        <v>78.401984234885404</v>
      </c>
      <c r="L214">
        <f t="shared" si="208"/>
        <v>254.22750682683514</v>
      </c>
      <c r="M214">
        <f t="shared" si="209"/>
        <v>-0.10750682683513446</v>
      </c>
      <c r="N214">
        <f t="shared" si="210"/>
        <v>1.1557717816159586E-2</v>
      </c>
    </row>
    <row r="215" spans="1:14" x14ac:dyDescent="0.45">
      <c r="A215" s="22">
        <v>42564</v>
      </c>
      <c r="B215">
        <v>254.24</v>
      </c>
      <c r="C215">
        <v>251.19</v>
      </c>
      <c r="G215">
        <f t="shared" ref="G215:K215" si="230">SUMPRODUCT($B215:$B219,P$2:P$6)</f>
        <v>152.29629335574353</v>
      </c>
      <c r="H215">
        <f t="shared" si="230"/>
        <v>129.40877465279672</v>
      </c>
      <c r="I215">
        <f t="shared" si="230"/>
        <v>111.56498615983327</v>
      </c>
      <c r="J215">
        <f t="shared" si="230"/>
        <v>96.45302134722445</v>
      </c>
      <c r="K215">
        <f t="shared" si="230"/>
        <v>78.690932155756201</v>
      </c>
      <c r="L215">
        <f t="shared" si="208"/>
        <v>255.13331133792235</v>
      </c>
      <c r="M215">
        <f t="shared" si="209"/>
        <v>-1.8333113379223391</v>
      </c>
      <c r="N215">
        <f t="shared" si="210"/>
        <v>3.3610304617545972</v>
      </c>
    </row>
    <row r="216" spans="1:14" x14ac:dyDescent="0.45">
      <c r="A216" s="22">
        <v>42563</v>
      </c>
      <c r="B216">
        <v>253.78</v>
      </c>
      <c r="C216">
        <v>253.36</v>
      </c>
      <c r="G216">
        <f t="shared" ref="G216:K216" si="231">SUMPRODUCT($B216:$B220,P$2:P$6)</f>
        <v>152.02058300434416</v>
      </c>
      <c r="H216">
        <f t="shared" si="231"/>
        <v>129.17449977836245</v>
      </c>
      <c r="I216">
        <f t="shared" si="231"/>
        <v>111.36302499148421</v>
      </c>
      <c r="J216">
        <f t="shared" si="231"/>
        <v>96.278424790096011</v>
      </c>
      <c r="K216">
        <f t="shared" si="231"/>
        <v>78.548454459592364</v>
      </c>
      <c r="L216">
        <f t="shared" si="208"/>
        <v>254.68738812849679</v>
      </c>
      <c r="M216">
        <f t="shared" si="209"/>
        <v>-0.44738812849678311</v>
      </c>
      <c r="N216">
        <f t="shared" si="210"/>
        <v>0.20015613751985412</v>
      </c>
    </row>
    <row r="217" spans="1:14" x14ac:dyDescent="0.45">
      <c r="A217" s="22">
        <v>42562</v>
      </c>
      <c r="B217">
        <v>253.25</v>
      </c>
      <c r="C217">
        <v>252.54</v>
      </c>
      <c r="G217">
        <f t="shared" ref="G217:K217" si="232">SUMPRODUCT($B217:$B221,P$2:P$6)</f>
        <v>151.69394336487952</v>
      </c>
      <c r="H217">
        <f t="shared" si="232"/>
        <v>128.89701104556565</v>
      </c>
      <c r="I217">
        <f t="shared" si="232"/>
        <v>111.12449731700865</v>
      </c>
      <c r="J217">
        <f t="shared" si="232"/>
        <v>96.072819201373321</v>
      </c>
      <c r="K217">
        <f t="shared" si="232"/>
        <v>78.378573435694122</v>
      </c>
      <c r="L217">
        <f t="shared" si="208"/>
        <v>254.15951762613193</v>
      </c>
      <c r="M217">
        <f t="shared" si="209"/>
        <v>-0.37951762613192841</v>
      </c>
      <c r="N217">
        <f t="shared" si="210"/>
        <v>0.14403362854481419</v>
      </c>
    </row>
    <row r="218" spans="1:14" x14ac:dyDescent="0.45">
      <c r="A218" s="22">
        <v>42559</v>
      </c>
      <c r="B218">
        <v>248.63</v>
      </c>
      <c r="C218">
        <v>251.3</v>
      </c>
      <c r="G218">
        <f t="shared" ref="G218:K218" si="233">SUMPRODUCT($B218:$B222,P$2:P$6)</f>
        <v>148.933655031738</v>
      </c>
      <c r="H218">
        <f t="shared" si="233"/>
        <v>126.55149796277423</v>
      </c>
      <c r="I218">
        <f t="shared" si="233"/>
        <v>109.10185104860066</v>
      </c>
      <c r="J218">
        <f t="shared" si="233"/>
        <v>94.32366939269609</v>
      </c>
      <c r="K218">
        <f t="shared" si="233"/>
        <v>76.953214833081461</v>
      </c>
      <c r="L218">
        <f t="shared" si="208"/>
        <v>249.69474659407891</v>
      </c>
      <c r="M218">
        <f t="shared" si="209"/>
        <v>3.5552534059210927</v>
      </c>
      <c r="N218">
        <f t="shared" si="210"/>
        <v>12.63982678031353</v>
      </c>
    </row>
    <row r="219" spans="1:14" x14ac:dyDescent="0.45">
      <c r="A219" s="22">
        <v>42558</v>
      </c>
      <c r="B219">
        <v>247.24</v>
      </c>
      <c r="C219">
        <v>247.27</v>
      </c>
      <c r="G219">
        <f t="shared" ref="G219:K219" si="234">SUMPRODUCT($B219:$B223,P$2:P$6)</f>
        <v>148.09158123651463</v>
      </c>
      <c r="H219">
        <f t="shared" si="234"/>
        <v>125.83603858424596</v>
      </c>
      <c r="I219">
        <f t="shared" si="234"/>
        <v>108.48576122700193</v>
      </c>
      <c r="J219">
        <f t="shared" si="234"/>
        <v>93.791659639809822</v>
      </c>
      <c r="K219">
        <f t="shared" si="234"/>
        <v>76.516977976677026</v>
      </c>
      <c r="L219">
        <f t="shared" si="208"/>
        <v>248.33323403860095</v>
      </c>
      <c r="M219">
        <f t="shared" si="209"/>
        <v>0.29676596139904632</v>
      </c>
      <c r="N219">
        <f t="shared" si="210"/>
        <v>8.8070035845100245E-2</v>
      </c>
    </row>
    <row r="220" spans="1:14" x14ac:dyDescent="0.45">
      <c r="A220" s="22">
        <v>42557</v>
      </c>
      <c r="B220">
        <v>241.64</v>
      </c>
      <c r="C220">
        <v>247.48</v>
      </c>
      <c r="G220">
        <f t="shared" ref="G220:K220" si="235">SUMPRODUCT($B220:$B224,P$2:P$6)</f>
        <v>144.75621764453129</v>
      </c>
      <c r="H220">
        <f t="shared" si="235"/>
        <v>123.00179042089003</v>
      </c>
      <c r="I220">
        <f t="shared" si="235"/>
        <v>106.04085842966276</v>
      </c>
      <c r="J220">
        <f t="shared" si="235"/>
        <v>91.676649640994057</v>
      </c>
      <c r="K220">
        <f t="shared" si="235"/>
        <v>74.795928016268263</v>
      </c>
      <c r="L220">
        <f t="shared" si="208"/>
        <v>242.93778535974005</v>
      </c>
      <c r="M220">
        <f t="shared" si="209"/>
        <v>4.3022146402599617</v>
      </c>
      <c r="N220">
        <f t="shared" si="210"/>
        <v>18.509050810867151</v>
      </c>
    </row>
    <row r="221" spans="1:14" x14ac:dyDescent="0.45">
      <c r="A221" s="22">
        <v>42556</v>
      </c>
      <c r="B221">
        <v>244.62</v>
      </c>
      <c r="C221">
        <v>242.03</v>
      </c>
      <c r="G221">
        <f t="shared" ref="G221:K221" si="236">SUMPRODUCT($B221:$B225,P$2:P$6)</f>
        <v>146.53006859293203</v>
      </c>
      <c r="H221">
        <f t="shared" si="236"/>
        <v>124.50913836672706</v>
      </c>
      <c r="I221">
        <f t="shared" si="236"/>
        <v>107.34121615282784</v>
      </c>
      <c r="J221">
        <f t="shared" si="236"/>
        <v>92.801613538331267</v>
      </c>
      <c r="K221">
        <f t="shared" si="236"/>
        <v>75.711109956248819</v>
      </c>
      <c r="L221">
        <f t="shared" si="208"/>
        <v>245.80729798448414</v>
      </c>
      <c r="M221">
        <f t="shared" si="209"/>
        <v>-4.1672979844841507</v>
      </c>
      <c r="N221">
        <f t="shared" si="210"/>
        <v>17.366372491485663</v>
      </c>
    </row>
    <row r="222" spans="1:14" x14ac:dyDescent="0.45">
      <c r="A222" s="22">
        <v>42552</v>
      </c>
      <c r="B222">
        <v>242.57</v>
      </c>
      <c r="C222">
        <v>245.06</v>
      </c>
      <c r="G222">
        <f t="shared" ref="G222:K222" si="237">SUMPRODUCT($B222:$B226,P$2:P$6)</f>
        <v>145.29934949733027</v>
      </c>
      <c r="H222">
        <f t="shared" si="237"/>
        <v>123.46339318784113</v>
      </c>
      <c r="I222">
        <f t="shared" si="237"/>
        <v>106.4398743993996</v>
      </c>
      <c r="J222">
        <f t="shared" si="237"/>
        <v>92.022545270263933</v>
      </c>
      <c r="K222">
        <f t="shared" si="237"/>
        <v>75.074873363553422</v>
      </c>
      <c r="L222">
        <f t="shared" si="208"/>
        <v>243.81688583461226</v>
      </c>
      <c r="M222">
        <f t="shared" si="209"/>
        <v>0.80311416538773983</v>
      </c>
      <c r="N222">
        <f t="shared" si="210"/>
        <v>0.64499236264644588</v>
      </c>
    </row>
    <row r="223" spans="1:14" x14ac:dyDescent="0.45">
      <c r="A223" s="22">
        <v>42551</v>
      </c>
      <c r="B223">
        <v>239.31</v>
      </c>
      <c r="C223">
        <v>241.82</v>
      </c>
      <c r="G223">
        <f t="shared" ref="G223:K223" si="238">SUMPRODUCT($B223:$B227,P$2:P$6)</f>
        <v>143.33939532936265</v>
      </c>
      <c r="H223">
        <f t="shared" si="238"/>
        <v>121.79803660798329</v>
      </c>
      <c r="I223">
        <f t="shared" si="238"/>
        <v>105.00469405466929</v>
      </c>
      <c r="J223">
        <f t="shared" si="238"/>
        <v>90.782245973669305</v>
      </c>
      <c r="K223">
        <f t="shared" si="238"/>
        <v>74.061309780068626</v>
      </c>
      <c r="L223">
        <f t="shared" si="208"/>
        <v>240.64723304278198</v>
      </c>
      <c r="M223">
        <f t="shared" si="209"/>
        <v>1.9227669572180162</v>
      </c>
      <c r="N223">
        <f t="shared" si="210"/>
        <v>3.6970327717694285</v>
      </c>
    </row>
    <row r="224" spans="1:14" x14ac:dyDescent="0.45">
      <c r="A224" s="22">
        <v>42550</v>
      </c>
      <c r="B224">
        <v>232.87</v>
      </c>
      <c r="C224">
        <v>238.91</v>
      </c>
      <c r="G224">
        <f t="shared" ref="G224:K224" si="239">SUMPRODUCT($B224:$B228,P$2:P$6)</f>
        <v>139.47996517527616</v>
      </c>
      <c r="H224">
        <f t="shared" si="239"/>
        <v>118.51862621586469</v>
      </c>
      <c r="I224">
        <f t="shared" si="239"/>
        <v>102.17760423978619</v>
      </c>
      <c r="J224">
        <f t="shared" si="239"/>
        <v>88.338217063579037</v>
      </c>
      <c r="K224">
        <f t="shared" si="239"/>
        <v>72.066950278185459</v>
      </c>
      <c r="L224">
        <f t="shared" si="208"/>
        <v>234.40515371050282</v>
      </c>
      <c r="M224">
        <f t="shared" si="209"/>
        <v>4.9048462894971863</v>
      </c>
      <c r="N224">
        <f t="shared" si="210"/>
        <v>24.057517123594316</v>
      </c>
    </row>
    <row r="225" spans="1:14" x14ac:dyDescent="0.45">
      <c r="A225" s="22">
        <v>42549</v>
      </c>
      <c r="B225">
        <v>225.68</v>
      </c>
      <c r="C225">
        <v>228.52</v>
      </c>
      <c r="G225">
        <f t="shared" ref="G225:K225" si="240">SUMPRODUCT($B225:$B229,P$2:P$6)</f>
        <v>135.19198761774138</v>
      </c>
      <c r="H225">
        <f t="shared" si="240"/>
        <v>114.87492838229142</v>
      </c>
      <c r="I225">
        <f t="shared" si="240"/>
        <v>99.034877060503106</v>
      </c>
      <c r="J225">
        <f t="shared" si="240"/>
        <v>85.61991908021713</v>
      </c>
      <c r="K225">
        <f t="shared" si="240"/>
        <v>69.85366847132822</v>
      </c>
      <c r="L225">
        <f t="shared" si="208"/>
        <v>227.46897662271724</v>
      </c>
      <c r="M225">
        <f t="shared" si="209"/>
        <v>5.4010233772827689</v>
      </c>
      <c r="N225">
        <f t="shared" si="210"/>
        <v>29.171053521954967</v>
      </c>
    </row>
    <row r="226" spans="1:14" x14ac:dyDescent="0.45">
      <c r="A226" s="22">
        <v>42548</v>
      </c>
      <c r="B226">
        <v>227</v>
      </c>
      <c r="C226">
        <v>224.6</v>
      </c>
      <c r="G226">
        <f t="shared" ref="G226:K226" si="241">SUMPRODUCT($B226:$B230,P$2:P$6)</f>
        <v>135.99094313190113</v>
      </c>
      <c r="H226">
        <f t="shared" si="241"/>
        <v>115.55375673219777</v>
      </c>
      <c r="I226">
        <f t="shared" si="241"/>
        <v>99.619478320181443</v>
      </c>
      <c r="J226">
        <f t="shared" si="241"/>
        <v>86.124785236842172</v>
      </c>
      <c r="K226">
        <f t="shared" si="241"/>
        <v>70.267482752138335</v>
      </c>
      <c r="L226">
        <f t="shared" si="208"/>
        <v>228.76080615957108</v>
      </c>
      <c r="M226">
        <f t="shared" si="209"/>
        <v>-3.0808061595710683</v>
      </c>
      <c r="N226">
        <f t="shared" si="210"/>
        <v>9.4913665928510351</v>
      </c>
    </row>
    <row r="227" spans="1:14" x14ac:dyDescent="0.45">
      <c r="A227" s="22">
        <v>42545</v>
      </c>
      <c r="B227">
        <v>232</v>
      </c>
      <c r="C227">
        <v>229.02</v>
      </c>
      <c r="G227">
        <f t="shared" ref="G227:K227" si="242">SUMPRODUCT($B227:$B231,P$2:P$6)</f>
        <v>138.98649472704736</v>
      </c>
      <c r="H227">
        <f t="shared" si="242"/>
        <v>118.09912532140102</v>
      </c>
      <c r="I227">
        <f t="shared" si="242"/>
        <v>101.81384082115748</v>
      </c>
      <c r="J227">
        <f t="shared" si="242"/>
        <v>88.021882626123528</v>
      </c>
      <c r="K227">
        <f t="shared" si="242"/>
        <v>71.815324374841026</v>
      </c>
      <c r="L227">
        <f t="shared" si="208"/>
        <v>233.60573054502515</v>
      </c>
      <c r="M227">
        <f t="shared" si="209"/>
        <v>-6.6057305450251533</v>
      </c>
      <c r="N227">
        <f t="shared" si="210"/>
        <v>43.635676033478312</v>
      </c>
    </row>
    <row r="228" spans="1:14" x14ac:dyDescent="0.45">
      <c r="A228" s="22">
        <v>42544</v>
      </c>
      <c r="B228">
        <v>237.18</v>
      </c>
      <c r="C228">
        <v>238.62</v>
      </c>
      <c r="G228">
        <f t="shared" ref="G228:K228" si="243">SUMPRODUCT($B228:$B232,P$2:P$6)</f>
        <v>142.0699972519684</v>
      </c>
      <c r="H228">
        <f t="shared" si="243"/>
        <v>120.71936470929694</v>
      </c>
      <c r="I228">
        <f t="shared" si="243"/>
        <v>104.07426261711771</v>
      </c>
      <c r="J228">
        <f t="shared" si="243"/>
        <v>89.977416112773582</v>
      </c>
      <c r="K228">
        <f t="shared" si="243"/>
        <v>73.406205959491629</v>
      </c>
      <c r="L228">
        <f t="shared" si="208"/>
        <v>238.59383485155368</v>
      </c>
      <c r="M228">
        <f t="shared" si="209"/>
        <v>-6.5938348515536802</v>
      </c>
      <c r="N228">
        <f t="shared" si="210"/>
        <v>43.478658049563947</v>
      </c>
    </row>
    <row r="229" spans="1:14" x14ac:dyDescent="0.45">
      <c r="A229" s="22">
        <v>42543</v>
      </c>
      <c r="B229">
        <v>233.66</v>
      </c>
      <c r="C229">
        <v>234.6</v>
      </c>
      <c r="G229">
        <f t="shared" ref="G229:K229" si="244">SUMPRODUCT($B229:$B233,P$2:P$6)</f>
        <v>139.97900409398267</v>
      </c>
      <c r="H229">
        <f t="shared" si="244"/>
        <v>118.94249097414246</v>
      </c>
      <c r="I229">
        <f t="shared" si="244"/>
        <v>102.54105735939619</v>
      </c>
      <c r="J229">
        <f t="shared" si="244"/>
        <v>88.650716718230129</v>
      </c>
      <c r="K229">
        <f t="shared" si="244"/>
        <v>72.327923701444902</v>
      </c>
      <c r="L229">
        <f t="shared" si="208"/>
        <v>235.2110808115105</v>
      </c>
      <c r="M229">
        <f t="shared" si="209"/>
        <v>1.9689191884895081</v>
      </c>
      <c r="N229">
        <f t="shared" si="210"/>
        <v>3.8766427708021829</v>
      </c>
    </row>
    <row r="230" spans="1:14" x14ac:dyDescent="0.45">
      <c r="A230" s="22">
        <v>42542</v>
      </c>
      <c r="B230">
        <v>238</v>
      </c>
      <c r="C230">
        <v>233</v>
      </c>
      <c r="G230">
        <f t="shared" ref="G230:K230" si="245">SUMPRODUCT($B230:$B234,P$2:P$6)</f>
        <v>142.57579412753347</v>
      </c>
      <c r="H230">
        <f t="shared" si="245"/>
        <v>121.14904711340016</v>
      </c>
      <c r="I230">
        <f t="shared" si="245"/>
        <v>104.44358685098159</v>
      </c>
      <c r="J230">
        <f t="shared" si="245"/>
        <v>90.295739771492322</v>
      </c>
      <c r="K230">
        <f t="shared" si="245"/>
        <v>73.669314871617857</v>
      </c>
      <c r="L230">
        <f t="shared" si="208"/>
        <v>239.41121630966194</v>
      </c>
      <c r="M230">
        <f t="shared" si="209"/>
        <v>-5.7512163096619418</v>
      </c>
      <c r="N230">
        <f t="shared" si="210"/>
        <v>33.076489040521523</v>
      </c>
    </row>
    <row r="231" spans="1:14" x14ac:dyDescent="0.45">
      <c r="A231" s="22">
        <v>42541</v>
      </c>
      <c r="B231">
        <v>241</v>
      </c>
      <c r="C231">
        <v>237.39</v>
      </c>
      <c r="G231">
        <f t="shared" ref="G231:K231" si="246">SUMPRODUCT($B231:$B235,P$2:P$6)</f>
        <v>144.36901143680774</v>
      </c>
      <c r="H231">
        <f t="shared" si="246"/>
        <v>122.67280178808937</v>
      </c>
      <c r="I231">
        <f t="shared" si="246"/>
        <v>105.75752825144748</v>
      </c>
      <c r="J231">
        <f t="shared" si="246"/>
        <v>91.431958608578981</v>
      </c>
      <c r="K231">
        <f t="shared" si="246"/>
        <v>74.595396744255652</v>
      </c>
      <c r="L231">
        <f t="shared" si="208"/>
        <v>242.31171014324016</v>
      </c>
      <c r="M231">
        <f t="shared" si="209"/>
        <v>-4.3117101432401626</v>
      </c>
      <c r="N231">
        <f t="shared" si="210"/>
        <v>18.590844359320101</v>
      </c>
    </row>
    <row r="232" spans="1:14" x14ac:dyDescent="0.45">
      <c r="A232" s="22">
        <v>42538</v>
      </c>
      <c r="B232">
        <v>242.27</v>
      </c>
      <c r="C232">
        <v>238.21</v>
      </c>
      <c r="G232">
        <f t="shared" ref="G232:K232" si="247">SUMPRODUCT($B232:$B236,P$2:P$6)</f>
        <v>145.11494054035276</v>
      </c>
      <c r="H232">
        <f t="shared" si="247"/>
        <v>123.30673323432259</v>
      </c>
      <c r="I232">
        <f t="shared" si="247"/>
        <v>106.30517834833223</v>
      </c>
      <c r="J232">
        <f t="shared" si="247"/>
        <v>91.906417194966338</v>
      </c>
      <c r="K232">
        <f t="shared" si="247"/>
        <v>74.979021265225327</v>
      </c>
      <c r="L232">
        <f t="shared" si="208"/>
        <v>243.51885609891653</v>
      </c>
      <c r="M232">
        <f t="shared" si="209"/>
        <v>-2.5188560989165296</v>
      </c>
      <c r="N232">
        <f t="shared" si="210"/>
        <v>6.344636047048998</v>
      </c>
    </row>
    <row r="233" spans="1:14" x14ac:dyDescent="0.45">
      <c r="A233" s="22">
        <v>42537</v>
      </c>
      <c r="B233">
        <v>236.91</v>
      </c>
      <c r="C233">
        <v>242.19</v>
      </c>
      <c r="G233">
        <f t="shared" ref="G233:K233" si="248">SUMPRODUCT($B233:$B237,P$2:P$6)</f>
        <v>141.92837983715805</v>
      </c>
      <c r="H233">
        <f t="shared" si="248"/>
        <v>120.59889144971153</v>
      </c>
      <c r="I233">
        <f t="shared" si="248"/>
        <v>103.96887124816823</v>
      </c>
      <c r="J233">
        <f t="shared" si="248"/>
        <v>89.884961289007293</v>
      </c>
      <c r="K233">
        <f t="shared" si="248"/>
        <v>73.33546645875694</v>
      </c>
      <c r="L233">
        <f t="shared" si="208"/>
        <v>238.36384638092042</v>
      </c>
      <c r="M233">
        <f t="shared" si="209"/>
        <v>3.9061536190795891</v>
      </c>
      <c r="N233">
        <f t="shared" si="210"/>
        <v>15.258036095848572</v>
      </c>
    </row>
    <row r="234" spans="1:14" x14ac:dyDescent="0.45">
      <c r="A234" s="22">
        <v>42536</v>
      </c>
      <c r="B234">
        <v>242.38</v>
      </c>
      <c r="C234">
        <v>238.91</v>
      </c>
      <c r="G234">
        <f t="shared" ref="G234:K234" si="249">SUMPRODUCT($B234:$B238,P$2:P$6)</f>
        <v>145.19500105445252</v>
      </c>
      <c r="H234">
        <f t="shared" si="249"/>
        <v>123.37466468031262</v>
      </c>
      <c r="I234">
        <f t="shared" si="249"/>
        <v>106.36266663244918</v>
      </c>
      <c r="J234">
        <f t="shared" si="249"/>
        <v>91.95517684650126</v>
      </c>
      <c r="K234">
        <f t="shared" si="249"/>
        <v>75.022101986445847</v>
      </c>
      <c r="L234">
        <f t="shared" si="208"/>
        <v>243.64768426309209</v>
      </c>
      <c r="M234">
        <f t="shared" si="209"/>
        <v>-6.7376842630920919</v>
      </c>
      <c r="N234">
        <f t="shared" si="210"/>
        <v>45.396389229118824</v>
      </c>
    </row>
    <row r="235" spans="1:14" x14ac:dyDescent="0.45">
      <c r="A235" s="22">
        <v>42535</v>
      </c>
      <c r="B235">
        <v>243.35</v>
      </c>
      <c r="C235">
        <v>241.7</v>
      </c>
      <c r="G235">
        <f t="shared" ref="G235:K235" si="250">SUMPRODUCT($B235:$B239,P$2:P$6)</f>
        <v>145.77928278875845</v>
      </c>
      <c r="H235">
        <f t="shared" si="250"/>
        <v>123.87111721495118</v>
      </c>
      <c r="I235">
        <f t="shared" si="250"/>
        <v>106.79041898828672</v>
      </c>
      <c r="J235">
        <f t="shared" si="250"/>
        <v>92.324773478657264</v>
      </c>
      <c r="K235">
        <f t="shared" si="250"/>
        <v>75.32438852062468</v>
      </c>
      <c r="L235">
        <f t="shared" si="208"/>
        <v>244.5925394016644</v>
      </c>
      <c r="M235">
        <f t="shared" si="209"/>
        <v>-2.2125394016644009</v>
      </c>
      <c r="N235">
        <f t="shared" si="210"/>
        <v>4.8953306039174649</v>
      </c>
    </row>
    <row r="236" spans="1:14" x14ac:dyDescent="0.45">
      <c r="A236" s="22">
        <v>42534</v>
      </c>
      <c r="B236">
        <v>245.76</v>
      </c>
      <c r="C236">
        <v>244.35</v>
      </c>
      <c r="G236">
        <f t="shared" ref="G236:K236" si="251">SUMPRODUCT($B236:$B240,P$2:P$6)</f>
        <v>147.22289971690046</v>
      </c>
      <c r="H236">
        <f t="shared" si="251"/>
        <v>125.09778346457283</v>
      </c>
      <c r="I236">
        <f t="shared" si="251"/>
        <v>107.84794931592872</v>
      </c>
      <c r="J236">
        <f t="shared" si="251"/>
        <v>93.239062453097048</v>
      </c>
      <c r="K236">
        <f t="shared" si="251"/>
        <v>76.070295820274978</v>
      </c>
      <c r="L236">
        <f t="shared" si="208"/>
        <v>246.92742103382591</v>
      </c>
      <c r="M236">
        <f t="shared" si="209"/>
        <v>-3.5774210338259138</v>
      </c>
      <c r="N236">
        <f t="shared" si="210"/>
        <v>12.79794125326007</v>
      </c>
    </row>
    <row r="237" spans="1:14" x14ac:dyDescent="0.45">
      <c r="A237" s="22">
        <v>42531</v>
      </c>
      <c r="B237">
        <v>248.15</v>
      </c>
      <c r="C237">
        <v>246.13</v>
      </c>
      <c r="G237">
        <f t="shared" ref="G237:K237" si="252">SUMPRODUCT($B237:$B241,P$2:P$6)</f>
        <v>148.66039990063024</v>
      </c>
      <c r="H237">
        <f t="shared" si="252"/>
        <v>126.31921284038214</v>
      </c>
      <c r="I237">
        <f t="shared" si="252"/>
        <v>108.90052359644469</v>
      </c>
      <c r="J237">
        <f t="shared" si="252"/>
        <v>94.148683330018784</v>
      </c>
      <c r="K237">
        <f t="shared" si="252"/>
        <v>76.813751912961308</v>
      </c>
      <c r="L237">
        <f t="shared" si="208"/>
        <v>249.25214233547027</v>
      </c>
      <c r="M237">
        <f t="shared" si="209"/>
        <v>-3.4921423354702767</v>
      </c>
      <c r="N237">
        <f t="shared" si="210"/>
        <v>12.1950580911838</v>
      </c>
    </row>
    <row r="238" spans="1:14" x14ac:dyDescent="0.45">
      <c r="A238" s="22">
        <v>42530</v>
      </c>
      <c r="B238">
        <v>253.14</v>
      </c>
      <c r="C238">
        <v>250.46</v>
      </c>
      <c r="G238">
        <f t="shared" ref="G238:K238" si="253">SUMPRODUCT($B238:$B242,P$2:P$6)</f>
        <v>151.64262019459105</v>
      </c>
      <c r="H238">
        <f t="shared" si="253"/>
        <v>128.85330791214085</v>
      </c>
      <c r="I238">
        <f t="shared" si="253"/>
        <v>111.08572150652208</v>
      </c>
      <c r="J238">
        <f t="shared" si="253"/>
        <v>96.038345541774262</v>
      </c>
      <c r="K238">
        <f t="shared" si="253"/>
        <v>78.353817315470494</v>
      </c>
      <c r="L238">
        <f t="shared" si="208"/>
        <v>254.0758489410228</v>
      </c>
      <c r="M238">
        <f t="shared" si="209"/>
        <v>-5.9258489410227924</v>
      </c>
      <c r="N238">
        <f t="shared" si="210"/>
        <v>35.115685671820948</v>
      </c>
    </row>
    <row r="239" spans="1:14" x14ac:dyDescent="0.45">
      <c r="A239" s="22">
        <v>42529</v>
      </c>
      <c r="B239">
        <v>255.03</v>
      </c>
      <c r="C239">
        <v>254.17</v>
      </c>
      <c r="G239">
        <f t="shared" ref="G239:K239" si="254">SUMPRODUCT($B239:$B243,P$2:P$6)</f>
        <v>152.79163939148364</v>
      </c>
      <c r="H239">
        <f t="shared" si="254"/>
        <v>129.82953209757653</v>
      </c>
      <c r="I239">
        <f t="shared" si="254"/>
        <v>111.92605232641057</v>
      </c>
      <c r="J239">
        <f t="shared" si="254"/>
        <v>96.76372297925947</v>
      </c>
      <c r="K239">
        <f t="shared" si="254"/>
        <v>78.949550782158568</v>
      </c>
      <c r="L239">
        <f t="shared" si="208"/>
        <v>255.93345780556416</v>
      </c>
      <c r="M239">
        <f t="shared" si="209"/>
        <v>-2.7934578055641737</v>
      </c>
      <c r="N239">
        <f t="shared" si="210"/>
        <v>7.8034065114674087</v>
      </c>
    </row>
    <row r="240" spans="1:14" x14ac:dyDescent="0.45">
      <c r="A240" s="22">
        <v>42528</v>
      </c>
      <c r="B240">
        <v>264.45</v>
      </c>
      <c r="C240">
        <v>252.86</v>
      </c>
      <c r="G240">
        <f t="shared" ref="G240:K240" si="255">SUMPRODUCT($B240:$B244,P$2:P$6)</f>
        <v>158.47060033720987</v>
      </c>
      <c r="H240">
        <f t="shared" si="255"/>
        <v>134.6547904773231</v>
      </c>
      <c r="I240">
        <f t="shared" si="255"/>
        <v>116.08321812449795</v>
      </c>
      <c r="J240">
        <f t="shared" si="255"/>
        <v>100.35536784649796</v>
      </c>
      <c r="K240">
        <f t="shared" si="255"/>
        <v>81.888220347569529</v>
      </c>
      <c r="L240">
        <f t="shared" si="208"/>
        <v>265.11679839405673</v>
      </c>
      <c r="M240">
        <f t="shared" si="209"/>
        <v>-10.086798394056729</v>
      </c>
      <c r="N240">
        <f t="shared" si="210"/>
        <v>101.7435018423454</v>
      </c>
    </row>
    <row r="241" spans="1:14" x14ac:dyDescent="0.45">
      <c r="A241" s="22">
        <v>42527</v>
      </c>
      <c r="B241">
        <v>290</v>
      </c>
      <c r="C241">
        <v>289.83999999999997</v>
      </c>
      <c r="G241">
        <f t="shared" ref="G241:K241" si="256">SUMPRODUCT($B241:$B245,P$2:P$6)</f>
        <v>173.71752996646919</v>
      </c>
      <c r="H241">
        <f t="shared" si="256"/>
        <v>147.61076727800796</v>
      </c>
      <c r="I241">
        <f t="shared" si="256"/>
        <v>127.25715512099198</v>
      </c>
      <c r="J241">
        <f t="shared" si="256"/>
        <v>110.01961372161996</v>
      </c>
      <c r="K241">
        <f t="shared" si="256"/>
        <v>89.759215371515182</v>
      </c>
      <c r="L241">
        <f t="shared" si="208"/>
        <v>289.77958746904699</v>
      </c>
      <c r="M241">
        <f t="shared" si="209"/>
        <v>-25.329587469046999</v>
      </c>
      <c r="N241">
        <f t="shared" si="210"/>
        <v>641.58800135210276</v>
      </c>
    </row>
    <row r="242" spans="1:14" x14ac:dyDescent="0.45">
      <c r="A242" s="22">
        <v>42524</v>
      </c>
      <c r="B242">
        <v>289.51</v>
      </c>
      <c r="C242">
        <v>290.23</v>
      </c>
      <c r="G242">
        <f t="shared" ref="G242:K242" si="257">SUMPRODUCT($B242:$B246,P$2:P$6)</f>
        <v>173.41921583311904</v>
      </c>
      <c r="H242">
        <f t="shared" si="257"/>
        <v>147.35731741311722</v>
      </c>
      <c r="I242">
        <f t="shared" si="257"/>
        <v>127.03901680900671</v>
      </c>
      <c r="J242">
        <f t="shared" si="257"/>
        <v>109.83134161513277</v>
      </c>
      <c r="K242">
        <f t="shared" si="257"/>
        <v>89.60449796724329</v>
      </c>
      <c r="L242">
        <f t="shared" si="208"/>
        <v>289.2973233284078</v>
      </c>
      <c r="M242">
        <f t="shared" si="209"/>
        <v>0.70267667159220082</v>
      </c>
      <c r="N242">
        <f t="shared" si="210"/>
        <v>0.49375450479989363</v>
      </c>
    </row>
    <row r="243" spans="1:14" x14ac:dyDescent="0.45">
      <c r="A243" s="22">
        <v>42523</v>
      </c>
      <c r="B243">
        <v>286.88</v>
      </c>
      <c r="C243">
        <v>289.73</v>
      </c>
      <c r="G243">
        <f t="shared" ref="G243:K243" si="258">SUMPRODUCT($B243:$B247,P$2:P$6)</f>
        <v>171.85209337091715</v>
      </c>
      <c r="H243">
        <f t="shared" si="258"/>
        <v>146.02564890170885</v>
      </c>
      <c r="I243">
        <f t="shared" si="258"/>
        <v>125.89033525788817</v>
      </c>
      <c r="J243">
        <f t="shared" si="258"/>
        <v>108.83769935278774</v>
      </c>
      <c r="K243">
        <f t="shared" si="258"/>
        <v>88.795777392777282</v>
      </c>
      <c r="L243">
        <f t="shared" si="208"/>
        <v>286.7623014796095</v>
      </c>
      <c r="M243">
        <f t="shared" si="209"/>
        <v>2.747698520390486</v>
      </c>
      <c r="N243">
        <f t="shared" si="210"/>
        <v>7.5498471589560658</v>
      </c>
    </row>
    <row r="244" spans="1:14" x14ac:dyDescent="0.45">
      <c r="A244" s="22">
        <v>42522</v>
      </c>
      <c r="B244">
        <v>287.97000000000003</v>
      </c>
      <c r="C244">
        <v>286.82</v>
      </c>
      <c r="G244">
        <f t="shared" ref="G244:K244" si="259">SUMPRODUCT($B244:$B248,P$2:P$6)</f>
        <v>172.49594906497953</v>
      </c>
      <c r="H244">
        <f t="shared" si="259"/>
        <v>146.57280645548283</v>
      </c>
      <c r="I244">
        <f t="shared" si="259"/>
        <v>126.36273610580632</v>
      </c>
      <c r="J244">
        <f t="shared" si="259"/>
        <v>109.24671399773189</v>
      </c>
      <c r="K244">
        <f t="shared" si="259"/>
        <v>89.127356637757757</v>
      </c>
      <c r="L244">
        <f t="shared" si="208"/>
        <v>287.80408295515565</v>
      </c>
      <c r="M244">
        <f t="shared" si="209"/>
        <v>-0.92408295515565442</v>
      </c>
      <c r="N244">
        <f t="shared" si="210"/>
        <v>0.85392930800920719</v>
      </c>
    </row>
    <row r="245" spans="1:14" x14ac:dyDescent="0.45">
      <c r="A245" s="22">
        <v>42521</v>
      </c>
      <c r="B245">
        <v>285</v>
      </c>
      <c r="C245">
        <v>289.73</v>
      </c>
      <c r="G245">
        <f t="shared" ref="G245:K245" si="260">SUMPRODUCT($B245:$B249,P$2:P$6)</f>
        <v>170.71676357295217</v>
      </c>
      <c r="H245">
        <f t="shared" si="260"/>
        <v>145.06100207653176</v>
      </c>
      <c r="I245">
        <f t="shared" si="260"/>
        <v>125.05939463029449</v>
      </c>
      <c r="J245">
        <f t="shared" si="260"/>
        <v>108.1199189233765</v>
      </c>
      <c r="K245">
        <f t="shared" si="260"/>
        <v>88.208048490220364</v>
      </c>
      <c r="L245">
        <f t="shared" si="208"/>
        <v>284.9264656291067</v>
      </c>
      <c r="M245">
        <f t="shared" si="209"/>
        <v>3.043534370893326</v>
      </c>
      <c r="N245">
        <f t="shared" si="210"/>
        <v>9.263101466809033</v>
      </c>
    </row>
    <row r="246" spans="1:14" x14ac:dyDescent="0.45">
      <c r="A246" s="22">
        <v>42517</v>
      </c>
      <c r="B246">
        <v>282</v>
      </c>
      <c r="C246">
        <v>282.79000000000002</v>
      </c>
      <c r="G246">
        <f t="shared" ref="G246:K246" si="261">SUMPRODUCT($B246:$B250,P$2:P$6)</f>
        <v>168.92086053061144</v>
      </c>
      <c r="H246">
        <f t="shared" si="261"/>
        <v>143.53498357163201</v>
      </c>
      <c r="I246">
        <f t="shared" si="261"/>
        <v>123.74370565044673</v>
      </c>
      <c r="J246">
        <f t="shared" si="261"/>
        <v>106.98236761770185</v>
      </c>
      <c r="K246">
        <f t="shared" si="261"/>
        <v>87.28025403805016</v>
      </c>
      <c r="L246">
        <f t="shared" si="208"/>
        <v>282.02175290905041</v>
      </c>
      <c r="M246">
        <f t="shared" si="209"/>
        <v>2.9782470909495942</v>
      </c>
      <c r="N246">
        <f t="shared" si="210"/>
        <v>8.8699557347497198</v>
      </c>
    </row>
    <row r="247" spans="1:14" x14ac:dyDescent="0.45">
      <c r="A247" s="22">
        <v>42516</v>
      </c>
      <c r="B247">
        <v>279.52999999999997</v>
      </c>
      <c r="C247">
        <v>282</v>
      </c>
      <c r="G247">
        <f t="shared" ref="G247:K247" si="262">SUMPRODUCT($B247:$B251,P$2:P$6)</f>
        <v>167.4338041461699</v>
      </c>
      <c r="H247">
        <f t="shared" si="262"/>
        <v>142.27145789588911</v>
      </c>
      <c r="I247">
        <f t="shared" si="262"/>
        <v>122.65497103718158</v>
      </c>
      <c r="J247">
        <f t="shared" si="262"/>
        <v>106.0416037100388</v>
      </c>
      <c r="K247">
        <f t="shared" si="262"/>
        <v>86.510994770375902</v>
      </c>
      <c r="L247">
        <f t="shared" si="208"/>
        <v>279.61696640060052</v>
      </c>
      <c r="M247">
        <f t="shared" si="209"/>
        <v>2.3830335993994822</v>
      </c>
      <c r="N247">
        <f t="shared" si="210"/>
        <v>5.6788491358668516</v>
      </c>
    </row>
    <row r="248" spans="1:14" x14ac:dyDescent="0.45">
      <c r="A248" s="22">
        <v>42515</v>
      </c>
      <c r="B248">
        <v>273.73</v>
      </c>
      <c r="C248">
        <v>279.7</v>
      </c>
      <c r="G248">
        <f>SUMPRODUCT($B248:$B252,P$2:P$6)</f>
        <v>163.95585063593188</v>
      </c>
      <c r="H248">
        <f>SUMPRODUCT($B248:$B252,Q$2:Q$6)</f>
        <v>139.316206259556</v>
      </c>
      <c r="I248">
        <f>SUMPRODUCT($B248:$B252,R$2:R$6)</f>
        <v>120.10748785223529</v>
      </c>
      <c r="J248">
        <f>SUMPRODUCT($B248:$B252,S$2:S$6)</f>
        <v>103.83943310699632</v>
      </c>
      <c r="K248">
        <f>SUMPRODUCT($B248:$B252,T$2:T$6)</f>
        <v>84.713513037502864</v>
      </c>
      <c r="L248">
        <f>(G248+$P$7)*$U$2+(H248+$Q$7)*$U$3+(I248+$R$7)*$U$4+(J248+$S$7)*$U$5+(K248+$T$7)*$U$6+$U$7</f>
        <v>273.99196695189244</v>
      </c>
      <c r="M248">
        <f>B247-L248</f>
        <v>5.5380330481075362</v>
      </c>
      <c r="N248">
        <f>M248^2</f>
        <v>30.66981004193125</v>
      </c>
    </row>
    <row r="249" spans="1:14" x14ac:dyDescent="0.45">
      <c r="A249" s="22">
        <v>42514</v>
      </c>
      <c r="B249">
        <v>266.33</v>
      </c>
      <c r="C249">
        <v>272.94</v>
      </c>
    </row>
    <row r="250" spans="1:14" x14ac:dyDescent="0.45">
      <c r="A250" s="22">
        <v>42513</v>
      </c>
      <c r="B250">
        <v>263.77</v>
      </c>
      <c r="C250">
        <v>264.85000000000002</v>
      </c>
    </row>
    <row r="251" spans="1:14" x14ac:dyDescent="0.45">
      <c r="A251" s="22">
        <v>42510</v>
      </c>
      <c r="B251">
        <v>259.31</v>
      </c>
      <c r="C251">
        <v>263.66000000000003</v>
      </c>
    </row>
    <row r="252" spans="1:14" x14ac:dyDescent="0.45">
      <c r="A252" s="22">
        <v>42509</v>
      </c>
      <c r="B252">
        <v>262.8</v>
      </c>
      <c r="C252">
        <v>258.72000000000003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170.66</v>
      </c>
      <c r="C2">
        <v>169.15</v>
      </c>
      <c r="G2">
        <f t="shared" ref="G2" si="0">SUMPRODUCT($B2:$B6,P$2:P$6)</f>
        <v>149.64627444530916</v>
      </c>
      <c r="H2">
        <f t="shared" ref="H2" si="1">SUMPRODUCT($B2:$B6,Q$2:Q$6)</f>
        <v>99.075267884068552</v>
      </c>
      <c r="I2">
        <f t="shared" ref="I2" si="2">SUMPRODUCT($B2:$B6,R$2:R$6)</f>
        <v>54.391814738359727</v>
      </c>
      <c r="J2">
        <f t="shared" ref="J2" si="3">SUMPRODUCT($B2:$B6,S$2:S$6)</f>
        <v>8.3539336151632551</v>
      </c>
      <c r="K2">
        <f t="shared" ref="K2" si="4">SUMPRODUCT($B2:$B6,T$2:T$6)</f>
        <v>8.3282886320008789</v>
      </c>
      <c r="L2">
        <f t="shared" ref="L2" si="5">(G2+$P$7)*$U$2+(H2+$Q$7)*$U$3+(I2+$R$7)*$U$4+(J2+$S$7)*$U$5+(K2+$T$7)*$U$6+$U$7</f>
        <v>170.56614398644706</v>
      </c>
      <c r="P2">
        <v>0.87686679906838128</v>
      </c>
      <c r="Q2">
        <v>0.58054096813520206</v>
      </c>
      <c r="R2">
        <v>0.31871160264421183</v>
      </c>
      <c r="S2">
        <v>2.2844620172417573E-2</v>
      </c>
      <c r="T2">
        <v>2.5006639261609925E-2</v>
      </c>
      <c r="U2">
        <v>0.70677163846174673</v>
      </c>
      <c r="W2" t="s">
        <v>30</v>
      </c>
    </row>
    <row r="3" spans="1:23" x14ac:dyDescent="0.45">
      <c r="A3" s="22">
        <v>42871</v>
      </c>
      <c r="B3">
        <v>171.96</v>
      </c>
      <c r="C3">
        <v>171</v>
      </c>
      <c r="G3">
        <f t="shared" ref="G3:K3" si="6">SUMPRODUCT($B3:$B7,P$2:P$6)</f>
        <v>150.78620152678846</v>
      </c>
      <c r="H3">
        <f t="shared" si="6"/>
        <v>99.829970812890508</v>
      </c>
      <c r="I3">
        <f t="shared" si="6"/>
        <v>54.806140516577273</v>
      </c>
      <c r="J3">
        <f t="shared" si="6"/>
        <v>8.3596072073519121</v>
      </c>
      <c r="K3">
        <f t="shared" si="6"/>
        <v>8.3277760212933423</v>
      </c>
      <c r="L3">
        <f t="shared" ref="L3:L66" si="7">(G3+$P$7)*$U$2+(H3+$Q$7)*$U$3+(I3+$R$7)*$U$4+(J3+$S$7)*$U$5+(K3+$T$7)*$U$6+$U$7</f>
        <v>171.83716321266928</v>
      </c>
      <c r="M3">
        <f t="shared" ref="M3:M66" si="8">B2-L3</f>
        <v>-1.177163212669285</v>
      </c>
      <c r="N3">
        <f t="shared" ref="N3:N66" si="9">M3^2</f>
        <v>1.3857132292618723</v>
      </c>
      <c r="P3">
        <v>3.8459364990448617E-7</v>
      </c>
      <c r="Q3">
        <v>0</v>
      </c>
      <c r="R3">
        <v>9.1099434388411537E-7</v>
      </c>
      <c r="S3">
        <v>1.7504186438723125E-2</v>
      </c>
      <c r="T3">
        <v>1.9011620134503596E-2</v>
      </c>
      <c r="U3">
        <v>0.47359027036919843</v>
      </c>
      <c r="V3" t="s">
        <v>28</v>
      </c>
      <c r="W3">
        <f>SUM(N3:N252)</f>
        <v>609.37581508563562</v>
      </c>
    </row>
    <row r="4" spans="1:23" x14ac:dyDescent="0.45">
      <c r="A4" s="22">
        <v>42870</v>
      </c>
      <c r="B4">
        <v>170.3</v>
      </c>
      <c r="C4">
        <v>171.57</v>
      </c>
      <c r="G4">
        <f t="shared" ref="G4:K4" si="10">SUMPRODUCT($B4:$B8,P$2:P$6)</f>
        <v>149.33060413481314</v>
      </c>
      <c r="H4">
        <f t="shared" si="10"/>
        <v>98.866273749355244</v>
      </c>
      <c r="I4">
        <f t="shared" si="10"/>
        <v>54.277081216511483</v>
      </c>
      <c r="J4">
        <f t="shared" si="10"/>
        <v>8.3386307683918979</v>
      </c>
      <c r="K4">
        <f t="shared" si="10"/>
        <v>8.3098147225045906</v>
      </c>
      <c r="L4">
        <f t="shared" si="7"/>
        <v>170.21417169599465</v>
      </c>
      <c r="M4">
        <f t="shared" si="8"/>
        <v>1.7458283040053573</v>
      </c>
      <c r="N4">
        <f t="shared" si="9"/>
        <v>3.047916467066222</v>
      </c>
      <c r="P4">
        <v>0</v>
      </c>
      <c r="Q4">
        <v>7.0624102134174873E-8</v>
      </c>
      <c r="R4">
        <v>9.8290386876718611E-7</v>
      </c>
      <c r="S4">
        <v>6.2360110000433677E-3</v>
      </c>
      <c r="T4">
        <v>5.9745345330753253E-4</v>
      </c>
      <c r="U4">
        <v>0.26049822792414395</v>
      </c>
      <c r="V4" t="s">
        <v>29</v>
      </c>
      <c r="W4">
        <f>MAX(N3:N252)</f>
        <v>60.003463455430378</v>
      </c>
    </row>
    <row r="5" spans="1:23" x14ac:dyDescent="0.45">
      <c r="A5" s="22">
        <v>42867</v>
      </c>
      <c r="B5">
        <v>171.29</v>
      </c>
      <c r="C5">
        <v>170.88</v>
      </c>
      <c r="G5">
        <f t="shared" ref="G5:K5" si="11">SUMPRODUCT($B5:$B9,P$2:P$6)</f>
        <v>150.19870280988539</v>
      </c>
      <c r="H5">
        <f t="shared" si="11"/>
        <v>99.441010634287778</v>
      </c>
      <c r="I5">
        <f t="shared" si="11"/>
        <v>54.59260750367487</v>
      </c>
      <c r="J5">
        <f t="shared" si="11"/>
        <v>8.363650041403119</v>
      </c>
      <c r="K5">
        <f t="shared" si="11"/>
        <v>8.3319837964395465</v>
      </c>
      <c r="L5">
        <f t="shared" si="7"/>
        <v>171.18210305431782</v>
      </c>
      <c r="M5">
        <f t="shared" si="8"/>
        <v>-0.88210305431780967</v>
      </c>
      <c r="N5">
        <f t="shared" si="9"/>
        <v>0.77810579843680872</v>
      </c>
      <c r="P5">
        <v>0</v>
      </c>
      <c r="Q5">
        <v>7.8366997707942813E-7</v>
      </c>
      <c r="R5">
        <v>0</v>
      </c>
      <c r="S5">
        <v>2.237481249508187E-3</v>
      </c>
      <c r="T5">
        <v>4.0263357708390296E-3</v>
      </c>
      <c r="U5">
        <v>0</v>
      </c>
    </row>
    <row r="6" spans="1:23" x14ac:dyDescent="0.45">
      <c r="A6" s="22">
        <v>42866</v>
      </c>
      <c r="B6">
        <v>170.78</v>
      </c>
      <c r="C6">
        <v>171.26</v>
      </c>
      <c r="G6">
        <f t="shared" ref="G6:K6" si="12">SUMPRODUCT($B6:$B10,P$2:P$6)</f>
        <v>149.75150693978239</v>
      </c>
      <c r="H6">
        <f t="shared" si="12"/>
        <v>99.14493567497837</v>
      </c>
      <c r="I6">
        <f t="shared" si="12"/>
        <v>54.430075283962836</v>
      </c>
      <c r="J6">
        <f t="shared" si="12"/>
        <v>8.3860817708556414</v>
      </c>
      <c r="K6">
        <f t="shared" si="12"/>
        <v>8.3481665645998628</v>
      </c>
      <c r="L6">
        <f t="shared" si="7"/>
        <v>170.68348012124736</v>
      </c>
      <c r="M6">
        <f t="shared" si="8"/>
        <v>0.60651987875263558</v>
      </c>
      <c r="N6">
        <f t="shared" si="9"/>
        <v>0.36786636332211176</v>
      </c>
      <c r="P6">
        <v>7.0489269908637502E-7</v>
      </c>
      <c r="Q6">
        <v>0</v>
      </c>
      <c r="R6">
        <v>9.8716466983614529E-7</v>
      </c>
      <c r="S6">
        <v>0</v>
      </c>
      <c r="T6">
        <v>0</v>
      </c>
      <c r="U6">
        <v>0</v>
      </c>
    </row>
    <row r="7" spans="1:23" x14ac:dyDescent="0.45">
      <c r="A7" s="22">
        <v>42865</v>
      </c>
      <c r="B7">
        <v>172.03</v>
      </c>
      <c r="C7">
        <v>171.35</v>
      </c>
      <c r="G7">
        <f t="shared" ref="G7:K7" si="13">SUMPRODUCT($B7:$B11,P$2:P$6)</f>
        <v>150.84758912896768</v>
      </c>
      <c r="H7">
        <f t="shared" si="13"/>
        <v>99.870618314866192</v>
      </c>
      <c r="I7">
        <f t="shared" si="13"/>
        <v>54.828464573600328</v>
      </c>
      <c r="J7">
        <f t="shared" si="13"/>
        <v>8.4669879451279026</v>
      </c>
      <c r="K7">
        <f t="shared" si="13"/>
        <v>8.442744132716868</v>
      </c>
      <c r="L7">
        <f t="shared" si="7"/>
        <v>171.90561586758781</v>
      </c>
      <c r="M7">
        <f t="shared" si="8"/>
        <v>-1.1256158675878112</v>
      </c>
      <c r="N7">
        <f t="shared" si="9"/>
        <v>1.2670110813654609</v>
      </c>
      <c r="O7" t="s">
        <v>27</v>
      </c>
      <c r="P7">
        <v>1E-8</v>
      </c>
      <c r="Q7">
        <v>1E-8</v>
      </c>
      <c r="R7">
        <v>1E-8</v>
      </c>
      <c r="S7">
        <v>1E-8</v>
      </c>
      <c r="T7">
        <v>1E-8</v>
      </c>
      <c r="U7">
        <v>3.7103471355932598</v>
      </c>
    </row>
    <row r="8" spans="1:23" x14ac:dyDescent="0.45">
      <c r="A8" s="22">
        <v>42864</v>
      </c>
      <c r="B8">
        <v>173.61</v>
      </c>
      <c r="C8">
        <v>172.68</v>
      </c>
      <c r="G8">
        <f t="shared" ref="G8:K8" si="14">SUMPRODUCT($B8:$B12,P$2:P$6)</f>
        <v>152.2330381519096</v>
      </c>
      <c r="H8">
        <f t="shared" si="14"/>
        <v>100.78787148569896</v>
      </c>
      <c r="I8">
        <f t="shared" si="14"/>
        <v>55.332036540486911</v>
      </c>
      <c r="J8">
        <f t="shared" si="14"/>
        <v>8.5659499409726703</v>
      </c>
      <c r="K8">
        <f t="shared" si="14"/>
        <v>8.4961105381010835</v>
      </c>
      <c r="L8">
        <f t="shared" si="7"/>
        <v>173.45039372571563</v>
      </c>
      <c r="M8">
        <f t="shared" si="8"/>
        <v>-1.4203937257156269</v>
      </c>
      <c r="N8">
        <f t="shared" si="9"/>
        <v>2.0175183360523197</v>
      </c>
    </row>
    <row r="9" spans="1:23" x14ac:dyDescent="0.45">
      <c r="A9" s="22">
        <v>42863</v>
      </c>
      <c r="B9">
        <v>174.66</v>
      </c>
      <c r="C9">
        <v>172.64</v>
      </c>
      <c r="G9">
        <f t="shared" ref="G9:K9" si="15">SUMPRODUCT($B9:$B13,P$2:P$6)</f>
        <v>153.15375139588804</v>
      </c>
      <c r="H9">
        <f t="shared" si="15"/>
        <v>101.39743828353568</v>
      </c>
      <c r="I9">
        <f t="shared" si="15"/>
        <v>55.666688418185629</v>
      </c>
      <c r="J9">
        <f t="shared" si="15"/>
        <v>8.7120026938147799</v>
      </c>
      <c r="K9">
        <f t="shared" si="15"/>
        <v>8.6696521753638009</v>
      </c>
      <c r="L9">
        <f t="shared" si="7"/>
        <v>174.47698885942327</v>
      </c>
      <c r="M9">
        <f t="shared" si="8"/>
        <v>-0.86698885942325887</v>
      </c>
      <c r="N9">
        <f t="shared" si="9"/>
        <v>0.7516696823640433</v>
      </c>
    </row>
    <row r="10" spans="1:23" x14ac:dyDescent="0.45">
      <c r="A10" s="22">
        <v>42860</v>
      </c>
      <c r="B10">
        <v>182.77</v>
      </c>
      <c r="C10">
        <v>180.2</v>
      </c>
      <c r="G10">
        <f t="shared" ref="G10:K10" si="16">SUMPRODUCT($B10:$B14,P$2:P$6)</f>
        <v>160.26513993516153</v>
      </c>
      <c r="H10">
        <f t="shared" si="16"/>
        <v>106.10562542692121</v>
      </c>
      <c r="I10">
        <f t="shared" si="16"/>
        <v>58.25143553294528</v>
      </c>
      <c r="J10">
        <f t="shared" si="16"/>
        <v>8.8414472522647127</v>
      </c>
      <c r="K10">
        <f t="shared" si="16"/>
        <v>8.8198812222703591</v>
      </c>
      <c r="L10">
        <f t="shared" si="7"/>
        <v>182.40619025427534</v>
      </c>
      <c r="M10">
        <f t="shared" si="8"/>
        <v>-7.7461902542753478</v>
      </c>
      <c r="N10">
        <f t="shared" si="9"/>
        <v>60.003463455430378</v>
      </c>
    </row>
    <row r="11" spans="1:23" x14ac:dyDescent="0.45">
      <c r="A11" s="22">
        <v>42859</v>
      </c>
      <c r="B11">
        <v>180.05</v>
      </c>
      <c r="C11">
        <v>182.45</v>
      </c>
      <c r="G11">
        <f t="shared" ref="G11:K11" si="17">SUMPRODUCT($B11:$B15,P$2:P$6)</f>
        <v>157.88006143477398</v>
      </c>
      <c r="H11">
        <f t="shared" si="17"/>
        <v>104.52655381977357</v>
      </c>
      <c r="I11">
        <f t="shared" si="17"/>
        <v>57.384538336211556</v>
      </c>
      <c r="J11">
        <f t="shared" si="17"/>
        <v>8.7557624350661172</v>
      </c>
      <c r="K11">
        <f t="shared" si="17"/>
        <v>8.7260601981639283</v>
      </c>
      <c r="L11">
        <f t="shared" si="7"/>
        <v>179.74682628179363</v>
      </c>
      <c r="M11">
        <f t="shared" si="8"/>
        <v>3.0231737182063796</v>
      </c>
      <c r="N11">
        <f t="shared" si="9"/>
        <v>9.1395793304537865</v>
      </c>
    </row>
    <row r="12" spans="1:23" x14ac:dyDescent="0.45">
      <c r="A12" s="22">
        <v>42858</v>
      </c>
      <c r="B12">
        <v>178.74</v>
      </c>
      <c r="C12">
        <v>179.82</v>
      </c>
      <c r="G12">
        <f t="shared" ref="G12:K12" si="18">SUMPRODUCT($B12:$B16,P$2:P$6)</f>
        <v>156.73136539163298</v>
      </c>
      <c r="H12">
        <f t="shared" si="18"/>
        <v>103.76604479900107</v>
      </c>
      <c r="I12">
        <f t="shared" si="18"/>
        <v>56.967025161915394</v>
      </c>
      <c r="J12">
        <f t="shared" si="18"/>
        <v>8.7231518595541786</v>
      </c>
      <c r="K12">
        <f t="shared" si="18"/>
        <v>8.6910585041873407</v>
      </c>
      <c r="L12">
        <f t="shared" si="7"/>
        <v>178.46602938248338</v>
      </c>
      <c r="M12">
        <f t="shared" si="8"/>
        <v>1.583970617516627</v>
      </c>
      <c r="N12">
        <f t="shared" si="9"/>
        <v>2.5089629171560048</v>
      </c>
    </row>
    <row r="13" spans="1:23" x14ac:dyDescent="0.45">
      <c r="A13" s="22">
        <v>42857</v>
      </c>
      <c r="B13">
        <v>178.72</v>
      </c>
      <c r="C13">
        <v>178.59</v>
      </c>
      <c r="G13">
        <f t="shared" ref="G13:K13" si="19">SUMPRODUCT($B13:$B17,P$2:P$6)</f>
        <v>156.71382848561271</v>
      </c>
      <c r="H13">
        <f t="shared" si="19"/>
        <v>103.75443336151751</v>
      </c>
      <c r="I13">
        <f t="shared" si="19"/>
        <v>56.9606510274253</v>
      </c>
      <c r="J13">
        <f t="shared" si="19"/>
        <v>8.7144844504670615</v>
      </c>
      <c r="K13">
        <f t="shared" si="19"/>
        <v>8.6830991581594663</v>
      </c>
      <c r="L13">
        <f t="shared" si="7"/>
        <v>178.44647528012544</v>
      </c>
      <c r="M13">
        <f t="shared" si="8"/>
        <v>0.29352471987456852</v>
      </c>
      <c r="N13">
        <f t="shared" si="9"/>
        <v>8.6156761177443919E-2</v>
      </c>
    </row>
    <row r="14" spans="1:23" x14ac:dyDescent="0.45">
      <c r="A14" s="22">
        <v>42856</v>
      </c>
      <c r="B14">
        <v>178.5</v>
      </c>
      <c r="C14">
        <v>177.86</v>
      </c>
      <c r="G14">
        <f t="shared" ref="G14:K14" si="20">SUMPRODUCT($B14:$B18,P$2:P$6)</f>
        <v>156.5209140012939</v>
      </c>
      <c r="H14">
        <f t="shared" si="20"/>
        <v>103.62671486763878</v>
      </c>
      <c r="I14">
        <f t="shared" si="20"/>
        <v>56.890528271911698</v>
      </c>
      <c r="J14">
        <f t="shared" si="20"/>
        <v>8.698888186922586</v>
      </c>
      <c r="K14">
        <f t="shared" si="20"/>
        <v>8.6719138358868086</v>
      </c>
      <c r="L14">
        <f t="shared" si="7"/>
        <v>178.23137570436481</v>
      </c>
      <c r="M14">
        <f t="shared" si="8"/>
        <v>0.48862429563519072</v>
      </c>
      <c r="N14">
        <f t="shared" si="9"/>
        <v>0.23875370228498627</v>
      </c>
    </row>
    <row r="15" spans="1:23" x14ac:dyDescent="0.45">
      <c r="A15" s="22">
        <v>42853</v>
      </c>
      <c r="B15">
        <v>178.07</v>
      </c>
      <c r="C15">
        <v>177.52</v>
      </c>
      <c r="G15">
        <f t="shared" ref="G15:K15" si="21">SUMPRODUCT($B15:$B19,P$2:P$6)</f>
        <v>156.14386034779687</v>
      </c>
      <c r="H15">
        <f t="shared" si="21"/>
        <v>103.37707827483254</v>
      </c>
      <c r="I15">
        <f t="shared" si="21"/>
        <v>56.753481418728903</v>
      </c>
      <c r="J15">
        <f t="shared" si="21"/>
        <v>8.6689884948269658</v>
      </c>
      <c r="K15">
        <f t="shared" si="21"/>
        <v>8.6266430410622394</v>
      </c>
      <c r="L15">
        <f t="shared" si="7"/>
        <v>177.81095895201685</v>
      </c>
      <c r="M15">
        <f t="shared" si="8"/>
        <v>0.68904104798315302</v>
      </c>
      <c r="N15">
        <f t="shared" si="9"/>
        <v>0.47477756580572178</v>
      </c>
    </row>
    <row r="16" spans="1:23" x14ac:dyDescent="0.45">
      <c r="A16" s="22">
        <v>42852</v>
      </c>
      <c r="B16">
        <v>177.32</v>
      </c>
      <c r="C16">
        <v>177.45</v>
      </c>
      <c r="G16">
        <f t="shared" ref="G16:K16" si="22">SUMPRODUCT($B16:$B20,P$2:P$6)</f>
        <v>155.48621019090049</v>
      </c>
      <c r="H16">
        <f t="shared" si="22"/>
        <v>102.94167147258358</v>
      </c>
      <c r="I16">
        <f t="shared" si="22"/>
        <v>56.514442855806692</v>
      </c>
      <c r="J16">
        <f t="shared" si="22"/>
        <v>8.6305438813206425</v>
      </c>
      <c r="K16">
        <f t="shared" si="22"/>
        <v>8.6150316680127563</v>
      </c>
      <c r="L16">
        <f t="shared" si="7"/>
        <v>177.07767692584815</v>
      </c>
      <c r="M16">
        <f t="shared" si="8"/>
        <v>0.99232307415184096</v>
      </c>
      <c r="N16">
        <f t="shared" si="9"/>
        <v>0.98470508349416008</v>
      </c>
    </row>
    <row r="17" spans="1:14" x14ac:dyDescent="0.45">
      <c r="A17" s="22">
        <v>42851</v>
      </c>
      <c r="B17">
        <v>178.05</v>
      </c>
      <c r="C17">
        <v>176.8</v>
      </c>
      <c r="G17">
        <f t="shared" ref="G17:K17" si="23">SUMPRODUCT($B17:$B21,P$2:P$6)</f>
        <v>156.12632013858675</v>
      </c>
      <c r="H17">
        <f t="shared" si="23"/>
        <v>103.36546593889278</v>
      </c>
      <c r="I17">
        <f t="shared" si="23"/>
        <v>56.74709557405756</v>
      </c>
      <c r="J17">
        <f t="shared" si="23"/>
        <v>8.5505001747416678</v>
      </c>
      <c r="K17">
        <f t="shared" si="23"/>
        <v>8.5330904633698701</v>
      </c>
      <c r="L17">
        <f t="shared" si="7"/>
        <v>177.79139903907645</v>
      </c>
      <c r="M17">
        <f t="shared" si="8"/>
        <v>-0.4713990390764593</v>
      </c>
      <c r="N17">
        <f t="shared" si="9"/>
        <v>0.22221705404220921</v>
      </c>
    </row>
    <row r="18" spans="1:14" x14ac:dyDescent="0.45">
      <c r="A18" s="22">
        <v>42850</v>
      </c>
      <c r="B18">
        <v>172.91</v>
      </c>
      <c r="C18">
        <v>172.68</v>
      </c>
      <c r="G18">
        <f t="shared" ref="G18:K18" si="24">SUMPRODUCT($B18:$B22,P$2:P$6)</f>
        <v>151.61922482908599</v>
      </c>
      <c r="H18">
        <f t="shared" si="24"/>
        <v>100.38148439621098</v>
      </c>
      <c r="I18">
        <f t="shared" si="24"/>
        <v>55.108917178608166</v>
      </c>
      <c r="J18">
        <f t="shared" si="24"/>
        <v>8.4114941294292667</v>
      </c>
      <c r="K18">
        <f t="shared" si="24"/>
        <v>8.3821776460179098</v>
      </c>
      <c r="L18">
        <f t="shared" si="7"/>
        <v>172.76598470786379</v>
      </c>
      <c r="M18">
        <f t="shared" si="8"/>
        <v>5.2840152921362176</v>
      </c>
      <c r="N18">
        <f t="shared" si="9"/>
        <v>27.920817607529397</v>
      </c>
    </row>
    <row r="19" spans="1:14" x14ac:dyDescent="0.45">
      <c r="A19" s="22">
        <v>42849</v>
      </c>
      <c r="B19">
        <v>172</v>
      </c>
      <c r="C19">
        <v>172.33</v>
      </c>
      <c r="G19">
        <f t="shared" ref="G19:K19" si="25">SUMPRODUCT($B19:$B23,P$2:P$6)</f>
        <v>150.82127527226791</v>
      </c>
      <c r="H19">
        <f t="shared" si="25"/>
        <v>99.85319246218377</v>
      </c>
      <c r="I19">
        <f t="shared" si="25"/>
        <v>54.818887193922372</v>
      </c>
      <c r="J19">
        <f t="shared" si="25"/>
        <v>8.376113277178959</v>
      </c>
      <c r="K19">
        <f t="shared" si="25"/>
        <v>8.351799541689811</v>
      </c>
      <c r="L19">
        <f t="shared" si="7"/>
        <v>171.8762703752563</v>
      </c>
      <c r="M19">
        <f t="shared" si="8"/>
        <v>1.0337296247436996</v>
      </c>
      <c r="N19">
        <f t="shared" si="9"/>
        <v>1.0685969370727499</v>
      </c>
    </row>
    <row r="20" spans="1:14" x14ac:dyDescent="0.45">
      <c r="A20" s="22">
        <v>42846</v>
      </c>
      <c r="B20">
        <v>171.52</v>
      </c>
      <c r="C20">
        <v>170.77</v>
      </c>
      <c r="G20">
        <f t="shared" ref="G20:K20" si="26">SUMPRODUCT($B20:$B24,P$2:P$6)</f>
        <v>150.40037784878598</v>
      </c>
      <c r="H20">
        <f t="shared" si="26"/>
        <v>99.574532185876038</v>
      </c>
      <c r="I20">
        <f t="shared" si="26"/>
        <v>54.665903817596238</v>
      </c>
      <c r="J20">
        <f t="shared" si="26"/>
        <v>8.3458905742470506</v>
      </c>
      <c r="K20">
        <f t="shared" si="26"/>
        <v>8.3141592675937002</v>
      </c>
      <c r="L20">
        <f t="shared" si="7"/>
        <v>171.40696931960514</v>
      </c>
      <c r="M20">
        <f t="shared" si="8"/>
        <v>0.59303068039486106</v>
      </c>
      <c r="N20">
        <f t="shared" si="9"/>
        <v>0.35168538788959186</v>
      </c>
    </row>
    <row r="21" spans="1:14" x14ac:dyDescent="0.45">
      <c r="A21" s="22">
        <v>42845</v>
      </c>
      <c r="B21">
        <v>170.33</v>
      </c>
      <c r="C21">
        <v>170.15</v>
      </c>
      <c r="G21">
        <f t="shared" ref="G21:K21" si="27">SUMPRODUCT($B21:$B25,P$2:P$6)</f>
        <v>149.3569074716838</v>
      </c>
      <c r="H21">
        <f t="shared" si="27"/>
        <v>98.883687372079578</v>
      </c>
      <c r="I21">
        <f t="shared" si="27"/>
        <v>54.286637959257078</v>
      </c>
      <c r="J21">
        <f t="shared" si="27"/>
        <v>8.3202929136537644</v>
      </c>
      <c r="K21">
        <f t="shared" si="27"/>
        <v>8.2892081617934412</v>
      </c>
      <c r="L21">
        <f t="shared" si="7"/>
        <v>170.2434985853358</v>
      </c>
      <c r="M21">
        <f t="shared" si="8"/>
        <v>1.2765014146642102</v>
      </c>
      <c r="N21">
        <f t="shared" si="9"/>
        <v>1.6294558616397299</v>
      </c>
    </row>
    <row r="22" spans="1:14" x14ac:dyDescent="0.45">
      <c r="A22" s="22">
        <v>42844</v>
      </c>
      <c r="B22">
        <v>170.88</v>
      </c>
      <c r="C22">
        <v>170.06</v>
      </c>
      <c r="G22">
        <f t="shared" ref="G22:K22" si="28">SUMPRODUCT($B22:$B26,P$2:P$6)</f>
        <v>149.83918486471055</v>
      </c>
      <c r="H22">
        <f t="shared" si="28"/>
        <v>99.202985817252653</v>
      </c>
      <c r="I22">
        <f t="shared" si="28"/>
        <v>54.46192868875638</v>
      </c>
      <c r="J22">
        <f t="shared" si="28"/>
        <v>8.3132108619237677</v>
      </c>
      <c r="K22">
        <f t="shared" si="28"/>
        <v>8.2915711380421318</v>
      </c>
      <c r="L22">
        <f t="shared" si="7"/>
        <v>170.78123812998248</v>
      </c>
      <c r="M22">
        <f t="shared" si="8"/>
        <v>-0.45123812998247104</v>
      </c>
      <c r="N22">
        <f t="shared" si="9"/>
        <v>0.20361584995007742</v>
      </c>
    </row>
    <row r="23" spans="1:14" x14ac:dyDescent="0.45">
      <c r="A23" s="22">
        <v>42843</v>
      </c>
      <c r="B23">
        <v>170.05</v>
      </c>
      <c r="C23">
        <v>170.13</v>
      </c>
      <c r="G23">
        <f t="shared" ref="G23:K23" si="29">SUMPRODUCT($B23:$B27,P$2:P$6)</f>
        <v>149.11138447807264</v>
      </c>
      <c r="H23">
        <f t="shared" si="29"/>
        <v>98.721137985563843</v>
      </c>
      <c r="I23">
        <f t="shared" si="29"/>
        <v>54.197397518820495</v>
      </c>
      <c r="J23">
        <f t="shared" si="29"/>
        <v>8.2829142867434733</v>
      </c>
      <c r="K23">
        <f t="shared" si="29"/>
        <v>8.2528018374668193</v>
      </c>
      <c r="L23">
        <f t="shared" si="7"/>
        <v>169.96974111235997</v>
      </c>
      <c r="M23">
        <f t="shared" si="8"/>
        <v>0.91025888764002616</v>
      </c>
      <c r="N23">
        <f t="shared" si="9"/>
        <v>0.82857124252765779</v>
      </c>
    </row>
    <row r="24" spans="1:14" x14ac:dyDescent="0.45">
      <c r="A24" s="22">
        <v>42842</v>
      </c>
      <c r="B24">
        <v>168.77</v>
      </c>
      <c r="C24">
        <v>169.7</v>
      </c>
      <c r="G24">
        <f t="shared" ref="G24:K24" si="30">SUMPRODUCT($B24:$B28,P$2:P$6)</f>
        <v>147.98899505165826</v>
      </c>
      <c r="H24">
        <f t="shared" si="30"/>
        <v>97.978045142263269</v>
      </c>
      <c r="I24">
        <f t="shared" si="30"/>
        <v>53.78944860748885</v>
      </c>
      <c r="J24">
        <f t="shared" si="30"/>
        <v>8.2832522387447192</v>
      </c>
      <c r="K24">
        <f t="shared" si="30"/>
        <v>8.2433758438563522</v>
      </c>
      <c r="L24">
        <f t="shared" si="7"/>
        <v>168.71827658940737</v>
      </c>
      <c r="M24">
        <f t="shared" si="8"/>
        <v>1.3317234105926445</v>
      </c>
      <c r="N24">
        <f t="shared" si="9"/>
        <v>1.7734872423205053</v>
      </c>
    </row>
    <row r="25" spans="1:14" x14ac:dyDescent="0.45">
      <c r="A25" s="22">
        <v>42838</v>
      </c>
      <c r="B25">
        <v>170.05</v>
      </c>
      <c r="C25">
        <v>168.84</v>
      </c>
      <c r="G25">
        <f t="shared" ref="G25:K25" si="31">SUMPRODUCT($B25:$B29,P$2:P$6)</f>
        <v>149.11138473275869</v>
      </c>
      <c r="H25">
        <f t="shared" si="31"/>
        <v>98.721137073911621</v>
      </c>
      <c r="I25">
        <f t="shared" si="31"/>
        <v>54.197399593404825</v>
      </c>
      <c r="J25">
        <f t="shared" si="31"/>
        <v>8.3313379688736138</v>
      </c>
      <c r="K25">
        <f t="shared" si="31"/>
        <v>8.2988624695819162</v>
      </c>
      <c r="L25">
        <f t="shared" si="7"/>
        <v>169.96974140104078</v>
      </c>
      <c r="M25">
        <f t="shared" si="8"/>
        <v>-1.1997414010407681</v>
      </c>
      <c r="N25">
        <f t="shared" si="9"/>
        <v>1.4393794293712652</v>
      </c>
    </row>
    <row r="26" spans="1:14" x14ac:dyDescent="0.45">
      <c r="A26" s="22">
        <v>42837</v>
      </c>
      <c r="B26">
        <v>171.43</v>
      </c>
      <c r="C26">
        <v>170.17</v>
      </c>
      <c r="G26">
        <f t="shared" ref="G26:K26" si="32">SUMPRODUCT($B26:$B30,P$2:P$6)</f>
        <v>150.32146065523526</v>
      </c>
      <c r="H26">
        <f t="shared" si="32"/>
        <v>99.522283176434996</v>
      </c>
      <c r="I26">
        <f t="shared" si="32"/>
        <v>54.637220422360869</v>
      </c>
      <c r="J26">
        <f t="shared" si="32"/>
        <v>8.3468628782759886</v>
      </c>
      <c r="K26">
        <f t="shared" si="32"/>
        <v>8.3188385294539842</v>
      </c>
      <c r="L26">
        <f t="shared" si="7"/>
        <v>171.31897628927914</v>
      </c>
      <c r="M26">
        <f t="shared" si="8"/>
        <v>-1.2689762892791236</v>
      </c>
      <c r="N26">
        <f t="shared" si="9"/>
        <v>1.6103008227526141</v>
      </c>
    </row>
    <row r="27" spans="1:14" x14ac:dyDescent="0.45">
      <c r="A27" s="22">
        <v>42836</v>
      </c>
      <c r="B27">
        <v>170.79</v>
      </c>
      <c r="C27">
        <v>170.63</v>
      </c>
      <c r="G27">
        <f t="shared" ref="G27:K27" si="33">SUMPRODUCT($B27:$B31,P$2:P$6)</f>
        <v>149.76026399222766</v>
      </c>
      <c r="H27">
        <f t="shared" si="33"/>
        <v>99.15073690584299</v>
      </c>
      <c r="I27">
        <f t="shared" si="33"/>
        <v>54.433241608406412</v>
      </c>
      <c r="J27">
        <f t="shared" si="33"/>
        <v>8.3187520962417807</v>
      </c>
      <c r="K27">
        <f t="shared" si="33"/>
        <v>8.2912381710051264</v>
      </c>
      <c r="L27">
        <f t="shared" si="7"/>
        <v>170.69324158595242</v>
      </c>
      <c r="M27">
        <f t="shared" si="8"/>
        <v>0.73675841404758557</v>
      </c>
      <c r="N27">
        <f t="shared" si="9"/>
        <v>0.54281296066991358</v>
      </c>
    </row>
    <row r="28" spans="1:14" x14ac:dyDescent="0.45">
      <c r="A28" s="22">
        <v>42835</v>
      </c>
      <c r="B28">
        <v>170.2</v>
      </c>
      <c r="C28">
        <v>171.22</v>
      </c>
      <c r="G28">
        <f t="shared" ref="G28:K28" si="34">SUMPRODUCT($B28:$B32,P$2:P$6)</f>
        <v>149.24291190210454</v>
      </c>
      <c r="H28">
        <f t="shared" si="34"/>
        <v>98.808215860259494</v>
      </c>
      <c r="I28">
        <f t="shared" si="34"/>
        <v>54.245200606547449</v>
      </c>
      <c r="J28">
        <f t="shared" si="34"/>
        <v>8.2910493767143674</v>
      </c>
      <c r="K28">
        <f t="shared" si="34"/>
        <v>8.2573435522121521</v>
      </c>
      <c r="L28">
        <f t="shared" si="7"/>
        <v>170.1163928192081</v>
      </c>
      <c r="M28">
        <f t="shared" si="8"/>
        <v>0.67360718079189041</v>
      </c>
      <c r="N28">
        <f t="shared" si="9"/>
        <v>0.45374663401439852</v>
      </c>
    </row>
    <row r="29" spans="1:14" x14ac:dyDescent="0.45">
      <c r="A29" s="22">
        <v>42832</v>
      </c>
      <c r="B29">
        <v>169.7</v>
      </c>
      <c r="C29">
        <v>170.62</v>
      </c>
      <c r="G29">
        <f t="shared" ref="G29:K29" si="35">SUMPRODUCT($B29:$B33,P$2:P$6)</f>
        <v>148.80447929845613</v>
      </c>
      <c r="H29">
        <f t="shared" si="35"/>
        <v>98.517944666668001</v>
      </c>
      <c r="I29">
        <f t="shared" si="35"/>
        <v>54.085843563232935</v>
      </c>
      <c r="J29">
        <f t="shared" si="35"/>
        <v>8.2628290545471206</v>
      </c>
      <c r="K29">
        <f t="shared" si="35"/>
        <v>8.2402539147433735</v>
      </c>
      <c r="L29">
        <f t="shared" si="7"/>
        <v>169.62753924912843</v>
      </c>
      <c r="M29">
        <f t="shared" si="8"/>
        <v>0.57246075087155646</v>
      </c>
      <c r="N29">
        <f t="shared" si="9"/>
        <v>0.32771131128842623</v>
      </c>
    </row>
    <row r="30" spans="1:14" x14ac:dyDescent="0.45">
      <c r="A30" s="22">
        <v>42831</v>
      </c>
      <c r="B30">
        <v>169.68</v>
      </c>
      <c r="C30">
        <v>170.02</v>
      </c>
      <c r="G30">
        <f t="shared" ref="G30:K30" si="36">SUMPRODUCT($B30:$B34,P$2:P$6)</f>
        <v>148.78694093756206</v>
      </c>
      <c r="H30">
        <f t="shared" si="36"/>
        <v>98.506334691958457</v>
      </c>
      <c r="I30">
        <f t="shared" si="36"/>
        <v>54.079466327625212</v>
      </c>
      <c r="J30">
        <f t="shared" si="36"/>
        <v>8.2187850375895337</v>
      </c>
      <c r="K30">
        <f t="shared" si="36"/>
        <v>8.1984937897326517</v>
      </c>
      <c r="L30">
        <f t="shared" si="7"/>
        <v>169.60798400342685</v>
      </c>
      <c r="M30">
        <f t="shared" si="8"/>
        <v>9.2015996573138636E-2</v>
      </c>
      <c r="N30">
        <f t="shared" si="9"/>
        <v>8.4669436253478614E-3</v>
      </c>
    </row>
    <row r="31" spans="1:14" x14ac:dyDescent="0.45">
      <c r="A31" s="22">
        <v>42830</v>
      </c>
      <c r="B31">
        <v>167.29</v>
      </c>
      <c r="C31">
        <v>167</v>
      </c>
      <c r="G31">
        <f t="shared" ref="G31:K31" si="37">SUMPRODUCT($B31:$B35,P$2:P$6)</f>
        <v>146.69122881800013</v>
      </c>
      <c r="H31">
        <f t="shared" si="37"/>
        <v>97.118841741076295</v>
      </c>
      <c r="I31">
        <f t="shared" si="37"/>
        <v>53.317745802952096</v>
      </c>
      <c r="J31">
        <f t="shared" si="37"/>
        <v>8.1588819370873598</v>
      </c>
      <c r="K31">
        <f t="shared" si="37"/>
        <v>8.1256870505757419</v>
      </c>
      <c r="L31">
        <f t="shared" si="7"/>
        <v>167.27126410634551</v>
      </c>
      <c r="M31">
        <f t="shared" si="8"/>
        <v>2.4087358936544945</v>
      </c>
      <c r="N31">
        <f t="shared" si="9"/>
        <v>5.8020086053795161</v>
      </c>
    </row>
    <row r="32" spans="1:14" x14ac:dyDescent="0.45">
      <c r="A32" s="22">
        <v>42829</v>
      </c>
      <c r="B32">
        <v>166.6</v>
      </c>
      <c r="C32">
        <v>167.25</v>
      </c>
      <c r="G32">
        <f t="shared" ref="G32:K32" si="38">SUMPRODUCT($B32:$B36,P$2:P$6)</f>
        <v>146.08619044608915</v>
      </c>
      <c r="H32">
        <f t="shared" si="38"/>
        <v>96.718268235205088</v>
      </c>
      <c r="I32">
        <f t="shared" si="38"/>
        <v>53.0978346813176</v>
      </c>
      <c r="J32">
        <f t="shared" si="38"/>
        <v>8.161489650496172</v>
      </c>
      <c r="K32">
        <f t="shared" si="38"/>
        <v>8.128848461047026</v>
      </c>
      <c r="L32">
        <f t="shared" si="7"/>
        <v>166.59664597246288</v>
      </c>
      <c r="M32">
        <f t="shared" si="8"/>
        <v>0.69335402753711151</v>
      </c>
      <c r="N32">
        <f t="shared" si="9"/>
        <v>0.48073980750193357</v>
      </c>
    </row>
    <row r="33" spans="1:14" x14ac:dyDescent="0.45">
      <c r="A33" s="22">
        <v>42828</v>
      </c>
      <c r="B33">
        <v>167.74</v>
      </c>
      <c r="C33">
        <v>166.7</v>
      </c>
      <c r="G33">
        <f t="shared" ref="G33:K33" si="39">SUMPRODUCT($B33:$B37,P$2:P$6)</f>
        <v>147.0858184195063</v>
      </c>
      <c r="H33">
        <f t="shared" si="39"/>
        <v>97.380084119054885</v>
      </c>
      <c r="I33">
        <f t="shared" si="39"/>
        <v>53.461165318822744</v>
      </c>
      <c r="J33">
        <f t="shared" si="39"/>
        <v>8.1808162154624107</v>
      </c>
      <c r="K33">
        <f t="shared" si="39"/>
        <v>8.1502241627973717</v>
      </c>
      <c r="L33">
        <f t="shared" si="7"/>
        <v>167.71123122367482</v>
      </c>
      <c r="M33">
        <f t="shared" si="8"/>
        <v>-1.111231223674821</v>
      </c>
      <c r="N33">
        <f t="shared" si="9"/>
        <v>1.2348348324698399</v>
      </c>
    </row>
    <row r="34" spans="1:14" x14ac:dyDescent="0.45">
      <c r="A34" s="22">
        <v>42825</v>
      </c>
      <c r="B34">
        <v>167.59</v>
      </c>
      <c r="C34">
        <v>167.69</v>
      </c>
      <c r="G34">
        <f t="shared" ref="G34:K34" si="40">SUMPRODUCT($B34:$B38,P$2:P$6)</f>
        <v>146.95428787927611</v>
      </c>
      <c r="H34">
        <f t="shared" si="40"/>
        <v>97.293002768574127</v>
      </c>
      <c r="I34">
        <f t="shared" si="40"/>
        <v>53.413356739120289</v>
      </c>
      <c r="J34">
        <f t="shared" si="40"/>
        <v>8.165572205336856</v>
      </c>
      <c r="K34">
        <f t="shared" si="40"/>
        <v>8.139665917465706</v>
      </c>
      <c r="L34">
        <f t="shared" si="7"/>
        <v>167.5645742376382</v>
      </c>
      <c r="M34">
        <f t="shared" si="8"/>
        <v>0.17542576236181162</v>
      </c>
      <c r="N34">
        <f t="shared" si="9"/>
        <v>3.0774198100222801E-2</v>
      </c>
    </row>
    <row r="35" spans="1:14" x14ac:dyDescent="0.45">
      <c r="A35" s="22">
        <v>42824</v>
      </c>
      <c r="B35">
        <v>167.3</v>
      </c>
      <c r="C35">
        <v>167.89</v>
      </c>
      <c r="G35">
        <f t="shared" ref="G35:K35" si="41">SUMPRODUCT($B35:$B39,P$2:P$6)</f>
        <v>146.69999741226337</v>
      </c>
      <c r="H35">
        <f t="shared" si="41"/>
        <v>97.124645421280235</v>
      </c>
      <c r="I35">
        <f t="shared" si="41"/>
        <v>53.32093109442858</v>
      </c>
      <c r="J35">
        <f t="shared" si="41"/>
        <v>8.1387351343246355</v>
      </c>
      <c r="K35">
        <f t="shared" si="41"/>
        <v>8.1105852977084982</v>
      </c>
      <c r="L35">
        <f t="shared" si="7"/>
        <v>167.28103982934192</v>
      </c>
      <c r="M35">
        <f t="shared" si="8"/>
        <v>0.30896017065808223</v>
      </c>
      <c r="N35">
        <f t="shared" si="9"/>
        <v>9.5456387053071301E-2</v>
      </c>
    </row>
    <row r="36" spans="1:14" x14ac:dyDescent="0.45">
      <c r="A36" s="22">
        <v>42823</v>
      </c>
      <c r="B36">
        <v>166.28</v>
      </c>
      <c r="C36">
        <v>167.43</v>
      </c>
      <c r="G36">
        <f t="shared" ref="G36:K36" si="42">SUMPRODUCT($B36:$B40,P$2:P$6)</f>
        <v>145.80559365591506</v>
      </c>
      <c r="H36">
        <f t="shared" si="42"/>
        <v>96.532495034773106</v>
      </c>
      <c r="I36">
        <f t="shared" si="42"/>
        <v>52.995845156691942</v>
      </c>
      <c r="J36">
        <f t="shared" si="42"/>
        <v>8.1129579891732568</v>
      </c>
      <c r="K36">
        <f t="shared" si="42"/>
        <v>8.0889084850542154</v>
      </c>
      <c r="L36">
        <f t="shared" si="7"/>
        <v>166.28377964867269</v>
      </c>
      <c r="M36">
        <f t="shared" si="8"/>
        <v>1.0162203513273198</v>
      </c>
      <c r="N36">
        <f t="shared" si="9"/>
        <v>1.0327038024518214</v>
      </c>
    </row>
    <row r="37" spans="1:14" x14ac:dyDescent="0.45">
      <c r="A37" s="22">
        <v>42822</v>
      </c>
      <c r="B37">
        <v>166.11</v>
      </c>
      <c r="C37">
        <v>166.77</v>
      </c>
      <c r="G37">
        <f t="shared" ref="G37:K37" si="43">SUMPRODUCT($B37:$B41,P$2:P$6)</f>
        <v>145.6565255976821</v>
      </c>
      <c r="H37">
        <f t="shared" si="43"/>
        <v>96.43380369385055</v>
      </c>
      <c r="I37">
        <f t="shared" si="43"/>
        <v>52.941664793136844</v>
      </c>
      <c r="J37">
        <f t="shared" si="43"/>
        <v>8.1118058490367559</v>
      </c>
      <c r="K37">
        <f t="shared" si="43"/>
        <v>8.0772665225914437</v>
      </c>
      <c r="L37">
        <f t="shared" si="7"/>
        <v>166.1175694253881</v>
      </c>
      <c r="M37">
        <f t="shared" si="8"/>
        <v>0.16243057461190347</v>
      </c>
      <c r="N37">
        <f t="shared" si="9"/>
        <v>2.6383691568753139E-2</v>
      </c>
    </row>
    <row r="38" spans="1:14" x14ac:dyDescent="0.45">
      <c r="A38" s="22">
        <v>42821</v>
      </c>
      <c r="B38">
        <v>165.53</v>
      </c>
      <c r="C38">
        <v>166.15</v>
      </c>
      <c r="G38">
        <f t="shared" ref="G38:K38" si="44">SUMPRODUCT($B38:$B42,P$2:P$6)</f>
        <v>145.14794369580434</v>
      </c>
      <c r="H38">
        <f t="shared" si="44"/>
        <v>96.097089443929718</v>
      </c>
      <c r="I38">
        <f t="shared" si="44"/>
        <v>52.756814546623524</v>
      </c>
      <c r="J38">
        <f t="shared" si="44"/>
        <v>8.1331708720643654</v>
      </c>
      <c r="K38">
        <f t="shared" si="44"/>
        <v>8.0953825402186101</v>
      </c>
      <c r="L38">
        <f t="shared" si="7"/>
        <v>165.5505004070007</v>
      </c>
      <c r="M38">
        <f t="shared" si="8"/>
        <v>0.55949959299931606</v>
      </c>
      <c r="N38">
        <f t="shared" si="9"/>
        <v>0.3130397945664003</v>
      </c>
    </row>
    <row r="39" spans="1:14" x14ac:dyDescent="0.45">
      <c r="A39" s="22">
        <v>42818</v>
      </c>
      <c r="B39">
        <v>167.37</v>
      </c>
      <c r="C39">
        <v>166.02</v>
      </c>
      <c r="G39">
        <f t="shared" ref="G39:K39" si="45">SUMPRODUCT($B39:$B43,P$2:P$6)</f>
        <v>146.76137902460738</v>
      </c>
      <c r="H39">
        <f t="shared" si="45"/>
        <v>97.16528492617141</v>
      </c>
      <c r="I39">
        <f t="shared" si="45"/>
        <v>53.343244047831845</v>
      </c>
      <c r="J39">
        <f t="shared" si="45"/>
        <v>8.1824172445953867</v>
      </c>
      <c r="K39">
        <f t="shared" si="45"/>
        <v>8.1537308125929187</v>
      </c>
      <c r="L39">
        <f t="shared" si="7"/>
        <v>167.3494815710001</v>
      </c>
      <c r="M39">
        <f t="shared" si="8"/>
        <v>-1.8194815710000967</v>
      </c>
      <c r="N39">
        <f t="shared" si="9"/>
        <v>3.3105131872089797</v>
      </c>
    </row>
    <row r="40" spans="1:14" x14ac:dyDescent="0.45">
      <c r="A40" s="22">
        <v>42817</v>
      </c>
      <c r="B40">
        <v>168</v>
      </c>
      <c r="C40">
        <v>166.9</v>
      </c>
      <c r="G40">
        <f t="shared" ref="G40:K40" si="46">SUMPRODUCT($B40:$B44,P$2:P$6)</f>
        <v>147.31380505796457</v>
      </c>
      <c r="H40">
        <f t="shared" si="46"/>
        <v>97.53102594543266</v>
      </c>
      <c r="I40">
        <f t="shared" si="46"/>
        <v>53.544032220922681</v>
      </c>
      <c r="J40">
        <f t="shared" si="46"/>
        <v>8.1866507209280623</v>
      </c>
      <c r="K40">
        <f t="shared" si="46"/>
        <v>8.1576771937351094</v>
      </c>
      <c r="L40">
        <f t="shared" si="7"/>
        <v>167.96543697520019</v>
      </c>
      <c r="M40">
        <f t="shared" si="8"/>
        <v>-0.59543697520018668</v>
      </c>
      <c r="N40">
        <f t="shared" si="9"/>
        <v>0.35454519143554775</v>
      </c>
    </row>
    <row r="41" spans="1:14" x14ac:dyDescent="0.45">
      <c r="A41" s="22">
        <v>42816</v>
      </c>
      <c r="B41">
        <v>167.32</v>
      </c>
      <c r="C41">
        <v>167.68</v>
      </c>
      <c r="G41">
        <f t="shared" ref="G41:K41" si="47">SUMPRODUCT($B41:$B45,P$2:P$6)</f>
        <v>146.71753480540821</v>
      </c>
      <c r="H41">
        <f t="shared" si="47"/>
        <v>97.136258339857719</v>
      </c>
      <c r="I41">
        <f t="shared" si="47"/>
        <v>53.327307486368731</v>
      </c>
      <c r="J41">
        <f t="shared" si="47"/>
        <v>8.1766724217590401</v>
      </c>
      <c r="K41">
        <f t="shared" si="47"/>
        <v>8.1456421509573484</v>
      </c>
      <c r="L41">
        <f t="shared" si="7"/>
        <v>167.30059556547909</v>
      </c>
      <c r="M41">
        <f t="shared" si="8"/>
        <v>0.69940443452091472</v>
      </c>
      <c r="N41">
        <f t="shared" si="9"/>
        <v>0.48916656302752048</v>
      </c>
    </row>
    <row r="42" spans="1:14" x14ac:dyDescent="0.45">
      <c r="A42" s="22">
        <v>42815</v>
      </c>
      <c r="B42">
        <v>167.51</v>
      </c>
      <c r="C42">
        <v>166.78</v>
      </c>
      <c r="G42">
        <f t="shared" ref="G42:K42" si="48">SUMPRODUCT($B42:$B46,P$2:P$6)</f>
        <v>146.88413874045943</v>
      </c>
      <c r="H42">
        <f t="shared" si="48"/>
        <v>97.24656014189307</v>
      </c>
      <c r="I42">
        <f t="shared" si="48"/>
        <v>53.387862019021625</v>
      </c>
      <c r="J42">
        <f t="shared" si="48"/>
        <v>8.1843957735021231</v>
      </c>
      <c r="K42">
        <f t="shared" si="48"/>
        <v>8.150171843699999</v>
      </c>
      <c r="L42">
        <f t="shared" si="7"/>
        <v>167.48635871032639</v>
      </c>
      <c r="M42">
        <f t="shared" si="8"/>
        <v>-0.16635871032639216</v>
      </c>
      <c r="N42">
        <f t="shared" si="9"/>
        <v>2.7675220501460457E-2</v>
      </c>
    </row>
    <row r="43" spans="1:14" x14ac:dyDescent="0.45">
      <c r="A43" s="22">
        <v>42814</v>
      </c>
      <c r="B43">
        <v>167.76</v>
      </c>
      <c r="C43">
        <v>167.44</v>
      </c>
      <c r="G43">
        <f t="shared" ref="G43:K43" si="49">SUMPRODUCT($B43:$B47,P$2:P$6)</f>
        <v>147.10335459695057</v>
      </c>
      <c r="H43">
        <f t="shared" si="49"/>
        <v>97.391694345287348</v>
      </c>
      <c r="I43">
        <f t="shared" si="49"/>
        <v>53.467537592320078</v>
      </c>
      <c r="J43">
        <f t="shared" si="49"/>
        <v>8.1846687380848842</v>
      </c>
      <c r="K43">
        <f t="shared" si="49"/>
        <v>8.1564903828528035</v>
      </c>
      <c r="L43">
        <f t="shared" si="7"/>
        <v>167.73078375267386</v>
      </c>
      <c r="M43">
        <f t="shared" si="8"/>
        <v>-0.22078375267386718</v>
      </c>
      <c r="N43">
        <f t="shared" si="9"/>
        <v>4.8745465444755352E-2</v>
      </c>
    </row>
    <row r="44" spans="1:14" x14ac:dyDescent="0.45">
      <c r="A44" s="22">
        <v>42811</v>
      </c>
      <c r="B44">
        <v>168.06</v>
      </c>
      <c r="C44">
        <v>167.81</v>
      </c>
      <c r="G44">
        <f t="shared" ref="G44:K44" si="50">SUMPRODUCT($B44:$B48,P$2:P$6)</f>
        <v>147.36641459552254</v>
      </c>
      <c r="H44">
        <f t="shared" si="50"/>
        <v>97.565855484481602</v>
      </c>
      <c r="I44">
        <f t="shared" si="50"/>
        <v>53.563149349512287</v>
      </c>
      <c r="J44">
        <f t="shared" si="50"/>
        <v>8.1585282176856602</v>
      </c>
      <c r="K44">
        <f t="shared" si="50"/>
        <v>8.1334587655322785</v>
      </c>
      <c r="L44">
        <f t="shared" si="7"/>
        <v>168.02409481319438</v>
      </c>
      <c r="M44">
        <f t="shared" si="8"/>
        <v>-0.2640948131943901</v>
      </c>
      <c r="N44">
        <f t="shared" si="9"/>
        <v>6.9746070356179801E-2</v>
      </c>
    </row>
    <row r="45" spans="1:14" x14ac:dyDescent="0.45">
      <c r="A45" s="22">
        <v>42810</v>
      </c>
      <c r="B45">
        <v>166.78</v>
      </c>
      <c r="C45">
        <v>167.06</v>
      </c>
      <c r="G45">
        <f t="shared" ref="G45:K45" si="51">SUMPRODUCT($B45:$B49,P$2:P$6)</f>
        <v>146.24402578338072</v>
      </c>
      <c r="H45">
        <f t="shared" si="51"/>
        <v>96.822763450768534</v>
      </c>
      <c r="I45">
        <f t="shared" si="51"/>
        <v>53.155197678025331</v>
      </c>
      <c r="J45">
        <f t="shared" si="51"/>
        <v>8.1010580513137374</v>
      </c>
      <c r="K45">
        <f t="shared" si="51"/>
        <v>8.0802105251115073</v>
      </c>
      <c r="L45">
        <f t="shared" si="7"/>
        <v>166.77263038878937</v>
      </c>
      <c r="M45">
        <f t="shared" si="8"/>
        <v>1.2873696112106359</v>
      </c>
      <c r="N45">
        <f t="shared" si="9"/>
        <v>1.6573205158686237</v>
      </c>
    </row>
    <row r="46" spans="1:14" x14ac:dyDescent="0.45">
      <c r="A46" s="22">
        <v>42809</v>
      </c>
      <c r="B46">
        <v>165.57</v>
      </c>
      <c r="C46">
        <v>166.54</v>
      </c>
      <c r="G46">
        <f t="shared" ref="G46:K46" si="52">SUMPRODUCT($B46:$B50,P$2:P$6)</f>
        <v>145.18301637002025</v>
      </c>
      <c r="H46">
        <f t="shared" si="52"/>
        <v>96.120310209743124</v>
      </c>
      <c r="I46">
        <f t="shared" si="52"/>
        <v>52.76955594008718</v>
      </c>
      <c r="J46">
        <f t="shared" si="52"/>
        <v>8.0572708836376687</v>
      </c>
      <c r="K46">
        <f t="shared" si="52"/>
        <v>8.0310822490963272</v>
      </c>
      <c r="L46">
        <f t="shared" si="7"/>
        <v>165.58960501759984</v>
      </c>
      <c r="M46">
        <f t="shared" si="8"/>
        <v>1.1903949824001643</v>
      </c>
      <c r="N46">
        <f t="shared" si="9"/>
        <v>1.4170402141234875</v>
      </c>
    </row>
    <row r="47" spans="1:14" x14ac:dyDescent="0.45">
      <c r="A47" s="22">
        <v>42808</v>
      </c>
      <c r="B47">
        <v>164.21</v>
      </c>
      <c r="C47">
        <v>165.24</v>
      </c>
      <c r="G47">
        <f t="shared" ref="G47:K47" si="53">SUMPRODUCT($B47:$B51,P$2:P$6)</f>
        <v>143.99047819236281</v>
      </c>
      <c r="H47">
        <f t="shared" si="53"/>
        <v>95.330774538372495</v>
      </c>
      <c r="I47">
        <f t="shared" si="53"/>
        <v>52.33611094778859</v>
      </c>
      <c r="J47">
        <f t="shared" si="53"/>
        <v>8.0474305642515791</v>
      </c>
      <c r="K47">
        <f t="shared" si="53"/>
        <v>8.0098581100306685</v>
      </c>
      <c r="L47">
        <f t="shared" si="7"/>
        <v>164.25992479138176</v>
      </c>
      <c r="M47">
        <f t="shared" si="8"/>
        <v>1.3100752086182297</v>
      </c>
      <c r="N47">
        <f t="shared" si="9"/>
        <v>1.7162970522360981</v>
      </c>
    </row>
    <row r="48" spans="1:14" x14ac:dyDescent="0.45">
      <c r="A48" s="22">
        <v>42807</v>
      </c>
      <c r="B48">
        <v>164.85</v>
      </c>
      <c r="C48">
        <v>164.55</v>
      </c>
      <c r="G48">
        <f t="shared" ref="G48:K48" si="54">SUMPRODUCT($B48:$B52,P$2:P$6)</f>
        <v>144.55167325024954</v>
      </c>
      <c r="H48">
        <f t="shared" si="54"/>
        <v>95.702321221824818</v>
      </c>
      <c r="I48">
        <f t="shared" si="54"/>
        <v>52.540087324954513</v>
      </c>
      <c r="J48">
        <f t="shared" si="54"/>
        <v>8.0915392346811341</v>
      </c>
      <c r="K48">
        <f t="shared" si="54"/>
        <v>8.059403446830391</v>
      </c>
      <c r="L48">
        <f t="shared" si="7"/>
        <v>164.88565792100209</v>
      </c>
      <c r="M48">
        <f t="shared" si="8"/>
        <v>-0.67565792100208455</v>
      </c>
      <c r="N48">
        <f t="shared" si="9"/>
        <v>0.45651362621285912</v>
      </c>
    </row>
    <row r="49" spans="1:14" x14ac:dyDescent="0.45">
      <c r="A49" s="22">
        <v>42804</v>
      </c>
      <c r="B49">
        <v>166.49</v>
      </c>
      <c r="C49">
        <v>165.37</v>
      </c>
      <c r="G49">
        <f t="shared" ref="G49:K49" si="55">SUMPRODUCT($B49:$B53,P$2:P$6)</f>
        <v>145.9897367891503</v>
      </c>
      <c r="H49">
        <f t="shared" si="55"/>
        <v>96.654408091452851</v>
      </c>
      <c r="I49">
        <f t="shared" si="55"/>
        <v>53.062777694206453</v>
      </c>
      <c r="J49">
        <f t="shared" si="55"/>
        <v>8.1301414002096664</v>
      </c>
      <c r="K49">
        <f t="shared" si="55"/>
        <v>8.0972096470247248</v>
      </c>
      <c r="L49">
        <f t="shared" si="7"/>
        <v>166.48909943754833</v>
      </c>
      <c r="M49">
        <f t="shared" si="8"/>
        <v>-1.6390994375483388</v>
      </c>
      <c r="N49">
        <f t="shared" si="9"/>
        <v>2.6866469661712804</v>
      </c>
    </row>
    <row r="50" spans="1:14" x14ac:dyDescent="0.45">
      <c r="A50" s="22">
        <v>42803</v>
      </c>
      <c r="B50">
        <v>166.4</v>
      </c>
      <c r="C50">
        <v>165.77</v>
      </c>
      <c r="G50">
        <f t="shared" ref="G50:K50" si="56">SUMPRODUCT($B50:$B54,P$2:P$6)</f>
        <v>145.91081991730192</v>
      </c>
      <c r="H50">
        <f t="shared" si="56"/>
        <v>96.602161620966413</v>
      </c>
      <c r="I50">
        <f t="shared" si="56"/>
        <v>53.034095017871721</v>
      </c>
      <c r="J50">
        <f t="shared" si="56"/>
        <v>8.142140902383451</v>
      </c>
      <c r="K50">
        <f t="shared" si="56"/>
        <v>8.1176467766456692</v>
      </c>
      <c r="L50">
        <f t="shared" si="7"/>
        <v>166.40110802428893</v>
      </c>
      <c r="M50">
        <f t="shared" si="8"/>
        <v>8.889197571107843E-2</v>
      </c>
      <c r="N50">
        <f t="shared" si="9"/>
        <v>7.9017833458189576E-3</v>
      </c>
    </row>
    <row r="51" spans="1:14" x14ac:dyDescent="0.45">
      <c r="A51" s="22">
        <v>42802</v>
      </c>
      <c r="B51">
        <v>167</v>
      </c>
      <c r="C51">
        <v>166.24</v>
      </c>
      <c r="G51">
        <f t="shared" ref="G51:K51" si="57">SUMPRODUCT($B51:$B55,P$2:P$6)</f>
        <v>146.43694461310022</v>
      </c>
      <c r="H51">
        <f t="shared" si="57"/>
        <v>96.950487415472978</v>
      </c>
      <c r="I51">
        <f t="shared" si="57"/>
        <v>53.225331094054717</v>
      </c>
      <c r="J51">
        <f t="shared" si="57"/>
        <v>8.1685794511070782</v>
      </c>
      <c r="K51">
        <f t="shared" si="57"/>
        <v>8.1308140794961385</v>
      </c>
      <c r="L51">
        <f t="shared" si="7"/>
        <v>166.98773840373127</v>
      </c>
      <c r="M51">
        <f t="shared" si="8"/>
        <v>-0.58773840373126518</v>
      </c>
      <c r="N51">
        <f t="shared" si="9"/>
        <v>0.34543643122057566</v>
      </c>
    </row>
    <row r="52" spans="1:14" x14ac:dyDescent="0.45">
      <c r="A52" s="22">
        <v>42801</v>
      </c>
      <c r="B52">
        <v>166.54</v>
      </c>
      <c r="C52">
        <v>167</v>
      </c>
      <c r="G52">
        <f t="shared" ref="G52:K52" si="58">SUMPRODUCT($B52:$B56,P$2:P$6)</f>
        <v>146.03358689767649</v>
      </c>
      <c r="H52">
        <f t="shared" si="58"/>
        <v>96.683443990191705</v>
      </c>
      <c r="I52">
        <f t="shared" si="58"/>
        <v>53.078727511006726</v>
      </c>
      <c r="J52">
        <f t="shared" si="58"/>
        <v>8.2315672675936131</v>
      </c>
      <c r="K52">
        <f t="shared" si="58"/>
        <v>8.2020241734182946</v>
      </c>
      <c r="L52">
        <f t="shared" si="7"/>
        <v>166.53799746874444</v>
      </c>
      <c r="M52">
        <f t="shared" si="8"/>
        <v>0.46200253125556401</v>
      </c>
      <c r="N52">
        <f t="shared" si="9"/>
        <v>0.2134463388865484</v>
      </c>
    </row>
    <row r="53" spans="1:14" x14ac:dyDescent="0.45">
      <c r="A53" s="22">
        <v>42800</v>
      </c>
      <c r="B53">
        <v>169.41</v>
      </c>
      <c r="C53">
        <v>166.73</v>
      </c>
      <c r="G53">
        <f t="shared" ref="G53:K53" si="59">SUMPRODUCT($B53:$B57,P$2:P$6)</f>
        <v>148.55019481107362</v>
      </c>
      <c r="H53">
        <f t="shared" si="59"/>
        <v>98.349596947106548</v>
      </c>
      <c r="I53">
        <f t="shared" si="59"/>
        <v>53.993437254915463</v>
      </c>
      <c r="J53">
        <f t="shared" si="59"/>
        <v>8.3618257302322636</v>
      </c>
      <c r="K53">
        <f t="shared" si="59"/>
        <v>8.3018574779049068</v>
      </c>
      <c r="L53">
        <f t="shared" si="7"/>
        <v>169.34401866375686</v>
      </c>
      <c r="M53">
        <f t="shared" si="8"/>
        <v>-2.8040186637568638</v>
      </c>
      <c r="N53">
        <f t="shared" si="9"/>
        <v>7.8625206666968284</v>
      </c>
    </row>
    <row r="54" spans="1:14" x14ac:dyDescent="0.45">
      <c r="A54" s="22">
        <v>42797</v>
      </c>
      <c r="B54">
        <v>170.7</v>
      </c>
      <c r="C54">
        <v>170.26</v>
      </c>
      <c r="G54">
        <f t="shared" ref="G54:K54" si="60">SUMPRODUCT($B54:$B58,P$2:P$6)</f>
        <v>149.68135586496786</v>
      </c>
      <c r="H54">
        <f t="shared" si="60"/>
        <v>99.098494457678427</v>
      </c>
      <c r="I54">
        <f t="shared" si="60"/>
        <v>54.404581664433103</v>
      </c>
      <c r="J54">
        <f t="shared" si="60"/>
        <v>8.5085733344832004</v>
      </c>
      <c r="K54">
        <f t="shared" si="60"/>
        <v>8.4616263294943259</v>
      </c>
      <c r="L54">
        <f t="shared" si="7"/>
        <v>170.60526417979261</v>
      </c>
      <c r="M54">
        <f t="shared" si="8"/>
        <v>-1.1952641797926162</v>
      </c>
      <c r="N54">
        <f t="shared" si="9"/>
        <v>1.4286564594953157</v>
      </c>
    </row>
    <row r="55" spans="1:14" x14ac:dyDescent="0.45">
      <c r="A55" s="22">
        <v>42796</v>
      </c>
      <c r="B55">
        <v>177.5</v>
      </c>
      <c r="C55">
        <v>177.98</v>
      </c>
      <c r="G55">
        <f t="shared" ref="G55:K55" si="61">SUMPRODUCT($B55:$B59,P$2:P$6)</f>
        <v>155.6440485613121</v>
      </c>
      <c r="H55">
        <f t="shared" si="61"/>
        <v>103.04617330913027</v>
      </c>
      <c r="I55">
        <f t="shared" si="61"/>
        <v>56.571817948247407</v>
      </c>
      <c r="J55">
        <f t="shared" si="61"/>
        <v>8.6598723256733994</v>
      </c>
      <c r="K55">
        <f t="shared" si="61"/>
        <v>8.6304790429983189</v>
      </c>
      <c r="L55">
        <f t="shared" si="7"/>
        <v>177.25366977244809</v>
      </c>
      <c r="M55">
        <f t="shared" si="8"/>
        <v>-6.553669772448103</v>
      </c>
      <c r="N55">
        <f t="shared" si="9"/>
        <v>42.950587486299973</v>
      </c>
    </row>
    <row r="56" spans="1:14" x14ac:dyDescent="0.45">
      <c r="A56" s="22">
        <v>42795</v>
      </c>
      <c r="B56">
        <v>177.37</v>
      </c>
      <c r="C56">
        <v>177.86</v>
      </c>
      <c r="G56">
        <f t="shared" ref="G56:K56" si="62">SUMPRODUCT($B56:$B60,P$2:P$6)</f>
        <v>155.53005663226438</v>
      </c>
      <c r="H56">
        <f t="shared" si="62"/>
        <v>102.97070135656621</v>
      </c>
      <c r="I56">
        <f t="shared" si="62"/>
        <v>56.530386714103571</v>
      </c>
      <c r="J56">
        <f t="shared" si="62"/>
        <v>8.6471993654902768</v>
      </c>
      <c r="K56">
        <f t="shared" si="62"/>
        <v>8.6109747632736031</v>
      </c>
      <c r="L56">
        <f t="shared" si="7"/>
        <v>177.12656796448834</v>
      </c>
      <c r="M56">
        <f t="shared" si="8"/>
        <v>0.37343203551165516</v>
      </c>
      <c r="N56">
        <f t="shared" si="9"/>
        <v>0.13945148514637809</v>
      </c>
    </row>
    <row r="57" spans="1:14" x14ac:dyDescent="0.45">
      <c r="A57" s="22">
        <v>42794</v>
      </c>
      <c r="B57">
        <v>176.95</v>
      </c>
      <c r="C57">
        <v>177.18</v>
      </c>
      <c r="G57">
        <f t="shared" ref="G57:K57" si="63">SUMPRODUCT($B57:$B61,P$2:P$6)</f>
        <v>155.16177311049222</v>
      </c>
      <c r="H57">
        <f t="shared" si="63"/>
        <v>102.72687501970353</v>
      </c>
      <c r="I57">
        <f t="shared" si="63"/>
        <v>56.39652665618425</v>
      </c>
      <c r="J57">
        <f t="shared" si="63"/>
        <v>8.6340069582788459</v>
      </c>
      <c r="K57">
        <f t="shared" si="63"/>
        <v>8.6116700001504505</v>
      </c>
      <c r="L57">
        <f t="shared" si="7"/>
        <v>176.71593152771123</v>
      </c>
      <c r="M57">
        <f t="shared" si="8"/>
        <v>0.65406847228877041</v>
      </c>
      <c r="N57">
        <f t="shared" si="9"/>
        <v>0.427805566442166</v>
      </c>
    </row>
    <row r="58" spans="1:14" x14ac:dyDescent="0.45">
      <c r="A58" s="22">
        <v>42793</v>
      </c>
      <c r="B58">
        <v>177.33</v>
      </c>
      <c r="C58">
        <v>177.62</v>
      </c>
      <c r="G58">
        <f t="shared" ref="G58:K58" si="64">SUMPRODUCT($B58:$B62,P$2:P$6)</f>
        <v>155.49498131610142</v>
      </c>
      <c r="H58">
        <f t="shared" si="64"/>
        <v>102.94748111042473</v>
      </c>
      <c r="I58">
        <f t="shared" si="64"/>
        <v>56.5176359074404</v>
      </c>
      <c r="J58">
        <f t="shared" si="64"/>
        <v>8.6150915095459446</v>
      </c>
      <c r="K58">
        <f t="shared" si="64"/>
        <v>8.5840491787493196</v>
      </c>
      <c r="L58">
        <f t="shared" si="7"/>
        <v>177.08745928062575</v>
      </c>
      <c r="M58">
        <f t="shared" si="8"/>
        <v>-0.1374592806257624</v>
      </c>
      <c r="N58">
        <f t="shared" si="9"/>
        <v>1.8895053830152098E-2</v>
      </c>
    </row>
    <row r="59" spans="1:14" x14ac:dyDescent="0.45">
      <c r="A59" s="22">
        <v>42790</v>
      </c>
      <c r="B59">
        <v>175.22</v>
      </c>
      <c r="C59">
        <v>177.56</v>
      </c>
      <c r="G59">
        <f t="shared" ref="G59:K59" si="65">SUMPRODUCT($B59:$B63,P$2:P$6)</f>
        <v>153.64479210875476</v>
      </c>
      <c r="H59">
        <f t="shared" si="65"/>
        <v>101.72253929899433</v>
      </c>
      <c r="I59">
        <f t="shared" si="65"/>
        <v>55.845155084613033</v>
      </c>
      <c r="J59">
        <f t="shared" si="65"/>
        <v>8.5919111191527637</v>
      </c>
      <c r="K59">
        <f t="shared" si="65"/>
        <v>8.55423518088066</v>
      </c>
      <c r="L59">
        <f t="shared" si="7"/>
        <v>175.02449743676374</v>
      </c>
      <c r="M59">
        <f t="shared" si="8"/>
        <v>2.3055025632362742</v>
      </c>
      <c r="N59">
        <f t="shared" si="9"/>
        <v>5.3153420690890307</v>
      </c>
    </row>
    <row r="60" spans="1:14" x14ac:dyDescent="0.45">
      <c r="A60" s="22">
        <v>42789</v>
      </c>
      <c r="B60">
        <v>176.52</v>
      </c>
      <c r="C60">
        <v>175.85</v>
      </c>
      <c r="G60">
        <f t="shared" ref="G60:K60" si="66">SUMPRODUCT($B60:$B64,P$2:P$6)</f>
        <v>154.78471889825985</v>
      </c>
      <c r="H60">
        <f t="shared" si="66"/>
        <v>102.47724167448199</v>
      </c>
      <c r="I60">
        <f t="shared" si="66"/>
        <v>56.259479792736464</v>
      </c>
      <c r="J60">
        <f t="shared" si="66"/>
        <v>8.6255772224487117</v>
      </c>
      <c r="K60">
        <f t="shared" si="66"/>
        <v>8.5925410845665056</v>
      </c>
      <c r="L60">
        <f t="shared" si="7"/>
        <v>176.29551591581551</v>
      </c>
      <c r="M60">
        <f t="shared" si="8"/>
        <v>-1.0755159158155152</v>
      </c>
      <c r="N60">
        <f t="shared" si="9"/>
        <v>1.1567344851724863</v>
      </c>
    </row>
    <row r="61" spans="1:14" x14ac:dyDescent="0.45">
      <c r="A61" s="22">
        <v>42788</v>
      </c>
      <c r="B61">
        <v>177.07</v>
      </c>
      <c r="C61">
        <v>176.51</v>
      </c>
      <c r="G61">
        <f t="shared" ref="G61:K61" si="67">SUMPRODUCT($B61:$B65,P$2:P$6)</f>
        <v>155.2669940843648</v>
      </c>
      <c r="H61">
        <f t="shared" si="67"/>
        <v>102.79653884072442</v>
      </c>
      <c r="I61">
        <f t="shared" si="67"/>
        <v>56.434767743581382</v>
      </c>
      <c r="J61">
        <f t="shared" si="67"/>
        <v>8.6214768266530406</v>
      </c>
      <c r="K61">
        <f t="shared" si="67"/>
        <v>8.594273699725667</v>
      </c>
      <c r="L61">
        <f t="shared" si="7"/>
        <v>176.83325257114879</v>
      </c>
      <c r="M61">
        <f t="shared" si="8"/>
        <v>-0.31325257114878013</v>
      </c>
      <c r="N61">
        <f t="shared" si="9"/>
        <v>9.8127173331321565E-2</v>
      </c>
    </row>
    <row r="62" spans="1:14" x14ac:dyDescent="0.45">
      <c r="A62" s="22">
        <v>42787</v>
      </c>
      <c r="B62">
        <v>176.55</v>
      </c>
      <c r="C62">
        <v>176.94</v>
      </c>
      <c r="G62">
        <f t="shared" ref="G62:K62" si="68">SUMPRODUCT($B62:$B66,P$2:P$6)</f>
        <v>154.81102186205121</v>
      </c>
      <c r="H62">
        <f t="shared" si="68"/>
        <v>102.49465600651685</v>
      </c>
      <c r="I62">
        <f t="shared" si="68"/>
        <v>56.269034862167771</v>
      </c>
      <c r="J62">
        <f t="shared" si="68"/>
        <v>8.5840898147404889</v>
      </c>
      <c r="K62">
        <f t="shared" si="68"/>
        <v>8.5527860751066296</v>
      </c>
      <c r="L62">
        <f t="shared" si="7"/>
        <v>176.32484244150197</v>
      </c>
      <c r="M62">
        <f t="shared" si="8"/>
        <v>0.7451575584980219</v>
      </c>
      <c r="N62">
        <f t="shared" si="9"/>
        <v>0.55525978698673295</v>
      </c>
    </row>
    <row r="63" spans="1:14" x14ac:dyDescent="0.45">
      <c r="A63" s="22">
        <v>42783</v>
      </c>
      <c r="B63">
        <v>175.47</v>
      </c>
      <c r="C63">
        <v>175.86</v>
      </c>
      <c r="G63">
        <f t="shared" ref="G63:K63" si="69">SUMPRODUCT($B63:$B67,P$2:P$6)</f>
        <v>153.86400616181865</v>
      </c>
      <c r="H63">
        <f t="shared" si="69"/>
        <v>101.86767043415418</v>
      </c>
      <c r="I63">
        <f t="shared" si="69"/>
        <v>55.924824926415361</v>
      </c>
      <c r="J63">
        <f t="shared" si="69"/>
        <v>8.5375669633526172</v>
      </c>
      <c r="K63">
        <f t="shared" si="69"/>
        <v>8.5114774642522999</v>
      </c>
      <c r="L63">
        <f t="shared" si="7"/>
        <v>175.26891825836938</v>
      </c>
      <c r="M63">
        <f t="shared" si="8"/>
        <v>1.2810817416306293</v>
      </c>
      <c r="N63">
        <f t="shared" si="9"/>
        <v>1.6411704287393662</v>
      </c>
    </row>
    <row r="64" spans="1:14" x14ac:dyDescent="0.45">
      <c r="A64" s="22">
        <v>42782</v>
      </c>
      <c r="B64">
        <v>175.1</v>
      </c>
      <c r="C64">
        <v>175.75</v>
      </c>
      <c r="G64">
        <f t="shared" ref="G64:K64" si="70">SUMPRODUCT($B64:$B68,P$2:P$6)</f>
        <v>153.53956411563365</v>
      </c>
      <c r="H64">
        <f t="shared" si="70"/>
        <v>101.65287081904161</v>
      </c>
      <c r="I64">
        <f t="shared" si="70"/>
        <v>55.80689756109566</v>
      </c>
      <c r="J64">
        <f t="shared" si="70"/>
        <v>8.4878847886435</v>
      </c>
      <c r="K64">
        <f t="shared" si="70"/>
        <v>8.468156426508024</v>
      </c>
      <c r="L64">
        <f t="shared" si="7"/>
        <v>174.90716494431541</v>
      </c>
      <c r="M64">
        <f t="shared" si="8"/>
        <v>0.56283505568458736</v>
      </c>
      <c r="N64">
        <f t="shared" si="9"/>
        <v>0.31678329990747256</v>
      </c>
    </row>
    <row r="65" spans="1:14" x14ac:dyDescent="0.45">
      <c r="A65" s="22">
        <v>42781</v>
      </c>
      <c r="B65">
        <v>173.18</v>
      </c>
      <c r="C65">
        <v>175</v>
      </c>
      <c r="G65">
        <f t="shared" ref="G65:K65" si="71">SUMPRODUCT($B65:$B69,P$2:P$6)</f>
        <v>151.85597702118338</v>
      </c>
      <c r="H65">
        <f t="shared" si="71"/>
        <v>100.53823156055724</v>
      </c>
      <c r="I65">
        <f t="shared" si="71"/>
        <v>55.19496755619064</v>
      </c>
      <c r="J65">
        <f t="shared" si="71"/>
        <v>8.4207131594060485</v>
      </c>
      <c r="K65">
        <f t="shared" si="71"/>
        <v>8.3883597808400285</v>
      </c>
      <c r="L65">
        <f t="shared" si="7"/>
        <v>173.02996434539665</v>
      </c>
      <c r="M65">
        <f t="shared" si="8"/>
        <v>2.0700356546033447</v>
      </c>
      <c r="N65">
        <f t="shared" si="9"/>
        <v>4.2850476113290981</v>
      </c>
    </row>
    <row r="66" spans="1:14" x14ac:dyDescent="0.45">
      <c r="A66" s="22">
        <v>42780</v>
      </c>
      <c r="B66">
        <v>171.66</v>
      </c>
      <c r="C66">
        <v>173.63</v>
      </c>
      <c r="G66">
        <f t="shared" ref="G66:K66" si="72">SUMPRODUCT($B66:$B70,P$2:P$6)</f>
        <v>150.5231391361641</v>
      </c>
      <c r="H66">
        <f t="shared" si="72"/>
        <v>99.65580672192354</v>
      </c>
      <c r="I66">
        <f t="shared" si="72"/>
        <v>54.710524912851049</v>
      </c>
      <c r="J66">
        <f t="shared" si="72"/>
        <v>8.3881196222496524</v>
      </c>
      <c r="K66">
        <f t="shared" si="72"/>
        <v>8.3527431985065572</v>
      </c>
      <c r="L66">
        <f t="shared" si="7"/>
        <v>171.54384806156781</v>
      </c>
      <c r="M66">
        <f t="shared" si="8"/>
        <v>1.6361519384321923</v>
      </c>
      <c r="N66">
        <f t="shared" si="9"/>
        <v>2.6769931656354204</v>
      </c>
    </row>
    <row r="67" spans="1:14" x14ac:dyDescent="0.45">
      <c r="A67" s="22">
        <v>42779</v>
      </c>
      <c r="B67">
        <v>172.49</v>
      </c>
      <c r="C67">
        <v>171.96</v>
      </c>
      <c r="G67">
        <f t="shared" ref="G67:K67" si="73">SUMPRODUCT($B67:$B71,P$2:P$6)</f>
        <v>151.25093827747898</v>
      </c>
      <c r="H67">
        <f t="shared" si="73"/>
        <v>100.13765475499217</v>
      </c>
      <c r="I67">
        <f t="shared" si="73"/>
        <v>54.975051662133062</v>
      </c>
      <c r="J67">
        <f t="shared" si="73"/>
        <v>8.3702962979970597</v>
      </c>
      <c r="K67">
        <f t="shared" si="73"/>
        <v>8.351792078147831</v>
      </c>
      <c r="L67">
        <f t="shared" ref="L67:L130" si="74">(G67+$P$7)*$U$2+(H67+$Q$7)*$U$3+(I67+$R$7)*$U$4+(J67+$S$7)*$U$5+(K67+$T$7)*$U$6+$U$7</f>
        <v>172.35534314283032</v>
      </c>
      <c r="M67">
        <f t="shared" ref="M67:M130" si="75">B66-L67</f>
        <v>-0.69534314283032472</v>
      </c>
      <c r="N67">
        <f t="shared" ref="N67:N130" si="76">M67^2</f>
        <v>0.48350208628115338</v>
      </c>
    </row>
    <row r="68" spans="1:14" x14ac:dyDescent="0.45">
      <c r="A68" s="22">
        <v>42776</v>
      </c>
      <c r="B68">
        <v>171.65</v>
      </c>
      <c r="C68">
        <v>172</v>
      </c>
      <c r="G68">
        <f t="shared" ref="G68:K68" si="77">SUMPRODUCT($B68:$B72,P$2:P$6)</f>
        <v>150.51436939374207</v>
      </c>
      <c r="H68">
        <f t="shared" si="77"/>
        <v>99.650000298175797</v>
      </c>
      <c r="I68">
        <f t="shared" si="77"/>
        <v>54.707330708628383</v>
      </c>
      <c r="J68">
        <f t="shared" si="77"/>
        <v>8.289236334435758</v>
      </c>
      <c r="K68">
        <f t="shared" si="77"/>
        <v>8.2695025260301485</v>
      </c>
      <c r="L68">
        <f t="shared" si="74"/>
        <v>171.53406790601508</v>
      </c>
      <c r="M68">
        <f t="shared" si="75"/>
        <v>0.95593209398492718</v>
      </c>
      <c r="N68">
        <f t="shared" si="76"/>
        <v>0.91380616831040762</v>
      </c>
    </row>
    <row r="69" spans="1:14" x14ac:dyDescent="0.45">
      <c r="A69" s="22">
        <v>42775</v>
      </c>
      <c r="B69">
        <v>168.45</v>
      </c>
      <c r="C69">
        <v>170.96</v>
      </c>
      <c r="G69">
        <f t="shared" ref="G69:K69" si="78">SUMPRODUCT($B69:$B73,P$2:P$6)</f>
        <v>147.70839494710867</v>
      </c>
      <c r="H69">
        <f t="shared" si="78"/>
        <v>97.79226971164735</v>
      </c>
      <c r="I69">
        <f t="shared" si="78"/>
        <v>53.68745229011364</v>
      </c>
      <c r="J69">
        <f t="shared" si="78"/>
        <v>8.2011460159094156</v>
      </c>
      <c r="K69">
        <f t="shared" si="78"/>
        <v>8.1740552831198627</v>
      </c>
      <c r="L69">
        <f t="shared" si="74"/>
        <v>168.40540509741791</v>
      </c>
      <c r="M69">
        <f t="shared" si="75"/>
        <v>3.2445949025820937</v>
      </c>
      <c r="N69">
        <f t="shared" si="76"/>
        <v>10.527396081861706</v>
      </c>
    </row>
    <row r="70" spans="1:14" x14ac:dyDescent="0.45">
      <c r="A70" s="22">
        <v>42774</v>
      </c>
      <c r="B70">
        <v>167.5</v>
      </c>
      <c r="C70">
        <v>168.42</v>
      </c>
      <c r="G70">
        <f t="shared" ref="G70:K70" si="79">SUMPRODUCT($B70:$B74,P$2:P$6)</f>
        <v>146.87537087922593</v>
      </c>
      <c r="H70">
        <f t="shared" si="79"/>
        <v>97.240755477336393</v>
      </c>
      <c r="I70">
        <f t="shared" si="79"/>
        <v>53.384676065114085</v>
      </c>
      <c r="J70">
        <f t="shared" si="79"/>
        <v>8.1829929181140368</v>
      </c>
      <c r="K70">
        <f t="shared" si="79"/>
        <v>8.1494055547154325</v>
      </c>
      <c r="L70">
        <f t="shared" si="74"/>
        <v>167.47658286667263</v>
      </c>
      <c r="M70">
        <f t="shared" si="75"/>
        <v>0.97341713332735935</v>
      </c>
      <c r="N70">
        <f t="shared" si="76"/>
        <v>0.9475409154552541</v>
      </c>
    </row>
    <row r="71" spans="1:14" x14ac:dyDescent="0.45">
      <c r="A71" s="22">
        <v>42773</v>
      </c>
      <c r="B71">
        <v>167.53</v>
      </c>
      <c r="C71">
        <v>167.52</v>
      </c>
      <c r="G71">
        <f t="shared" ref="G71:K71" si="80">SUMPRODUCT($B71:$B75,P$2:P$6)</f>
        <v>146.90167501850576</v>
      </c>
      <c r="H71">
        <f t="shared" si="80"/>
        <v>97.258170984263785</v>
      </c>
      <c r="I71">
        <f t="shared" si="80"/>
        <v>53.394234591709939</v>
      </c>
      <c r="J71">
        <f t="shared" si="80"/>
        <v>8.1902184293447924</v>
      </c>
      <c r="K71">
        <f t="shared" si="80"/>
        <v>8.1586953029138485</v>
      </c>
      <c r="L71">
        <f t="shared" si="74"/>
        <v>167.5059116801639</v>
      </c>
      <c r="M71">
        <f t="shared" si="75"/>
        <v>-5.9116801639049754E-3</v>
      </c>
      <c r="N71">
        <f t="shared" si="76"/>
        <v>3.4947962360307556E-5</v>
      </c>
    </row>
    <row r="72" spans="1:14" x14ac:dyDescent="0.45">
      <c r="A72" s="22">
        <v>42772</v>
      </c>
      <c r="B72">
        <v>168.18</v>
      </c>
      <c r="C72">
        <v>167.03</v>
      </c>
      <c r="G72">
        <f t="shared" ref="G72:K72" si="81">SUMPRODUCT($B72:$B76,P$2:P$6)</f>
        <v>147.47163730938203</v>
      </c>
      <c r="H72">
        <f t="shared" si="81"/>
        <v>97.635520200392534</v>
      </c>
      <c r="I72">
        <f t="shared" si="81"/>
        <v>53.601394516743575</v>
      </c>
      <c r="J72">
        <f t="shared" si="81"/>
        <v>8.1848153732664866</v>
      </c>
      <c r="K72">
        <f t="shared" si="81"/>
        <v>8.153599506820596</v>
      </c>
      <c r="L72">
        <f t="shared" si="74"/>
        <v>168.14141857300612</v>
      </c>
      <c r="M72">
        <f t="shared" si="75"/>
        <v>-0.61141857300611946</v>
      </c>
      <c r="N72">
        <f t="shared" si="76"/>
        <v>0.37383267141683946</v>
      </c>
    </row>
    <row r="73" spans="1:14" x14ac:dyDescent="0.45">
      <c r="A73" s="22">
        <v>42769</v>
      </c>
      <c r="B73">
        <v>167.72</v>
      </c>
      <c r="C73">
        <v>168.32</v>
      </c>
      <c r="G73">
        <f t="shared" ref="G73:K73" si="82">SUMPRODUCT($B73:$B77,P$2:P$6)</f>
        <v>147.06827791911749</v>
      </c>
      <c r="H73">
        <f t="shared" si="82"/>
        <v>97.368470085223564</v>
      </c>
      <c r="I73">
        <f t="shared" si="82"/>
        <v>53.45478297504485</v>
      </c>
      <c r="J73">
        <f t="shared" si="82"/>
        <v>8.1371745312341321</v>
      </c>
      <c r="K73">
        <f t="shared" si="82"/>
        <v>8.1181383133913361</v>
      </c>
      <c r="L73">
        <f t="shared" si="74"/>
        <v>167.69167121280918</v>
      </c>
      <c r="M73">
        <f t="shared" si="75"/>
        <v>0.48832878719082373</v>
      </c>
      <c r="N73">
        <f t="shared" si="76"/>
        <v>0.2384650043992608</v>
      </c>
    </row>
    <row r="74" spans="1:14" x14ac:dyDescent="0.45">
      <c r="A74" s="22">
        <v>42768</v>
      </c>
      <c r="B74">
        <v>166.84</v>
      </c>
      <c r="C74">
        <v>168.15</v>
      </c>
      <c r="G74">
        <f t="shared" ref="G74:K74" si="83">SUMPRODUCT($B74:$B78,P$2:P$6)</f>
        <v>146.29663576553492</v>
      </c>
      <c r="H74">
        <f t="shared" si="83"/>
        <v>96.857593577433846</v>
      </c>
      <c r="I74">
        <f t="shared" si="83"/>
        <v>53.174315202341312</v>
      </c>
      <c r="J74">
        <f t="shared" si="83"/>
        <v>8.0551108499414035</v>
      </c>
      <c r="K74">
        <f t="shared" si="83"/>
        <v>8.0364389338210582</v>
      </c>
      <c r="L74">
        <f t="shared" si="74"/>
        <v>166.83128892238696</v>
      </c>
      <c r="M74">
        <f t="shared" si="75"/>
        <v>0.88871107761303847</v>
      </c>
      <c r="N74">
        <f t="shared" si="76"/>
        <v>0.78980737947212809</v>
      </c>
    </row>
    <row r="75" spans="1:14" x14ac:dyDescent="0.45">
      <c r="A75" s="22">
        <v>42767</v>
      </c>
      <c r="B75">
        <v>163.84</v>
      </c>
      <c r="C75">
        <v>161.86000000000001</v>
      </c>
      <c r="G75">
        <f t="shared" ref="G75:K75" si="84">SUMPRODUCT($B75:$B79,P$2:P$6)</f>
        <v>143.66603469405194</v>
      </c>
      <c r="H75">
        <f t="shared" si="84"/>
        <v>95.115972623226213</v>
      </c>
      <c r="I75">
        <f t="shared" si="84"/>
        <v>52.2181784952543</v>
      </c>
      <c r="J75">
        <f t="shared" si="84"/>
        <v>7.9657386002331094</v>
      </c>
      <c r="K75">
        <f t="shared" si="84"/>
        <v>7.9456651297663496</v>
      </c>
      <c r="L75">
        <f t="shared" si="74"/>
        <v>163.89816803652249</v>
      </c>
      <c r="M75">
        <f t="shared" si="75"/>
        <v>2.9418319634775116</v>
      </c>
      <c r="N75">
        <f t="shared" si="76"/>
        <v>8.6543753013379519</v>
      </c>
    </row>
    <row r="76" spans="1:14" x14ac:dyDescent="0.45">
      <c r="A76" s="22">
        <v>42766</v>
      </c>
      <c r="B76">
        <v>162.49</v>
      </c>
      <c r="C76">
        <v>163.95</v>
      </c>
      <c r="G76">
        <f t="shared" ref="G76:K76" si="85">SUMPRODUCT($B76:$B80,P$2:P$6)</f>
        <v>142.48226423971158</v>
      </c>
      <c r="H76">
        <f t="shared" si="85"/>
        <v>94.33224232251527</v>
      </c>
      <c r="I76">
        <f t="shared" si="85"/>
        <v>51.787919761170954</v>
      </c>
      <c r="J76">
        <f t="shared" si="85"/>
        <v>7.9421312991937523</v>
      </c>
      <c r="K76">
        <f t="shared" si="85"/>
        <v>7.9037865848685884</v>
      </c>
      <c r="L76">
        <f t="shared" si="74"/>
        <v>162.57826397015791</v>
      </c>
      <c r="M76">
        <f t="shared" si="75"/>
        <v>1.2617360298420977</v>
      </c>
      <c r="N76">
        <f t="shared" si="76"/>
        <v>1.5919778090016987</v>
      </c>
    </row>
    <row r="77" spans="1:14" x14ac:dyDescent="0.45">
      <c r="A77" s="22">
        <v>42765</v>
      </c>
      <c r="B77">
        <v>162.03</v>
      </c>
      <c r="C77">
        <v>163.25</v>
      </c>
      <c r="G77">
        <f t="shared" ref="G77:K77" si="86">SUMPRODUCT($B77:$B81,P$2:P$6)</f>
        <v>142.07890580141614</v>
      </c>
      <c r="H77">
        <f t="shared" si="86"/>
        <v>94.065193351921977</v>
      </c>
      <c r="I77">
        <f t="shared" si="86"/>
        <v>51.641313554981721</v>
      </c>
      <c r="J77">
        <f t="shared" si="86"/>
        <v>7.9742231958094685</v>
      </c>
      <c r="K77">
        <f t="shared" si="86"/>
        <v>7.9396878029808962</v>
      </c>
      <c r="L77">
        <f t="shared" si="74"/>
        <v>162.12851921473637</v>
      </c>
      <c r="M77">
        <f t="shared" si="75"/>
        <v>0.36148078526363747</v>
      </c>
      <c r="N77">
        <f t="shared" si="76"/>
        <v>0.13066835811481597</v>
      </c>
    </row>
    <row r="78" spans="1:14" x14ac:dyDescent="0.45">
      <c r="A78" s="22">
        <v>42762</v>
      </c>
      <c r="B78">
        <v>164.56</v>
      </c>
      <c r="C78">
        <v>162.06</v>
      </c>
      <c r="G78">
        <f t="shared" ref="G78:K78" si="87">SUMPRODUCT($B78:$B82,P$2:P$6)</f>
        <v>144.29737929646055</v>
      </c>
      <c r="H78">
        <f t="shared" si="87"/>
        <v>95.533961231256797</v>
      </c>
      <c r="I78">
        <f t="shared" si="87"/>
        <v>52.447654381121318</v>
      </c>
      <c r="J78">
        <f t="shared" si="87"/>
        <v>8.0251257654771369</v>
      </c>
      <c r="K78">
        <f t="shared" si="87"/>
        <v>7.9947828547020006</v>
      </c>
      <c r="L78">
        <f t="shared" si="74"/>
        <v>164.60211789510888</v>
      </c>
      <c r="M78">
        <f t="shared" si="75"/>
        <v>-2.5721178951088746</v>
      </c>
      <c r="N78">
        <f t="shared" si="76"/>
        <v>6.6157904663393072</v>
      </c>
    </row>
    <row r="79" spans="1:14" x14ac:dyDescent="0.45">
      <c r="A79" s="22">
        <v>42761</v>
      </c>
      <c r="B79">
        <v>164.34</v>
      </c>
      <c r="C79">
        <v>164.07</v>
      </c>
      <c r="G79">
        <f t="shared" ref="G79:K79" si="88">SUMPRODUCT($B79:$B83,P$2:P$6)</f>
        <v>144.10446878648591</v>
      </c>
      <c r="H79">
        <f t="shared" si="88"/>
        <v>95.406242792371046</v>
      </c>
      <c r="I79">
        <f t="shared" si="88"/>
        <v>52.377537083219615</v>
      </c>
      <c r="J79">
        <f t="shared" si="88"/>
        <v>8.0134351668923376</v>
      </c>
      <c r="K79">
        <f t="shared" si="88"/>
        <v>7.9893418327279964</v>
      </c>
      <c r="L79">
        <f t="shared" si="74"/>
        <v>164.38702257604439</v>
      </c>
      <c r="M79">
        <f t="shared" si="75"/>
        <v>0.172977423955615</v>
      </c>
      <c r="N79">
        <f t="shared" si="76"/>
        <v>2.9921189198320569E-2</v>
      </c>
    </row>
    <row r="80" spans="1:14" x14ac:dyDescent="0.45">
      <c r="A80" s="22">
        <v>42760</v>
      </c>
      <c r="B80">
        <v>164.2</v>
      </c>
      <c r="C80">
        <v>164.14</v>
      </c>
      <c r="G80">
        <f t="shared" ref="G80:K80" si="89">SUMPRODUCT($B80:$B84,P$2:P$6)</f>
        <v>143.981706913533</v>
      </c>
      <c r="H80">
        <f t="shared" si="89"/>
        <v>95.324967381191669</v>
      </c>
      <c r="I80">
        <f t="shared" si="89"/>
        <v>52.332917173861503</v>
      </c>
      <c r="J80">
        <f t="shared" si="89"/>
        <v>7.9991321318675066</v>
      </c>
      <c r="K80">
        <f t="shared" si="89"/>
        <v>7.9692584976946996</v>
      </c>
      <c r="L80">
        <f t="shared" si="74"/>
        <v>164.25014331468407</v>
      </c>
      <c r="M80">
        <f t="shared" si="75"/>
        <v>8.9856685315936602E-2</v>
      </c>
      <c r="N80">
        <f t="shared" si="76"/>
        <v>8.0742238959672571E-3</v>
      </c>
    </row>
    <row r="81" spans="1:14" x14ac:dyDescent="0.45">
      <c r="A81" s="22">
        <v>42759</v>
      </c>
      <c r="B81">
        <v>163.22999999999999</v>
      </c>
      <c r="C81">
        <v>163.66999999999999</v>
      </c>
      <c r="G81">
        <f t="shared" ref="G81:K81" si="90">SUMPRODUCT($B81:$B85,P$2:P$6)</f>
        <v>143.13114606021037</v>
      </c>
      <c r="H81">
        <f t="shared" si="90"/>
        <v>94.761842501542006</v>
      </c>
      <c r="I81">
        <f t="shared" si="90"/>
        <v>52.023767477302016</v>
      </c>
      <c r="J81">
        <f t="shared" si="90"/>
        <v>7.9929766558576327</v>
      </c>
      <c r="K81">
        <f t="shared" si="90"/>
        <v>7.9599491897834795</v>
      </c>
      <c r="L81">
        <f t="shared" si="74"/>
        <v>163.3017676146479</v>
      </c>
      <c r="M81">
        <f t="shared" si="75"/>
        <v>0.89823238535208816</v>
      </c>
      <c r="N81">
        <f t="shared" si="76"/>
        <v>0.80682141809530217</v>
      </c>
    </row>
    <row r="82" spans="1:14" x14ac:dyDescent="0.45">
      <c r="A82" s="22">
        <v>42758</v>
      </c>
      <c r="B82">
        <v>164.05</v>
      </c>
      <c r="C82">
        <v>163.01</v>
      </c>
      <c r="G82">
        <f t="shared" ref="G82:K82" si="91">SUMPRODUCT($B82:$B86,P$2:P$6)</f>
        <v>143.85017569740143</v>
      </c>
      <c r="H82">
        <f t="shared" si="91"/>
        <v>95.237885665236746</v>
      </c>
      <c r="I82">
        <f t="shared" si="91"/>
        <v>52.28510931790214</v>
      </c>
      <c r="J82">
        <f t="shared" si="91"/>
        <v>8.0151652404159321</v>
      </c>
      <c r="K82">
        <f t="shared" si="91"/>
        <v>7.9846591616399936</v>
      </c>
      <c r="L82">
        <f t="shared" si="74"/>
        <v>164.10348586638833</v>
      </c>
      <c r="M82">
        <f t="shared" si="75"/>
        <v>-0.87348586638833581</v>
      </c>
      <c r="N82">
        <f t="shared" si="76"/>
        <v>0.76297755878018159</v>
      </c>
    </row>
    <row r="83" spans="1:14" x14ac:dyDescent="0.45">
      <c r="A83" s="22">
        <v>42755</v>
      </c>
      <c r="B83">
        <v>164.39</v>
      </c>
      <c r="C83">
        <v>164.24</v>
      </c>
      <c r="G83">
        <f t="shared" ref="G83:K83" si="92">SUMPRODUCT($B83:$B87,P$2:P$6)</f>
        <v>144.14831042700496</v>
      </c>
      <c r="H83">
        <f t="shared" si="92"/>
        <v>95.435268146365956</v>
      </c>
      <c r="I83">
        <f t="shared" si="92"/>
        <v>52.393470688756352</v>
      </c>
      <c r="J83">
        <f t="shared" si="92"/>
        <v>8.0119239800432833</v>
      </c>
      <c r="K83">
        <f t="shared" si="92"/>
        <v>7.9816049240429301</v>
      </c>
      <c r="L83">
        <f t="shared" si="74"/>
        <v>164.43590540539964</v>
      </c>
      <c r="M83">
        <f t="shared" si="75"/>
        <v>-0.38590540539962603</v>
      </c>
      <c r="N83">
        <f t="shared" si="76"/>
        <v>0.14892298191664971</v>
      </c>
    </row>
    <row r="84" spans="1:14" x14ac:dyDescent="0.45">
      <c r="A84" s="22">
        <v>42754</v>
      </c>
      <c r="B84">
        <v>164.18</v>
      </c>
      <c r="C84">
        <v>163.69999999999999</v>
      </c>
      <c r="G84">
        <f t="shared" ref="G84:K84" si="93">SUMPRODUCT($B84:$B88,P$2:P$6)</f>
        <v>143.96416774423466</v>
      </c>
      <c r="H84">
        <f t="shared" si="93"/>
        <v>95.313354525647981</v>
      </c>
      <c r="I84">
        <f t="shared" si="93"/>
        <v>52.326538368361717</v>
      </c>
      <c r="J84">
        <f t="shared" si="93"/>
        <v>7.9869378185694071</v>
      </c>
      <c r="K84">
        <f t="shared" si="93"/>
        <v>7.9657656419186704</v>
      </c>
      <c r="L84">
        <f t="shared" si="74"/>
        <v>164.23058572433618</v>
      </c>
      <c r="M84">
        <f t="shared" si="75"/>
        <v>0.15941427566380639</v>
      </c>
      <c r="N84">
        <f t="shared" si="76"/>
        <v>2.5412911285416055E-2</v>
      </c>
    </row>
    <row r="85" spans="1:14" x14ac:dyDescent="0.45">
      <c r="A85" s="22">
        <v>42753</v>
      </c>
      <c r="B85">
        <v>163.65</v>
      </c>
      <c r="C85">
        <v>164.27</v>
      </c>
      <c r="G85">
        <f t="shared" ref="G85:K85" si="94">SUMPRODUCT($B85:$B89,P$2:P$6)</f>
        <v>143.49942773304693</v>
      </c>
      <c r="H85">
        <f t="shared" si="94"/>
        <v>95.005667320874934</v>
      </c>
      <c r="I85">
        <f t="shared" si="94"/>
        <v>52.157619835236765</v>
      </c>
      <c r="J85">
        <f t="shared" si="94"/>
        <v>7.9427636878286449</v>
      </c>
      <c r="K85">
        <f t="shared" si="94"/>
        <v>7.9157979954580355</v>
      </c>
      <c r="L85">
        <f t="shared" si="74"/>
        <v>163.7124000201301</v>
      </c>
      <c r="M85">
        <f t="shared" si="75"/>
        <v>0.46759997986990243</v>
      </c>
      <c r="N85">
        <f t="shared" si="76"/>
        <v>0.21864974117433317</v>
      </c>
    </row>
    <row r="86" spans="1:14" x14ac:dyDescent="0.45">
      <c r="A86" s="22">
        <v>42752</v>
      </c>
      <c r="B86">
        <v>161.85</v>
      </c>
      <c r="C86">
        <v>163.81</v>
      </c>
      <c r="G86">
        <f t="shared" ref="G86:K86" si="95">SUMPRODUCT($B86:$B90,P$2:P$6)</f>
        <v>141.92106692121246</v>
      </c>
      <c r="H86">
        <f t="shared" si="95"/>
        <v>93.96069362707253</v>
      </c>
      <c r="I86">
        <f t="shared" si="95"/>
        <v>51.583937570381352</v>
      </c>
      <c r="J86">
        <f t="shared" si="95"/>
        <v>7.9003714083296277</v>
      </c>
      <c r="K86">
        <f t="shared" si="95"/>
        <v>7.873548461688352</v>
      </c>
      <c r="L86">
        <f t="shared" si="74"/>
        <v>161.95252677550312</v>
      </c>
      <c r="M86">
        <f t="shared" si="75"/>
        <v>1.6974732244968891</v>
      </c>
      <c r="N86">
        <f t="shared" si="76"/>
        <v>2.8814153478838662</v>
      </c>
    </row>
    <row r="87" spans="1:14" x14ac:dyDescent="0.45">
      <c r="A87" s="22">
        <v>42748</v>
      </c>
      <c r="B87">
        <v>161.99</v>
      </c>
      <c r="C87">
        <v>161.86000000000001</v>
      </c>
      <c r="G87">
        <f t="shared" ref="G87:K87" si="96">SUMPRODUCT($B87:$B91,P$2:P$6)</f>
        <v>142.04382926050437</v>
      </c>
      <c r="H87">
        <f t="shared" si="96"/>
        <v>94.041968673620076</v>
      </c>
      <c r="I87">
        <f t="shared" si="96"/>
        <v>51.628558457201812</v>
      </c>
      <c r="J87">
        <f t="shared" si="96"/>
        <v>7.8911239388409262</v>
      </c>
      <c r="K87">
        <f t="shared" si="96"/>
        <v>7.8613702098772462</v>
      </c>
      <c r="L87">
        <f t="shared" si="74"/>
        <v>162.0894064483997</v>
      </c>
      <c r="M87">
        <f t="shared" si="75"/>
        <v>-0.2394064483997056</v>
      </c>
      <c r="N87">
        <f t="shared" si="76"/>
        <v>5.73154475353609E-2</v>
      </c>
    </row>
    <row r="88" spans="1:14" x14ac:dyDescent="0.45">
      <c r="A88" s="22">
        <v>42747</v>
      </c>
      <c r="B88">
        <v>161.35</v>
      </c>
      <c r="C88">
        <v>161.87</v>
      </c>
      <c r="G88">
        <f t="shared" ref="G88:K88" si="97">SUMPRODUCT($B88:$B92,P$2:P$6)</f>
        <v>141.48263479491533</v>
      </c>
      <c r="H88">
        <f t="shared" si="97"/>
        <v>93.67042376258054</v>
      </c>
      <c r="I88">
        <f t="shared" si="97"/>
        <v>51.42458260168037</v>
      </c>
      <c r="J88">
        <f t="shared" si="97"/>
        <v>7.8769694266998265</v>
      </c>
      <c r="K88">
        <f t="shared" si="97"/>
        <v>7.8541617091914793</v>
      </c>
      <c r="L88">
        <f t="shared" si="74"/>
        <v>161.46367471268351</v>
      </c>
      <c r="M88">
        <f t="shared" si="75"/>
        <v>0.52632528731649586</v>
      </c>
      <c r="N88">
        <f t="shared" si="76"/>
        <v>0.27701830806879191</v>
      </c>
    </row>
    <row r="89" spans="1:14" x14ac:dyDescent="0.45">
      <c r="A89" s="22">
        <v>42746</v>
      </c>
      <c r="B89">
        <v>161.47</v>
      </c>
      <c r="C89">
        <v>161.54</v>
      </c>
      <c r="G89">
        <f t="shared" ref="G89:K89" si="98">SUMPRODUCT($B89:$B93,P$2:P$6)</f>
        <v>141.58785725609974</v>
      </c>
      <c r="H89">
        <f t="shared" si="98"/>
        <v>93.740089068796749</v>
      </c>
      <c r="I89">
        <f t="shared" si="98"/>
        <v>51.462827205371255</v>
      </c>
      <c r="J89">
        <f t="shared" si="98"/>
        <v>7.8758058180649622</v>
      </c>
      <c r="K89">
        <f t="shared" si="98"/>
        <v>7.8426566616885394</v>
      </c>
      <c r="L89">
        <f t="shared" si="74"/>
        <v>161.58099842667323</v>
      </c>
      <c r="M89">
        <f t="shared" si="75"/>
        <v>-0.23099842667323855</v>
      </c>
      <c r="N89">
        <f t="shared" si="76"/>
        <v>5.3360273125511566E-2</v>
      </c>
    </row>
    <row r="90" spans="1:14" x14ac:dyDescent="0.45">
      <c r="A90" s="22">
        <v>42745</v>
      </c>
      <c r="B90">
        <v>160.58000000000001</v>
      </c>
      <c r="C90">
        <v>161.66</v>
      </c>
      <c r="G90">
        <f t="shared" ref="G90:K90" si="99">SUMPRODUCT($B90:$B94,P$2:P$6)</f>
        <v>140.8074456673412</v>
      </c>
      <c r="H90">
        <f t="shared" si="99"/>
        <v>93.223406283256253</v>
      </c>
      <c r="I90">
        <f t="shared" si="99"/>
        <v>51.179174672205953</v>
      </c>
      <c r="J90">
        <f t="shared" si="99"/>
        <v>7.884378208370137</v>
      </c>
      <c r="K90">
        <f t="shared" si="99"/>
        <v>7.8469489246293698</v>
      </c>
      <c r="L90">
        <f t="shared" si="74"/>
        <v>160.7108387270768</v>
      </c>
      <c r="M90">
        <f t="shared" si="75"/>
        <v>0.75916127292319402</v>
      </c>
      <c r="N90">
        <f t="shared" si="76"/>
        <v>0.5763258383063643</v>
      </c>
    </row>
    <row r="91" spans="1:14" x14ac:dyDescent="0.45">
      <c r="A91" s="22">
        <v>42744</v>
      </c>
      <c r="B91">
        <v>162.33000000000001</v>
      </c>
      <c r="C91">
        <v>160.97</v>
      </c>
      <c r="G91">
        <f t="shared" ref="G91:K91" si="100">SUMPRODUCT($B91:$B95,P$2:P$6)</f>
        <v>142.3419632956315</v>
      </c>
      <c r="H91">
        <f t="shared" si="100"/>
        <v>94.23935195479892</v>
      </c>
      <c r="I91">
        <f t="shared" si="100"/>
        <v>51.736919435066717</v>
      </c>
      <c r="J91">
        <f t="shared" si="100"/>
        <v>7.9170086747040243</v>
      </c>
      <c r="K91">
        <f t="shared" si="100"/>
        <v>7.8915165881067626</v>
      </c>
      <c r="L91">
        <f t="shared" si="74"/>
        <v>162.42182577309748</v>
      </c>
      <c r="M91">
        <f t="shared" si="75"/>
        <v>-1.8418257730974688</v>
      </c>
      <c r="N91">
        <f t="shared" si="76"/>
        <v>3.3923221784460886</v>
      </c>
    </row>
    <row r="92" spans="1:14" x14ac:dyDescent="0.45">
      <c r="A92" s="22">
        <v>42741</v>
      </c>
      <c r="B92">
        <v>162.66999999999999</v>
      </c>
      <c r="C92">
        <v>162.83000000000001</v>
      </c>
      <c r="G92">
        <f t="shared" ref="G92:K92" si="101">SUMPRODUCT($B92:$B96,P$2:P$6)</f>
        <v>142.64009751498787</v>
      </c>
      <c r="H92">
        <f t="shared" si="101"/>
        <v>94.436736468866656</v>
      </c>
      <c r="I92">
        <f t="shared" si="101"/>
        <v>51.84527891963554</v>
      </c>
      <c r="J92">
        <f t="shared" si="101"/>
        <v>7.8893990913000733</v>
      </c>
      <c r="K92">
        <f t="shared" si="101"/>
        <v>7.8700541727582731</v>
      </c>
      <c r="L92">
        <f t="shared" si="74"/>
        <v>162.7542454228865</v>
      </c>
      <c r="M92">
        <f t="shared" si="75"/>
        <v>-0.42424542288648581</v>
      </c>
      <c r="N92">
        <f t="shared" si="76"/>
        <v>0.17998417884013318</v>
      </c>
    </row>
    <row r="93" spans="1:14" x14ac:dyDescent="0.45">
      <c r="A93" s="22">
        <v>42740</v>
      </c>
      <c r="B93">
        <v>160.94999999999999</v>
      </c>
      <c r="C93">
        <v>162.91</v>
      </c>
      <c r="G93">
        <f t="shared" ref="G93:K93" si="102">SUMPRODUCT($B93:$B97,P$2:P$6)</f>
        <v>141.13188600913332</v>
      </c>
      <c r="H93">
        <f t="shared" si="102"/>
        <v>93.438206251785374</v>
      </c>
      <c r="I93">
        <f t="shared" si="102"/>
        <v>51.297094513992775</v>
      </c>
      <c r="J93">
        <f t="shared" si="102"/>
        <v>7.8358141350489028</v>
      </c>
      <c r="K93">
        <f t="shared" si="102"/>
        <v>7.8066535460939388</v>
      </c>
      <c r="L93">
        <f t="shared" si="74"/>
        <v>161.0725890440219</v>
      </c>
      <c r="M93">
        <f t="shared" si="75"/>
        <v>1.5974109559780914</v>
      </c>
      <c r="N93">
        <f t="shared" si="76"/>
        <v>2.5517217622788397</v>
      </c>
    </row>
    <row r="94" spans="1:14" x14ac:dyDescent="0.45">
      <c r="A94" s="22">
        <v>42739</v>
      </c>
      <c r="B94">
        <v>159.80000000000001</v>
      </c>
      <c r="C94">
        <v>159.76</v>
      </c>
      <c r="G94">
        <f t="shared" ref="G94:K94" si="103">SUMPRODUCT($B94:$B98,P$2:P$6)</f>
        <v>140.12349048281229</v>
      </c>
      <c r="H94">
        <f t="shared" si="103"/>
        <v>92.770583967298904</v>
      </c>
      <c r="I94">
        <f t="shared" si="103"/>
        <v>50.930578533609655</v>
      </c>
      <c r="J94">
        <f t="shared" si="103"/>
        <v>7.8253810274636653</v>
      </c>
      <c r="K94">
        <f t="shared" si="103"/>
        <v>7.7932328563012074</v>
      </c>
      <c r="L94">
        <f t="shared" si="74"/>
        <v>159.94822750405638</v>
      </c>
      <c r="M94">
        <f t="shared" si="75"/>
        <v>1.0017724959436123</v>
      </c>
      <c r="N94">
        <f t="shared" si="76"/>
        <v>1.0035481336290948</v>
      </c>
    </row>
    <row r="95" spans="1:14" x14ac:dyDescent="0.45">
      <c r="A95" s="22">
        <v>42738</v>
      </c>
      <c r="B95">
        <v>160.65</v>
      </c>
      <c r="C95">
        <v>159.72999999999999</v>
      </c>
      <c r="G95">
        <f t="shared" ref="G95:K95" si="104">SUMPRODUCT($B95:$B99,P$2:P$6)</f>
        <v>140.86882738251862</v>
      </c>
      <c r="H95">
        <f t="shared" si="104"/>
        <v>93.264044846891906</v>
      </c>
      <c r="I95">
        <f t="shared" si="104"/>
        <v>51.20148341808553</v>
      </c>
      <c r="J95">
        <f t="shared" si="104"/>
        <v>7.8505686660273293</v>
      </c>
      <c r="K95">
        <f t="shared" si="104"/>
        <v>7.8244239796831128</v>
      </c>
      <c r="L95">
        <f t="shared" si="74"/>
        <v>160.7792789995928</v>
      </c>
      <c r="M95">
        <f t="shared" si="75"/>
        <v>-0.9792789995927933</v>
      </c>
      <c r="N95">
        <f t="shared" si="76"/>
        <v>0.95898735904346211</v>
      </c>
    </row>
    <row r="96" spans="1:14" x14ac:dyDescent="0.45">
      <c r="A96" s="22">
        <v>42734</v>
      </c>
      <c r="B96">
        <v>160.88999999999999</v>
      </c>
      <c r="C96">
        <v>160.11000000000001</v>
      </c>
      <c r="G96">
        <f t="shared" ref="G96:K96" si="105">SUMPRODUCT($B96:$B100,P$2:P$6)</f>
        <v>141.0792753995307</v>
      </c>
      <c r="H96">
        <f t="shared" si="105"/>
        <v>93.403374807346154</v>
      </c>
      <c r="I96">
        <f t="shared" si="105"/>
        <v>51.277975439247918</v>
      </c>
      <c r="J96">
        <f t="shared" si="105"/>
        <v>7.8604832044434563</v>
      </c>
      <c r="K96">
        <f t="shared" si="105"/>
        <v>7.8268423489354833</v>
      </c>
      <c r="L96">
        <f t="shared" si="74"/>
        <v>161.01392903899267</v>
      </c>
      <c r="M96">
        <f t="shared" si="75"/>
        <v>-0.36392903899266571</v>
      </c>
      <c r="N96">
        <f t="shared" si="76"/>
        <v>0.13244434542212519</v>
      </c>
    </row>
    <row r="97" spans="1:14" x14ac:dyDescent="0.45">
      <c r="A97" s="22">
        <v>42733</v>
      </c>
      <c r="B97">
        <v>160.65</v>
      </c>
      <c r="C97">
        <v>161.13</v>
      </c>
      <c r="G97">
        <f t="shared" ref="G97:K97" si="106">SUMPRODUCT($B97:$B101,P$2:P$6)</f>
        <v>140.86882894493775</v>
      </c>
      <c r="H97">
        <f t="shared" si="106"/>
        <v>93.264045064022383</v>
      </c>
      <c r="I97">
        <f t="shared" si="106"/>
        <v>51.20148741286706</v>
      </c>
      <c r="J97">
        <f t="shared" si="106"/>
        <v>7.879476794400575</v>
      </c>
      <c r="K97">
        <f t="shared" si="106"/>
        <v>7.8473534701698915</v>
      </c>
      <c r="L97">
        <f t="shared" si="74"/>
        <v>160.77928124733074</v>
      </c>
      <c r="M97">
        <f t="shared" si="75"/>
        <v>0.1107187526692428</v>
      </c>
      <c r="N97">
        <f t="shared" si="76"/>
        <v>1.225864219263296E-2</v>
      </c>
    </row>
    <row r="98" spans="1:14" x14ac:dyDescent="0.45">
      <c r="A98" s="22">
        <v>42732</v>
      </c>
      <c r="B98">
        <v>162.02000000000001</v>
      </c>
      <c r="C98">
        <v>161.01</v>
      </c>
      <c r="G98">
        <f t="shared" ref="G98:K98" si="107">SUMPRODUCT($B98:$B102,P$2:P$6)</f>
        <v>142.07013643275161</v>
      </c>
      <c r="H98">
        <f t="shared" si="107"/>
        <v>94.05938736580454</v>
      </c>
      <c r="I98">
        <f t="shared" si="107"/>
        <v>51.638122393818961</v>
      </c>
      <c r="J98">
        <f t="shared" si="107"/>
        <v>7.9154938997661084</v>
      </c>
      <c r="K98">
        <f t="shared" si="107"/>
        <v>7.8884379909420925</v>
      </c>
      <c r="L98">
        <f t="shared" si="74"/>
        <v>162.11874032331403</v>
      </c>
      <c r="M98">
        <f t="shared" si="75"/>
        <v>-1.468740323314023</v>
      </c>
      <c r="N98">
        <f t="shared" si="76"/>
        <v>2.1571981373285811</v>
      </c>
    </row>
    <row r="99" spans="1:14" x14ac:dyDescent="0.45">
      <c r="A99" s="22">
        <v>42731</v>
      </c>
      <c r="B99">
        <v>162.06</v>
      </c>
      <c r="C99">
        <v>162.05000000000001</v>
      </c>
      <c r="G99">
        <f t="shared" ref="G99:K99" si="108">SUMPRODUCT($B99:$B103,P$2:P$6)</f>
        <v>142.10521165454239</v>
      </c>
      <c r="H99">
        <f t="shared" si="108"/>
        <v>94.082609062739664</v>
      </c>
      <c r="I99">
        <f t="shared" si="108"/>
        <v>51.650873133419417</v>
      </c>
      <c r="J99">
        <f t="shared" si="108"/>
        <v>7.9274905525963577</v>
      </c>
      <c r="K99">
        <f t="shared" si="108"/>
        <v>7.8921781602265275</v>
      </c>
      <c r="L99">
        <f t="shared" si="74"/>
        <v>162.1578496100891</v>
      </c>
      <c r="M99">
        <f t="shared" si="75"/>
        <v>-0.13784961008909136</v>
      </c>
      <c r="N99">
        <f t="shared" si="76"/>
        <v>1.9002515001714518E-2</v>
      </c>
    </row>
    <row r="100" spans="1:14" x14ac:dyDescent="0.45">
      <c r="A100" s="22">
        <v>42727</v>
      </c>
      <c r="B100">
        <v>162.16999999999999</v>
      </c>
      <c r="C100">
        <v>162.08000000000001</v>
      </c>
      <c r="G100">
        <f t="shared" ref="G100:K100" si="109">SUMPRODUCT($B100:$B104,P$2:P$6)</f>
        <v>142.20166594718231</v>
      </c>
      <c r="H100">
        <f t="shared" si="109"/>
        <v>94.146469129239463</v>
      </c>
      <c r="I100">
        <f t="shared" si="109"/>
        <v>51.685930427767239</v>
      </c>
      <c r="J100">
        <f t="shared" si="109"/>
        <v>7.9573215244486644</v>
      </c>
      <c r="K100">
        <f t="shared" si="109"/>
        <v>7.9261193190935213</v>
      </c>
      <c r="L100">
        <f t="shared" si="74"/>
        <v>162.26539663774776</v>
      </c>
      <c r="M100">
        <f t="shared" si="75"/>
        <v>-0.20539663774775363</v>
      </c>
      <c r="N100">
        <f t="shared" si="76"/>
        <v>4.2187778798081929E-2</v>
      </c>
    </row>
    <row r="101" spans="1:14" x14ac:dyDescent="0.45">
      <c r="A101" s="22">
        <v>42726</v>
      </c>
      <c r="B101">
        <v>163.66</v>
      </c>
      <c r="C101">
        <v>162.07</v>
      </c>
      <c r="G101">
        <f t="shared" ref="G101:K101" si="110">SUMPRODUCT($B101:$B105,P$2:P$6)</f>
        <v>143.5081963832817</v>
      </c>
      <c r="H101">
        <f t="shared" si="110"/>
        <v>95.01147341233262</v>
      </c>
      <c r="I101">
        <f t="shared" si="110"/>
        <v>52.160809868247938</v>
      </c>
      <c r="J101">
        <f t="shared" si="110"/>
        <v>7.9896311035529095</v>
      </c>
      <c r="K101">
        <f t="shared" si="110"/>
        <v>7.9533678452409937</v>
      </c>
      <c r="L101">
        <f t="shared" si="74"/>
        <v>163.72217815979329</v>
      </c>
      <c r="M101">
        <f t="shared" si="75"/>
        <v>-1.5521781597933</v>
      </c>
      <c r="N101">
        <f t="shared" si="76"/>
        <v>2.4092570397393152</v>
      </c>
    </row>
    <row r="102" spans="1:14" x14ac:dyDescent="0.45">
      <c r="A102" s="22">
        <v>42725</v>
      </c>
      <c r="B102">
        <v>163.6</v>
      </c>
      <c r="C102">
        <v>163.04</v>
      </c>
      <c r="G102">
        <f t="shared" ref="G102:K102" si="111">SUMPRODUCT($B102:$B106,P$2:P$6)</f>
        <v>143.45558384866735</v>
      </c>
      <c r="H102">
        <f t="shared" si="111"/>
        <v>94.976639599924454</v>
      </c>
      <c r="I102">
        <f t="shared" si="111"/>
        <v>52.141684432129559</v>
      </c>
      <c r="J102">
        <f t="shared" si="111"/>
        <v>7.9830572836690941</v>
      </c>
      <c r="K102">
        <f t="shared" si="111"/>
        <v>7.9580556655333243</v>
      </c>
      <c r="L102">
        <f t="shared" si="74"/>
        <v>163.66351401564677</v>
      </c>
      <c r="M102">
        <f t="shared" si="75"/>
        <v>-3.5140156467718953E-3</v>
      </c>
      <c r="N102">
        <f t="shared" si="76"/>
        <v>1.2348305965757702E-5</v>
      </c>
    </row>
    <row r="103" spans="1:14" x14ac:dyDescent="0.45">
      <c r="A103" s="22">
        <v>42724</v>
      </c>
      <c r="B103">
        <v>164.32</v>
      </c>
      <c r="C103">
        <v>163.86</v>
      </c>
      <c r="G103">
        <f t="shared" ref="G103:K103" si="112">SUMPRODUCT($B103:$B107,P$2:P$6)</f>
        <v>144.08692754901014</v>
      </c>
      <c r="H103">
        <f t="shared" si="112"/>
        <v>95.394628096249406</v>
      </c>
      <c r="I103">
        <f t="shared" si="112"/>
        <v>52.371153878637848</v>
      </c>
      <c r="J103">
        <f t="shared" si="112"/>
        <v>7.9470412741752785</v>
      </c>
      <c r="K103">
        <f t="shared" si="112"/>
        <v>7.9266454512631954</v>
      </c>
      <c r="L103">
        <f t="shared" si="74"/>
        <v>164.36746150633445</v>
      </c>
      <c r="M103">
        <f t="shared" si="75"/>
        <v>-0.76746150633445609</v>
      </c>
      <c r="N103">
        <f t="shared" si="76"/>
        <v>0.58899716370515243</v>
      </c>
    </row>
    <row r="104" spans="1:14" x14ac:dyDescent="0.45">
      <c r="A104" s="22">
        <v>42723</v>
      </c>
      <c r="B104">
        <v>162.01</v>
      </c>
      <c r="C104">
        <v>163.46</v>
      </c>
      <c r="G104">
        <f t="shared" ref="G104:K104" si="113">SUMPRODUCT($B104:$B108,P$2:P$6)</f>
        <v>142.06136522249395</v>
      </c>
      <c r="H104">
        <f t="shared" si="113"/>
        <v>94.053578927914586</v>
      </c>
      <c r="I104">
        <f t="shared" si="113"/>
        <v>51.634928361039634</v>
      </c>
      <c r="J104">
        <f t="shared" si="113"/>
        <v>7.8621210225247413</v>
      </c>
      <c r="K104">
        <f t="shared" si="113"/>
        <v>7.8421197900672475</v>
      </c>
      <c r="L104">
        <f t="shared" si="74"/>
        <v>162.10895822111928</v>
      </c>
      <c r="M104">
        <f t="shared" si="75"/>
        <v>2.2110417788807126</v>
      </c>
      <c r="N104">
        <f t="shared" si="76"/>
        <v>4.8887057479559859</v>
      </c>
    </row>
    <row r="105" spans="1:14" x14ac:dyDescent="0.45">
      <c r="A105" s="22">
        <v>42720</v>
      </c>
      <c r="B105">
        <v>160.49</v>
      </c>
      <c r="C105">
        <v>160.41</v>
      </c>
      <c r="G105">
        <f t="shared" ref="G105:K105" si="114">SUMPRODUCT($B105:$B109,P$2:P$6)</f>
        <v>140.72852566346469</v>
      </c>
      <c r="H105">
        <f t="shared" si="114"/>
        <v>93.171157332721947</v>
      </c>
      <c r="I105">
        <f t="shared" si="114"/>
        <v>51.150484153399091</v>
      </c>
      <c r="J105">
        <f t="shared" si="114"/>
        <v>7.8135976200221595</v>
      </c>
      <c r="K105">
        <f t="shared" si="114"/>
        <v>7.7860757374702532</v>
      </c>
      <c r="L105">
        <f t="shared" si="74"/>
        <v>160.62284188271215</v>
      </c>
      <c r="M105">
        <f t="shared" si="75"/>
        <v>1.3871581172878393</v>
      </c>
      <c r="N105">
        <f t="shared" si="76"/>
        <v>1.9242076423575429</v>
      </c>
    </row>
    <row r="106" spans="1:14" x14ac:dyDescent="0.45">
      <c r="A106" s="22">
        <v>42719</v>
      </c>
      <c r="B106">
        <v>159.35</v>
      </c>
      <c r="C106">
        <v>160.11000000000001</v>
      </c>
      <c r="G106">
        <f t="shared" ref="G106:K106" si="115">SUMPRODUCT($B106:$B110,P$2:P$6)</f>
        <v>139.72889685128391</v>
      </c>
      <c r="H106">
        <f t="shared" si="115"/>
        <v>92.509338922289643</v>
      </c>
      <c r="I106">
        <f t="shared" si="115"/>
        <v>50.787153047346457</v>
      </c>
      <c r="J106">
        <f t="shared" si="115"/>
        <v>7.7997621595213493</v>
      </c>
      <c r="K106">
        <f t="shared" si="115"/>
        <v>7.7622950100844283</v>
      </c>
      <c r="L106">
        <f t="shared" si="74"/>
        <v>159.5082547200652</v>
      </c>
      <c r="M106">
        <f t="shared" si="75"/>
        <v>0.9817452799348132</v>
      </c>
      <c r="N106">
        <f t="shared" si="76"/>
        <v>0.9638237946742847</v>
      </c>
    </row>
    <row r="107" spans="1:14" x14ac:dyDescent="0.45">
      <c r="A107" s="22">
        <v>42718</v>
      </c>
      <c r="B107">
        <v>160.05000000000001</v>
      </c>
      <c r="C107">
        <v>158.99</v>
      </c>
      <c r="G107">
        <f t="shared" ref="G107:K107" si="116">SUMPRODUCT($B107:$B111,P$2:P$6)</f>
        <v>140.3427034671754</v>
      </c>
      <c r="H107">
        <f t="shared" si="116"/>
        <v>92.915716406635696</v>
      </c>
      <c r="I107">
        <f t="shared" si="116"/>
        <v>51.010249054673793</v>
      </c>
      <c r="J107">
        <f t="shared" si="116"/>
        <v>7.8127722427935726</v>
      </c>
      <c r="K107">
        <f t="shared" si="116"/>
        <v>7.7883499201877084</v>
      </c>
      <c r="L107">
        <f t="shared" si="74"/>
        <v>160.19264836492658</v>
      </c>
      <c r="M107">
        <f t="shared" si="75"/>
        <v>-0.84264836492658901</v>
      </c>
      <c r="N107">
        <f t="shared" si="76"/>
        <v>0.71005626691345392</v>
      </c>
    </row>
    <row r="108" spans="1:14" x14ac:dyDescent="0.45">
      <c r="A108" s="22">
        <v>42717</v>
      </c>
      <c r="B108">
        <v>160.85</v>
      </c>
      <c r="C108">
        <v>159.77000000000001</v>
      </c>
      <c r="G108">
        <f t="shared" ref="G108:K108" si="117">SUMPRODUCT($B108:$B112,P$2:P$6)</f>
        <v>141.04419178354246</v>
      </c>
      <c r="H108">
        <f t="shared" si="117"/>
        <v>93.380148586371249</v>
      </c>
      <c r="I108">
        <f t="shared" si="117"/>
        <v>51.265209027144166</v>
      </c>
      <c r="J108">
        <f t="shared" si="117"/>
        <v>7.7819999969246378</v>
      </c>
      <c r="K108">
        <f t="shared" si="117"/>
        <v>7.7622135928426612</v>
      </c>
      <c r="L108">
        <f t="shared" si="74"/>
        <v>160.97480759423635</v>
      </c>
      <c r="M108">
        <f t="shared" si="75"/>
        <v>-0.9248075942363414</v>
      </c>
      <c r="N108">
        <f t="shared" si="76"/>
        <v>0.85526908635720944</v>
      </c>
    </row>
    <row r="109" spans="1:14" x14ac:dyDescent="0.45">
      <c r="A109" s="22">
        <v>42716</v>
      </c>
      <c r="B109">
        <v>158.6</v>
      </c>
      <c r="C109">
        <v>160.33000000000001</v>
      </c>
      <c r="G109">
        <f t="shared" ref="G109:K109" si="118">SUMPRODUCT($B109:$B113,P$2:P$6)</f>
        <v>139.07124185909089</v>
      </c>
      <c r="H109">
        <f t="shared" si="118"/>
        <v>92.073926629500946</v>
      </c>
      <c r="I109">
        <f t="shared" si="118"/>
        <v>50.548107323579515</v>
      </c>
      <c r="J109">
        <f t="shared" si="118"/>
        <v>7.6899886416505261</v>
      </c>
      <c r="K109">
        <f t="shared" si="118"/>
        <v>7.65615187766051</v>
      </c>
      <c r="L109">
        <f t="shared" si="74"/>
        <v>158.77496481079237</v>
      </c>
      <c r="M109">
        <f t="shared" si="75"/>
        <v>2.0750351892076253</v>
      </c>
      <c r="N109">
        <f t="shared" si="76"/>
        <v>4.3057710364499258</v>
      </c>
    </row>
    <row r="110" spans="1:14" x14ac:dyDescent="0.45">
      <c r="A110" s="22">
        <v>42713</v>
      </c>
      <c r="B110">
        <v>157.28</v>
      </c>
      <c r="C110">
        <v>159.69999999999999</v>
      </c>
      <c r="G110">
        <f t="shared" ref="G110:K110" si="119">SUMPRODUCT($B110:$B114,P$2:P$6)</f>
        <v>137.91377760735494</v>
      </c>
      <c r="H110">
        <f t="shared" si="119"/>
        <v>91.307613104580383</v>
      </c>
      <c r="I110">
        <f t="shared" si="119"/>
        <v>50.127401725232936</v>
      </c>
      <c r="J110">
        <f t="shared" si="119"/>
        <v>7.6137624088237752</v>
      </c>
      <c r="K110">
        <f t="shared" si="119"/>
        <v>7.6123999778046727</v>
      </c>
      <c r="L110">
        <f t="shared" si="74"/>
        <v>157.48439021283031</v>
      </c>
      <c r="M110">
        <f t="shared" si="75"/>
        <v>1.1156097871696886</v>
      </c>
      <c r="N110">
        <f t="shared" si="76"/>
        <v>1.244585197228798</v>
      </c>
    </row>
    <row r="111" spans="1:14" x14ac:dyDescent="0.45">
      <c r="A111" s="22">
        <v>42712</v>
      </c>
      <c r="B111">
        <v>156.63999999999999</v>
      </c>
      <c r="C111">
        <v>157.59</v>
      </c>
      <c r="G111">
        <f t="shared" ref="G111:K111" si="120">SUMPRODUCT($B111:$B115,P$2:P$6)</f>
        <v>137.35258046251624</v>
      </c>
      <c r="H111">
        <f t="shared" si="120"/>
        <v>90.936067161334762</v>
      </c>
      <c r="I111">
        <f t="shared" si="120"/>
        <v>49.923421927048167</v>
      </c>
      <c r="J111">
        <f t="shared" si="120"/>
        <v>7.501748575073476</v>
      </c>
      <c r="K111">
        <f t="shared" si="120"/>
        <v>7.4832786804664764</v>
      </c>
      <c r="L111">
        <f t="shared" si="74"/>
        <v>156.85865506759689</v>
      </c>
      <c r="M111">
        <f t="shared" si="75"/>
        <v>0.42134493240311599</v>
      </c>
      <c r="N111">
        <f t="shared" si="76"/>
        <v>0.17753155206178639</v>
      </c>
    </row>
    <row r="112" spans="1:14" x14ac:dyDescent="0.45">
      <c r="A112" s="22">
        <v>42711</v>
      </c>
      <c r="B112">
        <v>150.6</v>
      </c>
      <c r="C112">
        <v>153.85</v>
      </c>
      <c r="G112">
        <f t="shared" ref="G112:K112" si="121">SUMPRODUCT($B112:$B116,P$2:P$6)</f>
        <v>132.05630415168702</v>
      </c>
      <c r="H112">
        <f t="shared" si="121"/>
        <v>87.429599652380944</v>
      </c>
      <c r="I112">
        <f t="shared" si="121"/>
        <v>47.998403365847402</v>
      </c>
      <c r="J112">
        <f t="shared" si="121"/>
        <v>7.386920196795538</v>
      </c>
      <c r="K112">
        <f t="shared" si="121"/>
        <v>7.3557438597461928</v>
      </c>
      <c r="L112">
        <f t="shared" si="74"/>
        <v>150.95330436212583</v>
      </c>
      <c r="M112">
        <f t="shared" si="75"/>
        <v>5.686695637874152</v>
      </c>
      <c r="N112">
        <f t="shared" si="76"/>
        <v>32.338507277816909</v>
      </c>
    </row>
    <row r="113" spans="1:14" x14ac:dyDescent="0.45">
      <c r="A113" s="22">
        <v>42710</v>
      </c>
      <c r="B113">
        <v>151.85</v>
      </c>
      <c r="C113">
        <v>151.01</v>
      </c>
      <c r="G113">
        <f t="shared" ref="G113:K113" si="122">SUMPRODUCT($B113:$B117,P$2:P$6)</f>
        <v>133.15238846181552</v>
      </c>
      <c r="H113">
        <f t="shared" si="122"/>
        <v>88.155274382187969</v>
      </c>
      <c r="I113">
        <f t="shared" si="122"/>
        <v>48.396793996408888</v>
      </c>
      <c r="J113">
        <f t="shared" si="122"/>
        <v>7.4148469109072739</v>
      </c>
      <c r="K113">
        <f t="shared" si="122"/>
        <v>7.3839356910609784</v>
      </c>
      <c r="L113">
        <f t="shared" si="74"/>
        <v>152.17543821065982</v>
      </c>
      <c r="M113">
        <f t="shared" si="75"/>
        <v>-1.5754382106598257</v>
      </c>
      <c r="N113">
        <f t="shared" si="76"/>
        <v>2.4820055556070333</v>
      </c>
    </row>
    <row r="114" spans="1:14" x14ac:dyDescent="0.45">
      <c r="A114" s="22">
        <v>42709</v>
      </c>
      <c r="B114">
        <v>152.09</v>
      </c>
      <c r="C114">
        <v>151.77000000000001</v>
      </c>
      <c r="G114">
        <f t="shared" ref="G114:K114" si="123">SUMPRODUCT($B114:$B118,P$2:P$6)</f>
        <v>133.36283680052998</v>
      </c>
      <c r="H114">
        <f t="shared" si="123"/>
        <v>88.294604881110502</v>
      </c>
      <c r="I114">
        <f t="shared" si="123"/>
        <v>48.473283325795485</v>
      </c>
      <c r="J114">
        <f t="shared" si="123"/>
        <v>7.4091377312991984</v>
      </c>
      <c r="K114">
        <f t="shared" si="123"/>
        <v>7.3910197724643529</v>
      </c>
      <c r="L114">
        <f t="shared" si="74"/>
        <v>152.41008803124029</v>
      </c>
      <c r="M114">
        <f t="shared" si="75"/>
        <v>-0.56008803124029782</v>
      </c>
      <c r="N114">
        <f t="shared" si="76"/>
        <v>0.31369860273863281</v>
      </c>
    </row>
    <row r="115" spans="1:14" x14ac:dyDescent="0.45">
      <c r="A115" s="22">
        <v>42706</v>
      </c>
      <c r="B115">
        <v>151.99</v>
      </c>
      <c r="C115">
        <v>152.09</v>
      </c>
      <c r="G115">
        <f t="shared" ref="G115:K115" si="124">SUMPRODUCT($B115:$B119,P$2:P$6)</f>
        <v>133.27514899579825</v>
      </c>
      <c r="H115">
        <f t="shared" si="124"/>
        <v>88.236551240331849</v>
      </c>
      <c r="I115">
        <f t="shared" si="124"/>
        <v>48.441410892739782</v>
      </c>
      <c r="J115">
        <f t="shared" si="124"/>
        <v>7.3814024958094615</v>
      </c>
      <c r="K115">
        <f t="shared" si="124"/>
        <v>7.3553595697354091</v>
      </c>
      <c r="L115">
        <f t="shared" si="74"/>
        <v>152.31231642605405</v>
      </c>
      <c r="M115">
        <f t="shared" si="75"/>
        <v>-0.22231642605405</v>
      </c>
      <c r="N115">
        <f t="shared" si="76"/>
        <v>4.9424593293445881E-2</v>
      </c>
    </row>
    <row r="116" spans="1:14" x14ac:dyDescent="0.45">
      <c r="A116" s="22">
        <v>42705</v>
      </c>
      <c r="B116">
        <v>150.11000000000001</v>
      </c>
      <c r="C116">
        <v>151.74</v>
      </c>
      <c r="G116">
        <f t="shared" ref="G116:K116" si="125">SUMPRODUCT($B116:$B120,P$2:P$6)</f>
        <v>131.62664039794507</v>
      </c>
      <c r="H116">
        <f t="shared" si="125"/>
        <v>87.145133808151584</v>
      </c>
      <c r="I116">
        <f t="shared" si="125"/>
        <v>47.84223531982412</v>
      </c>
      <c r="J116">
        <f t="shared" si="125"/>
        <v>7.3580891611306152</v>
      </c>
      <c r="K116">
        <f t="shared" si="125"/>
        <v>7.3257366812635176</v>
      </c>
      <c r="L116">
        <f t="shared" si="74"/>
        <v>150.47422845157919</v>
      </c>
      <c r="M116">
        <f t="shared" si="75"/>
        <v>1.5157715484208154</v>
      </c>
      <c r="N116">
        <f t="shared" si="76"/>
        <v>2.2975633870020364</v>
      </c>
    </row>
    <row r="117" spans="1:14" x14ac:dyDescent="0.45">
      <c r="A117" s="22">
        <v>42704</v>
      </c>
      <c r="B117">
        <v>151.13</v>
      </c>
      <c r="C117">
        <v>150.11000000000001</v>
      </c>
      <c r="G117">
        <f t="shared" ref="G117:K117" si="126">SUMPRODUCT($B117:$B121,P$2:P$6)</f>
        <v>132.52104532765344</v>
      </c>
      <c r="H117">
        <f t="shared" si="126"/>
        <v>87.737286213676526</v>
      </c>
      <c r="I117">
        <f t="shared" si="126"/>
        <v>48.167321889614847</v>
      </c>
      <c r="J117">
        <f t="shared" si="126"/>
        <v>7.3882926830410165</v>
      </c>
      <c r="K117">
        <f t="shared" si="126"/>
        <v>7.363600720755386</v>
      </c>
      <c r="L117">
        <f t="shared" si="74"/>
        <v>151.47149058238219</v>
      </c>
      <c r="M117">
        <f t="shared" si="75"/>
        <v>-1.3614905823821744</v>
      </c>
      <c r="N117">
        <f t="shared" si="76"/>
        <v>1.8536566059153523</v>
      </c>
    </row>
    <row r="118" spans="1:14" x14ac:dyDescent="0.45">
      <c r="A118" s="22">
        <v>42703</v>
      </c>
      <c r="B118">
        <v>151.62</v>
      </c>
      <c r="C118">
        <v>151.47999999999999</v>
      </c>
      <c r="G118">
        <f t="shared" ref="G118:K118" si="127">SUMPRODUCT($B118:$B122,P$2:P$6)</f>
        <v>132.95070926196658</v>
      </c>
      <c r="H118">
        <f t="shared" si="127"/>
        <v>88.021752021343218</v>
      </c>
      <c r="I118">
        <f t="shared" si="127"/>
        <v>48.32349007180796</v>
      </c>
      <c r="J118">
        <f t="shared" si="127"/>
        <v>7.396671643770043</v>
      </c>
      <c r="K118">
        <f t="shared" si="127"/>
        <v>7.3689818601806074</v>
      </c>
      <c r="L118">
        <f t="shared" si="74"/>
        <v>151.95056663870773</v>
      </c>
      <c r="M118">
        <f t="shared" si="75"/>
        <v>-0.8205666387077315</v>
      </c>
      <c r="N118">
        <f t="shared" si="76"/>
        <v>0.67332960856010471</v>
      </c>
    </row>
    <row r="119" spans="1:14" x14ac:dyDescent="0.45">
      <c r="A119" s="22">
        <v>42702</v>
      </c>
      <c r="B119">
        <v>151.05000000000001</v>
      </c>
      <c r="C119">
        <v>151.25</v>
      </c>
      <c r="G119">
        <f t="shared" ref="G119:K119" si="128">SUMPRODUCT($B119:$B123,P$2:P$6)</f>
        <v>132.45089453680433</v>
      </c>
      <c r="H119">
        <f t="shared" si="128"/>
        <v>87.690843087633496</v>
      </c>
      <c r="I119">
        <f t="shared" si="128"/>
        <v>48.141824706546096</v>
      </c>
      <c r="J119">
        <f t="shared" si="128"/>
        <v>7.4018819617157341</v>
      </c>
      <c r="K119">
        <f t="shared" si="128"/>
        <v>7.3679100513522293</v>
      </c>
      <c r="L119">
        <f t="shared" si="74"/>
        <v>151.39327300936839</v>
      </c>
      <c r="M119">
        <f t="shared" si="75"/>
        <v>0.22672699063161872</v>
      </c>
      <c r="N119">
        <f t="shared" si="76"/>
        <v>5.140512828087012E-2</v>
      </c>
    </row>
    <row r="120" spans="1:14" x14ac:dyDescent="0.45">
      <c r="A120" s="22">
        <v>42699</v>
      </c>
      <c r="B120">
        <v>151.88999999999999</v>
      </c>
      <c r="C120">
        <v>151.88</v>
      </c>
      <c r="G120">
        <f t="shared" ref="G120:K120" si="129">SUMPRODUCT($B120:$B124,P$2:P$6)</f>
        <v>133.18746318319117</v>
      </c>
      <c r="H120">
        <f t="shared" si="129"/>
        <v>88.178496361490716</v>
      </c>
      <c r="I120">
        <f t="shared" si="129"/>
        <v>48.409542716518942</v>
      </c>
      <c r="J120">
        <f t="shared" si="129"/>
        <v>7.4279237898535078</v>
      </c>
      <c r="K120">
        <f t="shared" si="129"/>
        <v>7.3992193664521846</v>
      </c>
      <c r="L120">
        <f t="shared" si="74"/>
        <v>152.21454675140856</v>
      </c>
      <c r="M120">
        <f t="shared" si="75"/>
        <v>-1.164546751408551</v>
      </c>
      <c r="N120">
        <f t="shared" si="76"/>
        <v>1.3561691362162096</v>
      </c>
    </row>
    <row r="121" spans="1:14" x14ac:dyDescent="0.45">
      <c r="A121" s="22">
        <v>42697</v>
      </c>
      <c r="B121">
        <v>152.75</v>
      </c>
      <c r="C121">
        <v>151.6</v>
      </c>
      <c r="G121">
        <f t="shared" ref="G121:K121" si="130">SUMPRODUCT($B121:$B125,P$2:P$6)</f>
        <v>133.94156858993136</v>
      </c>
      <c r="H121">
        <f t="shared" si="130"/>
        <v>88.677761723890043</v>
      </c>
      <c r="I121">
        <f t="shared" si="130"/>
        <v>48.683632976364486</v>
      </c>
      <c r="J121">
        <f t="shared" si="130"/>
        <v>7.4252599047043324</v>
      </c>
      <c r="K121">
        <f t="shared" si="130"/>
        <v>7.4054786993148554</v>
      </c>
      <c r="L121">
        <f t="shared" si="74"/>
        <v>153.05537431024888</v>
      </c>
      <c r="M121">
        <f t="shared" si="75"/>
        <v>-1.1653743102488932</v>
      </c>
      <c r="N121">
        <f t="shared" si="76"/>
        <v>1.3580972829880835</v>
      </c>
    </row>
    <row r="122" spans="1:14" x14ac:dyDescent="0.45">
      <c r="A122" s="22">
        <v>42696</v>
      </c>
      <c r="B122">
        <v>151.93</v>
      </c>
      <c r="C122">
        <v>152.66999999999999</v>
      </c>
      <c r="G122">
        <f t="shared" ref="G122:K122" si="131">SUMPRODUCT($B122:$B126,P$2:P$6)</f>
        <v>133.22253796065303</v>
      </c>
      <c r="H122">
        <f t="shared" si="131"/>
        <v>88.201718456131445</v>
      </c>
      <c r="I122">
        <f t="shared" si="131"/>
        <v>48.42228943774424</v>
      </c>
      <c r="J122">
        <f t="shared" si="131"/>
        <v>7.3850525997548333</v>
      </c>
      <c r="K122">
        <f t="shared" si="131"/>
        <v>7.3604807517868078</v>
      </c>
      <c r="L122">
        <f t="shared" si="74"/>
        <v>152.25365486571442</v>
      </c>
      <c r="M122">
        <f t="shared" si="75"/>
        <v>0.49634513428557625</v>
      </c>
      <c r="N122">
        <f t="shared" si="76"/>
        <v>0.24635849232896673</v>
      </c>
    </row>
    <row r="123" spans="1:14" x14ac:dyDescent="0.45">
      <c r="A123" s="22">
        <v>42695</v>
      </c>
      <c r="B123">
        <v>150.55000000000001</v>
      </c>
      <c r="C123">
        <v>151.16999999999999</v>
      </c>
      <c r="G123">
        <f t="shared" ref="G123:K123" si="132">SUMPRODUCT($B123:$B127,P$2:P$6)</f>
        <v>132.01246174144336</v>
      </c>
      <c r="H123">
        <f t="shared" si="132"/>
        <v>87.400572699971462</v>
      </c>
      <c r="I123">
        <f t="shared" si="132"/>
        <v>47.982467866311531</v>
      </c>
      <c r="J123">
        <f t="shared" si="132"/>
        <v>7.3631832642736725</v>
      </c>
      <c r="K123">
        <f t="shared" si="132"/>
        <v>7.3355832486315871</v>
      </c>
      <c r="L123">
        <f t="shared" si="74"/>
        <v>150.90441973837406</v>
      </c>
      <c r="M123">
        <f t="shared" si="75"/>
        <v>1.0255802616259473</v>
      </c>
      <c r="N123">
        <f t="shared" si="76"/>
        <v>1.0518148730367465</v>
      </c>
    </row>
    <row r="124" spans="1:14" x14ac:dyDescent="0.45">
      <c r="A124" s="22">
        <v>42692</v>
      </c>
      <c r="B124">
        <v>150.84</v>
      </c>
      <c r="C124">
        <v>150.36000000000001</v>
      </c>
      <c r="G124">
        <f t="shared" ref="G124:K124" si="133">SUMPRODUCT($B124:$B128,P$2:P$6)</f>
        <v>132.26675251597845</v>
      </c>
      <c r="H124">
        <f t="shared" si="133"/>
        <v>87.568929483959096</v>
      </c>
      <c r="I124">
        <f t="shared" si="133"/>
        <v>48.074894483559291</v>
      </c>
      <c r="J124">
        <f t="shared" si="133"/>
        <v>7.3821515363324188</v>
      </c>
      <c r="K124">
        <f t="shared" si="133"/>
        <v>7.349977730673209</v>
      </c>
      <c r="L124">
        <f t="shared" si="74"/>
        <v>151.18795435059118</v>
      </c>
      <c r="M124">
        <f t="shared" si="75"/>
        <v>-0.63795435059117267</v>
      </c>
      <c r="N124">
        <f t="shared" si="76"/>
        <v>0.40698575343820487</v>
      </c>
    </row>
    <row r="125" spans="1:14" x14ac:dyDescent="0.45">
      <c r="A125" s="22">
        <v>42691</v>
      </c>
      <c r="B125">
        <v>151.22999999999999</v>
      </c>
      <c r="C125">
        <v>151.19999999999999</v>
      </c>
      <c r="G125">
        <f t="shared" ref="G125:K125" si="134">SUMPRODUCT($B125:$B129,P$2:P$6)</f>
        <v>132.60872789873747</v>
      </c>
      <c r="H125">
        <f t="shared" si="134"/>
        <v>87.795339616010594</v>
      </c>
      <c r="I125">
        <f t="shared" si="134"/>
        <v>48.199188422055563</v>
      </c>
      <c r="J125">
        <f t="shared" si="134"/>
        <v>7.4041836647463484</v>
      </c>
      <c r="K125">
        <f t="shared" si="134"/>
        <v>7.3735880941720762</v>
      </c>
      <c r="L125">
        <f t="shared" si="74"/>
        <v>151.5692568385499</v>
      </c>
      <c r="M125">
        <f t="shared" si="75"/>
        <v>-0.72925683854990098</v>
      </c>
      <c r="N125">
        <f t="shared" si="76"/>
        <v>0.53181553657179637</v>
      </c>
    </row>
    <row r="126" spans="1:14" x14ac:dyDescent="0.45">
      <c r="A126" s="22">
        <v>42690</v>
      </c>
      <c r="B126">
        <v>152.19</v>
      </c>
      <c r="C126">
        <v>152.13999999999999</v>
      </c>
      <c r="G126">
        <f t="shared" ref="G126:K126" si="135">SUMPRODUCT($B126:$B130,P$2:P$6)</f>
        <v>133.45052026228021</v>
      </c>
      <c r="H126">
        <f t="shared" si="135"/>
        <v>88.352655492941224</v>
      </c>
      <c r="I126">
        <f t="shared" si="135"/>
        <v>48.5051507716312</v>
      </c>
      <c r="J126">
        <f t="shared" si="135"/>
        <v>7.4061849051143112</v>
      </c>
      <c r="K126">
        <f t="shared" si="135"/>
        <v>7.3756152198021532</v>
      </c>
      <c r="L126">
        <f t="shared" si="74"/>
        <v>152.50785383328818</v>
      </c>
      <c r="M126">
        <f t="shared" si="75"/>
        <v>-1.2778538332881908</v>
      </c>
      <c r="N126">
        <f t="shared" si="76"/>
        <v>1.6329104192493233</v>
      </c>
    </row>
    <row r="127" spans="1:14" x14ac:dyDescent="0.45">
      <c r="A127" s="22">
        <v>42689</v>
      </c>
      <c r="B127">
        <v>151.97999999999999</v>
      </c>
      <c r="C127">
        <v>151.15</v>
      </c>
      <c r="G127">
        <f t="shared" ref="G127:K127" si="136">SUMPRODUCT($B127:$B131,P$2:P$6)</f>
        <v>133.26637534558424</v>
      </c>
      <c r="H127">
        <f t="shared" si="136"/>
        <v>88.23074193789445</v>
      </c>
      <c r="I127">
        <f t="shared" si="136"/>
        <v>48.438212658286595</v>
      </c>
      <c r="J127">
        <f t="shared" si="136"/>
        <v>7.3569627564051494</v>
      </c>
      <c r="K127">
        <f t="shared" si="136"/>
        <v>7.3494483349277644</v>
      </c>
      <c r="L127">
        <f t="shared" si="74"/>
        <v>152.30253109539748</v>
      </c>
      <c r="M127">
        <f t="shared" si="75"/>
        <v>-0.11253109539748607</v>
      </c>
      <c r="N127">
        <f t="shared" si="76"/>
        <v>1.266324743135811E-2</v>
      </c>
    </row>
    <row r="128" spans="1:14" x14ac:dyDescent="0.45">
      <c r="A128" s="22">
        <v>42688</v>
      </c>
      <c r="B128">
        <v>150.91999999999999</v>
      </c>
      <c r="C128">
        <v>152</v>
      </c>
      <c r="G128">
        <f t="shared" ref="G128:K128" si="137">SUMPRODUCT($B128:$B132,P$2:P$6)</f>
        <v>132.33689512768555</v>
      </c>
      <c r="H128">
        <f t="shared" si="137"/>
        <v>87.615365784933658</v>
      </c>
      <c r="I128">
        <f t="shared" si="137"/>
        <v>48.100375220912483</v>
      </c>
      <c r="J128">
        <f t="shared" si="137"/>
        <v>7.2522346864232397</v>
      </c>
      <c r="K128">
        <f t="shared" si="137"/>
        <v>7.2270973666713818</v>
      </c>
      <c r="L128">
        <f t="shared" si="74"/>
        <v>151.26615862645357</v>
      </c>
      <c r="M128">
        <f t="shared" si="75"/>
        <v>0.71384137354641553</v>
      </c>
      <c r="N128">
        <f t="shared" si="76"/>
        <v>0.50956950658663314</v>
      </c>
    </row>
    <row r="129" spans="1:14" x14ac:dyDescent="0.45">
      <c r="A129" s="22">
        <v>42685</v>
      </c>
      <c r="B129">
        <v>146.61000000000001</v>
      </c>
      <c r="C129">
        <v>149.36000000000001</v>
      </c>
      <c r="G129">
        <f t="shared" ref="G129:K129" si="138">SUMPRODUCT($B129:$B133,P$2:P$6)</f>
        <v>128.55759903727275</v>
      </c>
      <c r="H129">
        <f t="shared" si="138"/>
        <v>85.113234237958608</v>
      </c>
      <c r="I129">
        <f t="shared" si="138"/>
        <v>46.726724660187791</v>
      </c>
      <c r="J129">
        <f t="shared" si="138"/>
        <v>7.1404836170947208</v>
      </c>
      <c r="K129">
        <f t="shared" si="138"/>
        <v>7.1271801618785213</v>
      </c>
      <c r="L129">
        <f t="shared" si="74"/>
        <v>147.05224064371345</v>
      </c>
      <c r="M129">
        <f t="shared" si="75"/>
        <v>3.8677593562865411</v>
      </c>
      <c r="N129">
        <f t="shared" si="76"/>
        <v>14.959562438142079</v>
      </c>
    </row>
    <row r="130" spans="1:14" x14ac:dyDescent="0.45">
      <c r="A130" s="22">
        <v>42684</v>
      </c>
      <c r="B130">
        <v>147.06</v>
      </c>
      <c r="C130">
        <v>146.69999999999999</v>
      </c>
      <c r="G130">
        <f t="shared" ref="G130:K130" si="139">SUMPRODUCT($B130:$B134,P$2:P$6)</f>
        <v>128.95218747522463</v>
      </c>
      <c r="H130">
        <f t="shared" si="139"/>
        <v>85.374477298666193</v>
      </c>
      <c r="I130">
        <f t="shared" si="139"/>
        <v>46.87014164357138</v>
      </c>
      <c r="J130">
        <f t="shared" si="139"/>
        <v>7.0901904483207696</v>
      </c>
      <c r="K130">
        <f t="shared" si="139"/>
        <v>7.0696679241383222</v>
      </c>
      <c r="L130">
        <f t="shared" si="74"/>
        <v>147.492206602301</v>
      </c>
      <c r="M130">
        <f t="shared" si="75"/>
        <v>-0.88220660230098247</v>
      </c>
      <c r="N130">
        <f t="shared" si="76"/>
        <v>0.77828848914344384</v>
      </c>
    </row>
    <row r="131" spans="1:14" x14ac:dyDescent="0.45">
      <c r="A131" s="22">
        <v>42683</v>
      </c>
      <c r="B131">
        <v>143.54</v>
      </c>
      <c r="C131">
        <v>146.79</v>
      </c>
      <c r="G131">
        <f t="shared" ref="G131:K131" si="140">SUMPRODUCT($B131:$B135,P$2:P$6)</f>
        <v>125.86561908521468</v>
      </c>
      <c r="H131">
        <f t="shared" si="140"/>
        <v>83.330972757017392</v>
      </c>
      <c r="I131">
        <f t="shared" si="140"/>
        <v>45.748280272340075</v>
      </c>
      <c r="J131">
        <f t="shared" si="140"/>
        <v>7.0118732420825767</v>
      </c>
      <c r="K131">
        <f t="shared" si="140"/>
        <v>6.9864639121304259</v>
      </c>
      <c r="L131">
        <f t="shared" ref="L131:L194" si="141">(G131+$P$7)*$U$2+(H131+$Q$7)*$U$3+(I131+$R$7)*$U$4+(J131+$S$7)*$U$5+(K131+$T$7)*$U$6+$U$7</f>
        <v>144.05068083650696</v>
      </c>
      <c r="M131">
        <f t="shared" ref="M131:M194" si="142">B130-L131</f>
        <v>3.0093191634930463</v>
      </c>
      <c r="N131">
        <f t="shared" ref="N131:N194" si="143">M131^2</f>
        <v>9.0560018277664884</v>
      </c>
    </row>
    <row r="132" spans="1:14" x14ac:dyDescent="0.45">
      <c r="A132" s="22">
        <v>42682</v>
      </c>
      <c r="B132">
        <v>143.88999999999999</v>
      </c>
      <c r="C132">
        <v>146.09</v>
      </c>
      <c r="G132">
        <f t="shared" ref="G132:K132" si="144">SUMPRODUCT($B132:$B136,P$2:P$6)</f>
        <v>126.17252207842482</v>
      </c>
      <c r="H132">
        <f t="shared" si="144"/>
        <v>83.534164968606461</v>
      </c>
      <c r="I132">
        <f t="shared" si="144"/>
        <v>45.859828228620501</v>
      </c>
      <c r="J132">
        <f t="shared" si="144"/>
        <v>7.0168507205023385</v>
      </c>
      <c r="K132">
        <f t="shared" si="144"/>
        <v>7.00019071964324</v>
      </c>
      <c r="L132">
        <f t="shared" si="141"/>
        <v>144.3928790672299</v>
      </c>
      <c r="M132">
        <f t="shared" si="142"/>
        <v>-0.8528790672299067</v>
      </c>
      <c r="N132">
        <f t="shared" si="143"/>
        <v>0.72740270331895573</v>
      </c>
    </row>
    <row r="133" spans="1:14" x14ac:dyDescent="0.45">
      <c r="A133" s="22">
        <v>42681</v>
      </c>
      <c r="B133">
        <v>143.38</v>
      </c>
      <c r="C133">
        <v>143.54</v>
      </c>
      <c r="G133">
        <f t="shared" ref="G133:K133" si="145">SUMPRODUCT($B133:$B137,P$2:P$6)</f>
        <v>125.72532130978439</v>
      </c>
      <c r="H133">
        <f t="shared" si="145"/>
        <v>83.238089124575794</v>
      </c>
      <c r="I133">
        <f t="shared" si="145"/>
        <v>45.697290625525994</v>
      </c>
      <c r="J133">
        <f t="shared" si="145"/>
        <v>7.0210174941304837</v>
      </c>
      <c r="K133">
        <f t="shared" si="145"/>
        <v>6.9813363850878192</v>
      </c>
      <c r="L133">
        <f t="shared" si="141"/>
        <v>143.89425085065511</v>
      </c>
      <c r="M133">
        <f t="shared" si="142"/>
        <v>-4.2508506551257597E-3</v>
      </c>
      <c r="N133">
        <f t="shared" si="143"/>
        <v>1.8069731292183099E-5</v>
      </c>
    </row>
    <row r="134" spans="1:14" x14ac:dyDescent="0.45">
      <c r="A134" s="22">
        <v>42678</v>
      </c>
      <c r="B134">
        <v>143</v>
      </c>
      <c r="C134">
        <v>142.24</v>
      </c>
      <c r="G134">
        <f t="shared" ref="G134:K134" si="146">SUMPRODUCT($B134:$B138,P$2:P$6)</f>
        <v>125.39211363814093</v>
      </c>
      <c r="H134">
        <f t="shared" si="146"/>
        <v>83.017485144139371</v>
      </c>
      <c r="I134">
        <f t="shared" si="146"/>
        <v>45.57618372655373</v>
      </c>
      <c r="J134">
        <f t="shared" si="146"/>
        <v>7.0800051418797203</v>
      </c>
      <c r="K134">
        <f t="shared" si="146"/>
        <v>7.050269532563898</v>
      </c>
      <c r="L134">
        <f t="shared" si="141"/>
        <v>143.52272508730857</v>
      </c>
      <c r="M134">
        <f t="shared" si="142"/>
        <v>-0.1427250873085768</v>
      </c>
      <c r="N134">
        <f t="shared" si="143"/>
        <v>2.0370450547240872E-2</v>
      </c>
    </row>
    <row r="135" spans="1:14" x14ac:dyDescent="0.45">
      <c r="A135" s="22">
        <v>42677</v>
      </c>
      <c r="B135">
        <v>146.69999999999999</v>
      </c>
      <c r="C135">
        <v>144.44999999999999</v>
      </c>
      <c r="G135">
        <f t="shared" ref="G135:K135" si="147">SUMPRODUCT($B135:$B139,P$2:P$6)</f>
        <v>128.63652178343733</v>
      </c>
      <c r="H135">
        <f t="shared" si="147"/>
        <v>85.16548719232371</v>
      </c>
      <c r="I135">
        <f t="shared" si="147"/>
        <v>46.755419955427008</v>
      </c>
      <c r="J135">
        <f t="shared" si="147"/>
        <v>7.1735052960415979</v>
      </c>
      <c r="K135">
        <f t="shared" si="147"/>
        <v>7.1405365376408625</v>
      </c>
      <c r="L135">
        <f t="shared" si="141"/>
        <v>147.14024256667705</v>
      </c>
      <c r="M135">
        <f t="shared" si="142"/>
        <v>-4.1402425666770455</v>
      </c>
      <c r="N135">
        <f t="shared" si="143"/>
        <v>17.141608510924531</v>
      </c>
    </row>
    <row r="136" spans="1:14" x14ac:dyDescent="0.45">
      <c r="A136" s="22">
        <v>42676</v>
      </c>
      <c r="B136">
        <v>146.43</v>
      </c>
      <c r="C136">
        <v>146.27000000000001</v>
      </c>
      <c r="G136">
        <f t="shared" ref="G136:K136" si="148">SUMPRODUCT($B136:$B140,P$2:P$6)</f>
        <v>128.39976881101401</v>
      </c>
      <c r="H136">
        <f t="shared" si="148"/>
        <v>85.008742374571554</v>
      </c>
      <c r="I136">
        <f t="shared" si="148"/>
        <v>46.669370478236296</v>
      </c>
      <c r="J136">
        <f t="shared" si="148"/>
        <v>7.2092456912411835</v>
      </c>
      <c r="K136">
        <f t="shared" si="148"/>
        <v>7.1792443426766175</v>
      </c>
      <c r="L136">
        <f t="shared" si="141"/>
        <v>146.8762637235065</v>
      </c>
      <c r="M136">
        <f t="shared" si="142"/>
        <v>-0.17626372350650854</v>
      </c>
      <c r="N136">
        <f t="shared" si="143"/>
        <v>3.106890022437889E-2</v>
      </c>
    </row>
    <row r="137" spans="1:14" x14ac:dyDescent="0.45">
      <c r="A137" s="22">
        <v>42675</v>
      </c>
      <c r="B137">
        <v>148.47999999999999</v>
      </c>
      <c r="C137">
        <v>146.66</v>
      </c>
      <c r="G137">
        <f t="shared" ref="G137:K137" si="149">SUMPRODUCT($B137:$B141,P$2:P$6)</f>
        <v>130.19734556843912</v>
      </c>
      <c r="H137">
        <f t="shared" si="149"/>
        <v>86.198851774347361</v>
      </c>
      <c r="I137">
        <f t="shared" si="149"/>
        <v>47.32273068682656</v>
      </c>
      <c r="J137">
        <f t="shared" si="149"/>
        <v>7.2737923137718905</v>
      </c>
      <c r="K137">
        <f t="shared" si="149"/>
        <v>7.240799041221317</v>
      </c>
      <c r="L137">
        <f t="shared" si="141"/>
        <v>148.88056340255525</v>
      </c>
      <c r="M137">
        <f t="shared" si="142"/>
        <v>-2.4505634025552467</v>
      </c>
      <c r="N137">
        <f t="shared" si="143"/>
        <v>6.0052609899431486</v>
      </c>
    </row>
    <row r="138" spans="1:14" x14ac:dyDescent="0.45">
      <c r="A138" s="22">
        <v>42674</v>
      </c>
      <c r="B138">
        <v>148.88999999999999</v>
      </c>
      <c r="C138">
        <v>147.87</v>
      </c>
      <c r="G138">
        <f t="shared" ref="G138:K138" si="150">SUMPRODUCT($B138:$B142,P$2:P$6)</f>
        <v>130.55686123497554</v>
      </c>
      <c r="H138">
        <f t="shared" si="150"/>
        <v>86.436873222664616</v>
      </c>
      <c r="I138">
        <f t="shared" si="150"/>
        <v>47.453403795060325</v>
      </c>
      <c r="J138">
        <f t="shared" si="150"/>
        <v>7.3116481503128554</v>
      </c>
      <c r="K138">
        <f t="shared" si="150"/>
        <v>7.2788201402038455</v>
      </c>
      <c r="L138">
        <f t="shared" si="141"/>
        <v>149.28142363444036</v>
      </c>
      <c r="M138">
        <f t="shared" si="142"/>
        <v>-0.80142363444036846</v>
      </c>
      <c r="N138">
        <f t="shared" si="143"/>
        <v>0.64227984183960929</v>
      </c>
    </row>
    <row r="139" spans="1:14" x14ac:dyDescent="0.45">
      <c r="A139" s="22">
        <v>42671</v>
      </c>
      <c r="B139">
        <v>150.44</v>
      </c>
      <c r="C139">
        <v>149.76</v>
      </c>
      <c r="G139">
        <f t="shared" ref="G139:K139" si="151">SUMPRODUCT($B139:$B143,P$2:P$6)</f>
        <v>131.91600453583212</v>
      </c>
      <c r="H139">
        <f t="shared" si="151"/>
        <v>87.336711336723113</v>
      </c>
      <c r="I139">
        <f t="shared" si="151"/>
        <v>47.94740611971222</v>
      </c>
      <c r="J139">
        <f t="shared" si="151"/>
        <v>7.3498837924489067</v>
      </c>
      <c r="K139">
        <f t="shared" si="151"/>
        <v>7.322896334157333</v>
      </c>
      <c r="L139">
        <f t="shared" si="141"/>
        <v>150.79686887797877</v>
      </c>
      <c r="M139">
        <f t="shared" si="142"/>
        <v>-1.9068688779787806</v>
      </c>
      <c r="N139">
        <f t="shared" si="143"/>
        <v>3.6361489178040536</v>
      </c>
    </row>
    <row r="140" spans="1:14" x14ac:dyDescent="0.45">
      <c r="A140" s="22">
        <v>42670</v>
      </c>
      <c r="B140">
        <v>150.83000000000001</v>
      </c>
      <c r="C140">
        <v>150.86000000000001</v>
      </c>
      <c r="G140">
        <f t="shared" ref="G140:K140" si="152">SUMPRODUCT($B140:$B144,P$2:P$6)</f>
        <v>132.25798251564666</v>
      </c>
      <c r="H140">
        <f t="shared" si="152"/>
        <v>87.563121851496518</v>
      </c>
      <c r="I140">
        <f t="shared" si="152"/>
        <v>48.071702923105796</v>
      </c>
      <c r="J140">
        <f t="shared" si="152"/>
        <v>7.3463543651883132</v>
      </c>
      <c r="K140">
        <f t="shared" si="152"/>
        <v>7.3210400070768484</v>
      </c>
      <c r="L140">
        <f t="shared" si="141"/>
        <v>151.17817412901675</v>
      </c>
      <c r="M140">
        <f t="shared" si="142"/>
        <v>-0.73817412901675539</v>
      </c>
      <c r="N140">
        <f t="shared" si="143"/>
        <v>0.5449010447496454</v>
      </c>
    </row>
    <row r="141" spans="1:14" x14ac:dyDescent="0.45">
      <c r="A141" s="22">
        <v>42669</v>
      </c>
      <c r="B141">
        <v>150.35</v>
      </c>
      <c r="C141">
        <v>150.97999999999999</v>
      </c>
      <c r="G141">
        <f t="shared" ref="G141:K141" si="153">SUMPRODUCT($B141:$B145,P$2:P$6)</f>
        <v>131.8370865186902</v>
      </c>
      <c r="H141">
        <f t="shared" si="153"/>
        <v>87.284462273335549</v>
      </c>
      <c r="I141">
        <f t="shared" si="153"/>
        <v>47.918720738927973</v>
      </c>
      <c r="J141">
        <f t="shared" si="153"/>
        <v>7.3244402545580245</v>
      </c>
      <c r="K141">
        <f t="shared" si="153"/>
        <v>7.3007972054947645</v>
      </c>
      <c r="L141">
        <f t="shared" si="141"/>
        <v>150.70887472278133</v>
      </c>
      <c r="M141">
        <f t="shared" si="142"/>
        <v>0.12112527721868105</v>
      </c>
      <c r="N141">
        <f t="shared" si="143"/>
        <v>1.4671332781302334E-2</v>
      </c>
    </row>
    <row r="142" spans="1:14" x14ac:dyDescent="0.45">
      <c r="A142" s="22">
        <v>42668</v>
      </c>
      <c r="B142">
        <v>149.9</v>
      </c>
      <c r="C142">
        <v>150.99</v>
      </c>
      <c r="G142">
        <f t="shared" ref="G142:K142" si="154">SUMPRODUCT($B142:$B146,P$2:P$6)</f>
        <v>131.4424968467417</v>
      </c>
      <c r="H142">
        <f t="shared" si="154"/>
        <v>87.023219115422378</v>
      </c>
      <c r="I142">
        <f t="shared" si="154"/>
        <v>47.775301013045777</v>
      </c>
      <c r="J142">
        <f t="shared" si="154"/>
        <v>7.3062913783239782</v>
      </c>
      <c r="K142">
        <f t="shared" si="154"/>
        <v>7.2805523734676783</v>
      </c>
      <c r="L142">
        <f t="shared" si="141"/>
        <v>150.26890713158832</v>
      </c>
      <c r="M142">
        <f t="shared" si="142"/>
        <v>8.109286841167318E-2</v>
      </c>
      <c r="N142">
        <f t="shared" si="143"/>
        <v>6.5760533072329423E-3</v>
      </c>
    </row>
    <row r="143" spans="1:14" x14ac:dyDescent="0.45">
      <c r="A143" s="22">
        <v>42667</v>
      </c>
      <c r="B143">
        <v>149.35</v>
      </c>
      <c r="C143">
        <v>152.12</v>
      </c>
      <c r="G143">
        <f t="shared" ref="G143:K143" si="155">SUMPRODUCT($B143:$B147,P$2:P$6)</f>
        <v>130.96021932996678</v>
      </c>
      <c r="H143">
        <f t="shared" si="155"/>
        <v>86.703922273079669</v>
      </c>
      <c r="I143">
        <f t="shared" si="155"/>
        <v>47.600008936811911</v>
      </c>
      <c r="J143">
        <f t="shared" si="155"/>
        <v>7.3005496098614406</v>
      </c>
      <c r="K143">
        <f t="shared" si="155"/>
        <v>7.2734661006746499</v>
      </c>
      <c r="L143">
        <f t="shared" si="141"/>
        <v>149.73116790774287</v>
      </c>
      <c r="M143">
        <f t="shared" si="142"/>
        <v>0.16883209225713358</v>
      </c>
      <c r="N143">
        <f t="shared" si="143"/>
        <v>2.8504275375921265E-2</v>
      </c>
    </row>
    <row r="144" spans="1:14" x14ac:dyDescent="0.45">
      <c r="A144" s="22">
        <v>42664</v>
      </c>
      <c r="B144">
        <v>149.51</v>
      </c>
      <c r="C144">
        <v>148.97</v>
      </c>
      <c r="G144">
        <f t="shared" ref="G144:K144" si="156">SUMPRODUCT($B144:$B148,P$2:P$6)</f>
        <v>131.10051855036841</v>
      </c>
      <c r="H144">
        <f t="shared" si="156"/>
        <v>86.796807955444521</v>
      </c>
      <c r="I144">
        <f t="shared" si="156"/>
        <v>47.651004501125207</v>
      </c>
      <c r="J144">
        <f t="shared" si="156"/>
        <v>7.3127941791413154</v>
      </c>
      <c r="K144">
        <f t="shared" si="156"/>
        <v>7.2796476096702518</v>
      </c>
      <c r="L144">
        <f t="shared" si="141"/>
        <v>149.88760142718124</v>
      </c>
      <c r="M144">
        <f t="shared" si="142"/>
        <v>-0.53760142718124371</v>
      </c>
      <c r="N144">
        <f t="shared" si="143"/>
        <v>0.28901529450731006</v>
      </c>
    </row>
    <row r="145" spans="1:14" x14ac:dyDescent="0.45">
      <c r="A145" s="22">
        <v>42663</v>
      </c>
      <c r="B145">
        <v>149.85</v>
      </c>
      <c r="C145">
        <v>150.04</v>
      </c>
      <c r="G145">
        <f t="shared" ref="G145:K145" si="157">SUMPRODUCT($B145:$B149,P$2:P$6)</f>
        <v>131.3986536594455</v>
      </c>
      <c r="H145">
        <f t="shared" si="157"/>
        <v>86.99419224725969</v>
      </c>
      <c r="I145">
        <f t="shared" si="157"/>
        <v>47.759366149430306</v>
      </c>
      <c r="J145">
        <f t="shared" si="157"/>
        <v>7.3292944196950209</v>
      </c>
      <c r="K145">
        <f t="shared" si="157"/>
        <v>7.3058937859134705</v>
      </c>
      <c r="L145">
        <f t="shared" si="141"/>
        <v>150.22002216419244</v>
      </c>
      <c r="M145">
        <f t="shared" si="142"/>
        <v>-0.71002216419245201</v>
      </c>
      <c r="N145">
        <f t="shared" si="143"/>
        <v>0.50413147364453326</v>
      </c>
    </row>
    <row r="146" spans="1:14" x14ac:dyDescent="0.45">
      <c r="A146" s="22">
        <v>42662</v>
      </c>
      <c r="B146">
        <v>150.69999999999999</v>
      </c>
      <c r="C146">
        <v>149.44999999999999</v>
      </c>
      <c r="G146">
        <f t="shared" ref="G146:K146" si="158">SUMPRODUCT($B146:$B150,P$2:P$6)</f>
        <v>132.14398980476403</v>
      </c>
      <c r="H146">
        <f t="shared" si="158"/>
        <v>87.487652188797355</v>
      </c>
      <c r="I146">
        <f t="shared" si="158"/>
        <v>48.030270241058645</v>
      </c>
      <c r="J146">
        <f t="shared" si="158"/>
        <v>7.3316606393744701</v>
      </c>
      <c r="K146">
        <f t="shared" si="158"/>
        <v>7.3052687833712477</v>
      </c>
      <c r="L146">
        <f t="shared" si="141"/>
        <v>151.05107247575978</v>
      </c>
      <c r="M146">
        <f t="shared" si="142"/>
        <v>-1.201072475759787</v>
      </c>
      <c r="N146">
        <f t="shared" si="143"/>
        <v>1.4425750920277443</v>
      </c>
    </row>
    <row r="147" spans="1:14" x14ac:dyDescent="0.45">
      <c r="A147" s="22">
        <v>42661</v>
      </c>
      <c r="B147">
        <v>149.51</v>
      </c>
      <c r="C147">
        <v>149.11000000000001</v>
      </c>
      <c r="G147">
        <f t="shared" ref="G147:K147" si="159">SUMPRODUCT($B147:$B151,P$2:P$6)</f>
        <v>131.10051926617945</v>
      </c>
      <c r="H147">
        <f t="shared" si="159"/>
        <v>86.796808247861378</v>
      </c>
      <c r="I147">
        <f t="shared" si="159"/>
        <v>47.651005078120455</v>
      </c>
      <c r="J147">
        <f t="shared" si="159"/>
        <v>7.3145171584269928</v>
      </c>
      <c r="K147">
        <f t="shared" si="159"/>
        <v>7.2854006675292204</v>
      </c>
      <c r="L147">
        <f t="shared" si="141"/>
        <v>149.88760222188822</v>
      </c>
      <c r="M147">
        <f t="shared" si="142"/>
        <v>0.81239777811177305</v>
      </c>
      <c r="N147">
        <f t="shared" si="143"/>
        <v>0.65999014988094562</v>
      </c>
    </row>
    <row r="148" spans="1:14" x14ac:dyDescent="0.45">
      <c r="A148" s="22">
        <v>42660</v>
      </c>
      <c r="B148">
        <v>150.08000000000001</v>
      </c>
      <c r="C148">
        <v>148.69999999999999</v>
      </c>
      <c r="G148">
        <f t="shared" ref="G148:K148" si="160">SUMPRODUCT($B148:$B152,P$2:P$6)</f>
        <v>131.60033246374729</v>
      </c>
      <c r="H148">
        <f t="shared" si="160"/>
        <v>87.1277173970592</v>
      </c>
      <c r="I148">
        <f t="shared" si="160"/>
        <v>47.832669253687065</v>
      </c>
      <c r="J148">
        <f t="shared" si="160"/>
        <v>7.3300569883186224</v>
      </c>
      <c r="K148">
        <f t="shared" si="160"/>
        <v>7.3055936397601346</v>
      </c>
      <c r="L148">
        <f t="shared" si="141"/>
        <v>150.4448945637067</v>
      </c>
      <c r="M148">
        <f t="shared" si="142"/>
        <v>-0.93489456370670609</v>
      </c>
      <c r="N148">
        <f t="shared" si="143"/>
        <v>0.87402784524835231</v>
      </c>
    </row>
    <row r="149" spans="1:14" x14ac:dyDescent="0.45">
      <c r="A149" s="22">
        <v>42657</v>
      </c>
      <c r="B149">
        <v>150.18</v>
      </c>
      <c r="C149">
        <v>150.15</v>
      </c>
      <c r="G149">
        <f t="shared" ref="G149:K149" si="161">SUMPRODUCT($B149:$B153,P$2:P$6)</f>
        <v>131.68801952683276</v>
      </c>
      <c r="H149">
        <f t="shared" si="161"/>
        <v>87.185770548550821</v>
      </c>
      <c r="I149">
        <f t="shared" si="161"/>
        <v>47.864541879694897</v>
      </c>
      <c r="J149">
        <f t="shared" si="161"/>
        <v>7.3315421295418668</v>
      </c>
      <c r="K149">
        <f t="shared" si="161"/>
        <v>7.2987285137420184</v>
      </c>
      <c r="L149">
        <f t="shared" si="141"/>
        <v>150.54266546326051</v>
      </c>
      <c r="M149">
        <f t="shared" si="142"/>
        <v>-0.46266546326049252</v>
      </c>
      <c r="N149">
        <f t="shared" si="143"/>
        <v>0.21405933089404616</v>
      </c>
    </row>
    <row r="150" spans="1:14" x14ac:dyDescent="0.45">
      <c r="A150" s="22">
        <v>42656</v>
      </c>
      <c r="B150">
        <v>149.93</v>
      </c>
      <c r="C150">
        <v>150.22</v>
      </c>
      <c r="G150">
        <f t="shared" ref="G150:K150" si="162">SUMPRODUCT($B150:$B154,P$2:P$6)</f>
        <v>131.46880281820526</v>
      </c>
      <c r="H150">
        <f t="shared" si="162"/>
        <v>87.040635747601272</v>
      </c>
      <c r="I150">
        <f t="shared" si="162"/>
        <v>47.78486307613742</v>
      </c>
      <c r="J150">
        <f t="shared" si="162"/>
        <v>7.3374500013446431</v>
      </c>
      <c r="K150">
        <f t="shared" si="162"/>
        <v>7.3142101577013703</v>
      </c>
      <c r="L150">
        <f t="shared" si="141"/>
        <v>150.29823869417416</v>
      </c>
      <c r="M150">
        <f t="shared" si="142"/>
        <v>-0.11823869417415267</v>
      </c>
      <c r="N150">
        <f t="shared" si="143"/>
        <v>1.3980388800008804E-2</v>
      </c>
    </row>
    <row r="151" spans="1:14" x14ac:dyDescent="0.45">
      <c r="A151" s="22">
        <v>42655</v>
      </c>
      <c r="B151">
        <v>150.97</v>
      </c>
      <c r="C151">
        <v>150.46</v>
      </c>
      <c r="G151">
        <f t="shared" ref="G151:K151" si="163">SUMPRODUCT($B151:$B155,P$2:P$6)</f>
        <v>132.38074411351531</v>
      </c>
      <c r="H151">
        <f t="shared" si="163"/>
        <v>87.644397947957685</v>
      </c>
      <c r="I151">
        <f t="shared" si="163"/>
        <v>48.116323081065119</v>
      </c>
      <c r="J151">
        <f t="shared" si="163"/>
        <v>7.3413957123089331</v>
      </c>
      <c r="K151">
        <f t="shared" si="163"/>
        <v>7.3135729499597524</v>
      </c>
      <c r="L151">
        <f t="shared" si="141"/>
        <v>151.31505358525825</v>
      </c>
      <c r="M151">
        <f t="shared" si="142"/>
        <v>-1.3850535852582482</v>
      </c>
      <c r="N151">
        <f t="shared" si="143"/>
        <v>1.9183734340367273</v>
      </c>
    </row>
    <row r="152" spans="1:14" x14ac:dyDescent="0.45">
      <c r="A152" s="22">
        <v>42654</v>
      </c>
      <c r="B152">
        <v>149.66999999999999</v>
      </c>
      <c r="C152">
        <v>151.01</v>
      </c>
      <c r="G152">
        <f t="shared" ref="G152:K152" si="164">SUMPRODUCT($B152:$B156,P$2:P$6)</f>
        <v>131.24081781820715</v>
      </c>
      <c r="H152">
        <f t="shared" si="164"/>
        <v>86.88969500890812</v>
      </c>
      <c r="I152">
        <f t="shared" si="164"/>
        <v>47.701998441885429</v>
      </c>
      <c r="J152">
        <f t="shared" si="164"/>
        <v>7.3210129078578694</v>
      </c>
      <c r="K152">
        <f t="shared" si="164"/>
        <v>7.2954978120627887</v>
      </c>
      <c r="L152">
        <f t="shared" si="141"/>
        <v>150.04403520655313</v>
      </c>
      <c r="M152">
        <f t="shared" si="142"/>
        <v>0.925964793446866</v>
      </c>
      <c r="N152">
        <f t="shared" si="143"/>
        <v>0.85741079870309722</v>
      </c>
    </row>
    <row r="153" spans="1:14" x14ac:dyDescent="0.45">
      <c r="A153" s="22">
        <v>42653</v>
      </c>
      <c r="B153">
        <v>150.35</v>
      </c>
      <c r="C153">
        <v>150.28</v>
      </c>
      <c r="G153">
        <f t="shared" ref="G153:K153" si="165">SUMPRODUCT($B153:$B157,P$2:P$6)</f>
        <v>131.83708761061916</v>
      </c>
      <c r="H153">
        <f t="shared" si="165"/>
        <v>87.284463213195139</v>
      </c>
      <c r="I153">
        <f t="shared" si="165"/>
        <v>47.918723084660883</v>
      </c>
      <c r="J153">
        <f t="shared" si="165"/>
        <v>7.3301583790004781</v>
      </c>
      <c r="K153">
        <f t="shared" si="165"/>
        <v>7.3033609499795293</v>
      </c>
      <c r="L153">
        <f t="shared" si="141"/>
        <v>150.70887655069339</v>
      </c>
      <c r="M153">
        <f t="shared" si="142"/>
        <v>-1.0388765506934021</v>
      </c>
      <c r="N153">
        <f t="shared" si="143"/>
        <v>1.079264487580621</v>
      </c>
    </row>
    <row r="154" spans="1:14" x14ac:dyDescent="0.45">
      <c r="A154" s="22">
        <v>42650</v>
      </c>
      <c r="B154">
        <v>149.77000000000001</v>
      </c>
      <c r="C154">
        <v>149.99</v>
      </c>
      <c r="G154">
        <f t="shared" ref="G154:K154" si="166">SUMPRODUCT($B154:$B158,P$2:P$6)</f>
        <v>131.32850557274216</v>
      </c>
      <c r="H154">
        <f t="shared" si="166"/>
        <v>86.947750138209159</v>
      </c>
      <c r="I154">
        <f t="shared" si="166"/>
        <v>47.733871907719681</v>
      </c>
      <c r="J154">
        <f t="shared" si="166"/>
        <v>7.3293343137118923</v>
      </c>
      <c r="K154">
        <f t="shared" si="166"/>
        <v>7.3012235478984948</v>
      </c>
      <c r="L154">
        <f t="shared" si="141"/>
        <v>150.14180775024849</v>
      </c>
      <c r="M154">
        <f t="shared" si="142"/>
        <v>0.20819224975150519</v>
      </c>
      <c r="N154">
        <f t="shared" si="143"/>
        <v>4.334401285659311E-2</v>
      </c>
    </row>
    <row r="155" spans="1:14" x14ac:dyDescent="0.45">
      <c r="A155" s="22">
        <v>42649</v>
      </c>
      <c r="B155">
        <v>150.22999999999999</v>
      </c>
      <c r="C155">
        <v>149.47</v>
      </c>
      <c r="G155">
        <f t="shared" ref="G155:K155" si="167">SUMPRODUCT($B155:$B159,P$2:P$6)</f>
        <v>131.73186415104718</v>
      </c>
      <c r="H155">
        <f t="shared" si="167"/>
        <v>87.214799630628079</v>
      </c>
      <c r="I155">
        <f t="shared" si="167"/>
        <v>47.880480010492199</v>
      </c>
      <c r="J155">
        <f t="shared" si="167"/>
        <v>7.3537608737438616</v>
      </c>
      <c r="K155">
        <f t="shared" si="167"/>
        <v>7.3238528627415445</v>
      </c>
      <c r="L155">
        <f t="shared" si="141"/>
        <v>150.59155334581294</v>
      </c>
      <c r="M155">
        <f t="shared" si="142"/>
        <v>-0.82155334581293005</v>
      </c>
      <c r="N155">
        <f t="shared" si="143"/>
        <v>0.67494990001641986</v>
      </c>
    </row>
    <row r="156" spans="1:14" x14ac:dyDescent="0.45">
      <c r="A156" s="22">
        <v>42648</v>
      </c>
      <c r="B156">
        <v>150.63</v>
      </c>
      <c r="C156">
        <v>149.97999999999999</v>
      </c>
      <c r="G156">
        <f t="shared" ref="G156:K156" si="168">SUMPRODUCT($B156:$B160,P$2:P$6)</f>
        <v>132.0826093610122</v>
      </c>
      <c r="H156">
        <f t="shared" si="168"/>
        <v>87.447015733872149</v>
      </c>
      <c r="I156">
        <f t="shared" si="168"/>
        <v>48.007963587334892</v>
      </c>
      <c r="J156">
        <f t="shared" si="168"/>
        <v>7.3813171297341</v>
      </c>
      <c r="K156">
        <f t="shared" si="168"/>
        <v>7.3485420450676919</v>
      </c>
      <c r="L156">
        <f t="shared" si="141"/>
        <v>150.98263464551894</v>
      </c>
      <c r="M156">
        <f t="shared" si="142"/>
        <v>-0.75263464551895254</v>
      </c>
      <c r="N156">
        <f t="shared" si="143"/>
        <v>0.56645890963543932</v>
      </c>
    </row>
    <row r="157" spans="1:14" x14ac:dyDescent="0.45">
      <c r="A157" s="22">
        <v>42647</v>
      </c>
      <c r="B157">
        <v>151.47</v>
      </c>
      <c r="C157">
        <v>150.47999999999999</v>
      </c>
      <c r="G157">
        <f t="shared" ref="G157:K157" si="169">SUMPRODUCT($B157:$B161,P$2:P$6)</f>
        <v>132.81917875457356</v>
      </c>
      <c r="H157">
        <f t="shared" si="169"/>
        <v>87.934668079195404</v>
      </c>
      <c r="I157">
        <f t="shared" si="169"/>
        <v>48.275682986055315</v>
      </c>
      <c r="J157">
        <f t="shared" si="169"/>
        <v>7.405135814529233</v>
      </c>
      <c r="K157">
        <f t="shared" si="169"/>
        <v>7.3730809591592168</v>
      </c>
      <c r="L157">
        <f t="shared" si="141"/>
        <v>151.80390883766248</v>
      </c>
      <c r="M157">
        <f t="shared" si="142"/>
        <v>-1.1739088376624807</v>
      </c>
      <c r="N157">
        <f t="shared" si="143"/>
        <v>1.3780619591420764</v>
      </c>
    </row>
    <row r="158" spans="1:14" x14ac:dyDescent="0.45">
      <c r="A158" s="22">
        <v>42646</v>
      </c>
      <c r="B158">
        <v>152.22</v>
      </c>
      <c r="C158">
        <v>151.01</v>
      </c>
      <c r="G158">
        <f t="shared" ref="G158:K158" si="170">SUMPRODUCT($B158:$B162,P$2:P$6)</f>
        <v>133.4768292665116</v>
      </c>
      <c r="H158">
        <f t="shared" si="170"/>
        <v>88.370074726648809</v>
      </c>
      <c r="I158">
        <f t="shared" si="170"/>
        <v>48.514714550235873</v>
      </c>
      <c r="J158">
        <f t="shared" si="170"/>
        <v>7.4016836994515893</v>
      </c>
      <c r="K158">
        <f t="shared" si="170"/>
        <v>7.3877846964058724</v>
      </c>
      <c r="L158">
        <f t="shared" si="141"/>
        <v>152.53718921829508</v>
      </c>
      <c r="M158">
        <f t="shared" si="142"/>
        <v>-1.0671892182950842</v>
      </c>
      <c r="N158">
        <f t="shared" si="143"/>
        <v>1.1388928276452728</v>
      </c>
    </row>
    <row r="159" spans="1:14" x14ac:dyDescent="0.45">
      <c r="A159" s="22">
        <v>42643</v>
      </c>
      <c r="B159">
        <v>151.79</v>
      </c>
      <c r="C159">
        <v>152.51</v>
      </c>
      <c r="G159">
        <f t="shared" ref="G159:K159" si="171">SUMPRODUCT($B159:$B163,P$2:P$6)</f>
        <v>133.09977600819789</v>
      </c>
      <c r="H159">
        <f t="shared" si="171"/>
        <v>88.120442852540023</v>
      </c>
      <c r="I159">
        <f t="shared" si="171"/>
        <v>48.377668229936695</v>
      </c>
      <c r="J159">
        <f t="shared" si="171"/>
        <v>7.3569771381714268</v>
      </c>
      <c r="K159">
        <f t="shared" si="171"/>
        <v>7.3317456338749221</v>
      </c>
      <c r="L159">
        <f t="shared" si="141"/>
        <v>152.11677511879597</v>
      </c>
      <c r="M159">
        <f t="shared" si="142"/>
        <v>0.10322488120402795</v>
      </c>
      <c r="N159">
        <f t="shared" si="143"/>
        <v>1.0655376099585683E-2</v>
      </c>
    </row>
    <row r="160" spans="1:14" x14ac:dyDescent="0.45">
      <c r="A160" s="22">
        <v>42642</v>
      </c>
      <c r="B160">
        <v>149.19</v>
      </c>
      <c r="C160">
        <v>147.49</v>
      </c>
      <c r="G160">
        <f t="shared" ref="G160:K160" si="172">SUMPRODUCT($B160:$B164,P$2:P$6)</f>
        <v>130.81992362713234</v>
      </c>
      <c r="H160">
        <f t="shared" si="172"/>
        <v>86.611036910522458</v>
      </c>
      <c r="I160">
        <f t="shared" si="172"/>
        <v>47.549021209811144</v>
      </c>
      <c r="J160">
        <f t="shared" si="172"/>
        <v>7.3288522952464517</v>
      </c>
      <c r="K160">
        <f t="shared" si="172"/>
        <v>7.2966820496248523</v>
      </c>
      <c r="L160">
        <f t="shared" si="141"/>
        <v>149.57473906748507</v>
      </c>
      <c r="M160">
        <f t="shared" si="142"/>
        <v>2.2152609325149228</v>
      </c>
      <c r="N160">
        <f t="shared" si="143"/>
        <v>4.907380999126886</v>
      </c>
    </row>
    <row r="161" spans="1:14" x14ac:dyDescent="0.45">
      <c r="A161" s="22">
        <v>42641</v>
      </c>
      <c r="B161">
        <v>150.6</v>
      </c>
      <c r="C161">
        <v>149.41</v>
      </c>
      <c r="G161">
        <f t="shared" ref="G161:K161" si="173">SUMPRODUCT($B161:$B165,P$2:P$6)</f>
        <v>132.05630604459841</v>
      </c>
      <c r="H161">
        <f t="shared" si="173"/>
        <v>87.42960056073187</v>
      </c>
      <c r="I161">
        <f t="shared" si="173"/>
        <v>47.998405846811636</v>
      </c>
      <c r="J161">
        <f t="shared" si="173"/>
        <v>7.3819265147663158</v>
      </c>
      <c r="K161">
        <f t="shared" si="173"/>
        <v>7.3522334380479952</v>
      </c>
      <c r="L161">
        <f t="shared" si="141"/>
        <v>150.95330677645487</v>
      </c>
      <c r="M161">
        <f t="shared" si="142"/>
        <v>-1.7633067764548684</v>
      </c>
      <c r="N161">
        <f t="shared" si="143"/>
        <v>3.1092507878916593</v>
      </c>
    </row>
    <row r="162" spans="1:14" x14ac:dyDescent="0.45">
      <c r="A162" s="22">
        <v>42640</v>
      </c>
      <c r="B162">
        <v>151.41999999999999</v>
      </c>
      <c r="C162">
        <v>150.44999999999999</v>
      </c>
      <c r="G162">
        <f t="shared" ref="G162:K162" si="174">SUMPRODUCT($B162:$B166,P$2:P$6)</f>
        <v>132.77533676351351</v>
      </c>
      <c r="H162">
        <f t="shared" si="174"/>
        <v>87.905644136130121</v>
      </c>
      <c r="I162">
        <f t="shared" si="174"/>
        <v>48.259750579590836</v>
      </c>
      <c r="J162">
        <f t="shared" si="174"/>
        <v>7.4186159003773611</v>
      </c>
      <c r="K162">
        <f t="shared" si="174"/>
        <v>7.3854426664338275</v>
      </c>
      <c r="L162">
        <f t="shared" si="141"/>
        <v>151.75502674111348</v>
      </c>
      <c r="M162">
        <f t="shared" si="142"/>
        <v>-1.1550267411134882</v>
      </c>
      <c r="N162">
        <f t="shared" si="143"/>
        <v>1.334086772687245</v>
      </c>
    </row>
    <row r="163" spans="1:14" x14ac:dyDescent="0.45">
      <c r="A163" s="22">
        <v>42639</v>
      </c>
      <c r="B163">
        <v>152.08000000000001</v>
      </c>
      <c r="C163">
        <v>151.19</v>
      </c>
      <c r="G163">
        <f t="shared" ref="G163:K163" si="175">SUMPRODUCT($B163:$B167,P$2:P$6)</f>
        <v>133.35406914963102</v>
      </c>
      <c r="H163">
        <f t="shared" si="175"/>
        <v>88.288800821809673</v>
      </c>
      <c r="I163">
        <f t="shared" si="175"/>
        <v>48.470100936205171</v>
      </c>
      <c r="J163">
        <f t="shared" si="175"/>
        <v>7.4506900161108032</v>
      </c>
      <c r="K163">
        <f t="shared" si="175"/>
        <v>7.4204461997368432</v>
      </c>
      <c r="L163">
        <f t="shared" si="141"/>
        <v>152.40031355138663</v>
      </c>
      <c r="M163">
        <f t="shared" si="142"/>
        <v>-0.98031355138664367</v>
      </c>
      <c r="N163">
        <f t="shared" si="143"/>
        <v>0.96101465903229366</v>
      </c>
    </row>
    <row r="164" spans="1:14" x14ac:dyDescent="0.45">
      <c r="A164" s="22">
        <v>42636</v>
      </c>
      <c r="B164">
        <v>153.15</v>
      </c>
      <c r="C164">
        <v>152.53</v>
      </c>
      <c r="G164">
        <f t="shared" ref="G164:K164" si="176">SUMPRODUCT($B164:$B168,P$2:P$6)</f>
        <v>134.29231636701516</v>
      </c>
      <c r="H164">
        <f t="shared" si="176"/>
        <v>88.90997950125255</v>
      </c>
      <c r="I164">
        <f t="shared" si="176"/>
        <v>48.811121513088047</v>
      </c>
      <c r="J164">
        <f t="shared" si="176"/>
        <v>7.4699314154827015</v>
      </c>
      <c r="K164">
        <f t="shared" si="176"/>
        <v>7.4440148160878357</v>
      </c>
      <c r="L164">
        <f t="shared" si="141"/>
        <v>153.44645950920801</v>
      </c>
      <c r="M164">
        <f t="shared" si="142"/>
        <v>-1.3664595092079992</v>
      </c>
      <c r="N164">
        <f t="shared" si="143"/>
        <v>1.867211590304966</v>
      </c>
    </row>
    <row r="165" spans="1:14" x14ac:dyDescent="0.45">
      <c r="A165" s="22">
        <v>42635</v>
      </c>
      <c r="B165">
        <v>153.03</v>
      </c>
      <c r="C165">
        <v>153.15</v>
      </c>
      <c r="G165">
        <f t="shared" ref="G165:K165" si="177">SUMPRODUCT($B165:$B169,P$2:P$6)</f>
        <v>134.18709206207399</v>
      </c>
      <c r="H165">
        <f t="shared" si="177"/>
        <v>88.840314338675469</v>
      </c>
      <c r="I165">
        <f t="shared" si="177"/>
        <v>48.772875394850615</v>
      </c>
      <c r="J165">
        <f t="shared" si="177"/>
        <v>7.4578192128941136</v>
      </c>
      <c r="K165">
        <f t="shared" si="177"/>
        <v>7.4313454132334789</v>
      </c>
      <c r="L165">
        <f t="shared" si="141"/>
        <v>153.32913416559271</v>
      </c>
      <c r="M165">
        <f t="shared" si="142"/>
        <v>-0.1791341655926999</v>
      </c>
      <c r="N165">
        <f t="shared" si="143"/>
        <v>3.2089049282592833E-2</v>
      </c>
    </row>
    <row r="166" spans="1:14" x14ac:dyDescent="0.45">
      <c r="A166" s="22">
        <v>42634</v>
      </c>
      <c r="B166">
        <v>152.59</v>
      </c>
      <c r="C166">
        <v>152.69999999999999</v>
      </c>
      <c r="G166">
        <f t="shared" ref="G166:K166" si="178">SUMPRODUCT($B166:$B170,P$2:P$6)</f>
        <v>133.80126973488194</v>
      </c>
      <c r="H166">
        <f t="shared" si="178"/>
        <v>88.584876158284857</v>
      </c>
      <c r="I166">
        <f t="shared" si="178"/>
        <v>48.632640624972716</v>
      </c>
      <c r="J166">
        <f t="shared" si="178"/>
        <v>7.4427157350756241</v>
      </c>
      <c r="K166">
        <f t="shared" si="178"/>
        <v>7.4164369196198159</v>
      </c>
      <c r="L166">
        <f t="shared" si="141"/>
        <v>152.89894194128772</v>
      </c>
      <c r="M166">
        <f t="shared" si="142"/>
        <v>0.13105805871228426</v>
      </c>
      <c r="N166">
        <f t="shared" si="143"/>
        <v>1.7176214753432548E-2</v>
      </c>
    </row>
    <row r="167" spans="1:14" x14ac:dyDescent="0.45">
      <c r="A167" s="22">
        <v>42633</v>
      </c>
      <c r="B167">
        <v>152.43</v>
      </c>
      <c r="C167">
        <v>152.16999999999999</v>
      </c>
      <c r="G167">
        <f t="shared" ref="G167:K167" si="179">SUMPRODUCT($B167:$B171,P$2:P$6)</f>
        <v>133.66097092460402</v>
      </c>
      <c r="H167">
        <f t="shared" si="179"/>
        <v>88.491988619626355</v>
      </c>
      <c r="I167">
        <f t="shared" si="179"/>
        <v>48.581646318286033</v>
      </c>
      <c r="J167">
        <f t="shared" si="179"/>
        <v>7.4299747412970243</v>
      </c>
      <c r="K167">
        <f t="shared" si="179"/>
        <v>7.4016381478547046</v>
      </c>
      <c r="L167">
        <f t="shared" si="141"/>
        <v>152.74250816020003</v>
      </c>
      <c r="M167">
        <f t="shared" si="142"/>
        <v>-0.15250816020002844</v>
      </c>
      <c r="N167">
        <f t="shared" si="143"/>
        <v>2.3258738927597538E-2</v>
      </c>
    </row>
    <row r="168" spans="1:14" x14ac:dyDescent="0.45">
      <c r="A168" s="22">
        <v>42632</v>
      </c>
      <c r="B168">
        <v>152.13</v>
      </c>
      <c r="C168">
        <v>151.79</v>
      </c>
      <c r="G168">
        <f t="shared" ref="G168:K168" si="180">SUMPRODUCT($B168:$B172,P$2:P$6)</f>
        <v>133.39791115080212</v>
      </c>
      <c r="H168">
        <f t="shared" si="180"/>
        <v>88.317826233775222</v>
      </c>
      <c r="I168">
        <f t="shared" si="180"/>
        <v>48.486031927790322</v>
      </c>
      <c r="J168">
        <f t="shared" si="180"/>
        <v>7.4123906150981664</v>
      </c>
      <c r="K168">
        <f t="shared" si="180"/>
        <v>7.3901230750135465</v>
      </c>
      <c r="L168">
        <f t="shared" si="141"/>
        <v>152.44919598216512</v>
      </c>
      <c r="M168">
        <f t="shared" si="142"/>
        <v>-1.9195982165115311E-2</v>
      </c>
      <c r="N168">
        <f t="shared" si="143"/>
        <v>3.6848573128342508E-4</v>
      </c>
    </row>
    <row r="169" spans="1:14" x14ac:dyDescent="0.45">
      <c r="A169" s="22">
        <v>42629</v>
      </c>
      <c r="B169">
        <v>151.96</v>
      </c>
      <c r="C169">
        <v>152.35</v>
      </c>
      <c r="G169">
        <f t="shared" ref="G169:K169" si="181">SUMPRODUCT($B169:$B173,P$2:P$6)</f>
        <v>133.24884283873735</v>
      </c>
      <c r="H169">
        <f t="shared" si="181"/>
        <v>88.219134636810878</v>
      </c>
      <c r="I169">
        <f t="shared" si="181"/>
        <v>48.431849144606815</v>
      </c>
      <c r="J169">
        <f t="shared" si="181"/>
        <v>7.3877910945621075</v>
      </c>
      <c r="K169">
        <f t="shared" si="181"/>
        <v>7.3641839406500491</v>
      </c>
      <c r="L169">
        <f t="shared" si="141"/>
        <v>152.28298482791158</v>
      </c>
      <c r="M169">
        <f t="shared" si="142"/>
        <v>-0.15298482791158108</v>
      </c>
      <c r="N169">
        <f t="shared" si="143"/>
        <v>2.3404357571136077E-2</v>
      </c>
    </row>
    <row r="170" spans="1:14" x14ac:dyDescent="0.45">
      <c r="A170" s="22">
        <v>42628</v>
      </c>
      <c r="B170">
        <v>150.72</v>
      </c>
      <c r="C170">
        <v>152.66999999999999</v>
      </c>
      <c r="G170">
        <f t="shared" ref="G170:K170" si="182">SUMPRODUCT($B170:$B174,P$2:P$6)</f>
        <v>132.16152947727235</v>
      </c>
      <c r="H170">
        <f t="shared" si="182"/>
        <v>87.49926333662097</v>
      </c>
      <c r="I170">
        <f t="shared" si="182"/>
        <v>48.036649273357014</v>
      </c>
      <c r="J170">
        <f t="shared" si="182"/>
        <v>7.3606981616042786</v>
      </c>
      <c r="K170">
        <f t="shared" si="182"/>
        <v>7.3305284865631926</v>
      </c>
      <c r="L170">
        <f t="shared" si="141"/>
        <v>151.07062967208319</v>
      </c>
      <c r="M170">
        <f t="shared" si="142"/>
        <v>0.88937032791682213</v>
      </c>
      <c r="N170">
        <f t="shared" si="143"/>
        <v>0.79097958017887571</v>
      </c>
    </row>
    <row r="171" spans="1:14" x14ac:dyDescent="0.45">
      <c r="A171" s="22">
        <v>42627</v>
      </c>
      <c r="B171">
        <v>150.71</v>
      </c>
      <c r="C171">
        <v>150.69</v>
      </c>
      <c r="G171">
        <f t="shared" ref="G171:K171" si="183">SUMPRODUCT($B171:$B175,P$2:P$6)</f>
        <v>132.1527628227617</v>
      </c>
      <c r="H171">
        <f t="shared" si="183"/>
        <v>87.493459516785478</v>
      </c>
      <c r="I171">
        <f t="shared" si="183"/>
        <v>48.033464483751438</v>
      </c>
      <c r="J171">
        <f t="shared" si="183"/>
        <v>7.3691325313601963</v>
      </c>
      <c r="K171">
        <f t="shared" si="183"/>
        <v>7.3472226550465969</v>
      </c>
      <c r="L171">
        <f t="shared" si="141"/>
        <v>151.06085538465726</v>
      </c>
      <c r="M171">
        <f t="shared" si="142"/>
        <v>-0.34085538465726017</v>
      </c>
      <c r="N171">
        <f t="shared" si="143"/>
        <v>0.11618239324984879</v>
      </c>
    </row>
    <row r="172" spans="1:14" x14ac:dyDescent="0.45">
      <c r="A172" s="22">
        <v>42626</v>
      </c>
      <c r="B172">
        <v>151.18</v>
      </c>
      <c r="C172">
        <v>150.74</v>
      </c>
      <c r="G172">
        <f t="shared" ref="G172:K172" si="184">SUMPRODUCT($B172:$B176,P$2:P$6)</f>
        <v>132.56489168378729</v>
      </c>
      <c r="H172">
        <f t="shared" si="184"/>
        <v>87.766315956955339</v>
      </c>
      <c r="I172">
        <f t="shared" si="184"/>
        <v>48.183262790340592</v>
      </c>
      <c r="J172">
        <f t="shared" si="184"/>
        <v>7.3868173703017126</v>
      </c>
      <c r="K172">
        <f t="shared" si="184"/>
        <v>7.3577650245296855</v>
      </c>
      <c r="L172">
        <f t="shared" si="141"/>
        <v>151.52038072370621</v>
      </c>
      <c r="M172">
        <f t="shared" si="142"/>
        <v>-0.81038072370620284</v>
      </c>
      <c r="N172">
        <f t="shared" si="143"/>
        <v>0.65671691735458904</v>
      </c>
    </row>
    <row r="173" spans="1:14" x14ac:dyDescent="0.45">
      <c r="A173" s="22">
        <v>42625</v>
      </c>
      <c r="B173">
        <v>150.5</v>
      </c>
      <c r="C173">
        <v>151.69</v>
      </c>
      <c r="G173">
        <f t="shared" ref="G173:K173" si="185">SUMPRODUCT($B173:$B177,P$2:P$6)</f>
        <v>131.96862340961891</v>
      </c>
      <c r="H173">
        <f t="shared" si="185"/>
        <v>87.371550202237515</v>
      </c>
      <c r="I173">
        <f t="shared" si="185"/>
        <v>47.966543843781452</v>
      </c>
      <c r="J173">
        <f t="shared" si="185"/>
        <v>7.4295622359028064</v>
      </c>
      <c r="K173">
        <f t="shared" si="185"/>
        <v>7.3919126975300582</v>
      </c>
      <c r="L173">
        <f t="shared" si="141"/>
        <v>150.85554309656393</v>
      </c>
      <c r="M173">
        <f t="shared" si="142"/>
        <v>0.32445690343607225</v>
      </c>
      <c r="N173">
        <f t="shared" si="143"/>
        <v>0.10527228218732472</v>
      </c>
    </row>
    <row r="174" spans="1:14" x14ac:dyDescent="0.45">
      <c r="A174" s="22">
        <v>42622</v>
      </c>
      <c r="B174">
        <v>152.59</v>
      </c>
      <c r="C174">
        <v>150.69999999999999</v>
      </c>
      <c r="G174">
        <f t="shared" ref="G174:K174" si="186">SUMPRODUCT($B174:$B178,P$2:P$6)</f>
        <v>133.80127508915697</v>
      </c>
      <c r="H174">
        <f t="shared" si="186"/>
        <v>88.584881382667419</v>
      </c>
      <c r="I174">
        <f t="shared" si="186"/>
        <v>48.632654566950265</v>
      </c>
      <c r="J174">
        <f t="shared" si="186"/>
        <v>7.5391929695662059</v>
      </c>
      <c r="K174">
        <f t="shared" si="186"/>
        <v>7.4970434514248465</v>
      </c>
      <c r="L174">
        <f t="shared" si="141"/>
        <v>152.89895183161462</v>
      </c>
      <c r="M174">
        <f t="shared" si="142"/>
        <v>-2.3989518316146246</v>
      </c>
      <c r="N174">
        <f t="shared" si="143"/>
        <v>5.7549698904071622</v>
      </c>
    </row>
    <row r="175" spans="1:14" x14ac:dyDescent="0.45">
      <c r="A175" s="22">
        <v>42621</v>
      </c>
      <c r="B175">
        <v>155.19</v>
      </c>
      <c r="C175">
        <v>153.47</v>
      </c>
      <c r="G175">
        <f t="shared" ref="G175:K175" si="187">SUMPRODUCT($B175:$B179,P$2:P$6)</f>
        <v>136.08113125270421</v>
      </c>
      <c r="H175">
        <f t="shared" si="187"/>
        <v>90.094286899980389</v>
      </c>
      <c r="I175">
        <f t="shared" si="187"/>
        <v>49.461309609274878</v>
      </c>
      <c r="J175">
        <f t="shared" si="187"/>
        <v>7.6415764089300326</v>
      </c>
      <c r="K175">
        <f t="shared" si="187"/>
        <v>7.6036171718091792</v>
      </c>
      <c r="L175">
        <f t="shared" si="141"/>
        <v>155.44099244490903</v>
      </c>
      <c r="M175">
        <f t="shared" si="142"/>
        <v>-2.8509924449090249</v>
      </c>
      <c r="N175">
        <f t="shared" si="143"/>
        <v>8.1281579209283397</v>
      </c>
    </row>
    <row r="176" spans="1:14" x14ac:dyDescent="0.45">
      <c r="A176" s="22">
        <v>42620</v>
      </c>
      <c r="B176">
        <v>157.63999999999999</v>
      </c>
      <c r="C176">
        <v>155.63999999999999</v>
      </c>
      <c r="G176">
        <f t="shared" ref="G176:K176" si="188">SUMPRODUCT($B176:$B180,P$2:P$6)</f>
        <v>138.22945712191466</v>
      </c>
      <c r="H176">
        <f t="shared" si="188"/>
        <v>91.516613894925058</v>
      </c>
      <c r="I176">
        <f t="shared" si="188"/>
        <v>50.242155017869919</v>
      </c>
      <c r="J176">
        <f t="shared" si="188"/>
        <v>7.7027913291237953</v>
      </c>
      <c r="K176">
        <f t="shared" si="188"/>
        <v>7.6822281686458016</v>
      </c>
      <c r="L176">
        <f t="shared" si="141"/>
        <v>157.8363773107516</v>
      </c>
      <c r="M176">
        <f t="shared" si="142"/>
        <v>-2.6463773107516033</v>
      </c>
      <c r="N176">
        <f t="shared" si="143"/>
        <v>7.0033128708608876</v>
      </c>
    </row>
    <row r="177" spans="1:14" x14ac:dyDescent="0.45">
      <c r="A177" s="22">
        <v>42619</v>
      </c>
      <c r="B177">
        <v>158.13</v>
      </c>
      <c r="C177">
        <v>158.06</v>
      </c>
      <c r="G177">
        <f t="shared" ref="G177:K177" si="189">SUMPRODUCT($B177:$B181,P$2:P$6)</f>
        <v>138.6591228965585</v>
      </c>
      <c r="H177">
        <f t="shared" si="189"/>
        <v>91.801081373110932</v>
      </c>
      <c r="I177">
        <f t="shared" si="189"/>
        <v>50.398326824974795</v>
      </c>
      <c r="J177">
        <f t="shared" si="189"/>
        <v>7.7109581021853497</v>
      </c>
      <c r="K177">
        <f t="shared" si="189"/>
        <v>7.6822500900314976</v>
      </c>
      <c r="L177">
        <f t="shared" si="141"/>
        <v>158.31545640319538</v>
      </c>
      <c r="M177">
        <f t="shared" si="142"/>
        <v>-0.67545640319539757</v>
      </c>
      <c r="N177">
        <f t="shared" si="143"/>
        <v>0.45624135261766346</v>
      </c>
    </row>
    <row r="178" spans="1:14" x14ac:dyDescent="0.45">
      <c r="A178" s="22">
        <v>42615</v>
      </c>
      <c r="B178">
        <v>156.81</v>
      </c>
      <c r="C178">
        <v>157.97999999999999</v>
      </c>
      <c r="G178">
        <f t="shared" ref="G178:K178" si="190">SUMPRODUCT($B178:$B182,P$2:P$6)</f>
        <v>137.50165984600545</v>
      </c>
      <c r="H178">
        <f t="shared" si="190"/>
        <v>91.03476922193758</v>
      </c>
      <c r="I178">
        <f t="shared" si="190"/>
        <v>49.977632720362017</v>
      </c>
      <c r="J178">
        <f t="shared" si="190"/>
        <v>7.7419571821776056</v>
      </c>
      <c r="K178">
        <f t="shared" si="190"/>
        <v>7.7014494044075743</v>
      </c>
      <c r="L178">
        <f t="shared" si="141"/>
        <v>157.02488629888592</v>
      </c>
      <c r="M178">
        <f t="shared" si="142"/>
        <v>1.1051137011140781</v>
      </c>
      <c r="N178">
        <f t="shared" si="143"/>
        <v>1.221276292390056</v>
      </c>
    </row>
    <row r="179" spans="1:14" x14ac:dyDescent="0.45">
      <c r="A179" s="22">
        <v>42614</v>
      </c>
      <c r="B179">
        <v>159</v>
      </c>
      <c r="C179">
        <v>156.21</v>
      </c>
      <c r="G179">
        <f t="shared" ref="G179:K179" si="191">SUMPRODUCT($B179:$B183,P$2:P$6)</f>
        <v>139.42199988825024</v>
      </c>
      <c r="H179">
        <f t="shared" si="191"/>
        <v>92.306154410994694</v>
      </c>
      <c r="I179">
        <f t="shared" si="191"/>
        <v>50.675616815286617</v>
      </c>
      <c r="J179">
        <f t="shared" si="191"/>
        <v>7.8568381321342331</v>
      </c>
      <c r="K179">
        <f t="shared" si="191"/>
        <v>7.8137022260821372</v>
      </c>
      <c r="L179">
        <f t="shared" si="141"/>
        <v>159.16606745222299</v>
      </c>
      <c r="M179">
        <f t="shared" si="142"/>
        <v>-2.3560674522229874</v>
      </c>
      <c r="N179">
        <f t="shared" si="143"/>
        <v>5.5510538394245188</v>
      </c>
    </row>
    <row r="180" spans="1:14" x14ac:dyDescent="0.45">
      <c r="A180" s="22">
        <v>42613</v>
      </c>
      <c r="B180">
        <v>161.87</v>
      </c>
      <c r="C180">
        <v>162.09</v>
      </c>
      <c r="G180">
        <f t="shared" ref="G180:K180" si="192">SUMPRODUCT($B180:$B184,P$2:P$6)</f>
        <v>141.93860972353832</v>
      </c>
      <c r="H180">
        <f t="shared" si="192"/>
        <v>93.972307738768748</v>
      </c>
      <c r="I180">
        <f t="shared" si="192"/>
        <v>51.590323298992665</v>
      </c>
      <c r="J180">
        <f t="shared" si="192"/>
        <v>7.965464289343827</v>
      </c>
      <c r="K180">
        <f t="shared" si="192"/>
        <v>7.9312400553493605</v>
      </c>
      <c r="L180">
        <f t="shared" si="141"/>
        <v>161.97208933193173</v>
      </c>
      <c r="M180">
        <f t="shared" si="142"/>
        <v>-2.972089331931727</v>
      </c>
      <c r="N180">
        <f t="shared" si="143"/>
        <v>8.833314996982379</v>
      </c>
    </row>
    <row r="181" spans="1:14" x14ac:dyDescent="0.45">
      <c r="A181" s="22">
        <v>42612</v>
      </c>
      <c r="B181">
        <v>164.07</v>
      </c>
      <c r="C181">
        <v>161.96</v>
      </c>
      <c r="G181">
        <f t="shared" ref="G181:K181" si="193">SUMPRODUCT($B181:$B185,P$2:P$6)</f>
        <v>143.86771679303263</v>
      </c>
      <c r="H181">
        <f t="shared" si="193"/>
        <v>95.249499352083006</v>
      </c>
      <c r="I181">
        <f t="shared" si="193"/>
        <v>52.291490034249343</v>
      </c>
      <c r="J181">
        <f t="shared" si="193"/>
        <v>8.0325110994802849</v>
      </c>
      <c r="K181">
        <f t="shared" si="193"/>
        <v>8.0016966347009646</v>
      </c>
      <c r="L181">
        <f t="shared" si="141"/>
        <v>164.12304570968286</v>
      </c>
      <c r="M181">
        <f t="shared" si="142"/>
        <v>-2.2530457096828513</v>
      </c>
      <c r="N181">
        <f t="shared" si="143"/>
        <v>5.0762149699203034</v>
      </c>
    </row>
    <row r="182" spans="1:14" x14ac:dyDescent="0.45">
      <c r="A182" s="22">
        <v>42611</v>
      </c>
      <c r="B182">
        <v>164.47</v>
      </c>
      <c r="C182">
        <v>163.98</v>
      </c>
      <c r="G182">
        <f t="shared" ref="G182:K182" si="194">SUMPRODUCT($B182:$B186,P$2:P$6)</f>
        <v>144.21846453613421</v>
      </c>
      <c r="H182">
        <f t="shared" si="194"/>
        <v>95.481715820146533</v>
      </c>
      <c r="I182">
        <f t="shared" si="194"/>
        <v>52.41897823028426</v>
      </c>
      <c r="J182">
        <f t="shared" si="194"/>
        <v>8.0689057301079856</v>
      </c>
      <c r="K182">
        <f t="shared" si="194"/>
        <v>8.0300297915335896</v>
      </c>
      <c r="L182">
        <f t="shared" si="141"/>
        <v>164.51413017580424</v>
      </c>
      <c r="M182">
        <f t="shared" si="142"/>
        <v>-0.44413017580424707</v>
      </c>
      <c r="N182">
        <f t="shared" si="143"/>
        <v>0.1972516130599114</v>
      </c>
    </row>
    <row r="183" spans="1:14" x14ac:dyDescent="0.45">
      <c r="A183" s="22">
        <v>42608</v>
      </c>
      <c r="B183">
        <v>165.39</v>
      </c>
      <c r="C183">
        <v>163.93</v>
      </c>
      <c r="G183">
        <f t="shared" ref="G183:K183" si="195">SUMPRODUCT($B183:$B187,P$2:P$6)</f>
        <v>145.02518286361482</v>
      </c>
      <c r="H183">
        <f t="shared" si="195"/>
        <v>96.015814251079931</v>
      </c>
      <c r="I183">
        <f t="shared" si="195"/>
        <v>52.712194741433628</v>
      </c>
      <c r="J183">
        <f t="shared" si="195"/>
        <v>8.1233568046477274</v>
      </c>
      <c r="K183">
        <f t="shared" si="195"/>
        <v>8.09123610387282</v>
      </c>
      <c r="L183">
        <f t="shared" si="141"/>
        <v>165.41362201175687</v>
      </c>
      <c r="M183">
        <f t="shared" si="142"/>
        <v>-0.94362201175687233</v>
      </c>
      <c r="N183">
        <f t="shared" si="143"/>
        <v>0.89042250107208687</v>
      </c>
    </row>
    <row r="184" spans="1:14" x14ac:dyDescent="0.45">
      <c r="A184" s="22">
        <v>42607</v>
      </c>
      <c r="B184">
        <v>167.2</v>
      </c>
      <c r="C184">
        <v>164.86</v>
      </c>
      <c r="G184">
        <f t="shared" ref="G184:K184" si="196">SUMPRODUCT($B184:$B188,P$2:P$6)</f>
        <v>146.61231095032423</v>
      </c>
      <c r="H184">
        <f t="shared" si="196"/>
        <v>97.066593666415059</v>
      </c>
      <c r="I184">
        <f t="shared" si="196"/>
        <v>53.289062505822599</v>
      </c>
      <c r="J184">
        <f t="shared" si="196"/>
        <v>8.1701388967358994</v>
      </c>
      <c r="K184">
        <f t="shared" si="196"/>
        <v>8.1369315884516151</v>
      </c>
      <c r="L184">
        <f t="shared" si="141"/>
        <v>167.18327106782596</v>
      </c>
      <c r="M184">
        <f t="shared" si="142"/>
        <v>-1.7932710678259696</v>
      </c>
      <c r="N184">
        <f t="shared" si="143"/>
        <v>3.2158211227016933</v>
      </c>
    </row>
    <row r="185" spans="1:14" x14ac:dyDescent="0.45">
      <c r="A185" s="22">
        <v>42606</v>
      </c>
      <c r="B185">
        <v>167.14</v>
      </c>
      <c r="C185">
        <v>167.57</v>
      </c>
      <c r="G185">
        <f t="shared" ref="G185:K185" si="197">SUMPRODUCT($B185:$B189,P$2:P$6)</f>
        <v>146.55970016066422</v>
      </c>
      <c r="H185">
        <f t="shared" si="197"/>
        <v>97.031760340435881</v>
      </c>
      <c r="I185">
        <f t="shared" si="197"/>
        <v>53.269942115303785</v>
      </c>
      <c r="J185">
        <f t="shared" si="197"/>
        <v>8.1844278455804069</v>
      </c>
      <c r="K185">
        <f t="shared" si="197"/>
        <v>8.1490918331659756</v>
      </c>
      <c r="L185">
        <f t="shared" si="141"/>
        <v>167.12460970170147</v>
      </c>
      <c r="M185">
        <f t="shared" si="142"/>
        <v>7.539029829851529E-2</v>
      </c>
      <c r="N185">
        <f t="shared" si="143"/>
        <v>5.6836970775391172E-3</v>
      </c>
    </row>
    <row r="186" spans="1:14" x14ac:dyDescent="0.45">
      <c r="A186" s="22">
        <v>42605</v>
      </c>
      <c r="B186">
        <v>168.09</v>
      </c>
      <c r="C186">
        <v>167.36</v>
      </c>
      <c r="G186">
        <f t="shared" ref="G186:K186" si="198">SUMPRODUCT($B186:$B190,P$2:P$6)</f>
        <v>147.39272303218169</v>
      </c>
      <c r="H186">
        <f t="shared" si="198"/>
        <v>97.583275128599766</v>
      </c>
      <c r="I186">
        <f t="shared" si="198"/>
        <v>53.57271629733328</v>
      </c>
      <c r="J186">
        <f t="shared" si="198"/>
        <v>8.2061669412357414</v>
      </c>
      <c r="K186">
        <f t="shared" si="198"/>
        <v>8.18179778937861</v>
      </c>
      <c r="L186">
        <f t="shared" si="141"/>
        <v>168.05343081699903</v>
      </c>
      <c r="M186">
        <f t="shared" si="142"/>
        <v>-0.91343081699903905</v>
      </c>
      <c r="N186">
        <f t="shared" si="143"/>
        <v>0.83435585744353202</v>
      </c>
    </row>
    <row r="187" spans="1:14" x14ac:dyDescent="0.45">
      <c r="A187" s="22">
        <v>42604</v>
      </c>
      <c r="B187">
        <v>168.34</v>
      </c>
      <c r="C187">
        <v>167.94</v>
      </c>
      <c r="G187">
        <f t="shared" ref="G187:K187" si="199">SUMPRODUCT($B187:$B191,P$2:P$6)</f>
        <v>147.61193960046182</v>
      </c>
      <c r="H187">
        <f t="shared" si="199"/>
        <v>97.728409695928846</v>
      </c>
      <c r="I187">
        <f t="shared" si="199"/>
        <v>53.652394782365214</v>
      </c>
      <c r="J187">
        <f t="shared" si="199"/>
        <v>8.197473582101118</v>
      </c>
      <c r="K187">
        <f t="shared" si="199"/>
        <v>8.1633836914228119</v>
      </c>
      <c r="L187">
        <f t="shared" si="141"/>
        <v>168.29785729327611</v>
      </c>
      <c r="M187">
        <f t="shared" si="142"/>
        <v>-0.20785729327610625</v>
      </c>
      <c r="N187">
        <f t="shared" si="143"/>
        <v>4.3204654368069244E-2</v>
      </c>
    </row>
    <row r="188" spans="1:14" x14ac:dyDescent="0.45">
      <c r="A188" s="22">
        <v>42601</v>
      </c>
      <c r="B188">
        <v>167.21</v>
      </c>
      <c r="C188">
        <v>168.02</v>
      </c>
      <c r="G188">
        <f t="shared" ref="G188:K188" si="200">SUMPRODUCT($B188:$B192,P$2:P$6)</f>
        <v>146.62108140054843</v>
      </c>
      <c r="H188">
        <f t="shared" si="200"/>
        <v>97.072398670408788</v>
      </c>
      <c r="I188">
        <f t="shared" si="200"/>
        <v>53.292251965374675</v>
      </c>
      <c r="J188">
        <f t="shared" si="200"/>
        <v>8.1877524131643877</v>
      </c>
      <c r="K188">
        <f t="shared" si="200"/>
        <v>8.1592820439516931</v>
      </c>
      <c r="L188">
        <f t="shared" si="141"/>
        <v>167.19304981527318</v>
      </c>
      <c r="M188">
        <f t="shared" si="142"/>
        <v>1.1469501847268191</v>
      </c>
      <c r="N188">
        <f t="shared" si="143"/>
        <v>1.3154947262448844</v>
      </c>
    </row>
    <row r="189" spans="1:14" x14ac:dyDescent="0.45">
      <c r="A189" s="22">
        <v>42600</v>
      </c>
      <c r="B189">
        <v>168.42</v>
      </c>
      <c r="C189">
        <v>167.75</v>
      </c>
      <c r="G189">
        <f t="shared" ref="G189:K189" si="201">SUMPRODUCT($B189:$B193,P$2:P$6)</f>
        <v>147.682088529167</v>
      </c>
      <c r="H189">
        <f t="shared" si="201"/>
        <v>97.774854181277917</v>
      </c>
      <c r="I189">
        <f t="shared" si="201"/>
        <v>53.677890687688731</v>
      </c>
      <c r="J189">
        <f t="shared" si="201"/>
        <v>8.2036923057069</v>
      </c>
      <c r="K189">
        <f t="shared" si="201"/>
        <v>8.1760262604068679</v>
      </c>
      <c r="L189">
        <f t="shared" si="141"/>
        <v>168.37607386108314</v>
      </c>
      <c r="M189">
        <f t="shared" si="142"/>
        <v>-1.1660738610831345</v>
      </c>
      <c r="N189">
        <f t="shared" si="143"/>
        <v>1.3597282495013292</v>
      </c>
    </row>
    <row r="190" spans="1:14" x14ac:dyDescent="0.45">
      <c r="A190" s="22">
        <v>42599</v>
      </c>
      <c r="B190">
        <v>167.45</v>
      </c>
      <c r="C190">
        <v>167.96</v>
      </c>
      <c r="G190">
        <f t="shared" ref="G190:K190" si="202">SUMPRODUCT($B190:$B194,P$2:P$6)</f>
        <v>146.83152927398672</v>
      </c>
      <c r="H190">
        <f t="shared" si="202"/>
        <v>97.211728050811175</v>
      </c>
      <c r="I190">
        <f t="shared" si="202"/>
        <v>53.368743889991016</v>
      </c>
      <c r="J190">
        <f t="shared" si="202"/>
        <v>8.1920871323192799</v>
      </c>
      <c r="K190">
        <f t="shared" si="202"/>
        <v>8.1530683517376019</v>
      </c>
      <c r="L190">
        <f t="shared" si="141"/>
        <v>167.42769945334217</v>
      </c>
      <c r="M190">
        <f t="shared" si="142"/>
        <v>0.99230054665781608</v>
      </c>
      <c r="N190">
        <f t="shared" si="143"/>
        <v>0.98466037489740066</v>
      </c>
    </row>
    <row r="191" spans="1:14" x14ac:dyDescent="0.45">
      <c r="A191" s="22">
        <v>42598</v>
      </c>
      <c r="B191">
        <v>167.88</v>
      </c>
      <c r="C191">
        <v>168.41</v>
      </c>
      <c r="G191">
        <f t="shared" ref="G191:K191" si="203">SUMPRODUCT($B191:$B195,P$2:P$6)</f>
        <v>147.20858126654394</v>
      </c>
      <c r="H191">
        <f t="shared" si="203"/>
        <v>97.461362062492455</v>
      </c>
      <c r="I191">
        <f t="shared" si="203"/>
        <v>53.505787439457194</v>
      </c>
      <c r="J191">
        <f t="shared" si="203"/>
        <v>8.2148545630187986</v>
      </c>
      <c r="K191">
        <f t="shared" si="203"/>
        <v>8.1926028282370371</v>
      </c>
      <c r="L191">
        <f t="shared" si="141"/>
        <v>167.84811294877696</v>
      </c>
      <c r="M191">
        <f t="shared" si="142"/>
        <v>-0.39811294877696923</v>
      </c>
      <c r="N191">
        <f t="shared" si="143"/>
        <v>0.15849391998389373</v>
      </c>
    </row>
    <row r="192" spans="1:14" x14ac:dyDescent="0.45">
      <c r="A192" s="22">
        <v>42597</v>
      </c>
      <c r="B192">
        <v>169.04</v>
      </c>
      <c r="C192">
        <v>168.73</v>
      </c>
      <c r="G192">
        <f t="shared" ref="G192:K192" si="204">SUMPRODUCT($B192:$B196,P$2:P$6)</f>
        <v>148.225746241895</v>
      </c>
      <c r="H192">
        <f t="shared" si="204"/>
        <v>98.134788414517431</v>
      </c>
      <c r="I192">
        <f t="shared" si="204"/>
        <v>53.875493398667054</v>
      </c>
      <c r="J192">
        <f t="shared" si="204"/>
        <v>8.2168700796774097</v>
      </c>
      <c r="K192">
        <f t="shared" si="204"/>
        <v>8.1803097374242864</v>
      </c>
      <c r="L192">
        <f t="shared" si="141"/>
        <v>168.98225222034816</v>
      </c>
      <c r="M192">
        <f t="shared" si="142"/>
        <v>-1.1022522203481628</v>
      </c>
      <c r="N192">
        <f t="shared" si="143"/>
        <v>1.214959957262455</v>
      </c>
    </row>
    <row r="193" spans="1:14" x14ac:dyDescent="0.45">
      <c r="A193" s="22">
        <v>42594</v>
      </c>
      <c r="B193">
        <v>167.16</v>
      </c>
      <c r="C193">
        <v>169.04</v>
      </c>
      <c r="G193">
        <f t="shared" ref="G193:K193" si="205">SUMPRODUCT($B193:$B197,P$2:P$6)</f>
        <v>146.57723706420666</v>
      </c>
      <c r="H193">
        <f t="shared" si="205"/>
        <v>97.043371511581995</v>
      </c>
      <c r="I193">
        <f t="shared" si="205"/>
        <v>53.27631523697476</v>
      </c>
      <c r="J193">
        <f t="shared" si="205"/>
        <v>8.1983124633135542</v>
      </c>
      <c r="K193">
        <f t="shared" si="205"/>
        <v>8.1705800683389711</v>
      </c>
      <c r="L193">
        <f t="shared" si="141"/>
        <v>167.14416341233576</v>
      </c>
      <c r="M193">
        <f t="shared" si="142"/>
        <v>1.8958365876642347</v>
      </c>
      <c r="N193">
        <f t="shared" si="143"/>
        <v>3.5941963671263695</v>
      </c>
    </row>
    <row r="194" spans="1:14" x14ac:dyDescent="0.45">
      <c r="A194" s="22">
        <v>42593</v>
      </c>
      <c r="B194">
        <v>169.11</v>
      </c>
      <c r="C194">
        <v>167.88</v>
      </c>
      <c r="G194">
        <f t="shared" ref="G194:K194" si="206">SUMPRODUCT($B194:$B198,P$2:P$6)</f>
        <v>148.28712640521047</v>
      </c>
      <c r="H194">
        <f t="shared" si="206"/>
        <v>98.17542603663459</v>
      </c>
      <c r="I194">
        <f t="shared" si="206"/>
        <v>53.897801250647362</v>
      </c>
      <c r="J194">
        <f t="shared" si="206"/>
        <v>8.2144019187848549</v>
      </c>
      <c r="K194">
        <f t="shared" si="206"/>
        <v>8.1857999407827684</v>
      </c>
      <c r="L194">
        <f t="shared" si="141"/>
        <v>169.05069071729898</v>
      </c>
      <c r="M194">
        <f t="shared" si="142"/>
        <v>-1.8906907172989804</v>
      </c>
      <c r="N194">
        <f t="shared" si="143"/>
        <v>3.5747113884805333</v>
      </c>
    </row>
    <row r="195" spans="1:14" x14ac:dyDescent="0.45">
      <c r="A195" s="22">
        <v>42592</v>
      </c>
      <c r="B195">
        <v>167.44</v>
      </c>
      <c r="C195">
        <v>168.29</v>
      </c>
      <c r="G195">
        <f t="shared" ref="G195:K195" si="207">SUMPRODUCT($B195:$B199,P$2:P$6)</f>
        <v>146.82275838813234</v>
      </c>
      <c r="H195">
        <f t="shared" si="207"/>
        <v>97.205922279611698</v>
      </c>
      <c r="I195">
        <f t="shared" si="207"/>
        <v>53.365551856431914</v>
      </c>
      <c r="J195">
        <f t="shared" si="207"/>
        <v>8.1775743959512042</v>
      </c>
      <c r="K195">
        <f t="shared" si="207"/>
        <v>8.1478793161134853</v>
      </c>
      <c r="L195">
        <f t="shared" ref="L195:L247" si="208">(G195+$P$7)*$U$2+(H195+$Q$7)*$U$3+(I195+$R$7)*$U$4+(J195+$S$7)*$U$5+(K195+$T$7)*$U$6+$U$7</f>
        <v>167.41791936413844</v>
      </c>
      <c r="M195">
        <f t="shared" ref="M195:M247" si="209">B194-L195</f>
        <v>1.6920806358615721</v>
      </c>
      <c r="N195">
        <f t="shared" ref="N195:N247" si="210">M195^2</f>
        <v>2.863136878257702</v>
      </c>
    </row>
    <row r="196" spans="1:14" x14ac:dyDescent="0.45">
      <c r="A196" s="22">
        <v>42591</v>
      </c>
      <c r="B196">
        <v>167.74</v>
      </c>
      <c r="C196">
        <v>167.86</v>
      </c>
      <c r="G196">
        <f t="shared" ref="G196:K196" si="211">SUMPRODUCT($B196:$B200,P$2:P$6)</f>
        <v>147.08581815481486</v>
      </c>
      <c r="H196">
        <f t="shared" si="211"/>
        <v>97.380083899899489</v>
      </c>
      <c r="I196">
        <f t="shared" si="211"/>
        <v>53.46116438904567</v>
      </c>
      <c r="J196">
        <f t="shared" si="211"/>
        <v>8.1715839517333428</v>
      </c>
      <c r="K196">
        <f t="shared" si="211"/>
        <v>8.1425310118471828</v>
      </c>
      <c r="L196">
        <f t="shared" si="208"/>
        <v>167.71123069060326</v>
      </c>
      <c r="M196">
        <f t="shared" si="209"/>
        <v>-0.27123069060326088</v>
      </c>
      <c r="N196">
        <f t="shared" si="210"/>
        <v>7.3566087525121837E-2</v>
      </c>
    </row>
    <row r="197" spans="1:14" x14ac:dyDescent="0.45">
      <c r="A197" s="22">
        <v>42590</v>
      </c>
      <c r="B197">
        <v>167.25</v>
      </c>
      <c r="C197">
        <v>167.4</v>
      </c>
      <c r="G197">
        <f t="shared" ref="G197:K197" si="212">SUMPRODUCT($B197:$B201,P$2:P$6)</f>
        <v>146.65615408390644</v>
      </c>
      <c r="H197">
        <f t="shared" si="212"/>
        <v>97.095618673561063</v>
      </c>
      <c r="I197">
        <f t="shared" si="212"/>
        <v>53.304995677720406</v>
      </c>
      <c r="J197">
        <f t="shared" si="212"/>
        <v>8.1481814283677796</v>
      </c>
      <c r="K197">
        <f t="shared" si="212"/>
        <v>8.1218901546323234</v>
      </c>
      <c r="L197">
        <f t="shared" si="208"/>
        <v>167.23215467520947</v>
      </c>
      <c r="M197">
        <f t="shared" si="209"/>
        <v>0.50784532479053723</v>
      </c>
      <c r="N197">
        <f t="shared" si="210"/>
        <v>0.25790687391160627</v>
      </c>
    </row>
    <row r="198" spans="1:14" x14ac:dyDescent="0.45">
      <c r="A198" s="22">
        <v>42587</v>
      </c>
      <c r="B198">
        <v>166.86</v>
      </c>
      <c r="C198">
        <v>167.7</v>
      </c>
      <c r="G198">
        <f t="shared" ref="G198:K198" si="213">SUMPRODUCT($B198:$B202,P$2:P$6)</f>
        <v>146.31417577329438</v>
      </c>
      <c r="H198">
        <f t="shared" si="213"/>
        <v>96.869208588733926</v>
      </c>
      <c r="I198">
        <f t="shared" si="213"/>
        <v>53.180697366698524</v>
      </c>
      <c r="J198">
        <f t="shared" si="213"/>
        <v>8.1267433757377123</v>
      </c>
      <c r="K198">
        <f t="shared" si="213"/>
        <v>8.1011066285320705</v>
      </c>
      <c r="L198">
        <f t="shared" si="208"/>
        <v>166.85084900125707</v>
      </c>
      <c r="M198">
        <f t="shared" si="209"/>
        <v>0.39915099874292537</v>
      </c>
      <c r="N198">
        <f t="shared" si="210"/>
        <v>0.1593215197974748</v>
      </c>
    </row>
    <row r="199" spans="1:14" x14ac:dyDescent="0.45">
      <c r="A199" s="22">
        <v>42586</v>
      </c>
      <c r="B199">
        <v>166.04</v>
      </c>
      <c r="C199">
        <v>166.55</v>
      </c>
      <c r="G199">
        <f t="shared" ref="G199:K199" si="214">SUMPRODUCT($B199:$B203,P$2:P$6)</f>
        <v>145.5951445924118</v>
      </c>
      <c r="H199">
        <f t="shared" si="214"/>
        <v>96.393165138774364</v>
      </c>
      <c r="I199">
        <f t="shared" si="214"/>
        <v>52.919354370096407</v>
      </c>
      <c r="J199">
        <f t="shared" si="214"/>
        <v>8.1132606959736933</v>
      </c>
      <c r="K199">
        <f t="shared" si="214"/>
        <v>8.0793289682543818</v>
      </c>
      <c r="L199">
        <f t="shared" si="208"/>
        <v>166.04912922177053</v>
      </c>
      <c r="M199">
        <f t="shared" si="209"/>
        <v>0.81087077822948572</v>
      </c>
      <c r="N199">
        <f t="shared" si="210"/>
        <v>0.65751141898649179</v>
      </c>
    </row>
    <row r="200" spans="1:14" x14ac:dyDescent="0.45">
      <c r="A200" s="22">
        <v>42585</v>
      </c>
      <c r="B200">
        <v>165.92</v>
      </c>
      <c r="C200">
        <v>166.12</v>
      </c>
      <c r="G200">
        <f t="shared" ref="G200:K200" si="215">SUMPRODUCT($B200:$B204,P$2:P$6)</f>
        <v>145.48992075094705</v>
      </c>
      <c r="H200">
        <f t="shared" si="215"/>
        <v>96.323499828576374</v>
      </c>
      <c r="I200">
        <f t="shared" si="215"/>
        <v>52.881109728932323</v>
      </c>
      <c r="J200">
        <f t="shared" si="215"/>
        <v>8.1300069214002892</v>
      </c>
      <c r="K200">
        <f t="shared" si="215"/>
        <v>8.0961858997308038</v>
      </c>
      <c r="L200">
        <f t="shared" si="208"/>
        <v>165.93180452059036</v>
      </c>
      <c r="M200">
        <f t="shared" si="209"/>
        <v>0.10819547940963048</v>
      </c>
      <c r="N200">
        <f t="shared" si="210"/>
        <v>1.1706261764679773E-2</v>
      </c>
    </row>
    <row r="201" spans="1:14" x14ac:dyDescent="0.45">
      <c r="A201" s="22">
        <v>42584</v>
      </c>
      <c r="B201">
        <v>167.07</v>
      </c>
      <c r="C201">
        <v>166.5</v>
      </c>
      <c r="G201">
        <f t="shared" ref="G201:K201" si="216">SUMPRODUCT($B201:$B205,P$2:P$6)</f>
        <v>146.49831823504658</v>
      </c>
      <c r="H201">
        <f t="shared" si="216"/>
        <v>96.991121608118959</v>
      </c>
      <c r="I201">
        <f t="shared" si="216"/>
        <v>53.247628532019952</v>
      </c>
      <c r="J201">
        <f t="shared" si="216"/>
        <v>8.153647961028831</v>
      </c>
      <c r="K201">
        <f t="shared" si="216"/>
        <v>8.1246297556383098</v>
      </c>
      <c r="L201">
        <f t="shared" si="208"/>
        <v>167.05616794043124</v>
      </c>
      <c r="M201">
        <f t="shared" si="209"/>
        <v>-1.1361679404312497</v>
      </c>
      <c r="N201">
        <f t="shared" si="210"/>
        <v>1.2908775888637878</v>
      </c>
    </row>
    <row r="202" spans="1:14" x14ac:dyDescent="0.45">
      <c r="A202" s="22">
        <v>42583</v>
      </c>
      <c r="B202">
        <v>167.15</v>
      </c>
      <c r="C202">
        <v>167.56</v>
      </c>
      <c r="G202">
        <f t="shared" ref="G202:K202" si="217">SUMPRODUCT($B202:$B206,P$2:P$6)</f>
        <v>146.56846769298213</v>
      </c>
      <c r="H202">
        <f t="shared" si="217"/>
        <v>97.037565564035617</v>
      </c>
      <c r="I202">
        <f t="shared" si="217"/>
        <v>53.273125056473354</v>
      </c>
      <c r="J202">
        <f t="shared" si="217"/>
        <v>8.1461924445034164</v>
      </c>
      <c r="K202">
        <f t="shared" si="217"/>
        <v>8.1203310303921405</v>
      </c>
      <c r="L202">
        <f t="shared" si="208"/>
        <v>167.1343847928315</v>
      </c>
      <c r="M202">
        <f t="shared" si="209"/>
        <v>-6.4384792831504001E-2</v>
      </c>
      <c r="N202">
        <f t="shared" si="210"/>
        <v>4.1454015479556886E-3</v>
      </c>
    </row>
    <row r="203" spans="1:14" x14ac:dyDescent="0.45">
      <c r="A203" s="22">
        <v>42580</v>
      </c>
      <c r="B203">
        <v>166.64</v>
      </c>
      <c r="C203">
        <v>167.22</v>
      </c>
      <c r="G203">
        <f t="shared" ref="G203:K203" si="218">SUMPRODUCT($B203:$B207,P$2:P$6)</f>
        <v>146.12126517620777</v>
      </c>
      <c r="H203">
        <f t="shared" si="218"/>
        <v>96.741490078663134</v>
      </c>
      <c r="I203">
        <f t="shared" si="218"/>
        <v>53.110582253079635</v>
      </c>
      <c r="J203">
        <f t="shared" si="218"/>
        <v>8.1344869990185913</v>
      </c>
      <c r="K203">
        <f t="shared" si="218"/>
        <v>8.1026625245647548</v>
      </c>
      <c r="L203">
        <f t="shared" si="208"/>
        <v>166.63575415591353</v>
      </c>
      <c r="M203">
        <f t="shared" si="209"/>
        <v>0.51424584408647434</v>
      </c>
      <c r="N203">
        <f t="shared" si="210"/>
        <v>0.26444878816021045</v>
      </c>
    </row>
    <row r="204" spans="1:14" x14ac:dyDescent="0.45">
      <c r="A204" s="22">
        <v>42579</v>
      </c>
      <c r="B204">
        <v>166.26</v>
      </c>
      <c r="C204">
        <v>166.35</v>
      </c>
      <c r="G204">
        <f t="shared" ref="G204:K204" si="219">SUMPRODUCT($B204:$B208,P$2:P$6)</f>
        <v>145.78805649819137</v>
      </c>
      <c r="H204">
        <f t="shared" si="219"/>
        <v>96.520884204868267</v>
      </c>
      <c r="I204">
        <f t="shared" si="219"/>
        <v>52.989473599901423</v>
      </c>
      <c r="J204">
        <f t="shared" si="219"/>
        <v>8.1433415390506561</v>
      </c>
      <c r="K204">
        <f t="shared" si="219"/>
        <v>8.1088020149043896</v>
      </c>
      <c r="L204">
        <f t="shared" si="208"/>
        <v>166.26422632764746</v>
      </c>
      <c r="M204">
        <f t="shared" si="209"/>
        <v>0.37577367235252268</v>
      </c>
      <c r="N204">
        <f t="shared" si="210"/>
        <v>0.14120585283330106</v>
      </c>
    </row>
    <row r="205" spans="1:14" x14ac:dyDescent="0.45">
      <c r="A205" s="22">
        <v>42578</v>
      </c>
      <c r="B205">
        <v>167.16</v>
      </c>
      <c r="C205">
        <v>166.15</v>
      </c>
      <c r="G205">
        <f t="shared" ref="G205:K205" si="220">SUMPRODUCT($B205:$B209,P$2:P$6)</f>
        <v>146.57723661035092</v>
      </c>
      <c r="H205">
        <f t="shared" si="220"/>
        <v>97.043371445493293</v>
      </c>
      <c r="I205">
        <f t="shared" si="220"/>
        <v>53.276313773678893</v>
      </c>
      <c r="J205">
        <f t="shared" si="220"/>
        <v>8.1700631699461006</v>
      </c>
      <c r="K205">
        <f t="shared" si="220"/>
        <v>8.1414696293572266</v>
      </c>
      <c r="L205">
        <f t="shared" si="208"/>
        <v>167.14416267907842</v>
      </c>
      <c r="M205">
        <f t="shared" si="209"/>
        <v>-0.88416267907842894</v>
      </c>
      <c r="N205">
        <f t="shared" si="210"/>
        <v>0.78174364307514488</v>
      </c>
    </row>
    <row r="206" spans="1:14" x14ac:dyDescent="0.45">
      <c r="A206" s="22">
        <v>42577</v>
      </c>
      <c r="B206">
        <v>167.6</v>
      </c>
      <c r="C206">
        <v>167.57</v>
      </c>
      <c r="G206">
        <f t="shared" ref="G206:K206" si="221">SUMPRODUCT($B206:$B210,P$2:P$6)</f>
        <v>146.96305841457777</v>
      </c>
      <c r="H206">
        <f t="shared" si="221"/>
        <v>97.298809311573578</v>
      </c>
      <c r="I206">
        <f t="shared" si="221"/>
        <v>53.416547797870784</v>
      </c>
      <c r="J206">
        <f t="shared" si="221"/>
        <v>8.175208997950957</v>
      </c>
      <c r="K206">
        <f t="shared" si="221"/>
        <v>8.1435956712929745</v>
      </c>
      <c r="L206">
        <f t="shared" si="208"/>
        <v>167.57435419066226</v>
      </c>
      <c r="M206">
        <f t="shared" si="209"/>
        <v>-0.41435419066226586</v>
      </c>
      <c r="N206">
        <f t="shared" si="210"/>
        <v>0.17168939531938138</v>
      </c>
    </row>
    <row r="207" spans="1:14" x14ac:dyDescent="0.45">
      <c r="A207" s="22">
        <v>42576</v>
      </c>
      <c r="B207">
        <v>167.17</v>
      </c>
      <c r="C207">
        <v>167.97</v>
      </c>
      <c r="G207">
        <f t="shared" ref="G207:K207" si="222">SUMPRODUCT($B207:$B211,P$2:P$6)</f>
        <v>146.58600535845162</v>
      </c>
      <c r="H207">
        <f t="shared" si="222"/>
        <v>97.049177320228779</v>
      </c>
      <c r="I207">
        <f t="shared" si="222"/>
        <v>53.279501287241409</v>
      </c>
      <c r="J207">
        <f t="shared" si="222"/>
        <v>8.1745886782351516</v>
      </c>
      <c r="K207">
        <f t="shared" si="222"/>
        <v>8.1456909746478399</v>
      </c>
      <c r="L207">
        <f t="shared" si="208"/>
        <v>167.15394012896104</v>
      </c>
      <c r="M207">
        <f t="shared" si="209"/>
        <v>0.44605987103895473</v>
      </c>
      <c r="N207">
        <f t="shared" si="210"/>
        <v>0.19896940855128892</v>
      </c>
    </row>
    <row r="208" spans="1:14" x14ac:dyDescent="0.45">
      <c r="A208" s="22">
        <v>42573</v>
      </c>
      <c r="B208">
        <v>167.68</v>
      </c>
      <c r="C208">
        <v>167.47</v>
      </c>
      <c r="G208">
        <f t="shared" ref="G208:K208" si="223">SUMPRODUCT($B208:$B212,P$2:P$6)</f>
        <v>147.03320666722894</v>
      </c>
      <c r="H208">
        <f t="shared" si="223"/>
        <v>97.345252684137023</v>
      </c>
      <c r="I208">
        <f t="shared" si="223"/>
        <v>53.442043854887764</v>
      </c>
      <c r="J208">
        <f t="shared" si="223"/>
        <v>8.1852988059963092</v>
      </c>
      <c r="K208">
        <f t="shared" si="223"/>
        <v>8.1511616156412181</v>
      </c>
      <c r="L208">
        <f t="shared" si="208"/>
        <v>167.6525697931649</v>
      </c>
      <c r="M208">
        <f t="shared" si="209"/>
        <v>-0.48256979316491311</v>
      </c>
      <c r="N208">
        <f t="shared" si="210"/>
        <v>0.23287360527522702</v>
      </c>
    </row>
    <row r="209" spans="1:14" x14ac:dyDescent="0.45">
      <c r="A209" s="22">
        <v>42572</v>
      </c>
      <c r="B209">
        <v>167.43</v>
      </c>
      <c r="C209">
        <v>167.05</v>
      </c>
      <c r="G209">
        <f t="shared" ref="G209:K209" si="224">SUMPRODUCT($B209:$B213,P$2:P$6)</f>
        <v>146.8139909031342</v>
      </c>
      <c r="H209">
        <f t="shared" si="224"/>
        <v>97.200116652485363</v>
      </c>
      <c r="I209">
        <f t="shared" si="224"/>
        <v>53.362366832769084</v>
      </c>
      <c r="J209">
        <f t="shared" si="224"/>
        <v>8.1871608432083871</v>
      </c>
      <c r="K209">
        <f t="shared" si="224"/>
        <v>8.1562666386215419</v>
      </c>
      <c r="L209">
        <f t="shared" si="208"/>
        <v>167.40814357286061</v>
      </c>
      <c r="M209">
        <f t="shared" si="209"/>
        <v>0.27185642713939728</v>
      </c>
      <c r="N209">
        <f t="shared" si="210"/>
        <v>7.3905916976998429E-2</v>
      </c>
    </row>
    <row r="210" spans="1:14" x14ac:dyDescent="0.45">
      <c r="A210" s="22">
        <v>42571</v>
      </c>
      <c r="B210">
        <v>168.25</v>
      </c>
      <c r="C210">
        <v>168.04</v>
      </c>
      <c r="G210">
        <f t="shared" ref="G210:K210" si="225">SUMPRODUCT($B210:$B214,P$2:P$6)</f>
        <v>147.53302118550616</v>
      </c>
      <c r="H210">
        <f t="shared" si="225"/>
        <v>97.676160869599173</v>
      </c>
      <c r="I210">
        <f t="shared" si="225"/>
        <v>53.623708453484184</v>
      </c>
      <c r="J210">
        <f t="shared" si="225"/>
        <v>8.1888724250802554</v>
      </c>
      <c r="K210">
        <f t="shared" si="225"/>
        <v>8.1654949369474128</v>
      </c>
      <c r="L210">
        <f t="shared" si="208"/>
        <v>168.209862722206</v>
      </c>
      <c r="M210">
        <f t="shared" si="209"/>
        <v>-0.77986272220599062</v>
      </c>
      <c r="N210">
        <f t="shared" si="210"/>
        <v>0.60818586548653808</v>
      </c>
    </row>
    <row r="211" spans="1:14" x14ac:dyDescent="0.45">
      <c r="A211" s="22">
        <v>42570</v>
      </c>
      <c r="B211">
        <v>167.5</v>
      </c>
      <c r="C211">
        <v>168.12</v>
      </c>
      <c r="G211">
        <f t="shared" ref="G211:K211" si="226">SUMPRODUCT($B211:$B215,P$2:P$6)</f>
        <v>146.87537061895293</v>
      </c>
      <c r="H211">
        <f t="shared" si="226"/>
        <v>97.240754978382682</v>
      </c>
      <c r="I211">
        <f t="shared" si="226"/>
        <v>53.384674612047057</v>
      </c>
      <c r="J211">
        <f t="shared" si="226"/>
        <v>8.160123844816221</v>
      </c>
      <c r="K211">
        <f t="shared" si="226"/>
        <v>8.128227156240138</v>
      </c>
      <c r="L211">
        <f t="shared" si="208"/>
        <v>167.47658206789805</v>
      </c>
      <c r="M211">
        <f t="shared" si="209"/>
        <v>0.77341793210194965</v>
      </c>
      <c r="N211">
        <f t="shared" si="210"/>
        <v>0.59817529769685596</v>
      </c>
    </row>
    <row r="212" spans="1:14" x14ac:dyDescent="0.45">
      <c r="A212" s="22">
        <v>42569</v>
      </c>
      <c r="B212">
        <v>166.56</v>
      </c>
      <c r="C212">
        <v>167.51</v>
      </c>
      <c r="G212">
        <f t="shared" ref="G212:K212" si="227">SUMPRODUCT($B212:$B216,P$2:P$6)</f>
        <v>146.05111580677578</v>
      </c>
      <c r="H212">
        <f t="shared" si="227"/>
        <v>96.695046330304095</v>
      </c>
      <c r="I212">
        <f t="shared" si="227"/>
        <v>53.085085718740409</v>
      </c>
      <c r="J212">
        <f t="shared" si="227"/>
        <v>8.1519095205427874</v>
      </c>
      <c r="K212">
        <f t="shared" si="227"/>
        <v>8.1206739291855037</v>
      </c>
      <c r="L212">
        <f t="shared" si="208"/>
        <v>166.55753746178715</v>
      </c>
      <c r="M212">
        <f t="shared" si="209"/>
        <v>0.94246253821285109</v>
      </c>
      <c r="N212">
        <f t="shared" si="210"/>
        <v>0.88823563593460975</v>
      </c>
    </row>
    <row r="213" spans="1:14" x14ac:dyDescent="0.45">
      <c r="A213" s="22">
        <v>42566</v>
      </c>
      <c r="B213">
        <v>167.44</v>
      </c>
      <c r="C213">
        <v>166.41</v>
      </c>
      <c r="G213">
        <f t="shared" ref="G213:K213" si="228">SUMPRODUCT($B213:$B217,P$2:P$6)</f>
        <v>146.82275747042723</v>
      </c>
      <c r="H213">
        <f t="shared" si="228"/>
        <v>97.205921971997782</v>
      </c>
      <c r="I213">
        <f t="shared" si="228"/>
        <v>53.365550105797901</v>
      </c>
      <c r="J213">
        <f t="shared" si="228"/>
        <v>8.1648600551400285</v>
      </c>
      <c r="K213">
        <f t="shared" si="228"/>
        <v>8.1350233526355904</v>
      </c>
      <c r="L213">
        <f t="shared" si="208"/>
        <v>167.41791811381049</v>
      </c>
      <c r="M213">
        <f t="shared" si="209"/>
        <v>-0.85791811381048433</v>
      </c>
      <c r="N213">
        <f t="shared" si="210"/>
        <v>0.73602349000413914</v>
      </c>
    </row>
    <row r="214" spans="1:14" x14ac:dyDescent="0.45">
      <c r="A214" s="22">
        <v>42565</v>
      </c>
      <c r="B214">
        <v>167.15</v>
      </c>
      <c r="C214">
        <v>166.94</v>
      </c>
      <c r="G214">
        <f t="shared" ref="G214:K214" si="229">SUMPRODUCT($B214:$B218,P$2:P$6)</f>
        <v>146.568465885932</v>
      </c>
      <c r="H214">
        <f t="shared" si="229"/>
        <v>97.037563934572219</v>
      </c>
      <c r="I214">
        <f t="shared" si="229"/>
        <v>53.273122885924721</v>
      </c>
      <c r="J214">
        <f t="shared" si="229"/>
        <v>8.149229523527401</v>
      </c>
      <c r="K214">
        <f t="shared" si="229"/>
        <v>8.1188573228160603</v>
      </c>
      <c r="L214">
        <f t="shared" si="208"/>
        <v>167.13438217853761</v>
      </c>
      <c r="M214">
        <f t="shared" si="209"/>
        <v>0.30561782146239125</v>
      </c>
      <c r="N214">
        <f t="shared" si="210"/>
        <v>9.3402252795418056E-2</v>
      </c>
    </row>
    <row r="215" spans="1:14" x14ac:dyDescent="0.45">
      <c r="A215" s="22">
        <v>42564</v>
      </c>
      <c r="B215">
        <v>167</v>
      </c>
      <c r="C215">
        <v>166.78</v>
      </c>
      <c r="G215">
        <f t="shared" ref="G215:K215" si="230">SUMPRODUCT($B215:$B219,P$2:P$6)</f>
        <v>146.43693108107749</v>
      </c>
      <c r="H215">
        <f t="shared" si="230"/>
        <v>96.950482515952061</v>
      </c>
      <c r="I215">
        <f t="shared" si="230"/>
        <v>53.225307848926448</v>
      </c>
      <c r="J215">
        <f t="shared" si="230"/>
        <v>8.1274659538128358</v>
      </c>
      <c r="K215">
        <f t="shared" si="230"/>
        <v>8.1036702483504079</v>
      </c>
      <c r="L215">
        <f t="shared" si="208"/>
        <v>166.98772046400123</v>
      </c>
      <c r="M215">
        <f t="shared" si="209"/>
        <v>0.16227953599877765</v>
      </c>
      <c r="N215">
        <f t="shared" si="210"/>
        <v>2.633464780397857E-2</v>
      </c>
    </row>
    <row r="216" spans="1:14" x14ac:dyDescent="0.45">
      <c r="A216" s="22">
        <v>42563</v>
      </c>
      <c r="B216">
        <v>166.49</v>
      </c>
      <c r="C216">
        <v>166.28</v>
      </c>
      <c r="G216">
        <f t="shared" ref="G216:K216" si="231">SUMPRODUCT($B216:$B220,P$2:P$6)</f>
        <v>145.98972625726958</v>
      </c>
      <c r="H216">
        <f t="shared" si="231"/>
        <v>96.65440150497426</v>
      </c>
      <c r="I216">
        <f t="shared" si="231"/>
        <v>53.062760322791718</v>
      </c>
      <c r="J216">
        <f t="shared" si="231"/>
        <v>8.0748462855632219</v>
      </c>
      <c r="K216">
        <f t="shared" si="231"/>
        <v>8.0373873599067576</v>
      </c>
      <c r="L216">
        <f t="shared" si="208"/>
        <v>166.48908434939881</v>
      </c>
      <c r="M216">
        <f t="shared" si="209"/>
        <v>0.51091565060119137</v>
      </c>
      <c r="N216">
        <f t="shared" si="210"/>
        <v>0.26103480202923868</v>
      </c>
    </row>
    <row r="217" spans="1:14" x14ac:dyDescent="0.45">
      <c r="A217" s="22">
        <v>42562</v>
      </c>
      <c r="B217">
        <v>165.06</v>
      </c>
      <c r="C217">
        <v>166.72</v>
      </c>
      <c r="G217">
        <f t="shared" ref="G217:K217" si="232">SUMPRODUCT($B217:$B221,P$2:P$6)</f>
        <v>144.73580727029676</v>
      </c>
      <c r="H217">
        <f t="shared" si="232"/>
        <v>95.824225007890988</v>
      </c>
      <c r="I217">
        <f t="shared" si="232"/>
        <v>52.606997000592457</v>
      </c>
      <c r="J217">
        <f t="shared" si="232"/>
        <v>7.9907278097789005</v>
      </c>
      <c r="K217">
        <f t="shared" si="232"/>
        <v>7.9809534563893054</v>
      </c>
      <c r="L217">
        <f t="shared" si="208"/>
        <v>165.09096092298418</v>
      </c>
      <c r="M217">
        <f t="shared" si="209"/>
        <v>1.3990390770158285</v>
      </c>
      <c r="N217">
        <f t="shared" si="210"/>
        <v>1.9573103390173014</v>
      </c>
    </row>
    <row r="218" spans="1:14" x14ac:dyDescent="0.45">
      <c r="A218" s="22">
        <v>42559</v>
      </c>
      <c r="B218">
        <v>164.84</v>
      </c>
      <c r="C218">
        <v>165.44</v>
      </c>
      <c r="G218">
        <f t="shared" ref="G218:K218" si="233">SUMPRODUCT($B218:$B222,P$2:P$6)</f>
        <v>144.54289485322792</v>
      </c>
      <c r="H218">
        <f t="shared" si="233"/>
        <v>95.696506463477377</v>
      </c>
      <c r="I218">
        <f t="shared" si="233"/>
        <v>52.536872536701232</v>
      </c>
      <c r="J218">
        <f t="shared" si="233"/>
        <v>7.8542000086943142</v>
      </c>
      <c r="K218">
        <f t="shared" si="233"/>
        <v>7.8533594948456189</v>
      </c>
      <c r="L218">
        <f t="shared" si="208"/>
        <v>164.87586233933501</v>
      </c>
      <c r="M218">
        <f t="shared" si="209"/>
        <v>0.18413766066498738</v>
      </c>
      <c r="N218">
        <f t="shared" si="210"/>
        <v>3.3906678075174043E-2</v>
      </c>
    </row>
    <row r="219" spans="1:14" x14ac:dyDescent="0.45">
      <c r="A219" s="22">
        <v>42558</v>
      </c>
      <c r="B219">
        <v>158.33000000000001</v>
      </c>
      <c r="C219">
        <v>163.69999999999999</v>
      </c>
      <c r="G219">
        <f t="shared" ref="G219:K219" si="234">SUMPRODUCT($B219:$B223,P$2:P$6)</f>
        <v>138.83449062538935</v>
      </c>
      <c r="H219">
        <f t="shared" si="234"/>
        <v>91.917185692940109</v>
      </c>
      <c r="I219">
        <f t="shared" si="234"/>
        <v>50.462057789982644</v>
      </c>
      <c r="J219">
        <f t="shared" si="234"/>
        <v>7.658664721685664</v>
      </c>
      <c r="K219">
        <f t="shared" si="234"/>
        <v>7.6360548939760857</v>
      </c>
      <c r="L219">
        <f t="shared" si="208"/>
        <v>158.51098901990184</v>
      </c>
      <c r="M219">
        <f t="shared" si="209"/>
        <v>6.3290109800981611</v>
      </c>
      <c r="N219">
        <f t="shared" si="210"/>
        <v>40.056379986203083</v>
      </c>
    </row>
    <row r="220" spans="1:14" x14ac:dyDescent="0.45">
      <c r="A220" s="22">
        <v>42557</v>
      </c>
      <c r="B220">
        <v>155.19999999999999</v>
      </c>
      <c r="C220">
        <v>156.01</v>
      </c>
      <c r="G220">
        <f t="shared" ref="G220:K220" si="235">SUMPRODUCT($B220:$B224,P$2:P$6)</f>
        <v>136.08989751620348</v>
      </c>
      <c r="H220">
        <f t="shared" si="235"/>
        <v>90.100092360825585</v>
      </c>
      <c r="I220">
        <f t="shared" si="235"/>
        <v>49.464491853078947</v>
      </c>
      <c r="J220">
        <f t="shared" si="235"/>
        <v>7.6089720961347345</v>
      </c>
      <c r="K220">
        <f t="shared" si="235"/>
        <v>7.5742514549114874</v>
      </c>
      <c r="L220">
        <f t="shared" si="208"/>
        <v>155.45076656996866</v>
      </c>
      <c r="M220">
        <f t="shared" si="209"/>
        <v>2.8792334300313485</v>
      </c>
      <c r="N220">
        <f t="shared" si="210"/>
        <v>8.2899851446100836</v>
      </c>
    </row>
    <row r="221" spans="1:14" x14ac:dyDescent="0.45">
      <c r="A221" s="22">
        <v>42556</v>
      </c>
      <c r="B221">
        <v>156.08000000000001</v>
      </c>
      <c r="C221">
        <v>155.25</v>
      </c>
      <c r="G221">
        <f t="shared" ref="G221:K221" si="236">SUMPRODUCT($B221:$B225,P$2:P$6)</f>
        <v>136.86153947157362</v>
      </c>
      <c r="H221">
        <f t="shared" si="236"/>
        <v>90.61096798903263</v>
      </c>
      <c r="I221">
        <f t="shared" si="236"/>
        <v>49.744957091388578</v>
      </c>
      <c r="J221">
        <f t="shared" si="236"/>
        <v>7.6459072360536915</v>
      </c>
      <c r="K221">
        <f t="shared" si="236"/>
        <v>7.6151290869159061</v>
      </c>
      <c r="L221">
        <f t="shared" si="208"/>
        <v>156.31114764353302</v>
      </c>
      <c r="M221">
        <f t="shared" si="209"/>
        <v>-1.1111476435330303</v>
      </c>
      <c r="N221">
        <f t="shared" si="210"/>
        <v>1.2346490857290062</v>
      </c>
    </row>
    <row r="222" spans="1:14" x14ac:dyDescent="0.45">
      <c r="A222" s="22">
        <v>42552</v>
      </c>
      <c r="B222">
        <v>157.19</v>
      </c>
      <c r="C222">
        <v>156.11000000000001</v>
      </c>
      <c r="G222">
        <f t="shared" ref="G222:K222" si="237">SUMPRODUCT($B222:$B226,P$2:P$6)</f>
        <v>137.83486123402804</v>
      </c>
      <c r="H222">
        <f t="shared" si="237"/>
        <v>91.255367032005609</v>
      </c>
      <c r="I222">
        <f t="shared" si="237"/>
        <v>50.098725835075776</v>
      </c>
      <c r="J222">
        <f t="shared" si="237"/>
        <v>7.6600133592200201</v>
      </c>
      <c r="K222">
        <f t="shared" si="237"/>
        <v>7.6310362303975428</v>
      </c>
      <c r="L222">
        <f t="shared" si="208"/>
        <v>157.39640110814608</v>
      </c>
      <c r="M222">
        <f t="shared" si="209"/>
        <v>-1.3164011081460671</v>
      </c>
      <c r="N222">
        <f t="shared" si="210"/>
        <v>1.7329118775281935</v>
      </c>
    </row>
    <row r="223" spans="1:14" x14ac:dyDescent="0.45">
      <c r="A223" s="22">
        <v>42551</v>
      </c>
      <c r="B223">
        <v>156.96</v>
      </c>
      <c r="C223">
        <v>157.04</v>
      </c>
      <c r="G223">
        <f t="shared" ref="G223:K223" si="238">SUMPRODUCT($B223:$B227,P$2:P$6)</f>
        <v>137.63318090896951</v>
      </c>
      <c r="H223">
        <f t="shared" si="238"/>
        <v>91.121842154482209</v>
      </c>
      <c r="I223">
        <f t="shared" si="238"/>
        <v>50.025418877043819</v>
      </c>
      <c r="J223">
        <f t="shared" si="238"/>
        <v>7.633617077927358</v>
      </c>
      <c r="K223">
        <f t="shared" si="238"/>
        <v>7.6126441327267926</v>
      </c>
      <c r="L223">
        <f t="shared" si="208"/>
        <v>157.17152675884981</v>
      </c>
      <c r="M223">
        <f t="shared" si="209"/>
        <v>1.8473241150189779E-2</v>
      </c>
      <c r="N223">
        <f t="shared" si="210"/>
        <v>3.4126063859306495E-4</v>
      </c>
    </row>
    <row r="224" spans="1:14" x14ac:dyDescent="0.45">
      <c r="A224" s="22">
        <v>42550</v>
      </c>
      <c r="B224">
        <v>156.44</v>
      </c>
      <c r="C224">
        <v>157.08000000000001</v>
      </c>
      <c r="G224">
        <f t="shared" ref="G224:K224" si="239">SUMPRODUCT($B224:$B228,P$2:P$6)</f>
        <v>137.1772133234935</v>
      </c>
      <c r="H224">
        <f t="shared" si="239"/>
        <v>90.819959975026208</v>
      </c>
      <c r="I224">
        <f t="shared" si="239"/>
        <v>49.859692179455074</v>
      </c>
      <c r="J224">
        <f t="shared" si="239"/>
        <v>7.5855448192072865</v>
      </c>
      <c r="K224">
        <f t="shared" si="239"/>
        <v>7.5612006233884417</v>
      </c>
      <c r="L224">
        <f t="shared" si="208"/>
        <v>156.66312182734771</v>
      </c>
      <c r="M224">
        <f t="shared" si="209"/>
        <v>0.2968781726522991</v>
      </c>
      <c r="N224">
        <f t="shared" si="210"/>
        <v>8.8136649397368316E-2</v>
      </c>
    </row>
    <row r="225" spans="1:14" x14ac:dyDescent="0.45">
      <c r="A225" s="22">
        <v>42549</v>
      </c>
      <c r="B225">
        <v>154.66</v>
      </c>
      <c r="C225">
        <v>155.6</v>
      </c>
      <c r="G225">
        <f t="shared" ref="G225:K225" si="240">SUMPRODUCT($B225:$B229,P$2:P$6)</f>
        <v>135.6163895617787</v>
      </c>
      <c r="H225">
        <f t="shared" si="240"/>
        <v>89.786601238636194</v>
      </c>
      <c r="I225">
        <f t="shared" si="240"/>
        <v>49.292383105301553</v>
      </c>
      <c r="J225">
        <f t="shared" si="240"/>
        <v>7.542966643113397</v>
      </c>
      <c r="K225">
        <f t="shared" si="240"/>
        <v>7.5299619419100772</v>
      </c>
      <c r="L225">
        <f t="shared" si="208"/>
        <v>154.9228042080729</v>
      </c>
      <c r="M225">
        <f t="shared" si="209"/>
        <v>1.5171957919270938</v>
      </c>
      <c r="N225">
        <f t="shared" si="210"/>
        <v>2.301883071041281</v>
      </c>
    </row>
    <row r="226" spans="1:14" x14ac:dyDescent="0.45">
      <c r="A226" s="22">
        <v>42548</v>
      </c>
      <c r="B226">
        <v>154.24</v>
      </c>
      <c r="C226">
        <v>154.26</v>
      </c>
      <c r="G226">
        <f t="shared" ref="G226:K226" si="241">SUMPRODUCT($B226:$B230,P$2:P$6)</f>
        <v>135.24810471016681</v>
      </c>
      <c r="H226">
        <f t="shared" si="241"/>
        <v>89.542773640381256</v>
      </c>
      <c r="I226">
        <f t="shared" si="241"/>
        <v>49.158528062245225</v>
      </c>
      <c r="J226">
        <f t="shared" si="241"/>
        <v>7.5461761746903839</v>
      </c>
      <c r="K226">
        <f t="shared" si="241"/>
        <v>7.4981906780478003</v>
      </c>
      <c r="L226">
        <f t="shared" si="208"/>
        <v>154.51216754038262</v>
      </c>
      <c r="M226">
        <f t="shared" si="209"/>
        <v>0.14783245961737634</v>
      </c>
      <c r="N226">
        <f t="shared" si="210"/>
        <v>2.1854436116523209E-2</v>
      </c>
    </row>
    <row r="227" spans="1:14" x14ac:dyDescent="0.45">
      <c r="A227" s="22">
        <v>42545</v>
      </c>
      <c r="B227">
        <v>153.16</v>
      </c>
      <c r="C227">
        <v>155.56</v>
      </c>
      <c r="G227">
        <f t="shared" ref="G227:K227" si="242">SUMPRODUCT($B227:$B231,P$2:P$6)</f>
        <v>134.30109087787912</v>
      </c>
      <c r="H227">
        <f t="shared" si="242"/>
        <v>88.915788901695592</v>
      </c>
      <c r="I227">
        <f t="shared" si="242"/>
        <v>48.814323820144921</v>
      </c>
      <c r="J227">
        <f t="shared" si="242"/>
        <v>7.6093448683660485</v>
      </c>
      <c r="K227">
        <f t="shared" si="242"/>
        <v>7.5718410209419336</v>
      </c>
      <c r="L227">
        <f t="shared" si="208"/>
        <v>153.45624655546808</v>
      </c>
      <c r="M227">
        <f t="shared" si="209"/>
        <v>0.78375344453192497</v>
      </c>
      <c r="N227">
        <f t="shared" si="210"/>
        <v>0.61426946181565723</v>
      </c>
    </row>
    <row r="228" spans="1:14" x14ac:dyDescent="0.45">
      <c r="A228" s="22">
        <v>42544</v>
      </c>
      <c r="B228">
        <v>158.6</v>
      </c>
      <c r="C228">
        <v>157.03</v>
      </c>
      <c r="G228">
        <f t="shared" ref="G228:K228" si="243">SUMPRODUCT($B228:$B232,P$2:P$6)</f>
        <v>139.07124563735096</v>
      </c>
      <c r="H228">
        <f t="shared" si="243"/>
        <v>92.073931973151758</v>
      </c>
      <c r="I228">
        <f t="shared" si="243"/>
        <v>50.548113160369311</v>
      </c>
      <c r="J228">
        <f t="shared" si="243"/>
        <v>7.7136166307769889</v>
      </c>
      <c r="K228">
        <f t="shared" si="243"/>
        <v>7.6899811738161059</v>
      </c>
      <c r="L228">
        <f t="shared" si="208"/>
        <v>158.77497153233386</v>
      </c>
      <c r="M228">
        <f t="shared" si="209"/>
        <v>-5.6149715323338683</v>
      </c>
      <c r="N228">
        <f t="shared" si="210"/>
        <v>31.527905308919749</v>
      </c>
    </row>
    <row r="229" spans="1:14" x14ac:dyDescent="0.45">
      <c r="A229" s="22">
        <v>42543</v>
      </c>
      <c r="B229">
        <v>157.61000000000001</v>
      </c>
      <c r="C229">
        <v>158.12</v>
      </c>
      <c r="G229">
        <f t="shared" ref="G229:K229" si="244">SUMPRODUCT($B229:$B233,P$2:P$6)</f>
        <v>138.20314576897556</v>
      </c>
      <c r="H229">
        <f t="shared" si="244"/>
        <v>91.499196162306902</v>
      </c>
      <c r="I229">
        <f t="shared" si="244"/>
        <v>50.232586344367469</v>
      </c>
      <c r="J229">
        <f t="shared" si="244"/>
        <v>7.682698241102071</v>
      </c>
      <c r="K229">
        <f t="shared" si="244"/>
        <v>7.6537343191252125</v>
      </c>
      <c r="L229">
        <f t="shared" si="208"/>
        <v>157.80703970153388</v>
      </c>
      <c r="M229">
        <f t="shared" si="209"/>
        <v>0.79296029846611304</v>
      </c>
      <c r="N229">
        <f t="shared" si="210"/>
        <v>0.62878603494346708</v>
      </c>
    </row>
    <row r="230" spans="1:14" x14ac:dyDescent="0.45">
      <c r="A230" s="22">
        <v>42542</v>
      </c>
      <c r="B230">
        <v>157.07</v>
      </c>
      <c r="C230">
        <v>157.19999999999999</v>
      </c>
      <c r="G230">
        <f t="shared" ref="G230:K230" si="245">SUMPRODUCT($B230:$B234,P$2:P$6)</f>
        <v>137.72963840881249</v>
      </c>
      <c r="H230">
        <f t="shared" si="245"/>
        <v>91.185702314231591</v>
      </c>
      <c r="I230">
        <f t="shared" si="245"/>
        <v>50.060482846549796</v>
      </c>
      <c r="J230">
        <f t="shared" si="245"/>
        <v>7.6687505058435201</v>
      </c>
      <c r="K230">
        <f t="shared" si="245"/>
        <v>7.6371780788342605</v>
      </c>
      <c r="L230">
        <f t="shared" si="208"/>
        <v>157.2790778362976</v>
      </c>
      <c r="M230">
        <f t="shared" si="209"/>
        <v>0.3309221637024109</v>
      </c>
      <c r="N230">
        <f t="shared" si="210"/>
        <v>0.10950947842948523</v>
      </c>
    </row>
    <row r="231" spans="1:14" x14ac:dyDescent="0.45">
      <c r="A231" s="22">
        <v>42541</v>
      </c>
      <c r="B231">
        <v>157.38</v>
      </c>
      <c r="C231">
        <v>156.47999999999999</v>
      </c>
      <c r="G231">
        <f t="shared" ref="G231:K231" si="246">SUMPRODUCT($B231:$B235,P$2:P$6)</f>
        <v>138.00146617128931</v>
      </c>
      <c r="H231">
        <f t="shared" si="246"/>
        <v>91.365670519381993</v>
      </c>
      <c r="I231">
        <f t="shared" si="246"/>
        <v>50.159279856380721</v>
      </c>
      <c r="J231">
        <f t="shared" si="246"/>
        <v>7.6580532132229111</v>
      </c>
      <c r="K231">
        <f t="shared" si="246"/>
        <v>7.6403617180121106</v>
      </c>
      <c r="L231">
        <f t="shared" si="208"/>
        <v>157.58216562628292</v>
      </c>
      <c r="M231">
        <f t="shared" si="209"/>
        <v>-0.51216562628292195</v>
      </c>
      <c r="N231">
        <f t="shared" si="210"/>
        <v>0.26231362874577768</v>
      </c>
    </row>
    <row r="232" spans="1:14" x14ac:dyDescent="0.45">
      <c r="A232" s="22">
        <v>42538</v>
      </c>
      <c r="B232">
        <v>157.03</v>
      </c>
      <c r="C232">
        <v>155.88999999999999</v>
      </c>
      <c r="G232">
        <f t="shared" ref="G232:K232" si="247">SUMPRODUCT($B232:$B236,P$2:P$6)</f>
        <v>137.69456210507465</v>
      </c>
      <c r="H232">
        <f t="shared" si="247"/>
        <v>91.162480338638446</v>
      </c>
      <c r="I232">
        <f t="shared" si="247"/>
        <v>50.047729851541348</v>
      </c>
      <c r="J232">
        <f t="shared" si="247"/>
        <v>7.6147386573936373</v>
      </c>
      <c r="K232">
        <f t="shared" si="247"/>
        <v>7.5862257533429887</v>
      </c>
      <c r="L232">
        <f t="shared" si="208"/>
        <v>157.2399670653335</v>
      </c>
      <c r="M232">
        <f t="shared" si="209"/>
        <v>0.14003293466649325</v>
      </c>
      <c r="N232">
        <f t="shared" si="210"/>
        <v>1.9609222791310367E-2</v>
      </c>
    </row>
    <row r="233" spans="1:14" x14ac:dyDescent="0.45">
      <c r="A233" s="22">
        <v>42537</v>
      </c>
      <c r="B233">
        <v>154.86000000000001</v>
      </c>
      <c r="C233">
        <v>156.41999999999999</v>
      </c>
      <c r="G233">
        <f t="shared" ref="G233:K233" si="248">SUMPRODUCT($B233:$B237,P$2:P$6)</f>
        <v>135.79176023354378</v>
      </c>
      <c r="H233">
        <f t="shared" si="248"/>
        <v>89.902706521138043</v>
      </c>
      <c r="I233">
        <f t="shared" si="248"/>
        <v>49.356123571289395</v>
      </c>
      <c r="J233">
        <f t="shared" si="248"/>
        <v>7.5731678066403658</v>
      </c>
      <c r="K233">
        <f t="shared" si="248"/>
        <v>7.5480895660988496</v>
      </c>
      <c r="L233">
        <f t="shared" si="208"/>
        <v>155.11834183566268</v>
      </c>
      <c r="M233">
        <f t="shared" si="209"/>
        <v>1.9116581643373252</v>
      </c>
      <c r="N233">
        <f t="shared" si="210"/>
        <v>3.6544369372775516</v>
      </c>
    </row>
    <row r="234" spans="1:14" x14ac:dyDescent="0.45">
      <c r="A234" s="22">
        <v>42536</v>
      </c>
      <c r="B234">
        <v>155.69999999999999</v>
      </c>
      <c r="C234">
        <v>154.86000000000001</v>
      </c>
      <c r="G234">
        <f t="shared" ref="G234:K234" si="249">SUMPRODUCT($B234:$B238,P$2:P$6)</f>
        <v>136.52832790247851</v>
      </c>
      <c r="H234">
        <f t="shared" si="249"/>
        <v>90.390359569943499</v>
      </c>
      <c r="I234">
        <f t="shared" si="249"/>
        <v>49.62384047627684</v>
      </c>
      <c r="J234">
        <f t="shared" si="249"/>
        <v>7.5695990684915397</v>
      </c>
      <c r="K234">
        <f t="shared" si="249"/>
        <v>7.5402708941924415</v>
      </c>
      <c r="L234">
        <f t="shared" si="208"/>
        <v>155.93961449243832</v>
      </c>
      <c r="M234">
        <f t="shared" si="209"/>
        <v>-1.07961449243831</v>
      </c>
      <c r="N234">
        <f t="shared" si="210"/>
        <v>1.1655674522828297</v>
      </c>
    </row>
    <row r="235" spans="1:14" x14ac:dyDescent="0.45">
      <c r="A235" s="22">
        <v>42535</v>
      </c>
      <c r="B235">
        <v>154.55000000000001</v>
      </c>
      <c r="C235">
        <v>155.87</v>
      </c>
      <c r="G235">
        <f t="shared" ref="G235:K235" si="250">SUMPRODUCT($B235:$B239,P$2:P$6)</f>
        <v>135.5199309387489</v>
      </c>
      <c r="H235">
        <f t="shared" si="250"/>
        <v>89.722737332289611</v>
      </c>
      <c r="I235">
        <f t="shared" si="250"/>
        <v>49.257320278741318</v>
      </c>
      <c r="J235">
        <f t="shared" si="250"/>
        <v>7.5360282550853146</v>
      </c>
      <c r="K235">
        <f t="shared" si="250"/>
        <v>7.514454181192014</v>
      </c>
      <c r="L235">
        <f t="shared" si="208"/>
        <v>154.81525086017191</v>
      </c>
      <c r="M235">
        <f t="shared" si="209"/>
        <v>0.88474913982807379</v>
      </c>
      <c r="N235">
        <f t="shared" si="210"/>
        <v>0.78278104042651653</v>
      </c>
    </row>
    <row r="236" spans="1:14" x14ac:dyDescent="0.45">
      <c r="A236" s="22">
        <v>42534</v>
      </c>
      <c r="B236">
        <v>154.76</v>
      </c>
      <c r="C236">
        <v>154.94999999999999</v>
      </c>
      <c r="G236">
        <f t="shared" ref="G236:K236" si="251">SUMPRODUCT($B236:$B240,P$2:P$6)</f>
        <v>135.70407186673279</v>
      </c>
      <c r="H236">
        <f t="shared" si="251"/>
        <v>89.844650684823606</v>
      </c>
      <c r="I236">
        <f t="shared" si="251"/>
        <v>49.324247519647741</v>
      </c>
      <c r="J236">
        <f t="shared" si="251"/>
        <v>7.5093022631895261</v>
      </c>
      <c r="K236">
        <f t="shared" si="251"/>
        <v>7.4849566965535574</v>
      </c>
      <c r="L236">
        <f t="shared" si="208"/>
        <v>155.02056785079512</v>
      </c>
      <c r="M236">
        <f t="shared" si="209"/>
        <v>-0.47056785079510632</v>
      </c>
      <c r="N236">
        <f t="shared" si="210"/>
        <v>0.22143410220192544</v>
      </c>
    </row>
    <row r="237" spans="1:14" x14ac:dyDescent="0.45">
      <c r="A237" s="22">
        <v>42531</v>
      </c>
      <c r="B237">
        <v>153</v>
      </c>
      <c r="C237">
        <v>154.87</v>
      </c>
      <c r="G237">
        <f t="shared" ref="G237:K237" si="252">SUMPRODUCT($B237:$B241,P$2:P$6)</f>
        <v>134.16078612414927</v>
      </c>
      <c r="H237">
        <f t="shared" si="252"/>
        <v>88.822898088103955</v>
      </c>
      <c r="I237">
        <f t="shared" si="252"/>
        <v>48.763314537673523</v>
      </c>
      <c r="J237">
        <f t="shared" si="252"/>
        <v>7.4657577194163531</v>
      </c>
      <c r="K237">
        <f t="shared" si="252"/>
        <v>7.4383380248855628</v>
      </c>
      <c r="L237">
        <f t="shared" si="208"/>
        <v>153.29980312157531</v>
      </c>
      <c r="M237">
        <f t="shared" si="209"/>
        <v>1.4601968784246822</v>
      </c>
      <c r="N237">
        <f t="shared" si="210"/>
        <v>2.1321749237611858</v>
      </c>
    </row>
    <row r="238" spans="1:14" x14ac:dyDescent="0.45">
      <c r="A238" s="22">
        <v>42530</v>
      </c>
      <c r="B238">
        <v>153</v>
      </c>
      <c r="C238">
        <v>154.05000000000001</v>
      </c>
      <c r="G238">
        <f t="shared" ref="G238:K238" si="253">SUMPRODUCT($B238:$B242,P$2:P$6)</f>
        <v>134.16078492259348</v>
      </c>
      <c r="H238">
        <f t="shared" si="253"/>
        <v>88.822897849811994</v>
      </c>
      <c r="I238">
        <f t="shared" si="253"/>
        <v>48.763312146051071</v>
      </c>
      <c r="J238">
        <f t="shared" si="253"/>
        <v>7.4558554028435591</v>
      </c>
      <c r="K238">
        <f t="shared" si="253"/>
        <v>7.4308892504278266</v>
      </c>
      <c r="L238">
        <f t="shared" si="208"/>
        <v>153.29980153648361</v>
      </c>
      <c r="M238">
        <f t="shared" si="209"/>
        <v>-0.29980153648361352</v>
      </c>
      <c r="N238">
        <f t="shared" si="210"/>
        <v>8.9880961277935448E-2</v>
      </c>
    </row>
    <row r="239" spans="1:14" x14ac:dyDescent="0.45">
      <c r="A239" s="22">
        <v>42529</v>
      </c>
      <c r="B239">
        <v>152.68</v>
      </c>
      <c r="C239">
        <v>153.37</v>
      </c>
      <c r="G239">
        <f t="shared" ref="G239:K239" si="254">SUMPRODUCT($B239:$B243,P$2:P$6)</f>
        <v>133.88018713991221</v>
      </c>
      <c r="H239">
        <f t="shared" si="254"/>
        <v>88.637123523337635</v>
      </c>
      <c r="I239">
        <f t="shared" si="254"/>
        <v>48.661323394091191</v>
      </c>
      <c r="J239">
        <f t="shared" si="254"/>
        <v>7.4330602634633944</v>
      </c>
      <c r="K239">
        <f t="shared" si="254"/>
        <v>7.4051704966907002</v>
      </c>
      <c r="L239">
        <f t="shared" si="208"/>
        <v>152.98693417921282</v>
      </c>
      <c r="M239">
        <f t="shared" si="209"/>
        <v>1.3065820787176108E-2</v>
      </c>
      <c r="N239">
        <f t="shared" si="210"/>
        <v>1.707156728426033E-4</v>
      </c>
    </row>
    <row r="240" spans="1:14" x14ac:dyDescent="0.45">
      <c r="A240" s="22">
        <v>42528</v>
      </c>
      <c r="B240">
        <v>152.08000000000001</v>
      </c>
      <c r="C240">
        <v>152.62</v>
      </c>
      <c r="G240">
        <f t="shared" ref="G240:K240" si="255">SUMPRODUCT($B240:$B244,P$2:P$6)</f>
        <v>133.35406728152452</v>
      </c>
      <c r="H240">
        <f t="shared" si="255"/>
        <v>88.288798638484138</v>
      </c>
      <c r="I240">
        <f t="shared" si="255"/>
        <v>48.470095145137257</v>
      </c>
      <c r="J240">
        <f t="shared" si="255"/>
        <v>7.4048769776078194</v>
      </c>
      <c r="K240">
        <f t="shared" si="255"/>
        <v>7.383492920373838</v>
      </c>
      <c r="L240">
        <f t="shared" si="208"/>
        <v>152.40030968849729</v>
      </c>
      <c r="M240">
        <f t="shared" si="209"/>
        <v>0.27969031150271917</v>
      </c>
      <c r="N240">
        <f t="shared" si="210"/>
        <v>7.8226670348488084E-2</v>
      </c>
    </row>
    <row r="241" spans="1:14" x14ac:dyDescent="0.45">
      <c r="A241" s="22">
        <v>42527</v>
      </c>
      <c r="B241">
        <v>151.83000000000001</v>
      </c>
      <c r="C241">
        <v>152.24</v>
      </c>
      <c r="G241">
        <f t="shared" ref="G241:K241" si="256">SUMPRODUCT($B241:$B245,P$2:P$6)</f>
        <v>133.13484933777892</v>
      </c>
      <c r="H241">
        <f t="shared" si="256"/>
        <v>88.143663731445827</v>
      </c>
      <c r="I241">
        <f t="shared" si="256"/>
        <v>48.390414686865746</v>
      </c>
      <c r="J241">
        <f t="shared" si="256"/>
        <v>7.3718322811257364</v>
      </c>
      <c r="K241">
        <f t="shared" si="256"/>
        <v>7.3498159694861949</v>
      </c>
      <c r="L241">
        <f t="shared" si="208"/>
        <v>152.1558815651718</v>
      </c>
      <c r="M241">
        <f t="shared" si="209"/>
        <v>-7.5881565171783905E-2</v>
      </c>
      <c r="N241">
        <f t="shared" si="210"/>
        <v>5.7580119329196881E-3</v>
      </c>
    </row>
    <row r="242" spans="1:14" x14ac:dyDescent="0.45">
      <c r="A242" s="22">
        <v>42524</v>
      </c>
      <c r="B242">
        <v>150.30000000000001</v>
      </c>
      <c r="C242">
        <v>151.71</v>
      </c>
      <c r="G242">
        <f t="shared" ref="G242:K242" si="257">SUMPRODUCT($B242:$B246,P$2:P$6)</f>
        <v>131.793243511334</v>
      </c>
      <c r="H242">
        <f t="shared" si="257"/>
        <v>87.255435353166732</v>
      </c>
      <c r="I242">
        <f t="shared" si="257"/>
        <v>47.902786810778586</v>
      </c>
      <c r="J242">
        <f t="shared" si="257"/>
        <v>7.3332293130402331</v>
      </c>
      <c r="K242">
        <f t="shared" si="257"/>
        <v>7.3033272681694141</v>
      </c>
      <c r="L242">
        <f t="shared" si="208"/>
        <v>150.6599901016196</v>
      </c>
      <c r="M242">
        <f t="shared" si="209"/>
        <v>1.1700098983804139</v>
      </c>
      <c r="N242">
        <f t="shared" si="210"/>
        <v>1.3689231623081466</v>
      </c>
    </row>
    <row r="243" spans="1:14" x14ac:dyDescent="0.45">
      <c r="A243" s="22">
        <v>42523</v>
      </c>
      <c r="B243">
        <v>150.05000000000001</v>
      </c>
      <c r="C243">
        <v>151.51</v>
      </c>
      <c r="G243">
        <f t="shared" ref="G243:K243" si="258">SUMPRODUCT($B243:$B247,P$2:P$6)</f>
        <v>131.574026117616</v>
      </c>
      <c r="H243">
        <f t="shared" si="258"/>
        <v>87.110300570511399</v>
      </c>
      <c r="I243">
        <f t="shared" si="258"/>
        <v>47.823107191751845</v>
      </c>
      <c r="J243">
        <f t="shared" si="258"/>
        <v>7.3310946641016841</v>
      </c>
      <c r="K243">
        <f t="shared" si="258"/>
        <v>7.3077728506694237</v>
      </c>
      <c r="L243">
        <f t="shared" si="208"/>
        <v>150.41556264456636</v>
      </c>
      <c r="M243">
        <f t="shared" si="209"/>
        <v>-0.1155626445663529</v>
      </c>
      <c r="N243">
        <f t="shared" si="210"/>
        <v>1.3354724819169213E-2</v>
      </c>
    </row>
    <row r="244" spans="1:14" x14ac:dyDescent="0.45">
      <c r="A244" s="22">
        <v>42522</v>
      </c>
      <c r="B244">
        <v>150.5</v>
      </c>
      <c r="C244">
        <v>152.52000000000001</v>
      </c>
      <c r="G244">
        <f t="shared" ref="G244:K244" si="259">SUMPRODUCT($B244:$B248,P$2:P$6)</f>
        <v>131.96861131526032</v>
      </c>
      <c r="H244">
        <f t="shared" si="259"/>
        <v>87.371543089576292</v>
      </c>
      <c r="I244">
        <f t="shared" si="259"/>
        <v>47.966520916280352</v>
      </c>
      <c r="J244">
        <f t="shared" si="259"/>
        <v>7.3265218752243921</v>
      </c>
      <c r="K244">
        <f t="shared" si="259"/>
        <v>7.2967929324276426</v>
      </c>
      <c r="L244">
        <f t="shared" si="208"/>
        <v>150.85552520755374</v>
      </c>
      <c r="M244">
        <f t="shared" si="209"/>
        <v>-0.80552520755372825</v>
      </c>
      <c r="N244">
        <f t="shared" si="210"/>
        <v>0.64887086000447702</v>
      </c>
    </row>
    <row r="245" spans="1:14" x14ac:dyDescent="0.45">
      <c r="A245" s="22">
        <v>42521</v>
      </c>
      <c r="B245">
        <v>149.57</v>
      </c>
      <c r="C245">
        <v>148.77000000000001</v>
      </c>
      <c r="G245">
        <f t="shared" ref="G245:K245" si="260">SUMPRODUCT($B245:$B249,P$2:P$6)</f>
        <v>131.15312541455987</v>
      </c>
      <c r="H245">
        <f t="shared" si="260"/>
        <v>86.831634894691746</v>
      </c>
      <c r="I245">
        <f t="shared" si="260"/>
        <v>47.67011847785745</v>
      </c>
      <c r="J245">
        <f t="shared" si="260"/>
        <v>7.2950363846635788</v>
      </c>
      <c r="K245">
        <f t="shared" si="260"/>
        <v>7.2598113900812349</v>
      </c>
      <c r="L245">
        <f t="shared" si="208"/>
        <v>149.94625532342172</v>
      </c>
      <c r="M245">
        <f t="shared" si="209"/>
        <v>0.55374467657827608</v>
      </c>
      <c r="N245">
        <f t="shared" si="210"/>
        <v>0.30663316683877956</v>
      </c>
    </row>
    <row r="246" spans="1:14" x14ac:dyDescent="0.45">
      <c r="A246" s="22">
        <v>42517</v>
      </c>
      <c r="B246">
        <v>150.24</v>
      </c>
      <c r="C246">
        <v>149.08000000000001</v>
      </c>
      <c r="G246">
        <f t="shared" ref="G246:K246" si="261">SUMPRODUCT($B246:$B250,P$2:P$6)</f>
        <v>131.74062588720653</v>
      </c>
      <c r="H246">
        <f t="shared" si="261"/>
        <v>87.220596852870855</v>
      </c>
      <c r="I246">
        <f t="shared" si="261"/>
        <v>47.883648116884771</v>
      </c>
      <c r="J246">
        <f t="shared" si="261"/>
        <v>7.2488521465067155</v>
      </c>
      <c r="K246">
        <f t="shared" si="261"/>
        <v>7.2491625012658973</v>
      </c>
      <c r="L246">
        <f t="shared" si="208"/>
        <v>150.60131668658454</v>
      </c>
      <c r="M246">
        <f t="shared" si="209"/>
        <v>-1.031316686584546</v>
      </c>
      <c r="N246">
        <f t="shared" si="210"/>
        <v>1.0636141080277266</v>
      </c>
    </row>
    <row r="247" spans="1:14" x14ac:dyDescent="0.45">
      <c r="A247" s="22">
        <v>42516</v>
      </c>
      <c r="B247">
        <v>149.01</v>
      </c>
      <c r="C247">
        <v>149.71</v>
      </c>
      <c r="G247">
        <f t="shared" ref="G247:K247" si="262">SUMPRODUCT($B247:$B251,P$2:P$6)</f>
        <v>130.66207718926077</v>
      </c>
      <c r="H247">
        <f t="shared" si="262"/>
        <v>86.506531670124218</v>
      </c>
      <c r="I247">
        <f t="shared" si="262"/>
        <v>47.491626866645227</v>
      </c>
      <c r="J247">
        <f t="shared" si="262"/>
        <v>7.1091938317385663</v>
      </c>
      <c r="K247">
        <f t="shared" si="262"/>
        <v>7.0979773203000995</v>
      </c>
      <c r="L247">
        <f t="shared" si="208"/>
        <v>149.39873389222242</v>
      </c>
      <c r="M247">
        <f t="shared" si="209"/>
        <v>0.84126610777758515</v>
      </c>
      <c r="N247">
        <f t="shared" si="210"/>
        <v>0.70772866409524748</v>
      </c>
    </row>
    <row r="248" spans="1:14" x14ac:dyDescent="0.45">
      <c r="A248" s="22">
        <v>42515</v>
      </c>
      <c r="B248">
        <v>142.62</v>
      </c>
      <c r="C248">
        <v>144.54</v>
      </c>
      <c r="G248">
        <f>SUMPRODUCT($B248:$B252,P$2:P$6)</f>
        <v>125.05889812661418</v>
      </c>
      <c r="H248">
        <f>SUMPRODUCT($B248:$B252,Q$2:Q$6)</f>
        <v>82.796874816605097</v>
      </c>
      <c r="I248">
        <f>SUMPRODUCT($B248:$B252,R$2:R$6)</f>
        <v>45.455059669176933</v>
      </c>
      <c r="J248">
        <f>SUMPRODUCT($B248:$B252,S$2:S$6)</f>
        <v>6.9637790995474482</v>
      </c>
      <c r="K248">
        <f>SUMPRODUCT($B248:$B252,T$2:T$6)</f>
        <v>6.9369527299092875</v>
      </c>
      <c r="L248">
        <f>(G248+$P$7)*$U$2+(H248+$Q$7)*$U$3+(I248+$R$7)*$U$4+(J248+$S$7)*$U$5+(K248+$T$7)*$U$6+$U$7</f>
        <v>143.15118630729714</v>
      </c>
      <c r="M248">
        <f>B247-L248</f>
        <v>5.8588136927028529</v>
      </c>
      <c r="N248">
        <f>M248^2</f>
        <v>34.325697885802441</v>
      </c>
    </row>
    <row r="249" spans="1:14" x14ac:dyDescent="0.45">
      <c r="A249" s="22">
        <v>42514</v>
      </c>
      <c r="B249">
        <v>142.57</v>
      </c>
      <c r="C249">
        <v>142.57</v>
      </c>
    </row>
    <row r="250" spans="1:14" x14ac:dyDescent="0.45">
      <c r="A250" s="22">
        <v>42513</v>
      </c>
      <c r="B250">
        <v>142.84</v>
      </c>
      <c r="C250">
        <v>142.01</v>
      </c>
    </row>
    <row r="251" spans="1:14" x14ac:dyDescent="0.45">
      <c r="A251" s="22">
        <v>42510</v>
      </c>
      <c r="B251">
        <v>142.72999999999999</v>
      </c>
      <c r="C251">
        <v>142.69</v>
      </c>
    </row>
    <row r="252" spans="1:14" x14ac:dyDescent="0.45">
      <c r="A252" s="22">
        <v>42509</v>
      </c>
      <c r="B252">
        <v>142.44999999999999</v>
      </c>
      <c r="C252">
        <v>142.69999999999999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52"/>
  <sheetViews>
    <sheetView topLeftCell="E1"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22.14</v>
      </c>
      <c r="C2">
        <v>22.16</v>
      </c>
      <c r="G2">
        <f t="shared" ref="G2" si="0">SUMPRODUCT($B2:$B6,P$2:P$6)</f>
        <v>13.275306319465106</v>
      </c>
      <c r="H2">
        <f t="shared" ref="H2" si="1">SUMPRODUCT($B2:$B6,Q$2:Q$6)</f>
        <v>11.633161915400372</v>
      </c>
      <c r="I2">
        <f t="shared" ref="I2" si="2">SUMPRODUCT($B2:$B6,R$2:R$6)</f>
        <v>9.9057719579753236</v>
      </c>
      <c r="J2">
        <f t="shared" ref="J2" si="3">SUMPRODUCT($B2:$B6,S$2:S$6)</f>
        <v>7.7809148445190024</v>
      </c>
      <c r="K2">
        <f t="shared" ref="K2" si="4">SUMPRODUCT($B2:$B6,T$2:T$6)</f>
        <v>5.5457993061005393</v>
      </c>
      <c r="L2">
        <f t="shared" ref="L2" si="5">(G2+$P$7)*$U$2+(H2+$Q$7)*$U$3+(I2+$R$7)*$U$4+(J2+$S$7)*$U$5+(K2+$T$7)*$U$6+$U$7</f>
        <v>22.134319405604234</v>
      </c>
      <c r="P2">
        <v>0.57513601390975055</v>
      </c>
      <c r="Q2">
        <v>0.50372087365511575</v>
      </c>
      <c r="R2">
        <v>0.42879274606969076</v>
      </c>
      <c r="S2">
        <v>0.33615586093521244</v>
      </c>
      <c r="T2">
        <v>0.23878523961373904</v>
      </c>
      <c r="U2">
        <v>0.57140575280418904</v>
      </c>
      <c r="W2" t="s">
        <v>30</v>
      </c>
    </row>
    <row r="3" spans="1:23" x14ac:dyDescent="0.45">
      <c r="A3" s="22">
        <v>42871</v>
      </c>
      <c r="B3">
        <v>22.46</v>
      </c>
      <c r="C3">
        <v>22.65</v>
      </c>
      <c r="G3">
        <f t="shared" ref="G3:K3" si="6">SUMPRODUCT($B3:$B7,P$2:P$6)</f>
        <v>13.453457536776972</v>
      </c>
      <c r="H3">
        <f t="shared" si="6"/>
        <v>11.789123531572795</v>
      </c>
      <c r="I3">
        <f t="shared" si="6"/>
        <v>10.03847510972186</v>
      </c>
      <c r="J3">
        <f t="shared" si="6"/>
        <v>7.8848084724306675</v>
      </c>
      <c r="K3">
        <f t="shared" si="6"/>
        <v>5.6193994857829237</v>
      </c>
      <c r="L3">
        <f t="shared" ref="L3:L66" si="7">(G3+$P$7)*$U$2+(H3+$Q$7)*$U$3+(I3+$R$7)*$U$4+(J3+$S$7)*$U$5+(K3+$T$7)*$U$6+$U$7</f>
        <v>22.430258812501222</v>
      </c>
      <c r="M3">
        <f t="shared" ref="M3:M66" si="8">B2-L3</f>
        <v>-0.29025881250122154</v>
      </c>
      <c r="N3">
        <f t="shared" ref="N3:N66" si="9">M3^2</f>
        <v>8.4250178234619277E-2</v>
      </c>
      <c r="P3">
        <v>0</v>
      </c>
      <c r="Q3">
        <v>0</v>
      </c>
      <c r="R3">
        <v>4.3950621924622485E-7</v>
      </c>
      <c r="S3">
        <v>1.7780072860209168E-7</v>
      </c>
      <c r="T3">
        <v>0</v>
      </c>
      <c r="U3">
        <v>0.50598601324287062</v>
      </c>
      <c r="V3" t="s">
        <v>28</v>
      </c>
      <c r="W3">
        <f>SUM(N3:N252)</f>
        <v>78.722429802589758</v>
      </c>
    </row>
    <row r="4" spans="1:23" x14ac:dyDescent="0.45">
      <c r="A4" s="22">
        <v>42870</v>
      </c>
      <c r="B4">
        <v>22.74</v>
      </c>
      <c r="C4">
        <v>22.46</v>
      </c>
      <c r="G4">
        <f t="shared" ref="G4:K4" si="10">SUMPRODUCT($B4:$B8,P$2:P$6)</f>
        <v>13.614107715097688</v>
      </c>
      <c r="H4">
        <f t="shared" si="10"/>
        <v>11.929821396958122</v>
      </c>
      <c r="I4">
        <f t="shared" si="10"/>
        <v>10.158262878334087</v>
      </c>
      <c r="J4">
        <f t="shared" si="10"/>
        <v>7.9786864084845925</v>
      </c>
      <c r="K4">
        <f t="shared" si="10"/>
        <v>5.6860685785361555</v>
      </c>
      <c r="L4">
        <f t="shared" si="7"/>
        <v>22.697357543700534</v>
      </c>
      <c r="M4">
        <f t="shared" si="8"/>
        <v>-0.23735754370053286</v>
      </c>
      <c r="N4">
        <f t="shared" si="9"/>
        <v>5.6338603551550369E-2</v>
      </c>
      <c r="P4">
        <v>9.4320281543718836E-3</v>
      </c>
      <c r="Q4">
        <v>8.3706915412107979E-3</v>
      </c>
      <c r="R4">
        <v>7.2501314596632206E-3</v>
      </c>
      <c r="S4">
        <v>5.8801104302952673E-3</v>
      </c>
      <c r="T4">
        <v>4.4924526770581891E-3</v>
      </c>
      <c r="U4">
        <v>0.43833300647278889</v>
      </c>
      <c r="V4" t="s">
        <v>29</v>
      </c>
      <c r="W4">
        <f>MAX(N3:N252)</f>
        <v>15.033512698142728</v>
      </c>
    </row>
    <row r="5" spans="1:23" x14ac:dyDescent="0.45">
      <c r="A5" s="22">
        <v>42867</v>
      </c>
      <c r="B5">
        <v>22.27</v>
      </c>
      <c r="C5">
        <v>22.68</v>
      </c>
      <c r="G5">
        <f t="shared" ref="G5:K5" si="11">SUMPRODUCT($B5:$B9,P$2:P$6)</f>
        <v>13.341829108009978</v>
      </c>
      <c r="H5">
        <f t="shared" si="11"/>
        <v>11.691329130325105</v>
      </c>
      <c r="I5">
        <f t="shared" si="11"/>
        <v>9.955233183066337</v>
      </c>
      <c r="J5">
        <f t="shared" si="11"/>
        <v>7.8194663194214318</v>
      </c>
      <c r="K5">
        <f t="shared" si="11"/>
        <v>5.5729004966946158</v>
      </c>
      <c r="L5">
        <f t="shared" si="7"/>
        <v>22.244559223235857</v>
      </c>
      <c r="M5">
        <f t="shared" si="8"/>
        <v>0.49544077676414133</v>
      </c>
      <c r="N5">
        <f t="shared" si="9"/>
        <v>0.24546156328065571</v>
      </c>
      <c r="P5">
        <v>0</v>
      </c>
      <c r="Q5">
        <v>0</v>
      </c>
      <c r="R5">
        <v>0</v>
      </c>
      <c r="S5">
        <v>0</v>
      </c>
      <c r="T5">
        <v>9.5001327736871429E-8</v>
      </c>
      <c r="U5">
        <v>0.35596970347023421</v>
      </c>
    </row>
    <row r="6" spans="1:23" x14ac:dyDescent="0.45">
      <c r="A6" s="22">
        <v>42866</v>
      </c>
      <c r="B6">
        <v>22.43</v>
      </c>
      <c r="C6">
        <v>22.41</v>
      </c>
      <c r="G6">
        <f t="shared" ref="G6:K6" si="12">SUMPRODUCT($B6:$B10,P$2:P$6)</f>
        <v>13.428684721027382</v>
      </c>
      <c r="H6">
        <f t="shared" si="12"/>
        <v>11.767340216602888</v>
      </c>
      <c r="I6">
        <f t="shared" si="12"/>
        <v>10.019919123064149</v>
      </c>
      <c r="J6">
        <f t="shared" si="12"/>
        <v>7.870022682267221</v>
      </c>
      <c r="K6">
        <f t="shared" si="12"/>
        <v>5.6086330290574837</v>
      </c>
      <c r="L6">
        <f t="shared" si="7"/>
        <v>22.38874747850716</v>
      </c>
      <c r="M6">
        <f t="shared" si="8"/>
        <v>-0.11874747850716005</v>
      </c>
      <c r="N6">
        <f t="shared" si="9"/>
        <v>1.4100963651808438E-2</v>
      </c>
      <c r="P6">
        <v>1.4592539067000055E-2</v>
      </c>
      <c r="Q6">
        <v>1.2948383728442888E-2</v>
      </c>
      <c r="R6">
        <v>1.10308827146654E-2</v>
      </c>
      <c r="S6">
        <v>9.1264546956807621E-3</v>
      </c>
      <c r="T6">
        <v>6.9965943600751243E-3</v>
      </c>
      <c r="U6">
        <v>0.27278771278717417</v>
      </c>
    </row>
    <row r="7" spans="1:23" x14ac:dyDescent="0.45">
      <c r="A7" s="22">
        <v>42865</v>
      </c>
      <c r="B7">
        <v>22.33</v>
      </c>
      <c r="C7">
        <v>22.58</v>
      </c>
      <c r="G7">
        <f t="shared" ref="G7:K7" si="13">SUMPRODUCT($B7:$B11,P$2:P$6)</f>
        <v>13.369197549149572</v>
      </c>
      <c r="H7">
        <f t="shared" si="13"/>
        <v>11.715216826293929</v>
      </c>
      <c r="I7">
        <f t="shared" si="13"/>
        <v>9.9755395026748737</v>
      </c>
      <c r="J7">
        <f t="shared" si="13"/>
        <v>7.8351740844068729</v>
      </c>
      <c r="K7">
        <f t="shared" si="13"/>
        <v>5.5838103142659499</v>
      </c>
      <c r="L7">
        <f t="shared" si="7"/>
        <v>22.289753030747789</v>
      </c>
      <c r="M7">
        <f t="shared" si="8"/>
        <v>0.14024696925221036</v>
      </c>
      <c r="N7">
        <f t="shared" si="9"/>
        <v>1.9669212384430437E-2</v>
      </c>
      <c r="O7" t="s">
        <v>27</v>
      </c>
      <c r="P7">
        <v>6.8435480525002837E-7</v>
      </c>
      <c r="Q7">
        <v>6.3418577933043124E-7</v>
      </c>
      <c r="R7">
        <v>5.8228626767025502E-7</v>
      </c>
      <c r="S7">
        <v>5.1914086239969709E-7</v>
      </c>
      <c r="T7">
        <v>4.5519503009242418E-7</v>
      </c>
      <c r="U7">
        <v>3.7891847311507861E-2</v>
      </c>
    </row>
    <row r="8" spans="1:23" x14ac:dyDescent="0.45">
      <c r="A8" s="22">
        <v>42864</v>
      </c>
      <c r="B8">
        <v>22.2</v>
      </c>
      <c r="C8">
        <v>22.43</v>
      </c>
      <c r="G8">
        <f t="shared" ref="G8:K8" si="14">SUMPRODUCT($B8:$B12,P$2:P$6)</f>
        <v>13.296552832241062</v>
      </c>
      <c r="H8">
        <f t="shared" si="14"/>
        <v>11.65161650879574</v>
      </c>
      <c r="I8">
        <f t="shared" si="14"/>
        <v>9.9213687618949624</v>
      </c>
      <c r="J8">
        <f t="shared" si="14"/>
        <v>7.7928066457256824</v>
      </c>
      <c r="K8">
        <f t="shared" si="14"/>
        <v>5.5537941725384625</v>
      </c>
      <c r="L8">
        <f t="shared" si="7"/>
        <v>22.169048167601957</v>
      </c>
      <c r="M8">
        <f t="shared" si="8"/>
        <v>0.16095183239804101</v>
      </c>
      <c r="N8">
        <f t="shared" si="9"/>
        <v>2.5905492352287084E-2</v>
      </c>
    </row>
    <row r="9" spans="1:23" x14ac:dyDescent="0.45">
      <c r="A9" s="22">
        <v>42863</v>
      </c>
      <c r="B9">
        <v>22.13</v>
      </c>
      <c r="C9">
        <v>22.22</v>
      </c>
      <c r="G9">
        <f t="shared" ref="G9:K9" si="15">SUMPRODUCT($B9:$B13,P$2:P$6)</f>
        <v>13.254131100217457</v>
      </c>
      <c r="H9">
        <f t="shared" si="15"/>
        <v>11.614437330865613</v>
      </c>
      <c r="I9">
        <f t="shared" si="15"/>
        <v>9.8897078597277179</v>
      </c>
      <c r="J9">
        <f t="shared" si="15"/>
        <v>7.767925096592684</v>
      </c>
      <c r="K9">
        <f t="shared" si="15"/>
        <v>5.5360452219325849</v>
      </c>
      <c r="L9">
        <f t="shared" si="7"/>
        <v>22.098419210121723</v>
      </c>
      <c r="M9">
        <f t="shared" si="8"/>
        <v>0.10158078987827679</v>
      </c>
      <c r="N9">
        <f t="shared" si="9"/>
        <v>1.0318656872294621E-2</v>
      </c>
    </row>
    <row r="10" spans="1:23" x14ac:dyDescent="0.45">
      <c r="A10" s="22">
        <v>42860</v>
      </c>
      <c r="B10">
        <v>21.86</v>
      </c>
      <c r="C10">
        <v>22.12</v>
      </c>
      <c r="G10">
        <f t="shared" ref="G10:K10" si="16">SUMPRODUCT($B10:$B14,P$2:P$6)</f>
        <v>13.109304820395394</v>
      </c>
      <c r="H10">
        <f t="shared" si="16"/>
        <v>11.487714991973426</v>
      </c>
      <c r="I10">
        <f t="shared" si="16"/>
        <v>9.7818795709849109</v>
      </c>
      <c r="J10">
        <f t="shared" si="16"/>
        <v>7.6836991253706017</v>
      </c>
      <c r="K10">
        <f t="shared" si="16"/>
        <v>5.4765790466670516</v>
      </c>
      <c r="L10">
        <f t="shared" si="7"/>
        <v>21.858076675702549</v>
      </c>
      <c r="M10">
        <f t="shared" si="8"/>
        <v>0.27192332429745036</v>
      </c>
      <c r="N10">
        <f t="shared" si="9"/>
        <v>7.3942294296976366E-2</v>
      </c>
    </row>
    <row r="11" spans="1:23" x14ac:dyDescent="0.45">
      <c r="A11" s="22">
        <v>42859</v>
      </c>
      <c r="B11">
        <v>21.77</v>
      </c>
      <c r="C11">
        <v>21.78</v>
      </c>
      <c r="G11">
        <f t="shared" ref="G11:K11" si="17">SUMPRODUCT($B11:$B15,P$2:P$6)</f>
        <v>13.055818144265602</v>
      </c>
      <c r="H11">
        <f t="shared" si="17"/>
        <v>11.440849848082049</v>
      </c>
      <c r="I11">
        <f t="shared" si="17"/>
        <v>9.7419739996863814</v>
      </c>
      <c r="J11">
        <f t="shared" si="17"/>
        <v>7.6523683575621977</v>
      </c>
      <c r="K11">
        <f t="shared" si="17"/>
        <v>5.4542643071499537</v>
      </c>
      <c r="L11">
        <f t="shared" si="7"/>
        <v>21.769069054023095</v>
      </c>
      <c r="M11">
        <f t="shared" si="8"/>
        <v>9.0930945976904098E-2</v>
      </c>
      <c r="N11">
        <f t="shared" si="9"/>
        <v>8.2684369362546525E-3</v>
      </c>
    </row>
    <row r="12" spans="1:23" x14ac:dyDescent="0.45">
      <c r="A12" s="22">
        <v>42858</v>
      </c>
      <c r="B12">
        <v>22.09</v>
      </c>
      <c r="C12">
        <v>21.74</v>
      </c>
      <c r="G12">
        <f t="shared" ref="G12:K12" si="18">SUMPRODUCT($B12:$B16,P$2:P$6)</f>
        <v>13.244526077684782</v>
      </c>
      <c r="H12">
        <f t="shared" si="18"/>
        <v>11.60618009650042</v>
      </c>
      <c r="I12">
        <f t="shared" si="18"/>
        <v>9.8827748970904032</v>
      </c>
      <c r="J12">
        <f t="shared" si="18"/>
        <v>7.7628458088318952</v>
      </c>
      <c r="K12">
        <f t="shared" si="18"/>
        <v>5.5328967630479688</v>
      </c>
      <c r="L12">
        <f t="shared" si="7"/>
        <v>22.083046920081323</v>
      </c>
      <c r="M12">
        <f t="shared" si="8"/>
        <v>-0.31304692008132307</v>
      </c>
      <c r="N12">
        <f t="shared" si="9"/>
        <v>9.7998374172402272E-2</v>
      </c>
    </row>
    <row r="13" spans="1:23" x14ac:dyDescent="0.45">
      <c r="A13" s="22">
        <v>42857</v>
      </c>
      <c r="B13">
        <v>22</v>
      </c>
      <c r="C13">
        <v>22.06</v>
      </c>
      <c r="G13">
        <f t="shared" ref="G13:K13" si="19">SUMPRODUCT($B13:$B17,P$2:P$6)</f>
        <v>13.187236451460862</v>
      </c>
      <c r="H13">
        <f t="shared" si="19"/>
        <v>11.555940525911316</v>
      </c>
      <c r="I13">
        <f t="shared" si="19"/>
        <v>9.8399982660817358</v>
      </c>
      <c r="J13">
        <f t="shared" si="19"/>
        <v>7.7291360708037473</v>
      </c>
      <c r="K13">
        <f t="shared" si="19"/>
        <v>5.50875770128967</v>
      </c>
      <c r="L13">
        <f t="shared" si="7"/>
        <v>21.987555883878937</v>
      </c>
      <c r="M13">
        <f t="shared" si="8"/>
        <v>0.10244411612106319</v>
      </c>
      <c r="N13">
        <f t="shared" si="9"/>
        <v>1.0494796927825879E-2</v>
      </c>
    </row>
    <row r="14" spans="1:23" x14ac:dyDescent="0.45">
      <c r="A14" s="22">
        <v>42856</v>
      </c>
      <c r="B14">
        <v>22.51</v>
      </c>
      <c r="C14">
        <v>21.99</v>
      </c>
      <c r="G14">
        <f t="shared" ref="G14:K14" si="20">SUMPRODUCT($B14:$B18,P$2:P$6)</f>
        <v>13.473311154130462</v>
      </c>
      <c r="H14">
        <f t="shared" si="20"/>
        <v>11.806409756533077</v>
      </c>
      <c r="I14">
        <f t="shared" si="20"/>
        <v>10.053204906362124</v>
      </c>
      <c r="J14">
        <f t="shared" si="20"/>
        <v>7.8960447853074767</v>
      </c>
      <c r="K14">
        <f t="shared" si="20"/>
        <v>5.6270648854290179</v>
      </c>
      <c r="L14">
        <f t="shared" si="7"/>
        <v>22.462897241568626</v>
      </c>
      <c r="M14">
        <f t="shared" si="8"/>
        <v>-0.46289724156862633</v>
      </c>
      <c r="N14">
        <f t="shared" si="9"/>
        <v>0.2142738562518432</v>
      </c>
    </row>
    <row r="15" spans="1:23" x14ac:dyDescent="0.45">
      <c r="A15" s="22">
        <v>42853</v>
      </c>
      <c r="B15">
        <v>22.45</v>
      </c>
      <c r="C15">
        <v>22.42</v>
      </c>
      <c r="G15">
        <f t="shared" ref="G15:K15" si="21">SUMPRODUCT($B15:$B19,P$2:P$6)</f>
        <v>13.44172497013153</v>
      </c>
      <c r="H15">
        <f t="shared" si="21"/>
        <v>11.778778790155704</v>
      </c>
      <c r="I15">
        <f t="shared" si="21"/>
        <v>10.029645263246753</v>
      </c>
      <c r="J15">
        <f t="shared" si="21"/>
        <v>7.8777093052992413</v>
      </c>
      <c r="K15">
        <f t="shared" si="21"/>
        <v>5.6141488602225751</v>
      </c>
      <c r="L15">
        <f t="shared" si="7"/>
        <v>22.410490654249102</v>
      </c>
      <c r="M15">
        <f t="shared" si="8"/>
        <v>9.9509345750899314E-2</v>
      </c>
      <c r="N15">
        <f t="shared" si="9"/>
        <v>9.9021098917720235E-3</v>
      </c>
    </row>
    <row r="16" spans="1:23" x14ac:dyDescent="0.45">
      <c r="A16" s="22">
        <v>42852</v>
      </c>
      <c r="B16">
        <v>22.44</v>
      </c>
      <c r="C16">
        <v>22.57</v>
      </c>
      <c r="G16">
        <f t="shared" ref="G16:K16" si="22">SUMPRODUCT($B16:$B20,P$2:P$6)</f>
        <v>13.456451083392031</v>
      </c>
      <c r="H16">
        <f t="shared" si="22"/>
        <v>11.791911162576882</v>
      </c>
      <c r="I16">
        <f t="shared" si="22"/>
        <v>10.040777740207931</v>
      </c>
      <c r="J16">
        <f t="shared" si="22"/>
        <v>7.8871639342033681</v>
      </c>
      <c r="K16">
        <f t="shared" si="22"/>
        <v>5.6215938882145666</v>
      </c>
      <c r="L16">
        <f t="shared" si="7"/>
        <v>22.43582624254929</v>
      </c>
      <c r="M16">
        <f t="shared" si="8"/>
        <v>1.4173757450709701E-2</v>
      </c>
      <c r="N16">
        <f t="shared" si="9"/>
        <v>2.0089540027154877E-4</v>
      </c>
    </row>
    <row r="17" spans="1:14" x14ac:dyDescent="0.45">
      <c r="A17" s="22">
        <v>42851</v>
      </c>
      <c r="B17">
        <v>22.1</v>
      </c>
      <c r="C17">
        <v>22.39</v>
      </c>
      <c r="G17">
        <f t="shared" ref="G17:K17" si="23">SUMPRODUCT($B17:$B21,P$2:P$6)</f>
        <v>13.286463248306713</v>
      </c>
      <c r="H17">
        <f t="shared" si="23"/>
        <v>11.643325363899546</v>
      </c>
      <c r="I17">
        <f t="shared" si="23"/>
        <v>9.9143587528169519</v>
      </c>
      <c r="J17">
        <f t="shared" si="23"/>
        <v>7.7888476536933711</v>
      </c>
      <c r="K17">
        <f t="shared" si="23"/>
        <v>5.5526488599254549</v>
      </c>
      <c r="L17">
        <f t="shared" si="7"/>
        <v>22.154293291164748</v>
      </c>
      <c r="M17">
        <f t="shared" si="8"/>
        <v>0.28570670883525295</v>
      </c>
      <c r="N17">
        <f t="shared" si="9"/>
        <v>8.1628323473472014E-2</v>
      </c>
    </row>
    <row r="18" spans="1:14" x14ac:dyDescent="0.45">
      <c r="A18" s="22">
        <v>42850</v>
      </c>
      <c r="B18">
        <v>21.61</v>
      </c>
      <c r="C18">
        <v>22.13</v>
      </c>
      <c r="G18">
        <f t="shared" ref="G18:K18" si="24">SUMPRODUCT($B18:$B22,P$2:P$6)</f>
        <v>13.022912645385832</v>
      </c>
      <c r="H18">
        <f t="shared" si="24"/>
        <v>11.412712498981405</v>
      </c>
      <c r="I18">
        <f t="shared" si="24"/>
        <v>9.7182650415260898</v>
      </c>
      <c r="J18">
        <f t="shared" si="24"/>
        <v>7.6355228501089254</v>
      </c>
      <c r="K18">
        <f t="shared" si="24"/>
        <v>5.4443507749316371</v>
      </c>
      <c r="L18">
        <f t="shared" si="7"/>
        <v>21.716936358586484</v>
      </c>
      <c r="M18">
        <f t="shared" si="8"/>
        <v>0.38306364141351779</v>
      </c>
      <c r="N18">
        <f t="shared" si="9"/>
        <v>0.14673775337298414</v>
      </c>
    </row>
    <row r="19" spans="1:14" x14ac:dyDescent="0.45">
      <c r="A19" s="22">
        <v>42849</v>
      </c>
      <c r="B19">
        <v>22.03</v>
      </c>
      <c r="C19">
        <v>21.6</v>
      </c>
      <c r="G19">
        <f t="shared" ref="G19:K19" si="25">SUMPRODUCT($B19:$B23,P$2:P$6)</f>
        <v>13.27492696352032</v>
      </c>
      <c r="H19">
        <f t="shared" si="25"/>
        <v>11.633556277302718</v>
      </c>
      <c r="I19">
        <f t="shared" si="25"/>
        <v>9.9064415335348386</v>
      </c>
      <c r="J19">
        <f t="shared" si="25"/>
        <v>7.7832208318288423</v>
      </c>
      <c r="K19">
        <f t="shared" si="25"/>
        <v>5.549610236185222</v>
      </c>
      <c r="L19">
        <f t="shared" si="7"/>
        <v>22.136456114630114</v>
      </c>
      <c r="M19">
        <f t="shared" si="8"/>
        <v>-0.52645611463011477</v>
      </c>
      <c r="N19">
        <f t="shared" si="9"/>
        <v>0.27715604063143656</v>
      </c>
    </row>
    <row r="20" spans="1:14" x14ac:dyDescent="0.45">
      <c r="A20" s="22">
        <v>42846</v>
      </c>
      <c r="B20">
        <v>23.75</v>
      </c>
      <c r="C20">
        <v>21.79</v>
      </c>
      <c r="G20">
        <f t="shared" ref="G20:K20" si="26">SUMPRODUCT($B20:$B24,P$2:P$6)</f>
        <v>14.264897689824023</v>
      </c>
      <c r="H20">
        <f t="shared" si="26"/>
        <v>12.50061014145615</v>
      </c>
      <c r="I20">
        <f t="shared" si="26"/>
        <v>10.64453949033968</v>
      </c>
      <c r="J20">
        <f t="shared" si="26"/>
        <v>8.3618673330548994</v>
      </c>
      <c r="K20">
        <f t="shared" si="26"/>
        <v>5.9606699051209189</v>
      </c>
      <c r="L20">
        <f t="shared" si="7"/>
        <v>23.782493557578849</v>
      </c>
      <c r="M20">
        <f t="shared" si="8"/>
        <v>-1.7524935575788483</v>
      </c>
      <c r="N20">
        <f t="shared" si="9"/>
        <v>3.0712336693553679</v>
      </c>
    </row>
    <row r="21" spans="1:14" x14ac:dyDescent="0.45">
      <c r="A21" s="22">
        <v>42845</v>
      </c>
      <c r="B21">
        <v>25.23</v>
      </c>
      <c r="C21">
        <v>25.21</v>
      </c>
      <c r="G21">
        <f t="shared" ref="G21:K21" si="27">SUMPRODUCT($B21:$B25,P$2:P$6)</f>
        <v>15.123320454046953</v>
      </c>
      <c r="H21">
        <f t="shared" si="27"/>
        <v>13.252524517919317</v>
      </c>
      <c r="I21">
        <f t="shared" si="27"/>
        <v>11.284582858267905</v>
      </c>
      <c r="J21">
        <f t="shared" si="27"/>
        <v>8.8638990011800374</v>
      </c>
      <c r="K21">
        <f t="shared" si="27"/>
        <v>6.3175416536407552</v>
      </c>
      <c r="L21">
        <f t="shared" si="7"/>
        <v>25.210069846849709</v>
      </c>
      <c r="M21">
        <f t="shared" si="8"/>
        <v>-1.4600698468497093</v>
      </c>
      <c r="N21">
        <f t="shared" si="9"/>
        <v>2.1318039576797334</v>
      </c>
    </row>
    <row r="22" spans="1:14" x14ac:dyDescent="0.45">
      <c r="A22" s="22">
        <v>42844</v>
      </c>
      <c r="B22">
        <v>25.37</v>
      </c>
      <c r="C22">
        <v>25.11</v>
      </c>
      <c r="G22">
        <f t="shared" ref="G22:K22" si="28">SUMPRODUCT($B22:$B26,P$2:P$6)</f>
        <v>15.202586662524123</v>
      </c>
      <c r="H22">
        <f t="shared" si="28"/>
        <v>13.32193370954568</v>
      </c>
      <c r="I22">
        <f t="shared" si="28"/>
        <v>11.343661879014903</v>
      </c>
      <c r="J22">
        <f t="shared" si="28"/>
        <v>8.910177987339841</v>
      </c>
      <c r="K22">
        <f t="shared" si="28"/>
        <v>6.3503721551688548</v>
      </c>
      <c r="L22">
        <f t="shared" si="7"/>
        <v>25.341809053715188</v>
      </c>
      <c r="M22">
        <f t="shared" si="8"/>
        <v>-0.1118090537151879</v>
      </c>
      <c r="N22">
        <f t="shared" si="9"/>
        <v>1.2501264492685774E-2</v>
      </c>
    </row>
    <row r="23" spans="1:14" x14ac:dyDescent="0.45">
      <c r="A23" s="22">
        <v>42843</v>
      </c>
      <c r="B23">
        <v>25.13</v>
      </c>
      <c r="C23">
        <v>25.24</v>
      </c>
      <c r="G23">
        <f t="shared" ref="G23:K23" si="29">SUMPRODUCT($B23:$B27,P$2:P$6)</f>
        <v>15.066453001156695</v>
      </c>
      <c r="H23">
        <f t="shared" si="29"/>
        <v>13.202726618088988</v>
      </c>
      <c r="I23">
        <f t="shared" si="29"/>
        <v>11.242265231839456</v>
      </c>
      <c r="J23">
        <f t="shared" si="29"/>
        <v>8.8306759735213038</v>
      </c>
      <c r="K23">
        <f t="shared" si="29"/>
        <v>6.293954773837144</v>
      </c>
      <c r="L23">
        <f t="shared" si="7"/>
        <v>25.115568601601229</v>
      </c>
      <c r="M23">
        <f t="shared" si="8"/>
        <v>0.25443139839877205</v>
      </c>
      <c r="N23">
        <f t="shared" si="9"/>
        <v>6.4735336491154663E-2</v>
      </c>
    </row>
    <row r="24" spans="1:14" x14ac:dyDescent="0.45">
      <c r="A24" s="22">
        <v>42842</v>
      </c>
      <c r="B24">
        <v>25.09</v>
      </c>
      <c r="C24">
        <v>25.24</v>
      </c>
      <c r="G24">
        <f t="shared" ref="G24:K24" si="30">SUMPRODUCT($B24:$B28,P$2:P$6)</f>
        <v>15.036023145549553</v>
      </c>
      <c r="H24">
        <f t="shared" si="30"/>
        <v>13.175989801297943</v>
      </c>
      <c r="I24">
        <f t="shared" si="30"/>
        <v>11.219494284912239</v>
      </c>
      <c r="J24">
        <f t="shared" si="30"/>
        <v>8.8125876143215809</v>
      </c>
      <c r="K24">
        <f t="shared" si="30"/>
        <v>6.2808453901923498</v>
      </c>
      <c r="L24">
        <f t="shared" si="7"/>
        <v>25.064656107447455</v>
      </c>
      <c r="M24">
        <f t="shared" si="8"/>
        <v>6.5343892552544247E-2</v>
      </c>
      <c r="N24">
        <f t="shared" si="9"/>
        <v>4.2698242939184479E-3</v>
      </c>
    </row>
    <row r="25" spans="1:14" x14ac:dyDescent="0.45">
      <c r="A25" s="22">
        <v>42838</v>
      </c>
      <c r="B25">
        <v>25.74</v>
      </c>
      <c r="C25">
        <v>25.01</v>
      </c>
      <c r="G25">
        <f t="shared" ref="G25:K25" si="31">SUMPRODUCT($B25:$B29,P$2:P$6)</f>
        <v>15.413401058224931</v>
      </c>
      <c r="H25">
        <f t="shared" si="31"/>
        <v>13.506548673630048</v>
      </c>
      <c r="I25">
        <f t="shared" si="31"/>
        <v>11.500850284931166</v>
      </c>
      <c r="J25">
        <f t="shared" si="31"/>
        <v>9.0333080567557822</v>
      </c>
      <c r="K25">
        <f t="shared" si="31"/>
        <v>6.4377614755891415</v>
      </c>
      <c r="L25">
        <f t="shared" si="7"/>
        <v>25.692252375540274</v>
      </c>
      <c r="M25">
        <f t="shared" si="8"/>
        <v>-0.60225237554027444</v>
      </c>
      <c r="N25">
        <f t="shared" si="9"/>
        <v>0.36270792384390377</v>
      </c>
    </row>
    <row r="26" spans="1:14" x14ac:dyDescent="0.45">
      <c r="A26" s="22">
        <v>42837</v>
      </c>
      <c r="B26">
        <v>25.68</v>
      </c>
      <c r="C26">
        <v>25.73</v>
      </c>
      <c r="G26">
        <f t="shared" ref="G26:K26" si="32">SUMPRODUCT($B26:$B30,P$2:P$6)</f>
        <v>15.371687261735064</v>
      </c>
      <c r="H26">
        <f t="shared" si="32"/>
        <v>13.469931003277967</v>
      </c>
      <c r="I26">
        <f t="shared" si="32"/>
        <v>11.469619163208355</v>
      </c>
      <c r="J26">
        <f t="shared" si="32"/>
        <v>9.0086409752430416</v>
      </c>
      <c r="K26">
        <f t="shared" si="32"/>
        <v>6.4199935963762567</v>
      </c>
      <c r="L26">
        <f t="shared" si="7"/>
        <v>25.622571618915561</v>
      </c>
      <c r="M26">
        <f t="shared" si="8"/>
        <v>0.11742838108443721</v>
      </c>
      <c r="N26">
        <f t="shared" si="9"/>
        <v>1.378942468411181E-2</v>
      </c>
    </row>
    <row r="27" spans="1:14" x14ac:dyDescent="0.45">
      <c r="A27" s="22">
        <v>42836</v>
      </c>
      <c r="B27">
        <v>25.39</v>
      </c>
      <c r="C27">
        <v>25.73</v>
      </c>
      <c r="G27">
        <f t="shared" ref="G27:K27" si="33">SUMPRODUCT($B27:$B31,P$2:P$6)</f>
        <v>15.206618783556895</v>
      </c>
      <c r="H27">
        <f t="shared" si="33"/>
        <v>13.325379605884155</v>
      </c>
      <c r="I27">
        <f t="shared" si="33"/>
        <v>11.346621675573529</v>
      </c>
      <c r="J27">
        <f t="shared" si="33"/>
        <v>8.9122239067392055</v>
      </c>
      <c r="K27">
        <f t="shared" si="33"/>
        <v>6.3515581583915433</v>
      </c>
      <c r="L27">
        <f t="shared" si="7"/>
        <v>25.348205795172152</v>
      </c>
      <c r="M27">
        <f t="shared" si="8"/>
        <v>0.33179420482784749</v>
      </c>
      <c r="N27">
        <f t="shared" si="9"/>
        <v>0.11008739435734362</v>
      </c>
    </row>
    <row r="28" spans="1:14" x14ac:dyDescent="0.45">
      <c r="A28" s="22">
        <v>42835</v>
      </c>
      <c r="B28">
        <v>24.92</v>
      </c>
      <c r="C28">
        <v>25.39</v>
      </c>
      <c r="G28">
        <f t="shared" ref="G28:K28" si="34">SUMPRODUCT($B28:$B32,P$2:P$6)</f>
        <v>14.941371265031473</v>
      </c>
      <c r="H28">
        <f t="shared" si="34"/>
        <v>13.093126104225789</v>
      </c>
      <c r="I28">
        <f t="shared" si="34"/>
        <v>11.148896263807005</v>
      </c>
      <c r="J28">
        <f t="shared" si="34"/>
        <v>8.7574029412791834</v>
      </c>
      <c r="K28">
        <f t="shared" si="34"/>
        <v>6.2417639139134682</v>
      </c>
      <c r="L28">
        <f t="shared" si="7"/>
        <v>24.907393145614037</v>
      </c>
      <c r="M28">
        <f t="shared" si="8"/>
        <v>0.4826068543859634</v>
      </c>
      <c r="N28">
        <f t="shared" si="9"/>
        <v>0.23290937590031449</v>
      </c>
    </row>
    <row r="29" spans="1:14" x14ac:dyDescent="0.45">
      <c r="A29" s="22">
        <v>42832</v>
      </c>
      <c r="B29">
        <v>25.35</v>
      </c>
      <c r="C29">
        <v>24.92</v>
      </c>
      <c r="G29">
        <f t="shared" ref="G29:K29" si="35">SUMPRODUCT($B29:$B33,P$2:P$6)</f>
        <v>15.189797283540026</v>
      </c>
      <c r="H29">
        <f t="shared" si="35"/>
        <v>13.310717478322015</v>
      </c>
      <c r="I29">
        <f t="shared" si="35"/>
        <v>11.334102598965885</v>
      </c>
      <c r="J29">
        <f t="shared" si="35"/>
        <v>8.9026518718755607</v>
      </c>
      <c r="K29">
        <f t="shared" si="35"/>
        <v>6.3449822061544845</v>
      </c>
      <c r="L29">
        <f t="shared" si="7"/>
        <v>25.320486343951032</v>
      </c>
      <c r="M29">
        <f t="shared" si="8"/>
        <v>-0.40048634395103022</v>
      </c>
      <c r="N29">
        <f t="shared" si="9"/>
        <v>0.16038931169126289</v>
      </c>
    </row>
    <row r="30" spans="1:14" x14ac:dyDescent="0.45">
      <c r="A30" s="22">
        <v>42831</v>
      </c>
      <c r="B30">
        <v>25.16</v>
      </c>
      <c r="C30">
        <v>25.33</v>
      </c>
      <c r="G30">
        <f t="shared" ref="G30:K30" si="36">SUMPRODUCT($B30:$B34,P$2:P$6)</f>
        <v>15.081744135534986</v>
      </c>
      <c r="H30">
        <f t="shared" si="36"/>
        <v>13.216096092931652</v>
      </c>
      <c r="I30">
        <f t="shared" si="36"/>
        <v>11.253612674480463</v>
      </c>
      <c r="J30">
        <f t="shared" si="36"/>
        <v>8.8395380617189421</v>
      </c>
      <c r="K30">
        <f t="shared" si="36"/>
        <v>6.3001852297271128</v>
      </c>
      <c r="L30">
        <f t="shared" si="7"/>
        <v>25.140898996394974</v>
      </c>
      <c r="M30">
        <f t="shared" si="8"/>
        <v>0.20910100360502781</v>
      </c>
      <c r="N30">
        <f t="shared" si="9"/>
        <v>4.3723229708629852E-2</v>
      </c>
    </row>
    <row r="31" spans="1:14" x14ac:dyDescent="0.45">
      <c r="A31" s="22">
        <v>42830</v>
      </c>
      <c r="B31">
        <v>25</v>
      </c>
      <c r="C31">
        <v>25.14</v>
      </c>
      <c r="G31">
        <f t="shared" ref="G31:K31" si="37">SUMPRODUCT($B31:$B35,P$2:P$6)</f>
        <v>14.990252735251854</v>
      </c>
      <c r="H31">
        <f t="shared" si="37"/>
        <v>13.135971606925978</v>
      </c>
      <c r="I31">
        <f t="shared" si="37"/>
        <v>11.185428594722802</v>
      </c>
      <c r="J31">
        <f t="shared" si="37"/>
        <v>8.7860815110374499</v>
      </c>
      <c r="K31">
        <f t="shared" si="37"/>
        <v>6.2622284844216871</v>
      </c>
      <c r="L31">
        <f t="shared" si="7"/>
        <v>24.988808035798833</v>
      </c>
      <c r="M31">
        <f t="shared" si="8"/>
        <v>0.17119196420116722</v>
      </c>
      <c r="N31">
        <f t="shared" si="9"/>
        <v>2.9306688607053721E-2</v>
      </c>
    </row>
    <row r="32" spans="1:14" x14ac:dyDescent="0.45">
      <c r="A32" s="22">
        <v>42829</v>
      </c>
      <c r="B32">
        <v>25.47</v>
      </c>
      <c r="C32">
        <v>24.97</v>
      </c>
      <c r="G32">
        <f t="shared" ref="G32:K32" si="38">SUMPRODUCT($B32:$B36,P$2:P$6)</f>
        <v>15.258929391767484</v>
      </c>
      <c r="H32">
        <f t="shared" si="38"/>
        <v>13.371267316916668</v>
      </c>
      <c r="I32">
        <f t="shared" si="38"/>
        <v>11.38569716204699</v>
      </c>
      <c r="J32">
        <f t="shared" si="38"/>
        <v>8.9430549670273347</v>
      </c>
      <c r="K32">
        <f t="shared" si="38"/>
        <v>6.3736790976818876</v>
      </c>
      <c r="L32">
        <f t="shared" si="7"/>
        <v>25.435452236886004</v>
      </c>
      <c r="M32">
        <f t="shared" si="8"/>
        <v>-0.43545223688600387</v>
      </c>
      <c r="N32">
        <f t="shared" si="9"/>
        <v>0.18961865060902444</v>
      </c>
    </row>
    <row r="33" spans="1:14" x14ac:dyDescent="0.45">
      <c r="A33" s="22">
        <v>42828</v>
      </c>
      <c r="B33">
        <v>25.65</v>
      </c>
      <c r="C33">
        <v>25.54</v>
      </c>
      <c r="G33">
        <f t="shared" ref="G33:K33" si="39">SUMPRODUCT($B33:$B37,P$2:P$6)</f>
        <v>15.356883774126779</v>
      </c>
      <c r="H33">
        <f t="shared" si="39"/>
        <v>13.456994452220906</v>
      </c>
      <c r="I33">
        <f t="shared" si="39"/>
        <v>11.458659557835553</v>
      </c>
      <c r="J33">
        <f t="shared" si="39"/>
        <v>9.0000808439955158</v>
      </c>
      <c r="K33">
        <f t="shared" si="39"/>
        <v>6.4139921713094115</v>
      </c>
      <c r="L33">
        <f t="shared" si="7"/>
        <v>25.598078887868034</v>
      </c>
      <c r="M33">
        <f t="shared" si="8"/>
        <v>-0.12807888786803545</v>
      </c>
      <c r="N33">
        <f t="shared" si="9"/>
        <v>1.64042015175128E-2</v>
      </c>
    </row>
    <row r="34" spans="1:14" x14ac:dyDescent="0.45">
      <c r="A34" s="22">
        <v>42825</v>
      </c>
      <c r="B34">
        <v>25.43</v>
      </c>
      <c r="C34">
        <v>25.61</v>
      </c>
      <c r="G34">
        <f t="shared" ref="G34:K34" si="40">SUMPRODUCT($B34:$B38,P$2:P$6)</f>
        <v>15.230344961129926</v>
      </c>
      <c r="H34">
        <f t="shared" si="40"/>
        <v>13.34616801308845</v>
      </c>
      <c r="I34">
        <f t="shared" si="40"/>
        <v>11.364322004829221</v>
      </c>
      <c r="J34">
        <f t="shared" si="40"/>
        <v>8.9261204145847053</v>
      </c>
      <c r="K34">
        <f t="shared" si="40"/>
        <v>6.3614542289370615</v>
      </c>
      <c r="L34">
        <f t="shared" si="7"/>
        <v>25.38768661357734</v>
      </c>
      <c r="M34">
        <f t="shared" si="8"/>
        <v>0.26231338642265811</v>
      </c>
      <c r="N34">
        <f t="shared" si="9"/>
        <v>6.8808312696522753E-2</v>
      </c>
    </row>
    <row r="35" spans="1:14" x14ac:dyDescent="0.45">
      <c r="A35" s="22">
        <v>42824</v>
      </c>
      <c r="B35">
        <v>25.35</v>
      </c>
      <c r="C35">
        <v>25.4</v>
      </c>
      <c r="G35">
        <f t="shared" ref="G35:K35" si="41">SUMPRODUCT($B35:$B39,P$2:P$6)</f>
        <v>15.182388913851565</v>
      </c>
      <c r="H35">
        <f t="shared" si="41"/>
        <v>13.304143885685717</v>
      </c>
      <c r="I35">
        <f t="shared" si="41"/>
        <v>11.328508525564317</v>
      </c>
      <c r="J35">
        <f t="shared" si="41"/>
        <v>8.89801763097757</v>
      </c>
      <c r="K35">
        <f t="shared" si="41"/>
        <v>6.3414286260333128</v>
      </c>
      <c r="L35">
        <f t="shared" si="7"/>
        <v>25.30785592359716</v>
      </c>
      <c r="M35">
        <f t="shared" si="8"/>
        <v>0.12214407640284008</v>
      </c>
      <c r="N35">
        <f t="shared" si="9"/>
        <v>1.4919175400302836E-2</v>
      </c>
    </row>
    <row r="36" spans="1:14" x14ac:dyDescent="0.45">
      <c r="A36" s="22">
        <v>42823</v>
      </c>
      <c r="B36">
        <v>25.38</v>
      </c>
      <c r="C36">
        <v>25.36</v>
      </c>
      <c r="G36">
        <f t="shared" ref="G36:K36" si="42">SUMPRODUCT($B36:$B40,P$2:P$6)</f>
        <v>15.198432875971079</v>
      </c>
      <c r="H36">
        <f t="shared" si="42"/>
        <v>13.318181711203554</v>
      </c>
      <c r="I36">
        <f t="shared" si="42"/>
        <v>11.340454998490136</v>
      </c>
      <c r="J36">
        <f t="shared" si="42"/>
        <v>8.9073457940940806</v>
      </c>
      <c r="K36">
        <f t="shared" si="42"/>
        <v>6.3480125801630845</v>
      </c>
      <c r="L36">
        <f t="shared" si="7"/>
        <v>25.334479577859376</v>
      </c>
      <c r="M36">
        <f t="shared" si="8"/>
        <v>1.5520422140625101E-2</v>
      </c>
      <c r="N36">
        <f t="shared" si="9"/>
        <v>2.4088350342320585E-4</v>
      </c>
    </row>
    <row r="37" spans="1:14" x14ac:dyDescent="0.45">
      <c r="A37" s="22">
        <v>42822</v>
      </c>
      <c r="B37">
        <v>25.05</v>
      </c>
      <c r="C37">
        <v>25.44</v>
      </c>
      <c r="G37">
        <f t="shared" ref="G37:K37" si="43">SUMPRODUCT($B37:$B41,P$2:P$6)</f>
        <v>15.008225150507851</v>
      </c>
      <c r="H37">
        <f t="shared" si="43"/>
        <v>13.151587607522389</v>
      </c>
      <c r="I37">
        <f t="shared" si="43"/>
        <v>11.198650923396611</v>
      </c>
      <c r="J37">
        <f t="shared" si="43"/>
        <v>8.7961546488882139</v>
      </c>
      <c r="K37">
        <f t="shared" si="43"/>
        <v>6.2690131131058155</v>
      </c>
      <c r="L37">
        <f t="shared" si="7"/>
        <v>25.018211333467239</v>
      </c>
      <c r="M37">
        <f t="shared" si="8"/>
        <v>0.36178866653276032</v>
      </c>
      <c r="N37">
        <f t="shared" si="9"/>
        <v>0.13089103923155285</v>
      </c>
    </row>
    <row r="38" spans="1:14" x14ac:dyDescent="0.45">
      <c r="A38" s="22">
        <v>42821</v>
      </c>
      <c r="B38">
        <v>25.03</v>
      </c>
      <c r="C38">
        <v>25.16</v>
      </c>
      <c r="G38">
        <f t="shared" ref="G38:K38" si="44">SUMPRODUCT($B38:$B42,P$2:P$6)</f>
        <v>15.003650308573691</v>
      </c>
      <c r="H38">
        <f t="shared" si="44"/>
        <v>13.147660401180191</v>
      </c>
      <c r="I38">
        <f t="shared" si="44"/>
        <v>11.195303653445167</v>
      </c>
      <c r="J38">
        <f t="shared" si="44"/>
        <v>8.7937656946052005</v>
      </c>
      <c r="K38">
        <f t="shared" si="44"/>
        <v>6.2675611580932804</v>
      </c>
      <c r="L38">
        <f t="shared" si="7"/>
        <v>25.010896441251656</v>
      </c>
      <c r="M38">
        <f t="shared" si="8"/>
        <v>3.9103558748344369E-2</v>
      </c>
      <c r="N38">
        <f t="shared" si="9"/>
        <v>1.5290883067852195E-3</v>
      </c>
    </row>
    <row r="39" spans="1:14" x14ac:dyDescent="0.45">
      <c r="A39" s="22">
        <v>42818</v>
      </c>
      <c r="B39">
        <v>25.11</v>
      </c>
      <c r="C39">
        <v>25.16</v>
      </c>
      <c r="G39">
        <f t="shared" ref="G39:K39" si="45">SUMPRODUCT($B39:$B43,P$2:P$6)</f>
        <v>15.051387359075509</v>
      </c>
      <c r="H39">
        <f t="shared" si="45"/>
        <v>13.189489640983139</v>
      </c>
      <c r="I39">
        <f t="shared" si="45"/>
        <v>11.230902281910026</v>
      </c>
      <c r="J39">
        <f t="shared" si="45"/>
        <v>8.8217392394978091</v>
      </c>
      <c r="K39">
        <f t="shared" si="45"/>
        <v>6.2874940514901176</v>
      </c>
      <c r="L39">
        <f t="shared" si="7"/>
        <v>25.090337913535869</v>
      </c>
      <c r="M39">
        <f t="shared" si="8"/>
        <v>-6.0337913535867926E-2</v>
      </c>
      <c r="N39">
        <f t="shared" si="9"/>
        <v>3.6406638098618739E-3</v>
      </c>
    </row>
    <row r="40" spans="1:14" x14ac:dyDescent="0.45">
      <c r="A40" s="22">
        <v>42817</v>
      </c>
      <c r="B40">
        <v>25.04</v>
      </c>
      <c r="C40">
        <v>25.08</v>
      </c>
      <c r="G40">
        <f t="shared" ref="G40:K40" si="46">SUMPRODUCT($B40:$B44,P$2:P$6)</f>
        <v>15.01471916422607</v>
      </c>
      <c r="H40">
        <f t="shared" si="46"/>
        <v>13.15741658489315</v>
      </c>
      <c r="I40">
        <f t="shared" si="46"/>
        <v>11.203664043439357</v>
      </c>
      <c r="J40">
        <f t="shared" si="46"/>
        <v>8.8004445915094305</v>
      </c>
      <c r="K40">
        <f t="shared" si="46"/>
        <v>6.2724854827670447</v>
      </c>
      <c r="L40">
        <f t="shared" si="7"/>
        <v>25.029543156646493</v>
      </c>
      <c r="M40">
        <f t="shared" si="8"/>
        <v>8.0456843353506002E-2</v>
      </c>
      <c r="N40">
        <f t="shared" si="9"/>
        <v>6.4733036424106027E-3</v>
      </c>
    </row>
    <row r="41" spans="1:14" x14ac:dyDescent="0.45">
      <c r="A41" s="22">
        <v>42816</v>
      </c>
      <c r="B41">
        <v>24.96</v>
      </c>
      <c r="C41">
        <v>25.06</v>
      </c>
      <c r="G41">
        <f t="shared" ref="G41:K41" si="47">SUMPRODUCT($B41:$B45,P$2:P$6)</f>
        <v>14.970749504071545</v>
      </c>
      <c r="H41">
        <f t="shared" si="47"/>
        <v>13.1189303840746</v>
      </c>
      <c r="I41">
        <f t="shared" si="47"/>
        <v>11.170924301126597</v>
      </c>
      <c r="J41">
        <f t="shared" si="47"/>
        <v>8.7748256275050132</v>
      </c>
      <c r="K41">
        <f t="shared" si="47"/>
        <v>6.2543562698337283</v>
      </c>
      <c r="L41">
        <f t="shared" si="7"/>
        <v>24.95652924933864</v>
      </c>
      <c r="M41">
        <f t="shared" si="8"/>
        <v>8.3470750661359006E-2</v>
      </c>
      <c r="N41">
        <f t="shared" si="9"/>
        <v>6.9673662159707647E-3</v>
      </c>
    </row>
    <row r="42" spans="1:14" x14ac:dyDescent="0.45">
      <c r="A42" s="22">
        <v>42815</v>
      </c>
      <c r="B42">
        <v>25.48</v>
      </c>
      <c r="C42">
        <v>24.96</v>
      </c>
      <c r="G42">
        <f t="shared" ref="G42:K42" si="48">SUMPRODUCT($B42:$B46,P$2:P$6)</f>
        <v>15.264301736269282</v>
      </c>
      <c r="H42">
        <f t="shared" si="48"/>
        <v>13.375968393343449</v>
      </c>
      <c r="I42">
        <f t="shared" si="48"/>
        <v>11.389714209498832</v>
      </c>
      <c r="J42">
        <f t="shared" si="48"/>
        <v>8.9461770299761021</v>
      </c>
      <c r="K42">
        <f t="shared" si="48"/>
        <v>6.3758813663467535</v>
      </c>
      <c r="L42">
        <f t="shared" si="7"/>
        <v>25.44437362050034</v>
      </c>
      <c r="M42">
        <f t="shared" si="8"/>
        <v>-0.48437362050033883</v>
      </c>
      <c r="N42">
        <f t="shared" si="9"/>
        <v>0.23461780423660625</v>
      </c>
    </row>
    <row r="43" spans="1:14" x14ac:dyDescent="0.45">
      <c r="A43" s="22">
        <v>42814</v>
      </c>
      <c r="B43">
        <v>25.65</v>
      </c>
      <c r="C43">
        <v>25.31</v>
      </c>
      <c r="G43">
        <f t="shared" ref="G43:K43" si="49">SUMPRODUCT($B43:$B47,P$2:P$6)</f>
        <v>15.363233371822588</v>
      </c>
      <c r="H43">
        <f t="shared" si="49"/>
        <v>13.462628965634762</v>
      </c>
      <c r="I43">
        <f t="shared" si="49"/>
        <v>11.463488293681786</v>
      </c>
      <c r="J43">
        <f t="shared" si="49"/>
        <v>9.0040475009276726</v>
      </c>
      <c r="K43">
        <f t="shared" si="49"/>
        <v>6.4170293959225795</v>
      </c>
      <c r="L43">
        <f t="shared" si="7"/>
        <v>25.608915191046552</v>
      </c>
      <c r="M43">
        <f t="shared" si="8"/>
        <v>-0.12891519104655202</v>
      </c>
      <c r="N43">
        <f t="shared" si="9"/>
        <v>1.6619126482569007E-2</v>
      </c>
    </row>
    <row r="44" spans="1:14" x14ac:dyDescent="0.45">
      <c r="A44" s="22">
        <v>42811</v>
      </c>
      <c r="B44">
        <v>25.56</v>
      </c>
      <c r="C44">
        <v>25.66</v>
      </c>
      <c r="G44">
        <f t="shared" ref="G44:K44" si="50">SUMPRODUCT($B44:$B48,P$2:P$6)</f>
        <v>15.312538792500071</v>
      </c>
      <c r="H44">
        <f t="shared" si="50"/>
        <v>13.418241013156578</v>
      </c>
      <c r="I44">
        <f t="shared" si="50"/>
        <v>11.425665564813716</v>
      </c>
      <c r="J44">
        <f t="shared" si="50"/>
        <v>8.9744672507546195</v>
      </c>
      <c r="K44">
        <f t="shared" si="50"/>
        <v>6.3960601916215856</v>
      </c>
      <c r="L44">
        <f t="shared" si="7"/>
        <v>25.524659569054567</v>
      </c>
      <c r="M44">
        <f t="shared" si="8"/>
        <v>0.12534043094543179</v>
      </c>
      <c r="N44">
        <f t="shared" si="9"/>
        <v>1.5710223629586555E-2</v>
      </c>
    </row>
    <row r="45" spans="1:14" x14ac:dyDescent="0.45">
      <c r="A45" s="22">
        <v>42810</v>
      </c>
      <c r="B45">
        <v>25.59</v>
      </c>
      <c r="C45">
        <v>25.37</v>
      </c>
      <c r="G45">
        <f t="shared" ref="G45:K45" si="51">SUMPRODUCT($B45:$B49,P$2:P$6)</f>
        <v>15.327440286793228</v>
      </c>
      <c r="H45">
        <f t="shared" si="51"/>
        <v>13.431265204113014</v>
      </c>
      <c r="I45">
        <f t="shared" si="51"/>
        <v>11.436758037898464</v>
      </c>
      <c r="J45">
        <f t="shared" si="51"/>
        <v>8.9830793853731237</v>
      </c>
      <c r="K45">
        <f t="shared" si="51"/>
        <v>6.402094003698978</v>
      </c>
      <c r="L45">
        <f t="shared" si="7"/>
        <v>25.549338232955648</v>
      </c>
      <c r="M45">
        <f t="shared" si="8"/>
        <v>1.0661767044350512E-2</v>
      </c>
      <c r="N45">
        <f t="shared" si="9"/>
        <v>1.1367327650799865E-4</v>
      </c>
    </row>
    <row r="46" spans="1:14" x14ac:dyDescent="0.45">
      <c r="A46" s="22">
        <v>42809</v>
      </c>
      <c r="B46">
        <v>25.27</v>
      </c>
      <c r="C46">
        <v>25.59</v>
      </c>
      <c r="G46">
        <f t="shared" ref="G46:K46" si="52">SUMPRODUCT($B46:$B50,P$2:P$6)</f>
        <v>15.142389595458583</v>
      </c>
      <c r="H46">
        <f t="shared" si="52"/>
        <v>13.269181222242805</v>
      </c>
      <c r="I46">
        <f t="shared" si="52"/>
        <v>11.298816701656577</v>
      </c>
      <c r="J46">
        <f t="shared" si="52"/>
        <v>8.874874337788464</v>
      </c>
      <c r="K46">
        <f t="shared" si="52"/>
        <v>6.3251914461818739</v>
      </c>
      <c r="L46">
        <f t="shared" si="7"/>
        <v>25.241626943462553</v>
      </c>
      <c r="M46">
        <f t="shared" si="8"/>
        <v>0.34837305653744721</v>
      </c>
      <c r="N46">
        <f t="shared" si="9"/>
        <v>0.1213637865212434</v>
      </c>
    </row>
    <row r="47" spans="1:14" x14ac:dyDescent="0.45">
      <c r="A47" s="22">
        <v>42808</v>
      </c>
      <c r="B47">
        <v>25.33</v>
      </c>
      <c r="C47">
        <v>25.18</v>
      </c>
      <c r="G47">
        <f t="shared" ref="G47:K47" si="53">SUMPRODUCT($B47:$B51,P$2:P$6)</f>
        <v>15.17340617136492</v>
      </c>
      <c r="H47">
        <f t="shared" si="53"/>
        <v>13.296306014143742</v>
      </c>
      <c r="I47">
        <f t="shared" si="53"/>
        <v>11.321880966091951</v>
      </c>
      <c r="J47">
        <f t="shared" si="53"/>
        <v>8.8928638071261972</v>
      </c>
      <c r="K47">
        <f t="shared" si="53"/>
        <v>6.3378504208933464</v>
      </c>
      <c r="L47">
        <f t="shared" si="7"/>
        <v>25.29304150587727</v>
      </c>
      <c r="M47">
        <f t="shared" si="8"/>
        <v>-2.3041505877269941E-2</v>
      </c>
      <c r="N47">
        <f t="shared" si="9"/>
        <v>5.3091099309226521E-4</v>
      </c>
    </row>
    <row r="48" spans="1:14" x14ac:dyDescent="0.45">
      <c r="A48" s="22">
        <v>42807</v>
      </c>
      <c r="B48">
        <v>25.61</v>
      </c>
      <c r="C48">
        <v>25.46</v>
      </c>
      <c r="G48">
        <f t="shared" ref="G48:K48" si="54">SUMPRODUCT($B48:$B52,P$2:P$6)</f>
        <v>15.337193636894508</v>
      </c>
      <c r="H48">
        <f t="shared" si="54"/>
        <v>13.439787120186827</v>
      </c>
      <c r="I48">
        <f t="shared" si="54"/>
        <v>11.44399112317544</v>
      </c>
      <c r="J48">
        <f t="shared" si="54"/>
        <v>8.9887116441638248</v>
      </c>
      <c r="K48">
        <f t="shared" si="54"/>
        <v>6.406035972391809</v>
      </c>
      <c r="L48">
        <f t="shared" si="7"/>
        <v>25.56547405778273</v>
      </c>
      <c r="M48">
        <f t="shared" si="8"/>
        <v>-0.23547405778273145</v>
      </c>
      <c r="N48">
        <f t="shared" si="9"/>
        <v>5.544803188866515E-2</v>
      </c>
    </row>
    <row r="49" spans="1:14" x14ac:dyDescent="0.45">
      <c r="A49" s="22">
        <v>42804</v>
      </c>
      <c r="B49">
        <v>25.41</v>
      </c>
      <c r="C49">
        <v>25.54</v>
      </c>
      <c r="G49">
        <f t="shared" ref="G49:K49" si="55">SUMPRODUCT($B49:$B53,P$2:P$6)</f>
        <v>15.221274836406248</v>
      </c>
      <c r="H49">
        <f t="shared" si="55"/>
        <v>13.338251653223555</v>
      </c>
      <c r="I49">
        <f t="shared" si="55"/>
        <v>11.35754525845153</v>
      </c>
      <c r="J49">
        <f t="shared" si="55"/>
        <v>8.9209248799262237</v>
      </c>
      <c r="K49">
        <f t="shared" si="55"/>
        <v>6.3578547538686507</v>
      </c>
      <c r="L49">
        <f t="shared" si="7"/>
        <v>25.372696507647408</v>
      </c>
      <c r="M49">
        <f t="shared" si="8"/>
        <v>0.23730349235259141</v>
      </c>
      <c r="N49">
        <f t="shared" si="9"/>
        <v>5.6312947482736408E-2</v>
      </c>
    </row>
    <row r="50" spans="1:14" x14ac:dyDescent="0.45">
      <c r="A50" s="22">
        <v>42803</v>
      </c>
      <c r="B50">
        <v>25.16</v>
      </c>
      <c r="C50">
        <v>25.2</v>
      </c>
      <c r="G50">
        <f t="shared" ref="G50:K50" si="56">SUMPRODUCT($B50:$B54,P$2:P$6)</f>
        <v>15.08020834122016</v>
      </c>
      <c r="H50">
        <f t="shared" si="56"/>
        <v>13.214733241500062</v>
      </c>
      <c r="I50">
        <f t="shared" si="56"/>
        <v>11.252443334290719</v>
      </c>
      <c r="J50">
        <f t="shared" si="56"/>
        <v>8.8385788755971184</v>
      </c>
      <c r="K50">
        <f t="shared" si="56"/>
        <v>6.2994509395777962</v>
      </c>
      <c r="L50">
        <f t="shared" si="7"/>
        <v>25.138277543995169</v>
      </c>
      <c r="M50">
        <f t="shared" si="8"/>
        <v>0.2717224560048308</v>
      </c>
      <c r="N50">
        <f t="shared" si="9"/>
        <v>7.3833093097297214E-2</v>
      </c>
    </row>
    <row r="51" spans="1:14" x14ac:dyDescent="0.45">
      <c r="A51" s="22">
        <v>42802</v>
      </c>
      <c r="B51">
        <v>25.05</v>
      </c>
      <c r="C51">
        <v>25.13</v>
      </c>
      <c r="G51">
        <f t="shared" ref="G51:K51" si="57">SUMPRODUCT($B51:$B55,P$2:P$6)</f>
        <v>15.019518431613022</v>
      </c>
      <c r="H51">
        <f t="shared" si="57"/>
        <v>13.161608877547248</v>
      </c>
      <c r="I51">
        <f t="shared" si="57"/>
        <v>11.207224037426318</v>
      </c>
      <c r="J51">
        <f t="shared" si="57"/>
        <v>8.8032120915270688</v>
      </c>
      <c r="K51">
        <f t="shared" si="57"/>
        <v>6.2744189049882149</v>
      </c>
      <c r="L51">
        <f t="shared" si="7"/>
        <v>25.037479749940566</v>
      </c>
      <c r="M51">
        <f t="shared" si="8"/>
        <v>0.12252025005943423</v>
      </c>
      <c r="N51">
        <f t="shared" si="9"/>
        <v>1.5011211674626294E-2</v>
      </c>
    </row>
    <row r="52" spans="1:14" x14ac:dyDescent="0.45">
      <c r="A52" s="22">
        <v>42801</v>
      </c>
      <c r="B52">
        <v>25.4</v>
      </c>
      <c r="C52">
        <v>25.02</v>
      </c>
      <c r="G52">
        <f t="shared" ref="G52:K52" si="58">SUMPRODUCT($B52:$B56,P$2:P$6)</f>
        <v>15.226129845591391</v>
      </c>
      <c r="H52">
        <f t="shared" si="58"/>
        <v>13.342626225318982</v>
      </c>
      <c r="I52">
        <f t="shared" si="58"/>
        <v>11.361313541946107</v>
      </c>
      <c r="J52">
        <f t="shared" si="58"/>
        <v>8.9241907575465031</v>
      </c>
      <c r="K52">
        <f t="shared" si="58"/>
        <v>6.360542728696597</v>
      </c>
      <c r="L52">
        <f t="shared" si="7"/>
        <v>25.381231723146755</v>
      </c>
      <c r="M52">
        <f t="shared" si="8"/>
        <v>-0.33123172314675386</v>
      </c>
      <c r="N52">
        <f t="shared" si="9"/>
        <v>0.1097144544187678</v>
      </c>
    </row>
    <row r="53" spans="1:14" x14ac:dyDescent="0.45">
      <c r="A53" s="22">
        <v>42800</v>
      </c>
      <c r="B53">
        <v>25.41</v>
      </c>
      <c r="C53">
        <v>25.47</v>
      </c>
      <c r="G53">
        <f t="shared" ref="G53:K53" si="59">SUMPRODUCT($B53:$B57,P$2:P$6)</f>
        <v>15.234506128251422</v>
      </c>
      <c r="H53">
        <f t="shared" si="59"/>
        <v>13.34999283847853</v>
      </c>
      <c r="I53">
        <f t="shared" si="59"/>
        <v>11.367606135964724</v>
      </c>
      <c r="J53">
        <f t="shared" si="59"/>
        <v>8.9291907796456744</v>
      </c>
      <c r="K53">
        <f t="shared" si="59"/>
        <v>6.364184096703557</v>
      </c>
      <c r="L53">
        <f t="shared" si="7"/>
        <v>25.395276810958222</v>
      </c>
      <c r="M53">
        <f t="shared" si="8"/>
        <v>4.7231890417762656E-3</v>
      </c>
      <c r="N53">
        <f t="shared" si="9"/>
        <v>2.2308514724355397E-5</v>
      </c>
    </row>
    <row r="54" spans="1:14" x14ac:dyDescent="0.45">
      <c r="A54" s="22">
        <v>42797</v>
      </c>
      <c r="B54">
        <v>25.37</v>
      </c>
      <c r="C54">
        <v>25.45</v>
      </c>
      <c r="G54">
        <f t="shared" ref="G54:K54" si="60">SUMPRODUCT($B54:$B58,P$2:P$6)</f>
        <v>15.210217715392456</v>
      </c>
      <c r="H54">
        <f t="shared" si="60"/>
        <v>13.328706122765727</v>
      </c>
      <c r="I54">
        <f t="shared" si="60"/>
        <v>11.349531551984276</v>
      </c>
      <c r="J54">
        <f t="shared" si="60"/>
        <v>8.9149348239056732</v>
      </c>
      <c r="K54">
        <f t="shared" si="60"/>
        <v>6.354005908230727</v>
      </c>
      <c r="L54">
        <f t="shared" si="7"/>
        <v>25.354853631877408</v>
      </c>
      <c r="M54">
        <f t="shared" si="8"/>
        <v>5.5146368122592548E-2</v>
      </c>
      <c r="N54">
        <f t="shared" si="9"/>
        <v>3.0411219171124918E-3</v>
      </c>
    </row>
    <row r="55" spans="1:14" x14ac:dyDescent="0.45">
      <c r="A55" s="22">
        <v>42796</v>
      </c>
      <c r="B55">
        <v>25.54</v>
      </c>
      <c r="C55">
        <v>25.36</v>
      </c>
      <c r="G55">
        <f t="shared" ref="G55:K55" si="61">SUMPRODUCT($B55:$B59,P$2:P$6)</f>
        <v>15.305878497305189</v>
      </c>
      <c r="H55">
        <f t="shared" si="61"/>
        <v>13.412464426786578</v>
      </c>
      <c r="I55">
        <f t="shared" si="61"/>
        <v>11.420838131709939</v>
      </c>
      <c r="J55">
        <f t="shared" si="61"/>
        <v>8.9707589709448836</v>
      </c>
      <c r="K55">
        <f t="shared" si="61"/>
        <v>6.3935844854235917</v>
      </c>
      <c r="L55">
        <f t="shared" si="7"/>
        <v>25.51381956539586</v>
      </c>
      <c r="M55">
        <f t="shared" si="8"/>
        <v>-0.14381956539585872</v>
      </c>
      <c r="N55">
        <f t="shared" si="9"/>
        <v>2.0684067390653683E-2</v>
      </c>
    </row>
    <row r="56" spans="1:14" x14ac:dyDescent="0.45">
      <c r="A56" s="22">
        <v>42795</v>
      </c>
      <c r="B56">
        <v>25.93</v>
      </c>
      <c r="C56">
        <v>25.55</v>
      </c>
      <c r="G56">
        <f t="shared" ref="G56:K56" si="62">SUMPRODUCT($B56:$B60,P$2:P$6)</f>
        <v>15.532519818002966</v>
      </c>
      <c r="H56">
        <f t="shared" si="62"/>
        <v>13.61098991820487</v>
      </c>
      <c r="I56">
        <f t="shared" si="62"/>
        <v>11.58979402417784</v>
      </c>
      <c r="J56">
        <f t="shared" si="62"/>
        <v>9.1033285843937257</v>
      </c>
      <c r="K56">
        <f t="shared" si="62"/>
        <v>6.4878419827693259</v>
      </c>
      <c r="L56">
        <f t="shared" si="7"/>
        <v>25.890736839204816</v>
      </c>
      <c r="M56">
        <f t="shared" si="8"/>
        <v>-0.35073683920481713</v>
      </c>
      <c r="N56">
        <f t="shared" si="9"/>
        <v>0.12301633037538574</v>
      </c>
    </row>
    <row r="57" spans="1:14" x14ac:dyDescent="0.45">
      <c r="A57" s="22">
        <v>42794</v>
      </c>
      <c r="B57">
        <v>26</v>
      </c>
      <c r="C57">
        <v>25.73</v>
      </c>
      <c r="G57">
        <f t="shared" ref="G57:K57" si="63">SUMPRODUCT($B57:$B61,P$2:P$6)</f>
        <v>15.571425029799327</v>
      </c>
      <c r="H57">
        <f t="shared" si="63"/>
        <v>13.64504839947975</v>
      </c>
      <c r="I57">
        <f t="shared" si="63"/>
        <v>11.618762768474708</v>
      </c>
      <c r="J57">
        <f t="shared" si="63"/>
        <v>9.1260160068660579</v>
      </c>
      <c r="K57">
        <f t="shared" si="63"/>
        <v>6.5039133174649528</v>
      </c>
      <c r="L57">
        <f t="shared" si="7"/>
        <v>25.955358670661134</v>
      </c>
      <c r="M57">
        <f t="shared" si="8"/>
        <v>-2.5358670661134397E-2</v>
      </c>
      <c r="N57">
        <f t="shared" si="9"/>
        <v>6.4306217769987848E-4</v>
      </c>
    </row>
    <row r="58" spans="1:14" x14ac:dyDescent="0.45">
      <c r="A58" s="22">
        <v>42793</v>
      </c>
      <c r="B58">
        <v>25.66</v>
      </c>
      <c r="C58">
        <v>26</v>
      </c>
      <c r="G58">
        <f t="shared" ref="G58:K58" si="64">SUMPRODUCT($B58:$B62,P$2:P$6)</f>
        <v>15.382673314363414</v>
      </c>
      <c r="H58">
        <f t="shared" si="64"/>
        <v>13.479812809642928</v>
      </c>
      <c r="I58">
        <f t="shared" si="64"/>
        <v>11.47815499545673</v>
      </c>
      <c r="J58">
        <f t="shared" si="64"/>
        <v>9.0159652423625101</v>
      </c>
      <c r="K58">
        <f t="shared" si="64"/>
        <v>6.4259727216228208</v>
      </c>
      <c r="L58">
        <f t="shared" si="7"/>
        <v>25.641828954501566</v>
      </c>
      <c r="M58">
        <f t="shared" si="8"/>
        <v>0.35817104549843393</v>
      </c>
      <c r="N58">
        <f t="shared" si="9"/>
        <v>0.12828649783344123</v>
      </c>
    </row>
    <row r="59" spans="1:14" x14ac:dyDescent="0.45">
      <c r="A59" s="22">
        <v>42790</v>
      </c>
      <c r="B59">
        <v>25.47</v>
      </c>
      <c r="C59">
        <v>25.76</v>
      </c>
      <c r="G59">
        <f t="shared" ref="G59:K59" si="65">SUMPRODUCT($B59:$B63,P$2:P$6)</f>
        <v>15.267405640766381</v>
      </c>
      <c r="H59">
        <f t="shared" si="65"/>
        <v>13.378789159391461</v>
      </c>
      <c r="I59">
        <f t="shared" si="65"/>
        <v>11.392158765092335</v>
      </c>
      <c r="J59">
        <f t="shared" si="65"/>
        <v>8.9483477241428631</v>
      </c>
      <c r="K59">
        <f t="shared" si="65"/>
        <v>6.3777297850019821</v>
      </c>
      <c r="L59">
        <f t="shared" si="7"/>
        <v>25.449922934211955</v>
      </c>
      <c r="M59">
        <f t="shared" si="8"/>
        <v>0.2100770657880453</v>
      </c>
      <c r="N59">
        <f t="shared" si="9"/>
        <v>4.4132373570114715E-2</v>
      </c>
    </row>
    <row r="60" spans="1:14" x14ac:dyDescent="0.45">
      <c r="A60" s="22">
        <v>42789</v>
      </c>
      <c r="B60">
        <v>25.85</v>
      </c>
      <c r="C60">
        <v>25.53</v>
      </c>
      <c r="G60">
        <f t="shared" ref="G60:K60" si="66">SUMPRODUCT($B60:$B64,P$2:P$6)</f>
        <v>15.49284791013816</v>
      </c>
      <c r="H60">
        <f t="shared" si="66"/>
        <v>13.576317610149859</v>
      </c>
      <c r="I60">
        <f t="shared" si="66"/>
        <v>11.560335242000971</v>
      </c>
      <c r="J60">
        <f t="shared" si="66"/>
        <v>9.0803923109765048</v>
      </c>
      <c r="K60">
        <f t="shared" si="66"/>
        <v>6.4717653509324098</v>
      </c>
      <c r="L60">
        <f t="shared" si="7"/>
        <v>25.825061497269697</v>
      </c>
      <c r="M60">
        <f t="shared" si="8"/>
        <v>-0.35506149726969838</v>
      </c>
      <c r="N60">
        <f t="shared" si="9"/>
        <v>0.12606866684340004</v>
      </c>
    </row>
    <row r="61" spans="1:14" x14ac:dyDescent="0.45">
      <c r="A61" s="22">
        <v>42788</v>
      </c>
      <c r="B61">
        <v>25.88</v>
      </c>
      <c r="C61">
        <v>25.77</v>
      </c>
      <c r="G61">
        <f t="shared" ref="G61:K61" si="67">SUMPRODUCT($B61:$B65,P$2:P$6)</f>
        <v>15.500646978994281</v>
      </c>
      <c r="H61">
        <f t="shared" si="67"/>
        <v>13.583038937017268</v>
      </c>
      <c r="I61">
        <f t="shared" si="67"/>
        <v>11.56600013794235</v>
      </c>
      <c r="J61">
        <f t="shared" si="67"/>
        <v>9.0845717901982912</v>
      </c>
      <c r="K61">
        <f t="shared" si="67"/>
        <v>6.4744084449068966</v>
      </c>
      <c r="L61">
        <f t="shared" si="7"/>
        <v>25.837610709874504</v>
      </c>
      <c r="M61">
        <f t="shared" si="8"/>
        <v>1.238929012549761E-2</v>
      </c>
      <c r="N61">
        <f t="shared" si="9"/>
        <v>1.5349450981375258E-4</v>
      </c>
    </row>
    <row r="62" spans="1:14" x14ac:dyDescent="0.45">
      <c r="A62" s="22">
        <v>42787</v>
      </c>
      <c r="B62">
        <v>26.1</v>
      </c>
      <c r="C62">
        <v>25.79</v>
      </c>
      <c r="G62">
        <f t="shared" ref="G62:K62" si="68">SUMPRODUCT($B62:$B66,P$2:P$6)</f>
        <v>15.639774621738921</v>
      </c>
      <c r="H62">
        <f t="shared" si="68"/>
        <v>13.705036306853481</v>
      </c>
      <c r="I62">
        <f t="shared" si="68"/>
        <v>11.669896970236229</v>
      </c>
      <c r="J62">
        <f t="shared" si="68"/>
        <v>9.1663986351439153</v>
      </c>
      <c r="K62">
        <f t="shared" si="68"/>
        <v>6.5329714581889062</v>
      </c>
      <c r="L62">
        <f t="shared" si="7"/>
        <v>26.069482567143119</v>
      </c>
      <c r="M62">
        <f t="shared" si="8"/>
        <v>-0.18948256714311995</v>
      </c>
      <c r="N62">
        <f t="shared" si="9"/>
        <v>3.5903643251146963E-2</v>
      </c>
    </row>
    <row r="63" spans="1:14" x14ac:dyDescent="0.45">
      <c r="A63" s="22">
        <v>42783</v>
      </c>
      <c r="B63">
        <v>25.67</v>
      </c>
      <c r="C63">
        <v>26.1</v>
      </c>
      <c r="G63">
        <f t="shared" ref="G63:K63" si="69">SUMPRODUCT($B63:$B67,P$2:P$6)</f>
        <v>15.38343112049515</v>
      </c>
      <c r="H63">
        <f t="shared" si="69"/>
        <v>13.480418789494726</v>
      </c>
      <c r="I63">
        <f t="shared" si="69"/>
        <v>11.478641950391665</v>
      </c>
      <c r="J63">
        <f t="shared" si="69"/>
        <v>9.0162079799724477</v>
      </c>
      <c r="K63">
        <f t="shared" si="69"/>
        <v>6.4259729535585208</v>
      </c>
      <c r="L63">
        <f t="shared" si="7"/>
        <v>25.642868505538953</v>
      </c>
      <c r="M63">
        <f t="shared" si="8"/>
        <v>0.4571314944610485</v>
      </c>
      <c r="N63">
        <f t="shared" si="9"/>
        <v>0.20896920322819162</v>
      </c>
    </row>
    <row r="64" spans="1:14" x14ac:dyDescent="0.45">
      <c r="A64" s="22">
        <v>42782</v>
      </c>
      <c r="B64">
        <v>26</v>
      </c>
      <c r="C64">
        <v>25.67</v>
      </c>
      <c r="G64">
        <f t="shared" ref="G64:K64" si="70">SUMPRODUCT($B64:$B68,P$2:P$6)</f>
        <v>15.580232375729729</v>
      </c>
      <c r="H64">
        <f t="shared" si="70"/>
        <v>13.652864530326408</v>
      </c>
      <c r="I64">
        <f t="shared" si="70"/>
        <v>11.625517832389022</v>
      </c>
      <c r="J64">
        <f t="shared" si="70"/>
        <v>9.1315090073562306</v>
      </c>
      <c r="K64">
        <f t="shared" si="70"/>
        <v>6.5081119364322433</v>
      </c>
      <c r="L64">
        <f t="shared" si="7"/>
        <v>25.970407732573861</v>
      </c>
      <c r="M64">
        <f t="shared" si="8"/>
        <v>-0.30040773257385922</v>
      </c>
      <c r="N64">
        <f t="shared" si="9"/>
        <v>9.0244805790167318E-2</v>
      </c>
    </row>
    <row r="65" spans="1:14" x14ac:dyDescent="0.45">
      <c r="A65" s="22">
        <v>42781</v>
      </c>
      <c r="B65">
        <v>25.63</v>
      </c>
      <c r="C65">
        <v>26</v>
      </c>
      <c r="G65">
        <f t="shared" ref="G65:K65" si="71">SUMPRODUCT($B65:$B69,P$2:P$6)</f>
        <v>15.364431581447139</v>
      </c>
      <c r="H65">
        <f t="shared" si="71"/>
        <v>13.463824879637491</v>
      </c>
      <c r="I65">
        <f t="shared" si="71"/>
        <v>11.464550987376194</v>
      </c>
      <c r="J65">
        <f t="shared" si="71"/>
        <v>9.0052620706049868</v>
      </c>
      <c r="K65">
        <f t="shared" si="71"/>
        <v>6.4183341352323602</v>
      </c>
      <c r="L65">
        <f t="shared" si="7"/>
        <v>25.611459051259512</v>
      </c>
      <c r="M65">
        <f t="shared" si="8"/>
        <v>0.38854094874048783</v>
      </c>
      <c r="N65">
        <f t="shared" si="9"/>
        <v>0.15096406884815838</v>
      </c>
    </row>
    <row r="66" spans="1:14" x14ac:dyDescent="0.45">
      <c r="A66" s="22">
        <v>42780</v>
      </c>
      <c r="B66">
        <v>26.28</v>
      </c>
      <c r="C66">
        <v>25.69</v>
      </c>
      <c r="G66">
        <f t="shared" ref="G66:K66" si="72">SUMPRODUCT($B66:$B70,P$2:P$6)</f>
        <v>15.737960359833719</v>
      </c>
      <c r="H66">
        <f t="shared" si="72"/>
        <v>13.790968785982084</v>
      </c>
      <c r="I66">
        <f t="shared" si="72"/>
        <v>11.743039260233829</v>
      </c>
      <c r="J66">
        <f t="shared" si="72"/>
        <v>9.2235685319926777</v>
      </c>
      <c r="K66">
        <f t="shared" si="72"/>
        <v>6.5733942962803624</v>
      </c>
      <c r="L66">
        <f t="shared" si="7"/>
        <v>26.232505379907135</v>
      </c>
      <c r="M66">
        <f t="shared" si="8"/>
        <v>-0.60250537990713582</v>
      </c>
      <c r="N66">
        <f t="shared" si="9"/>
        <v>0.36301273281704205</v>
      </c>
    </row>
    <row r="67" spans="1:14" x14ac:dyDescent="0.45">
      <c r="A67" s="22">
        <v>42779</v>
      </c>
      <c r="B67">
        <v>25.9</v>
      </c>
      <c r="C67">
        <v>25.91</v>
      </c>
      <c r="G67">
        <f t="shared" ref="G67:K67" si="73">SUMPRODUCT($B67:$B71,P$2:P$6)</f>
        <v>15.520953358799549</v>
      </c>
      <c r="H67">
        <f t="shared" si="73"/>
        <v>13.600925552353063</v>
      </c>
      <c r="I67">
        <f t="shared" si="73"/>
        <v>11.58127051897328</v>
      </c>
      <c r="J67">
        <f t="shared" si="73"/>
        <v>9.0967946362982079</v>
      </c>
      <c r="K67">
        <f t="shared" si="73"/>
        <v>6.4833953251829506</v>
      </c>
      <c r="L67">
        <f t="shared" ref="L67:L130" si="74">(G67+$P$7)*$U$2+(H67+$Q$7)*$U$3+(I67+$R$7)*$U$4+(J67+$S$7)*$U$5+(K67+$T$7)*$U$6+$U$7</f>
        <v>25.871760254742647</v>
      </c>
      <c r="M67">
        <f t="shared" ref="M67:M130" si="75">B66-L67</f>
        <v>0.40823974525735451</v>
      </c>
      <c r="N67">
        <f t="shared" ref="N67:N130" si="76">M67^2</f>
        <v>0.16665968960778971</v>
      </c>
    </row>
    <row r="68" spans="1:14" x14ac:dyDescent="0.45">
      <c r="A68" s="22">
        <v>42776</v>
      </c>
      <c r="B68">
        <v>25.96</v>
      </c>
      <c r="C68">
        <v>25.73</v>
      </c>
      <c r="G68">
        <f t="shared" ref="G68:K68" si="77">SUMPRODUCT($B68:$B72,P$2:P$6)</f>
        <v>15.557230404195593</v>
      </c>
      <c r="H68">
        <f t="shared" si="77"/>
        <v>13.63271830467645</v>
      </c>
      <c r="I68">
        <f t="shared" si="77"/>
        <v>11.608328034664478</v>
      </c>
      <c r="J68">
        <f t="shared" si="77"/>
        <v>9.118071421191841</v>
      </c>
      <c r="K68">
        <f t="shared" si="77"/>
        <v>6.4985723550968704</v>
      </c>
      <c r="L68">
        <f t="shared" si="74"/>
        <v>25.932150055461928</v>
      </c>
      <c r="M68">
        <f t="shared" si="75"/>
        <v>-3.2150055461929838E-2</v>
      </c>
      <c r="N68">
        <f t="shared" si="76"/>
        <v>1.0336260662051646E-3</v>
      </c>
    </row>
    <row r="69" spans="1:14" x14ac:dyDescent="0.45">
      <c r="A69" s="22">
        <v>42775</v>
      </c>
      <c r="B69">
        <v>26</v>
      </c>
      <c r="C69">
        <v>25.83</v>
      </c>
      <c r="G69">
        <f t="shared" ref="G69:K69" si="78">SUMPRODUCT($B69:$B73,P$2:P$6)</f>
        <v>15.57617486911222</v>
      </c>
      <c r="H69">
        <f t="shared" si="78"/>
        <v>13.649263828315563</v>
      </c>
      <c r="I69">
        <f t="shared" si="78"/>
        <v>11.622419537357825</v>
      </c>
      <c r="J69">
        <f t="shared" si="78"/>
        <v>9.1289763237460537</v>
      </c>
      <c r="K69">
        <f t="shared" si="78"/>
        <v>6.5061742999569709</v>
      </c>
      <c r="L69">
        <f t="shared" si="74"/>
        <v>25.963479138063271</v>
      </c>
      <c r="M69">
        <f t="shared" si="75"/>
        <v>-3.4791380632697155E-3</v>
      </c>
      <c r="N69">
        <f t="shared" si="76"/>
        <v>1.2104401663292148E-5</v>
      </c>
    </row>
    <row r="70" spans="1:14" x14ac:dyDescent="0.45">
      <c r="A70" s="22">
        <v>42774</v>
      </c>
      <c r="B70">
        <v>25.94</v>
      </c>
      <c r="C70">
        <v>25.95</v>
      </c>
      <c r="G70">
        <f t="shared" ref="G70:K70" si="79">SUMPRODUCT($B70:$B74,P$2:P$6)</f>
        <v>15.539381772624917</v>
      </c>
      <c r="H70">
        <f t="shared" si="79"/>
        <v>13.617013306773456</v>
      </c>
      <c r="I70">
        <f t="shared" si="79"/>
        <v>11.594983999281874</v>
      </c>
      <c r="J70">
        <f t="shared" si="79"/>
        <v>9.1073749257619703</v>
      </c>
      <c r="K70">
        <f t="shared" si="79"/>
        <v>6.4907468321244197</v>
      </c>
      <c r="L70">
        <f t="shared" si="74"/>
        <v>25.902213269458748</v>
      </c>
      <c r="M70">
        <f t="shared" si="75"/>
        <v>9.7786730541251643E-2</v>
      </c>
      <c r="N70">
        <f t="shared" si="76"/>
        <v>9.5622446699473573E-3</v>
      </c>
    </row>
    <row r="71" spans="1:14" x14ac:dyDescent="0.45">
      <c r="A71" s="22">
        <v>42773</v>
      </c>
      <c r="B71">
        <v>26.02</v>
      </c>
      <c r="C71">
        <v>25.88</v>
      </c>
      <c r="G71">
        <f t="shared" ref="G71:K71" si="80">SUMPRODUCT($B71:$B75,P$2:P$6)</f>
        <v>15.592348936402983</v>
      </c>
      <c r="H71">
        <f t="shared" si="80"/>
        <v>13.663483033229889</v>
      </c>
      <c r="I71">
        <f t="shared" si="80"/>
        <v>11.634506254979874</v>
      </c>
      <c r="J71">
        <f t="shared" si="80"/>
        <v>9.1386242403829243</v>
      </c>
      <c r="K71">
        <f t="shared" si="80"/>
        <v>6.5131947673181942</v>
      </c>
      <c r="L71">
        <f t="shared" si="74"/>
        <v>25.990563282497693</v>
      </c>
      <c r="M71">
        <f t="shared" si="75"/>
        <v>-5.0563282497691375E-2</v>
      </c>
      <c r="N71">
        <f t="shared" si="76"/>
        <v>2.5566455369413431E-3</v>
      </c>
    </row>
    <row r="72" spans="1:14" x14ac:dyDescent="0.45">
      <c r="A72" s="22">
        <v>42772</v>
      </c>
      <c r="B72">
        <v>26.18</v>
      </c>
      <c r="C72">
        <v>25.92</v>
      </c>
      <c r="G72">
        <f t="shared" ref="G72:K72" si="81">SUMPRODUCT($B72:$B76,P$2:P$6)</f>
        <v>15.682064296699078</v>
      </c>
      <c r="H72">
        <f t="shared" si="81"/>
        <v>13.742031477051279</v>
      </c>
      <c r="I72">
        <f t="shared" si="81"/>
        <v>11.701338223961606</v>
      </c>
      <c r="J72">
        <f t="shared" si="81"/>
        <v>9.1909715552933982</v>
      </c>
      <c r="K72">
        <f t="shared" si="81"/>
        <v>6.5503023994548748</v>
      </c>
      <c r="L72">
        <f t="shared" si="74"/>
        <v>26.139622791577317</v>
      </c>
      <c r="M72">
        <f t="shared" si="75"/>
        <v>-0.11962279157731714</v>
      </c>
      <c r="N72">
        <f t="shared" si="76"/>
        <v>1.4309612264750258E-2</v>
      </c>
    </row>
    <row r="73" spans="1:14" x14ac:dyDescent="0.45">
      <c r="A73" s="22">
        <v>42769</v>
      </c>
      <c r="B73">
        <v>25.85</v>
      </c>
      <c r="C73">
        <v>25.82</v>
      </c>
      <c r="G73">
        <f t="shared" ref="G73:K73" si="82">SUMPRODUCT($B73:$B77,P$2:P$6)</f>
        <v>15.504906377943517</v>
      </c>
      <c r="H73">
        <f t="shared" si="82"/>
        <v>13.587017687074473</v>
      </c>
      <c r="I73">
        <f t="shared" si="82"/>
        <v>11.56947206493432</v>
      </c>
      <c r="J73">
        <f t="shared" si="82"/>
        <v>9.0879304621256782</v>
      </c>
      <c r="K73">
        <f t="shared" si="82"/>
        <v>6.4775416333107563</v>
      </c>
      <c r="L73">
        <f t="shared" si="74"/>
        <v>25.845629887761831</v>
      </c>
      <c r="M73">
        <f t="shared" si="75"/>
        <v>0.33437011223816882</v>
      </c>
      <c r="N73">
        <f t="shared" si="76"/>
        <v>0.11180337195816561</v>
      </c>
    </row>
    <row r="74" spans="1:14" x14ac:dyDescent="0.45">
      <c r="A74" s="22">
        <v>42768</v>
      </c>
      <c r="B74">
        <v>25.59</v>
      </c>
      <c r="C74">
        <v>25.77</v>
      </c>
      <c r="G74">
        <f t="shared" ref="G74:K74" si="83">SUMPRODUCT($B74:$B78,P$2:P$6)</f>
        <v>15.345834258824306</v>
      </c>
      <c r="H74">
        <f t="shared" si="83"/>
        <v>13.447588033578782</v>
      </c>
      <c r="I74">
        <f t="shared" si="83"/>
        <v>11.450778372938409</v>
      </c>
      <c r="J74">
        <f t="shared" si="83"/>
        <v>8.9945654019701795</v>
      </c>
      <c r="K74">
        <f t="shared" si="83"/>
        <v>6.4108846831608624</v>
      </c>
      <c r="L74">
        <f t="shared" si="74"/>
        <v>25.580740016673527</v>
      </c>
      <c r="M74">
        <f t="shared" si="75"/>
        <v>0.26925998332647438</v>
      </c>
      <c r="N74">
        <f t="shared" si="76"/>
        <v>7.250093862097326E-2</v>
      </c>
    </row>
    <row r="75" spans="1:14" x14ac:dyDescent="0.45">
      <c r="A75" s="22">
        <v>42767</v>
      </c>
      <c r="B75">
        <v>26.28</v>
      </c>
      <c r="C75">
        <v>25.51</v>
      </c>
      <c r="G75">
        <f t="shared" ref="G75:K75" si="84">SUMPRODUCT($B75:$B79,P$2:P$6)</f>
        <v>15.76444245790861</v>
      </c>
      <c r="H75">
        <f t="shared" si="84"/>
        <v>13.814468154996822</v>
      </c>
      <c r="I75">
        <f t="shared" si="84"/>
        <v>11.763148104246508</v>
      </c>
      <c r="J75">
        <f t="shared" si="84"/>
        <v>9.2401168689029376</v>
      </c>
      <c r="K75">
        <f t="shared" si="84"/>
        <v>6.5860691110371228</v>
      </c>
      <c r="L75">
        <f t="shared" si="74"/>
        <v>26.277690365498078</v>
      </c>
      <c r="M75">
        <f t="shared" si="75"/>
        <v>-0.68769036549807794</v>
      </c>
      <c r="N75">
        <f t="shared" si="76"/>
        <v>0.47291803879888</v>
      </c>
    </row>
    <row r="76" spans="1:14" x14ac:dyDescent="0.45">
      <c r="A76" s="22">
        <v>42766</v>
      </c>
      <c r="B76">
        <v>26.29</v>
      </c>
      <c r="C76">
        <v>26.21</v>
      </c>
      <c r="G76">
        <f t="shared" ref="G76:K76" si="85">SUMPRODUCT($B76:$B80,P$2:P$6)</f>
        <v>15.821755134171141</v>
      </c>
      <c r="H76">
        <f t="shared" si="85"/>
        <v>13.865256306880806</v>
      </c>
      <c r="I76">
        <f t="shared" si="85"/>
        <v>11.806333425086514</v>
      </c>
      <c r="J76">
        <f t="shared" si="85"/>
        <v>9.2757383898994963</v>
      </c>
      <c r="K76">
        <f t="shared" si="85"/>
        <v>6.6131985742339188</v>
      </c>
      <c r="L76">
        <f t="shared" si="74"/>
        <v>26.37514757091504</v>
      </c>
      <c r="M76">
        <f t="shared" si="75"/>
        <v>-9.5147570915038671E-2</v>
      </c>
      <c r="N76">
        <f t="shared" si="76"/>
        <v>9.0530602510323129E-3</v>
      </c>
    </row>
    <row r="77" spans="1:14" x14ac:dyDescent="0.45">
      <c r="A77" s="22">
        <v>42765</v>
      </c>
      <c r="B77">
        <v>26.71</v>
      </c>
      <c r="C77">
        <v>26.32</v>
      </c>
      <c r="G77">
        <f t="shared" ref="G77:K77" si="86">SUMPRODUCT($B77:$B81,P$2:P$6)</f>
        <v>16.060664571466582</v>
      </c>
      <c r="H77">
        <f t="shared" si="86"/>
        <v>14.074471385279642</v>
      </c>
      <c r="I77">
        <f t="shared" si="86"/>
        <v>11.984571292509242</v>
      </c>
      <c r="J77">
        <f t="shared" si="86"/>
        <v>9.4152448078139575</v>
      </c>
      <c r="K77">
        <f t="shared" si="86"/>
        <v>6.7121828468136853</v>
      </c>
      <c r="L77">
        <f t="shared" si="74"/>
        <v>26.772310993045032</v>
      </c>
      <c r="M77">
        <f t="shared" si="75"/>
        <v>-0.48231099304503289</v>
      </c>
      <c r="N77">
        <f t="shared" si="76"/>
        <v>0.23262389401208577</v>
      </c>
    </row>
    <row r="78" spans="1:14" x14ac:dyDescent="0.45">
      <c r="A78" s="22">
        <v>42762</v>
      </c>
      <c r="B78">
        <v>26.05</v>
      </c>
      <c r="C78">
        <v>26.49</v>
      </c>
      <c r="G78">
        <f t="shared" ref="G78:K78" si="87">SUMPRODUCT($B78:$B82,P$2:P$6)</f>
        <v>15.715944902136068</v>
      </c>
      <c r="H78">
        <f t="shared" si="87"/>
        <v>13.772962321936626</v>
      </c>
      <c r="I78">
        <f t="shared" si="87"/>
        <v>11.728403886819606</v>
      </c>
      <c r="J78">
        <f t="shared" si="87"/>
        <v>9.2151158965193076</v>
      </c>
      <c r="K78">
        <f t="shared" si="87"/>
        <v>6.5711851880772674</v>
      </c>
      <c r="L78">
        <f t="shared" si="74"/>
        <v>26.20078793482659</v>
      </c>
      <c r="M78">
        <f t="shared" si="75"/>
        <v>0.50921206517341133</v>
      </c>
      <c r="N78">
        <f t="shared" si="76"/>
        <v>0.2592969273181705</v>
      </c>
    </row>
    <row r="79" spans="1:14" x14ac:dyDescent="0.45">
      <c r="A79" s="22">
        <v>42761</v>
      </c>
      <c r="B79">
        <v>27.27</v>
      </c>
      <c r="C79">
        <v>25.99</v>
      </c>
      <c r="G79">
        <f t="shared" ref="G79:K79" si="88">SUMPRODUCT($B79:$B83,P$2:P$6)</f>
        <v>16.41006695109359</v>
      </c>
      <c r="H79">
        <f t="shared" si="88"/>
        <v>14.38080653921102</v>
      </c>
      <c r="I79">
        <f t="shared" si="88"/>
        <v>12.245713547051999</v>
      </c>
      <c r="J79">
        <f t="shared" si="88"/>
        <v>9.6205269538502911</v>
      </c>
      <c r="K79">
        <f t="shared" si="88"/>
        <v>6.8589151105386641</v>
      </c>
      <c r="L79">
        <f t="shared" si="74"/>
        <v>27.354531078877969</v>
      </c>
      <c r="M79">
        <f t="shared" si="75"/>
        <v>-1.304531078877968</v>
      </c>
      <c r="N79">
        <f t="shared" si="76"/>
        <v>1.7018013357585153</v>
      </c>
    </row>
    <row r="80" spans="1:14" x14ac:dyDescent="0.45">
      <c r="A80" s="22">
        <v>42760</v>
      </c>
      <c r="B80">
        <v>31.23</v>
      </c>
      <c r="C80">
        <v>31.56</v>
      </c>
      <c r="G80">
        <f t="shared" ref="G80:K80" si="89">SUMPRODUCT($B80:$B84,P$2:P$6)</f>
        <v>18.691109510063413</v>
      </c>
      <c r="H80">
        <f t="shared" si="89"/>
        <v>16.378650115628229</v>
      </c>
      <c r="I80">
        <f t="shared" si="89"/>
        <v>13.946360681768931</v>
      </c>
      <c r="J80">
        <f t="shared" si="89"/>
        <v>10.953898631057363</v>
      </c>
      <c r="K80">
        <f t="shared" si="89"/>
        <v>7.8061897609301445</v>
      </c>
      <c r="L80">
        <f t="shared" si="74"/>
        <v>31.147307403101117</v>
      </c>
      <c r="M80">
        <f t="shared" si="75"/>
        <v>-3.877307403101117</v>
      </c>
      <c r="N80">
        <f t="shared" si="76"/>
        <v>15.033512698142728</v>
      </c>
    </row>
    <row r="81" spans="1:14" x14ac:dyDescent="0.45">
      <c r="A81" s="22">
        <v>42759</v>
      </c>
      <c r="B81">
        <v>30.26</v>
      </c>
      <c r="C81">
        <v>31.19</v>
      </c>
      <c r="G81">
        <f t="shared" ref="G81:K81" si="90">SUMPRODUCT($B81:$B85,P$2:P$6)</f>
        <v>18.140831742248089</v>
      </c>
      <c r="H81">
        <f t="shared" si="90"/>
        <v>15.896788416930098</v>
      </c>
      <c r="I81">
        <f t="shared" si="90"/>
        <v>13.536193055047436</v>
      </c>
      <c r="J81">
        <f t="shared" si="90"/>
        <v>10.632581132484473</v>
      </c>
      <c r="K81">
        <f t="shared" si="90"/>
        <v>7.5782107490117925</v>
      </c>
      <c r="L81">
        <f t="shared" si="74"/>
        <v>30.232701064182375</v>
      </c>
      <c r="M81">
        <f t="shared" si="75"/>
        <v>0.99729893581762497</v>
      </c>
      <c r="N81">
        <f t="shared" si="76"/>
        <v>0.99460516738296723</v>
      </c>
    </row>
    <row r="82" spans="1:14" x14ac:dyDescent="0.45">
      <c r="A82" s="22">
        <v>42758</v>
      </c>
      <c r="B82">
        <v>30.09</v>
      </c>
      <c r="C82">
        <v>30.24</v>
      </c>
      <c r="G82">
        <f t="shared" ref="G82:K82" si="91">SUMPRODUCT($B82:$B86,P$2:P$6)</f>
        <v>18.028848782857057</v>
      </c>
      <c r="H82">
        <f t="shared" si="91"/>
        <v>15.798547549974021</v>
      </c>
      <c r="I82">
        <f t="shared" si="91"/>
        <v>13.452598823314558</v>
      </c>
      <c r="J82">
        <f t="shared" si="91"/>
        <v>10.566540948699354</v>
      </c>
      <c r="K82">
        <f t="shared" si="91"/>
        <v>7.5307937462329342</v>
      </c>
      <c r="L82">
        <f t="shared" si="74"/>
        <v>30.045919661068041</v>
      </c>
      <c r="M82">
        <f t="shared" si="75"/>
        <v>0.21408033893196077</v>
      </c>
      <c r="N82">
        <f t="shared" si="76"/>
        <v>4.58303915172232E-2</v>
      </c>
    </row>
    <row r="83" spans="1:14" x14ac:dyDescent="0.45">
      <c r="A83" s="22">
        <v>42755</v>
      </c>
      <c r="B83">
        <v>30.2</v>
      </c>
      <c r="C83">
        <v>30.02</v>
      </c>
      <c r="G83">
        <f t="shared" ref="G83:K83" si="92">SUMPRODUCT($B83:$B87,P$2:P$6)</f>
        <v>18.093731500024536</v>
      </c>
      <c r="H83">
        <f t="shared" si="92"/>
        <v>15.855392948198508</v>
      </c>
      <c r="I83">
        <f t="shared" si="92"/>
        <v>13.501043179477609</v>
      </c>
      <c r="J83">
        <f t="shared" si="92"/>
        <v>10.604521443480893</v>
      </c>
      <c r="K83">
        <f t="shared" si="92"/>
        <v>7.5578222253087137</v>
      </c>
      <c r="L83">
        <f t="shared" si="74"/>
        <v>30.153884698069739</v>
      </c>
      <c r="M83">
        <f t="shared" si="75"/>
        <v>-6.3884698069738732E-2</v>
      </c>
      <c r="N83">
        <f t="shared" si="76"/>
        <v>4.0812546474616801E-3</v>
      </c>
    </row>
    <row r="84" spans="1:14" x14ac:dyDescent="0.45">
      <c r="A84" s="22">
        <v>42754</v>
      </c>
      <c r="B84">
        <v>30.55</v>
      </c>
      <c r="C84">
        <v>30.07</v>
      </c>
      <c r="G84">
        <f t="shared" ref="G84:K84" si="93">SUMPRODUCT($B84:$B88,P$2:P$6)</f>
        <v>18.279770685559615</v>
      </c>
      <c r="H84">
        <f t="shared" si="93"/>
        <v>16.018154360521667</v>
      </c>
      <c r="I84">
        <f t="shared" si="93"/>
        <v>13.639442342295242</v>
      </c>
      <c r="J84">
        <f t="shared" si="93"/>
        <v>10.712655799534355</v>
      </c>
      <c r="K84">
        <f t="shared" si="93"/>
        <v>7.6341170183835949</v>
      </c>
      <c r="L84">
        <f t="shared" si="74"/>
        <v>30.462513314953597</v>
      </c>
      <c r="M84">
        <f t="shared" si="75"/>
        <v>-0.26251331495359764</v>
      </c>
      <c r="N84">
        <f t="shared" si="76"/>
        <v>6.8913240527926758E-2</v>
      </c>
    </row>
    <row r="85" spans="1:14" x14ac:dyDescent="0.45">
      <c r="A85" s="22">
        <v>42753</v>
      </c>
      <c r="B85">
        <v>31</v>
      </c>
      <c r="C85">
        <v>30.47</v>
      </c>
      <c r="G85">
        <f t="shared" ref="G85:K85" si="94">SUMPRODUCT($B85:$B89,P$2:P$6)</f>
        <v>18.545493724800743</v>
      </c>
      <c r="H85">
        <f t="shared" si="94"/>
        <v>16.250961575588832</v>
      </c>
      <c r="I85">
        <f t="shared" si="94"/>
        <v>13.837601747758052</v>
      </c>
      <c r="J85">
        <f t="shared" si="94"/>
        <v>10.868251911987326</v>
      </c>
      <c r="K85">
        <f t="shared" si="94"/>
        <v>7.7448896997499928</v>
      </c>
      <c r="L85">
        <f t="shared" si="74"/>
        <v>30.904610919192223</v>
      </c>
      <c r="M85">
        <f t="shared" si="75"/>
        <v>-0.35461091919222198</v>
      </c>
      <c r="N85">
        <f t="shared" si="76"/>
        <v>0.1257489040103526</v>
      </c>
    </row>
    <row r="86" spans="1:14" x14ac:dyDescent="0.45">
      <c r="A86" s="22">
        <v>42752</v>
      </c>
      <c r="B86">
        <v>29.8</v>
      </c>
      <c r="C86">
        <v>30.91</v>
      </c>
      <c r="G86">
        <f t="shared" ref="G86:K86" si="95">SUMPRODUCT($B86:$B90,P$2:P$6)</f>
        <v>17.860955682384883</v>
      </c>
      <c r="H86">
        <f t="shared" si="95"/>
        <v>15.651487535374494</v>
      </c>
      <c r="I86">
        <f t="shared" si="95"/>
        <v>13.32727013218941</v>
      </c>
      <c r="J86">
        <f t="shared" si="95"/>
        <v>10.468388031674342</v>
      </c>
      <c r="K86">
        <f t="shared" si="95"/>
        <v>7.4610525988831249</v>
      </c>
      <c r="L86">
        <f t="shared" si="74"/>
        <v>29.76667457228843</v>
      </c>
      <c r="M86">
        <f t="shared" si="75"/>
        <v>1.2333254277115699</v>
      </c>
      <c r="N86">
        <f t="shared" si="76"/>
        <v>1.521091610639927</v>
      </c>
    </row>
    <row r="87" spans="1:14" x14ac:dyDescent="0.45">
      <c r="A87" s="22">
        <v>42748</v>
      </c>
      <c r="B87">
        <v>29.62</v>
      </c>
      <c r="C87">
        <v>29.52</v>
      </c>
      <c r="G87">
        <f t="shared" ref="G87:K87" si="96">SUMPRODUCT($B87:$B91,P$2:P$6)</f>
        <v>17.761244991804169</v>
      </c>
      <c r="H87">
        <f t="shared" si="96"/>
        <v>15.564202680078475</v>
      </c>
      <c r="I87">
        <f t="shared" si="96"/>
        <v>13.253041190865629</v>
      </c>
      <c r="J87">
        <f t="shared" si="96"/>
        <v>10.410254019290198</v>
      </c>
      <c r="K87">
        <f t="shared" si="96"/>
        <v>7.419882264709651</v>
      </c>
      <c r="L87">
        <f t="shared" si="74"/>
        <v>29.601072690665287</v>
      </c>
      <c r="M87">
        <f t="shared" si="75"/>
        <v>0.1989273093347137</v>
      </c>
      <c r="N87">
        <f t="shared" si="76"/>
        <v>3.9572074399148872E-2</v>
      </c>
    </row>
    <row r="88" spans="1:14" x14ac:dyDescent="0.45">
      <c r="A88" s="22">
        <v>42747</v>
      </c>
      <c r="B88">
        <v>29.35</v>
      </c>
      <c r="C88">
        <v>29.59</v>
      </c>
      <c r="G88">
        <f t="shared" ref="G88:K88" si="97">SUMPRODUCT($B88:$B92,P$2:P$6)</f>
        <v>17.620141652645852</v>
      </c>
      <c r="H88">
        <f t="shared" si="97"/>
        <v>15.440784145529022</v>
      </c>
      <c r="I88">
        <f t="shared" si="97"/>
        <v>13.148056320808838</v>
      </c>
      <c r="J88">
        <f t="shared" si="97"/>
        <v>10.328352040945452</v>
      </c>
      <c r="K88">
        <f t="shared" si="97"/>
        <v>7.3621939346725807</v>
      </c>
      <c r="L88">
        <f t="shared" si="74"/>
        <v>29.367087754396913</v>
      </c>
      <c r="M88">
        <f t="shared" si="75"/>
        <v>0.25291224560308834</v>
      </c>
      <c r="N88">
        <f t="shared" si="76"/>
        <v>6.3964603975996875E-2</v>
      </c>
    </row>
    <row r="89" spans="1:14" x14ac:dyDescent="0.45">
      <c r="A89" s="22">
        <v>42746</v>
      </c>
      <c r="B89">
        <v>29.94</v>
      </c>
      <c r="C89">
        <v>29.51</v>
      </c>
      <c r="G89">
        <f t="shared" ref="G89:K89" si="98">SUMPRODUCT($B89:$B93,P$2:P$6)</f>
        <v>17.930176457074772</v>
      </c>
      <c r="H89">
        <f t="shared" si="98"/>
        <v>15.711984597404701</v>
      </c>
      <c r="I89">
        <f t="shared" si="98"/>
        <v>13.378884667698973</v>
      </c>
      <c r="J89">
        <f t="shared" si="98"/>
        <v>10.508364427651337</v>
      </c>
      <c r="K89">
        <f t="shared" si="98"/>
        <v>7.4890347625593048</v>
      </c>
      <c r="L89">
        <f t="shared" si="74"/>
        <v>29.881326319166767</v>
      </c>
      <c r="M89">
        <f t="shared" si="75"/>
        <v>-0.53132631916676587</v>
      </c>
      <c r="N89">
        <f t="shared" si="76"/>
        <v>0.28230765743930397</v>
      </c>
    </row>
    <row r="90" spans="1:14" x14ac:dyDescent="0.45">
      <c r="A90" s="22">
        <v>42745</v>
      </c>
      <c r="B90">
        <v>30.5</v>
      </c>
      <c r="C90">
        <v>29.91</v>
      </c>
      <c r="G90">
        <f t="shared" ref="G90:K90" si="99">SUMPRODUCT($B90:$B94,P$2:P$6)</f>
        <v>18.251001743286238</v>
      </c>
      <c r="H90">
        <f t="shared" si="99"/>
        <v>15.99295918430205</v>
      </c>
      <c r="I90">
        <f t="shared" si="99"/>
        <v>13.61813630924461</v>
      </c>
      <c r="J90">
        <f t="shared" si="99"/>
        <v>10.695817857547521</v>
      </c>
      <c r="K90">
        <f t="shared" si="99"/>
        <v>7.6221363442306052</v>
      </c>
      <c r="L90">
        <f t="shared" si="74"/>
        <v>30.414725053629141</v>
      </c>
      <c r="M90">
        <f t="shared" si="75"/>
        <v>-0.47472505362913964</v>
      </c>
      <c r="N90">
        <f t="shared" si="76"/>
        <v>0.22536387654318951</v>
      </c>
    </row>
    <row r="91" spans="1:14" x14ac:dyDescent="0.45">
      <c r="A91" s="22">
        <v>42744</v>
      </c>
      <c r="B91">
        <v>30.38</v>
      </c>
      <c r="C91">
        <v>30.52</v>
      </c>
      <c r="G91">
        <f t="shared" ref="G91:K91" si="100">SUMPRODUCT($B91:$B95,P$2:P$6)</f>
        <v>18.150502396728157</v>
      </c>
      <c r="H91">
        <f t="shared" si="100"/>
        <v>15.904574215596018</v>
      </c>
      <c r="I91">
        <f t="shared" si="100"/>
        <v>13.542650590827543</v>
      </c>
      <c r="J91">
        <f t="shared" si="100"/>
        <v>10.6358255757902</v>
      </c>
      <c r="K91">
        <f t="shared" si="100"/>
        <v>7.578444735341928</v>
      </c>
      <c r="L91">
        <f t="shared" si="74"/>
        <v>30.246215740202739</v>
      </c>
      <c r="M91">
        <f t="shared" si="75"/>
        <v>0.2537842597972606</v>
      </c>
      <c r="N91">
        <f t="shared" si="76"/>
        <v>6.440645052084347E-2</v>
      </c>
    </row>
    <row r="92" spans="1:14" x14ac:dyDescent="0.45">
      <c r="A92" s="22">
        <v>42741</v>
      </c>
      <c r="B92">
        <v>30.99</v>
      </c>
      <c r="C92">
        <v>30.47</v>
      </c>
      <c r="G92">
        <f t="shared" ref="G92:K92" si="101">SUMPRODUCT($B92:$B96,P$2:P$6)</f>
        <v>18.497829469433697</v>
      </c>
      <c r="H92">
        <f t="shared" si="101"/>
        <v>16.208732403446849</v>
      </c>
      <c r="I92">
        <f t="shared" si="101"/>
        <v>13.801505416372439</v>
      </c>
      <c r="J92">
        <f t="shared" si="101"/>
        <v>10.838696706627427</v>
      </c>
      <c r="K92">
        <f t="shared" si="101"/>
        <v>7.7224370293753184</v>
      </c>
      <c r="L92">
        <f t="shared" si="74"/>
        <v>30.823540135273365</v>
      </c>
      <c r="M92">
        <f t="shared" si="75"/>
        <v>-0.44354013527336633</v>
      </c>
      <c r="N92">
        <f t="shared" si="76"/>
        <v>0.1967278515983161</v>
      </c>
    </row>
    <row r="93" spans="1:14" x14ac:dyDescent="0.45">
      <c r="A93" s="22">
        <v>42740</v>
      </c>
      <c r="B93">
        <v>29.06</v>
      </c>
      <c r="C93">
        <v>30.94</v>
      </c>
      <c r="G93">
        <f t="shared" ref="G93:K93" si="102">SUMPRODUCT($B93:$B97,P$2:P$6)</f>
        <v>17.377774563060701</v>
      </c>
      <c r="H93">
        <f t="shared" si="102"/>
        <v>15.227638949617129</v>
      </c>
      <c r="I93">
        <f t="shared" si="102"/>
        <v>12.966234497595194</v>
      </c>
      <c r="J93">
        <f t="shared" si="102"/>
        <v>10.183652263716985</v>
      </c>
      <c r="K93">
        <f t="shared" si="102"/>
        <v>7.2567937321987639</v>
      </c>
      <c r="L93">
        <f t="shared" si="74"/>
        <v>28.960790193832253</v>
      </c>
      <c r="M93">
        <f t="shared" si="75"/>
        <v>2.0292098061677457</v>
      </c>
      <c r="N93">
        <f t="shared" si="76"/>
        <v>4.1176924374473405</v>
      </c>
    </row>
    <row r="94" spans="1:14" x14ac:dyDescent="0.45">
      <c r="A94" s="22">
        <v>42739</v>
      </c>
      <c r="B94">
        <v>28.58</v>
      </c>
      <c r="C94">
        <v>29.26</v>
      </c>
      <c r="G94">
        <f t="shared" ref="G94:K94" si="103">SUMPRODUCT($B94:$B98,P$2:P$6)</f>
        <v>17.105871727730907</v>
      </c>
      <c r="H94">
        <f t="shared" si="103"/>
        <v>14.989546490765385</v>
      </c>
      <c r="I94">
        <f t="shared" si="103"/>
        <v>12.763568500584777</v>
      </c>
      <c r="J94">
        <f t="shared" si="103"/>
        <v>10.024899245526502</v>
      </c>
      <c r="K94">
        <f t="shared" si="103"/>
        <v>7.1441704620178479</v>
      </c>
      <c r="L94">
        <f t="shared" si="74"/>
        <v>28.50888319061454</v>
      </c>
      <c r="M94">
        <f t="shared" si="75"/>
        <v>0.55111680938545859</v>
      </c>
      <c r="N94">
        <f t="shared" si="76"/>
        <v>0.30372973758720789</v>
      </c>
    </row>
    <row r="95" spans="1:14" x14ac:dyDescent="0.45">
      <c r="A95" s="22">
        <v>42738</v>
      </c>
      <c r="B95">
        <v>27.67</v>
      </c>
      <c r="C95">
        <v>28.48</v>
      </c>
      <c r="G95">
        <f t="shared" ref="G95:K95" si="104">SUMPRODUCT($B95:$B99,P$2:P$6)</f>
        <v>16.589580648744448</v>
      </c>
      <c r="H95">
        <f t="shared" si="104"/>
        <v>14.537445037635752</v>
      </c>
      <c r="I95">
        <f t="shared" si="104"/>
        <v>12.378709104773895</v>
      </c>
      <c r="J95">
        <f t="shared" si="104"/>
        <v>9.7234289635611066</v>
      </c>
      <c r="K95">
        <f t="shared" si="104"/>
        <v>6.930274798400001</v>
      </c>
      <c r="L95">
        <f t="shared" si="74"/>
        <v>27.650755514345022</v>
      </c>
      <c r="M95">
        <f t="shared" si="75"/>
        <v>0.92924448565497642</v>
      </c>
      <c r="N95">
        <f t="shared" si="76"/>
        <v>0.86349531412018166</v>
      </c>
    </row>
    <row r="96" spans="1:14" x14ac:dyDescent="0.45">
      <c r="A96" s="22">
        <v>42734</v>
      </c>
      <c r="B96">
        <v>27.74</v>
      </c>
      <c r="C96">
        <v>27.55</v>
      </c>
      <c r="G96">
        <f t="shared" ref="G96:K96" si="105">SUMPRODUCT($B96:$B100,P$2:P$6)</f>
        <v>16.632687558037862</v>
      </c>
      <c r="H96">
        <f t="shared" si="105"/>
        <v>14.575232400110636</v>
      </c>
      <c r="I96">
        <f t="shared" si="105"/>
        <v>12.410905819907054</v>
      </c>
      <c r="J96">
        <f t="shared" si="105"/>
        <v>9.7487361407375932</v>
      </c>
      <c r="K96">
        <f t="shared" si="105"/>
        <v>6.9483478698405889</v>
      </c>
      <c r="L96">
        <f t="shared" si="74"/>
        <v>27.722558510309881</v>
      </c>
      <c r="M96">
        <f t="shared" si="75"/>
        <v>-5.2558510309879125E-2</v>
      </c>
      <c r="N96">
        <f t="shared" si="76"/>
        <v>2.7623970059936702E-3</v>
      </c>
    </row>
    <row r="97" spans="1:14" x14ac:dyDescent="0.45">
      <c r="A97" s="22">
        <v>42733</v>
      </c>
      <c r="B97">
        <v>27.64</v>
      </c>
      <c r="C97">
        <v>27.63</v>
      </c>
      <c r="G97">
        <f t="shared" ref="G97:K97" si="106">SUMPRODUCT($B97:$B101,P$2:P$6)</f>
        <v>16.580945273694471</v>
      </c>
      <c r="H97">
        <f t="shared" si="106"/>
        <v>14.529982128441929</v>
      </c>
      <c r="I97">
        <f t="shared" si="106"/>
        <v>12.372455458392981</v>
      </c>
      <c r="J97">
        <f t="shared" si="106"/>
        <v>9.7187197162407379</v>
      </c>
      <c r="K97">
        <f t="shared" si="106"/>
        <v>6.9272200624260547</v>
      </c>
      <c r="L97">
        <f t="shared" si="74"/>
        <v>27.636794260262402</v>
      </c>
      <c r="M97">
        <f t="shared" si="75"/>
        <v>0.1032057397375965</v>
      </c>
      <c r="N97">
        <f t="shared" si="76"/>
        <v>1.0651424714784506E-2</v>
      </c>
    </row>
    <row r="98" spans="1:14" x14ac:dyDescent="0.45">
      <c r="A98" s="22">
        <v>42732</v>
      </c>
      <c r="B98">
        <v>27.88</v>
      </c>
      <c r="C98">
        <v>27.59</v>
      </c>
      <c r="G98">
        <f t="shared" ref="G98:K98" si="107">SUMPRODUCT($B98:$B102,P$2:P$6)</f>
        <v>16.726505542301815</v>
      </c>
      <c r="H98">
        <f t="shared" si="107"/>
        <v>14.657554673807743</v>
      </c>
      <c r="I98">
        <f t="shared" si="107"/>
        <v>12.4810610969667</v>
      </c>
      <c r="J98">
        <f t="shared" si="107"/>
        <v>9.8041043878736858</v>
      </c>
      <c r="K98">
        <f t="shared" si="107"/>
        <v>6.9881365530769228</v>
      </c>
      <c r="L98">
        <f t="shared" si="74"/>
        <v>27.879135221226928</v>
      </c>
      <c r="M98">
        <f t="shared" si="75"/>
        <v>-0.23913522122692754</v>
      </c>
      <c r="N98">
        <f t="shared" si="76"/>
        <v>5.7185654031251573E-2</v>
      </c>
    </row>
    <row r="99" spans="1:14" x14ac:dyDescent="0.45">
      <c r="A99" s="22">
        <v>42731</v>
      </c>
      <c r="B99">
        <v>28.43</v>
      </c>
      <c r="C99">
        <v>27.83</v>
      </c>
      <c r="G99">
        <f t="shared" ref="G99:K99" si="108">SUMPRODUCT($B99:$B103,P$2:P$6)</f>
        <v>17.036057286935524</v>
      </c>
      <c r="H99">
        <f t="shared" si="108"/>
        <v>14.928591273952769</v>
      </c>
      <c r="I99">
        <f t="shared" si="108"/>
        <v>12.711781997613478</v>
      </c>
      <c r="J99">
        <f t="shared" si="108"/>
        <v>9.9847533601164091</v>
      </c>
      <c r="K99">
        <f t="shared" si="108"/>
        <v>7.116219848285775</v>
      </c>
      <c r="L99">
        <f t="shared" si="74"/>
        <v>28.393533293915805</v>
      </c>
      <c r="M99">
        <f t="shared" si="75"/>
        <v>-0.51353329391580615</v>
      </c>
      <c r="N99">
        <f t="shared" si="76"/>
        <v>0.26371644396001775</v>
      </c>
    </row>
    <row r="100" spans="1:14" x14ac:dyDescent="0.45">
      <c r="A100" s="22">
        <v>42727</v>
      </c>
      <c r="B100">
        <v>28.47</v>
      </c>
      <c r="C100">
        <v>28.34</v>
      </c>
      <c r="G100">
        <f t="shared" ref="G100:K100" si="109">SUMPRODUCT($B100:$B104,P$2:P$6)</f>
        <v>17.062225167380856</v>
      </c>
      <c r="H100">
        <f t="shared" si="109"/>
        <v>14.951546909381321</v>
      </c>
      <c r="I100">
        <f t="shared" si="109"/>
        <v>12.731383201180282</v>
      </c>
      <c r="J100">
        <f t="shared" si="109"/>
        <v>10.000168210307123</v>
      </c>
      <c r="K100">
        <f t="shared" si="109"/>
        <v>7.127272853695426</v>
      </c>
      <c r="L100">
        <f t="shared" si="74"/>
        <v>28.437195199999383</v>
      </c>
      <c r="M100">
        <f t="shared" si="75"/>
        <v>-7.1951999993835614E-3</v>
      </c>
      <c r="N100">
        <f t="shared" si="76"/>
        <v>5.1770903031129204E-5</v>
      </c>
    </row>
    <row r="101" spans="1:14" x14ac:dyDescent="0.45">
      <c r="A101" s="22">
        <v>42726</v>
      </c>
      <c r="B101">
        <v>28.51</v>
      </c>
      <c r="C101">
        <v>28.34</v>
      </c>
      <c r="G101">
        <f t="shared" ref="G101:K101" si="110">SUMPRODUCT($B101:$B105,P$2:P$6)</f>
        <v>17.094763677036592</v>
      </c>
      <c r="H101">
        <f t="shared" si="110"/>
        <v>14.980154037688923</v>
      </c>
      <c r="I101">
        <f t="shared" si="110"/>
        <v>12.75568251819911</v>
      </c>
      <c r="J101">
        <f t="shared" si="110"/>
        <v>10.019585938810856</v>
      </c>
      <c r="K101">
        <f t="shared" si="110"/>
        <v>7.1414096484973575</v>
      </c>
      <c r="L101">
        <f t="shared" si="74"/>
        <v>28.491682358068836</v>
      </c>
      <c r="M101">
        <f t="shared" si="75"/>
        <v>-2.1682358068837004E-2</v>
      </c>
      <c r="N101">
        <f t="shared" si="76"/>
        <v>4.7012465142526116E-4</v>
      </c>
    </row>
    <row r="102" spans="1:14" x14ac:dyDescent="0.45">
      <c r="A102" s="22">
        <v>42725</v>
      </c>
      <c r="B102">
        <v>29</v>
      </c>
      <c r="C102">
        <v>28.52</v>
      </c>
      <c r="G102">
        <f t="shared" ref="G102:K102" si="111">SUMPRODUCT($B102:$B106,P$2:P$6)</f>
        <v>17.381765987445071</v>
      </c>
      <c r="H102">
        <f t="shared" si="111"/>
        <v>15.231578517791753</v>
      </c>
      <c r="I102">
        <f t="shared" si="111"/>
        <v>12.969698706009403</v>
      </c>
      <c r="J102">
        <f t="shared" si="111"/>
        <v>10.187547323475908</v>
      </c>
      <c r="K102">
        <f t="shared" si="111"/>
        <v>7.2609038324229029</v>
      </c>
      <c r="L102">
        <f t="shared" si="74"/>
        <v>28.969090468078047</v>
      </c>
      <c r="M102">
        <f t="shared" si="75"/>
        <v>-0.45909046807804543</v>
      </c>
      <c r="N102">
        <f t="shared" si="76"/>
        <v>0.21076405788011884</v>
      </c>
    </row>
    <row r="103" spans="1:14" x14ac:dyDescent="0.45">
      <c r="A103" s="22">
        <v>42724</v>
      </c>
      <c r="B103">
        <v>28.51</v>
      </c>
      <c r="C103">
        <v>28.9</v>
      </c>
      <c r="G103">
        <f t="shared" ref="G103:K103" si="112">SUMPRODUCT($B103:$B107,P$2:P$6)</f>
        <v>17.107347303250997</v>
      </c>
      <c r="H103">
        <f t="shared" si="112"/>
        <v>14.991321054448308</v>
      </c>
      <c r="I103">
        <f t="shared" si="112"/>
        <v>12.765299138074749</v>
      </c>
      <c r="J103">
        <f t="shared" si="112"/>
        <v>10.027439466391488</v>
      </c>
      <c r="K103">
        <f t="shared" si="112"/>
        <v>7.1474171926862669</v>
      </c>
      <c r="L103">
        <f t="shared" si="74"/>
        <v>28.51317275279381</v>
      </c>
      <c r="M103">
        <f t="shared" si="75"/>
        <v>0.48682724720618964</v>
      </c>
      <c r="N103">
        <f t="shared" si="76"/>
        <v>0.23700076862235647</v>
      </c>
    </row>
    <row r="104" spans="1:14" x14ac:dyDescent="0.45">
      <c r="A104" s="22">
        <v>42723</v>
      </c>
      <c r="B104">
        <v>28.41</v>
      </c>
      <c r="C104">
        <v>28.36</v>
      </c>
      <c r="G104">
        <f t="shared" ref="G104:K104" si="113">SUMPRODUCT($B104:$B108,P$2:P$6)</f>
        <v>17.050292944308776</v>
      </c>
      <c r="H104">
        <f t="shared" si="113"/>
        <v>14.941357045435279</v>
      </c>
      <c r="I104">
        <f t="shared" si="113"/>
        <v>12.722817933150349</v>
      </c>
      <c r="J104">
        <f t="shared" si="113"/>
        <v>9.9941033500184311</v>
      </c>
      <c r="K104">
        <f t="shared" si="113"/>
        <v>7.1237463048026788</v>
      </c>
      <c r="L104">
        <f t="shared" si="74"/>
        <v>28.418345785046863</v>
      </c>
      <c r="M104">
        <f t="shared" si="75"/>
        <v>9.165421495313808E-2</v>
      </c>
      <c r="N104">
        <f t="shared" si="76"/>
        <v>8.4004951186760404E-3</v>
      </c>
    </row>
    <row r="105" spans="1:14" x14ac:dyDescent="0.45">
      <c r="A105" s="22">
        <v>42720</v>
      </c>
      <c r="B105">
        <v>29.38</v>
      </c>
      <c r="C105">
        <v>28.81</v>
      </c>
      <c r="G105">
        <f t="shared" ref="G105:K105" si="114">SUMPRODUCT($B105:$B109,P$2:P$6)</f>
        <v>17.606605258250703</v>
      </c>
      <c r="H105">
        <f t="shared" si="114"/>
        <v>15.428573358383941</v>
      </c>
      <c r="I105">
        <f t="shared" si="114"/>
        <v>13.13754613917396</v>
      </c>
      <c r="J105">
        <f t="shared" si="114"/>
        <v>10.319195202909388</v>
      </c>
      <c r="K105">
        <f t="shared" si="114"/>
        <v>7.3546189722756372</v>
      </c>
      <c r="L105">
        <f t="shared" si="74"/>
        <v>29.343241620159475</v>
      </c>
      <c r="M105">
        <f t="shared" si="75"/>
        <v>-0.93324162015947465</v>
      </c>
      <c r="N105">
        <f t="shared" si="76"/>
        <v>0.87093992159788114</v>
      </c>
    </row>
    <row r="106" spans="1:14" x14ac:dyDescent="0.45">
      <c r="A106" s="22">
        <v>42719</v>
      </c>
      <c r="B106">
        <v>29.8</v>
      </c>
      <c r="C106">
        <v>29.07</v>
      </c>
      <c r="G106">
        <f t="shared" ref="G106:K106" si="115">SUMPRODUCT($B106:$B110,P$2:P$6)</f>
        <v>17.849838682883838</v>
      </c>
      <c r="H106">
        <f t="shared" si="115"/>
        <v>15.64162322295588</v>
      </c>
      <c r="I106">
        <f t="shared" si="115"/>
        <v>13.318877346565127</v>
      </c>
      <c r="J106">
        <f t="shared" si="115"/>
        <v>10.461433559430654</v>
      </c>
      <c r="K106">
        <f t="shared" si="115"/>
        <v>7.4557196618980957</v>
      </c>
      <c r="L106">
        <f t="shared" si="74"/>
        <v>29.747721874645201</v>
      </c>
      <c r="M106">
        <f t="shared" si="75"/>
        <v>-0.36772187464520201</v>
      </c>
      <c r="N106">
        <f t="shared" si="76"/>
        <v>0.13521937709258167</v>
      </c>
    </row>
    <row r="107" spans="1:14" x14ac:dyDescent="0.45">
      <c r="A107" s="22">
        <v>42718</v>
      </c>
      <c r="B107">
        <v>29.68</v>
      </c>
      <c r="C107">
        <v>29.65</v>
      </c>
      <c r="G107">
        <f t="shared" ref="G107:K107" si="116">SUMPRODUCT($B107:$B111,P$2:P$6)</f>
        <v>17.778934221072667</v>
      </c>
      <c r="H107">
        <f t="shared" si="116"/>
        <v>15.579501275160901</v>
      </c>
      <c r="I107">
        <f t="shared" si="116"/>
        <v>13.265991210512867</v>
      </c>
      <c r="J107">
        <f t="shared" si="116"/>
        <v>10.419914500116819</v>
      </c>
      <c r="K107">
        <f t="shared" si="116"/>
        <v>7.4261610598348842</v>
      </c>
      <c r="L107">
        <f t="shared" si="74"/>
        <v>29.629749330868314</v>
      </c>
      <c r="M107">
        <f t="shared" si="75"/>
        <v>0.17025066913168629</v>
      </c>
      <c r="N107">
        <f t="shared" si="76"/>
        <v>2.8985290339786921E-2</v>
      </c>
    </row>
    <row r="108" spans="1:14" x14ac:dyDescent="0.45">
      <c r="A108" s="22">
        <v>42717</v>
      </c>
      <c r="B108">
        <v>29.44</v>
      </c>
      <c r="C108">
        <v>29.65</v>
      </c>
      <c r="G108">
        <f t="shared" ref="G108:K108" si="117">SUMPRODUCT($B108:$B112,P$2:P$6)</f>
        <v>17.640383792131935</v>
      </c>
      <c r="H108">
        <f t="shared" si="117"/>
        <v>15.458149191616828</v>
      </c>
      <c r="I108">
        <f t="shared" si="117"/>
        <v>13.162721988394985</v>
      </c>
      <c r="J108">
        <f t="shared" si="117"/>
        <v>10.338908162488433</v>
      </c>
      <c r="K108">
        <f t="shared" si="117"/>
        <v>7.3685962692846312</v>
      </c>
      <c r="L108">
        <f t="shared" si="74"/>
        <v>29.39937328362381</v>
      </c>
      <c r="M108">
        <f t="shared" si="75"/>
        <v>0.28062671637619019</v>
      </c>
      <c r="N108">
        <f t="shared" si="76"/>
        <v>7.8751353944082697E-2</v>
      </c>
    </row>
    <row r="109" spans="1:14" x14ac:dyDescent="0.45">
      <c r="A109" s="22">
        <v>42716</v>
      </c>
      <c r="B109">
        <v>29.41</v>
      </c>
      <c r="C109">
        <v>29.41</v>
      </c>
      <c r="G109">
        <f t="shared" ref="G109:K109" si="118">SUMPRODUCT($B109:$B113,P$2:P$6)</f>
        <v>17.628512905807142</v>
      </c>
      <c r="H109">
        <f t="shared" si="118"/>
        <v>15.447814078178155</v>
      </c>
      <c r="I109">
        <f t="shared" si="118"/>
        <v>13.153914398613463</v>
      </c>
      <c r="J109">
        <f t="shared" si="118"/>
        <v>10.332192362585342</v>
      </c>
      <c r="K109">
        <f t="shared" si="118"/>
        <v>7.3640170238698968</v>
      </c>
      <c r="L109">
        <f t="shared" si="74"/>
        <v>29.379860327549931</v>
      </c>
      <c r="M109">
        <f t="shared" si="75"/>
        <v>6.0139672450070236E-2</v>
      </c>
      <c r="N109">
        <f t="shared" si="76"/>
        <v>3.6167802024017369E-3</v>
      </c>
    </row>
    <row r="110" spans="1:14" x14ac:dyDescent="0.45">
      <c r="A110" s="22">
        <v>42713</v>
      </c>
      <c r="B110">
        <v>29.68</v>
      </c>
      <c r="C110">
        <v>29.49</v>
      </c>
      <c r="G110">
        <f t="shared" ref="G110:K110" si="119">SUMPRODUCT($B110:$B114,P$2:P$6)</f>
        <v>17.787218143105147</v>
      </c>
      <c r="H110">
        <f t="shared" si="119"/>
        <v>15.586851770820905</v>
      </c>
      <c r="I110">
        <f t="shared" si="119"/>
        <v>13.272247290704492</v>
      </c>
      <c r="J110">
        <f t="shared" si="119"/>
        <v>10.425096390526807</v>
      </c>
      <c r="K110">
        <f t="shared" si="119"/>
        <v>7.4301344052172356</v>
      </c>
      <c r="L110">
        <f t="shared" si="74"/>
        <v>29.643872781798571</v>
      </c>
      <c r="M110">
        <f t="shared" si="75"/>
        <v>-0.23387278179857063</v>
      </c>
      <c r="N110">
        <f t="shared" si="76"/>
        <v>5.4696478066201829E-2</v>
      </c>
    </row>
    <row r="111" spans="1:14" x14ac:dyDescent="0.45">
      <c r="A111" s="22">
        <v>42712</v>
      </c>
      <c r="B111">
        <v>29.57</v>
      </c>
      <c r="C111">
        <v>29.68</v>
      </c>
      <c r="G111">
        <f t="shared" ref="G111:K111" si="120">SUMPRODUCT($B111:$B115,P$2:P$6)</f>
        <v>17.730729930995057</v>
      </c>
      <c r="H111">
        <f t="shared" si="120"/>
        <v>15.537456288068096</v>
      </c>
      <c r="I111">
        <f t="shared" si="120"/>
        <v>13.230255613071412</v>
      </c>
      <c r="J111">
        <f t="shared" si="120"/>
        <v>10.392349218920332</v>
      </c>
      <c r="K111">
        <f t="shared" si="120"/>
        <v>7.407104130172935</v>
      </c>
      <c r="L111">
        <f t="shared" si="74"/>
        <v>29.550255953718757</v>
      </c>
      <c r="M111">
        <f t="shared" si="75"/>
        <v>0.12974404628124248</v>
      </c>
      <c r="N111">
        <f t="shared" si="76"/>
        <v>1.6833517545429191E-2</v>
      </c>
    </row>
    <row r="112" spans="1:14" x14ac:dyDescent="0.45">
      <c r="A112" s="22">
        <v>42711</v>
      </c>
      <c r="B112">
        <v>29.36</v>
      </c>
      <c r="C112">
        <v>29.56</v>
      </c>
      <c r="G112">
        <f t="shared" ref="G112:K112" si="121">SUMPRODUCT($B112:$B116,P$2:P$6)</f>
        <v>17.631098190762199</v>
      </c>
      <c r="H112">
        <f t="shared" si="121"/>
        <v>15.450439604782186</v>
      </c>
      <c r="I112">
        <f t="shared" si="121"/>
        <v>13.156239246504335</v>
      </c>
      <c r="J112">
        <f t="shared" si="121"/>
        <v>10.334975217397243</v>
      </c>
      <c r="K112">
        <f t="shared" si="121"/>
        <v>7.367087333620491</v>
      </c>
      <c r="L112">
        <f t="shared" si="74"/>
        <v>29.385513266327127</v>
      </c>
      <c r="M112">
        <f t="shared" si="75"/>
        <v>0.18448673367287327</v>
      </c>
      <c r="N112">
        <f t="shared" si="76"/>
        <v>3.4035354901285675E-2</v>
      </c>
    </row>
    <row r="113" spans="1:14" x14ac:dyDescent="0.45">
      <c r="A113" s="22">
        <v>42710</v>
      </c>
      <c r="B113">
        <v>29.8</v>
      </c>
      <c r="C113">
        <v>29.19</v>
      </c>
      <c r="G113">
        <f t="shared" ref="G113:K113" si="122">SUMPRODUCT($B113:$B117,P$2:P$6)</f>
        <v>17.887606906638315</v>
      </c>
      <c r="H113">
        <f t="shared" si="122"/>
        <v>15.675137319715269</v>
      </c>
      <c r="I113">
        <f t="shared" si="122"/>
        <v>13.347536946980799</v>
      </c>
      <c r="J113">
        <f t="shared" si="122"/>
        <v>10.485037456435942</v>
      </c>
      <c r="K113">
        <f t="shared" si="122"/>
        <v>7.4738011868072229</v>
      </c>
      <c r="L113">
        <f t="shared" si="74"/>
        <v>29.812157658034309</v>
      </c>
      <c r="M113">
        <f t="shared" si="75"/>
        <v>-0.45215765803430941</v>
      </c>
      <c r="N113">
        <f t="shared" si="76"/>
        <v>0.20444654771907148</v>
      </c>
    </row>
    <row r="114" spans="1:14" x14ac:dyDescent="0.45">
      <c r="A114" s="22">
        <v>42709</v>
      </c>
      <c r="B114">
        <v>30.17</v>
      </c>
      <c r="C114">
        <v>29.81</v>
      </c>
      <c r="G114">
        <f t="shared" ref="G114:K114" si="123">SUMPRODUCT($B114:$B118,P$2:P$6)</f>
        <v>18.110506657335684</v>
      </c>
      <c r="H114">
        <f t="shared" si="123"/>
        <v>15.870477225196968</v>
      </c>
      <c r="I114">
        <f t="shared" si="123"/>
        <v>13.513970221759578</v>
      </c>
      <c r="J114">
        <f t="shared" si="123"/>
        <v>10.615708709684148</v>
      </c>
      <c r="K114">
        <f t="shared" si="123"/>
        <v>7.5669579111112997</v>
      </c>
      <c r="L114">
        <f t="shared" si="74"/>
        <v>30.183243332618726</v>
      </c>
      <c r="M114">
        <f t="shared" si="75"/>
        <v>-0.38324333261872567</v>
      </c>
      <c r="N114">
        <f t="shared" si="76"/>
        <v>0.14687545199670721</v>
      </c>
    </row>
    <row r="115" spans="1:14" x14ac:dyDescent="0.45">
      <c r="A115" s="22">
        <v>42706</v>
      </c>
      <c r="B115">
        <v>30.35</v>
      </c>
      <c r="C115">
        <v>29.96</v>
      </c>
      <c r="G115">
        <f t="shared" ref="G115:K115" si="124">SUMPRODUCT($B115:$B119,P$2:P$6)</f>
        <v>18.225231835174192</v>
      </c>
      <c r="H115">
        <f t="shared" si="124"/>
        <v>15.971085850212459</v>
      </c>
      <c r="I115">
        <f t="shared" si="124"/>
        <v>13.599634772702924</v>
      </c>
      <c r="J115">
        <f t="shared" si="124"/>
        <v>10.683219846783022</v>
      </c>
      <c r="K115">
        <f t="shared" si="124"/>
        <v>7.6153059901213513</v>
      </c>
      <c r="L115">
        <f t="shared" si="74"/>
        <v>30.374474797804538</v>
      </c>
      <c r="M115">
        <f t="shared" si="75"/>
        <v>-0.20447479780453648</v>
      </c>
      <c r="N115">
        <f t="shared" si="76"/>
        <v>4.1809942937206079E-2</v>
      </c>
    </row>
    <row r="116" spans="1:14" x14ac:dyDescent="0.45">
      <c r="A116" s="22">
        <v>42705</v>
      </c>
      <c r="B116">
        <v>31.56</v>
      </c>
      <c r="C116">
        <v>30.39</v>
      </c>
      <c r="G116">
        <f t="shared" ref="G116:K116" si="125">SUMPRODUCT($B116:$B120,P$2:P$6)</f>
        <v>18.916649394704347</v>
      </c>
      <c r="H116">
        <f t="shared" si="125"/>
        <v>16.576597649164327</v>
      </c>
      <c r="I116">
        <f t="shared" si="125"/>
        <v>14.115063815677958</v>
      </c>
      <c r="J116">
        <f t="shared" si="125"/>
        <v>11.087157636238068</v>
      </c>
      <c r="K116">
        <f t="shared" si="125"/>
        <v>7.9020827262739388</v>
      </c>
      <c r="L116">
        <f t="shared" si="74"/>
        <v>31.523883617132086</v>
      </c>
      <c r="M116">
        <f t="shared" si="75"/>
        <v>-1.1738836171320841</v>
      </c>
      <c r="N116">
        <f t="shared" si="76"/>
        <v>1.3780027465711053</v>
      </c>
    </row>
    <row r="117" spans="1:14" x14ac:dyDescent="0.45">
      <c r="A117" s="22">
        <v>42704</v>
      </c>
      <c r="B117">
        <v>31.68</v>
      </c>
      <c r="C117">
        <v>31.57</v>
      </c>
      <c r="G117">
        <f t="shared" ref="G117:K117" si="126">SUMPRODUCT($B117:$B121,P$2:P$6)</f>
        <v>18.982834590797154</v>
      </c>
      <c r="H117">
        <f t="shared" si="126"/>
        <v>16.634532965580174</v>
      </c>
      <c r="I117">
        <f t="shared" si="126"/>
        <v>14.164461731420547</v>
      </c>
      <c r="J117">
        <f t="shared" si="126"/>
        <v>11.125712668739897</v>
      </c>
      <c r="K117">
        <f t="shared" si="126"/>
        <v>7.9293589032339762</v>
      </c>
      <c r="L117">
        <f t="shared" si="74"/>
        <v>31.633834445043615</v>
      </c>
      <c r="M117">
        <f t="shared" si="75"/>
        <v>-7.3834445043615915E-2</v>
      </c>
      <c r="N117">
        <f t="shared" si="76"/>
        <v>5.4515252748987388E-3</v>
      </c>
    </row>
    <row r="118" spans="1:14" x14ac:dyDescent="0.45">
      <c r="A118" s="22">
        <v>42703</v>
      </c>
      <c r="B118">
        <v>31.59</v>
      </c>
      <c r="C118">
        <v>31.56</v>
      </c>
      <c r="G118">
        <f t="shared" ref="G118:K118" si="127">SUMPRODUCT($B118:$B122,P$2:P$6)</f>
        <v>18.927109163209312</v>
      </c>
      <c r="H118">
        <f t="shared" si="127"/>
        <v>16.585681091855783</v>
      </c>
      <c r="I118">
        <f t="shared" si="127"/>
        <v>14.122844757570034</v>
      </c>
      <c r="J118">
        <f t="shared" si="127"/>
        <v>11.092984826314133</v>
      </c>
      <c r="K118">
        <f t="shared" si="127"/>
        <v>7.9059754323190177</v>
      </c>
      <c r="L118">
        <f t="shared" si="74"/>
        <v>31.541003313137566</v>
      </c>
      <c r="M118">
        <f t="shared" si="75"/>
        <v>0.13899668686243416</v>
      </c>
      <c r="N118">
        <f t="shared" si="76"/>
        <v>1.9320078958733576E-2</v>
      </c>
    </row>
    <row r="119" spans="1:14" x14ac:dyDescent="0.45">
      <c r="A119" s="22">
        <v>42702</v>
      </c>
      <c r="B119">
        <v>32.28</v>
      </c>
      <c r="C119">
        <v>31.49</v>
      </c>
      <c r="G119">
        <f t="shared" ref="G119:K119" si="128">SUMPRODUCT($B119:$B123,P$2:P$6)</f>
        <v>19.309160991348044</v>
      </c>
      <c r="H119">
        <f t="shared" si="128"/>
        <v>16.920122221854374</v>
      </c>
      <c r="I119">
        <f t="shared" si="128"/>
        <v>14.407453028718583</v>
      </c>
      <c r="J119">
        <f t="shared" si="128"/>
        <v>11.31569318241645</v>
      </c>
      <c r="K119">
        <f t="shared" si="128"/>
        <v>8.0636641108729901</v>
      </c>
      <c r="L119">
        <f t="shared" si="74"/>
        <v>32.175578620234646</v>
      </c>
      <c r="M119">
        <f t="shared" si="75"/>
        <v>-0.5855786202346458</v>
      </c>
      <c r="N119">
        <f t="shared" si="76"/>
        <v>0.34290232047591152</v>
      </c>
    </row>
    <row r="120" spans="1:14" x14ac:dyDescent="0.45">
      <c r="A120" s="22">
        <v>42699</v>
      </c>
      <c r="B120">
        <v>32.03</v>
      </c>
      <c r="C120">
        <v>32.4</v>
      </c>
      <c r="G120">
        <f t="shared" ref="G120:K120" si="129">SUMPRODUCT($B120:$B124,P$2:P$6)</f>
        <v>19.173678689776505</v>
      </c>
      <c r="H120">
        <f t="shared" si="129"/>
        <v>16.801558192957263</v>
      </c>
      <c r="I120">
        <f t="shared" si="129"/>
        <v>14.306516811394003</v>
      </c>
      <c r="J120">
        <f t="shared" si="129"/>
        <v>11.236848222248083</v>
      </c>
      <c r="K120">
        <f t="shared" si="129"/>
        <v>8.0079513945647296</v>
      </c>
      <c r="L120">
        <f t="shared" si="74"/>
        <v>31.950663676269834</v>
      </c>
      <c r="M120">
        <f t="shared" si="75"/>
        <v>0.32933632373016763</v>
      </c>
      <c r="N120">
        <f t="shared" si="76"/>
        <v>0.10846241412810177</v>
      </c>
    </row>
    <row r="121" spans="1:14" x14ac:dyDescent="0.45">
      <c r="A121" s="22">
        <v>42697</v>
      </c>
      <c r="B121">
        <v>31.39</v>
      </c>
      <c r="C121">
        <v>32.020000000000003</v>
      </c>
      <c r="G121">
        <f t="shared" ref="G121:K121" si="130">SUMPRODUCT($B121:$B125,P$2:P$6)</f>
        <v>18.808542022031173</v>
      </c>
      <c r="H121">
        <f t="shared" si="130"/>
        <v>16.481793965293043</v>
      </c>
      <c r="I121">
        <f t="shared" si="130"/>
        <v>14.034247547489572</v>
      </c>
      <c r="J121">
        <f t="shared" si="130"/>
        <v>11.023564993703742</v>
      </c>
      <c r="K121">
        <f t="shared" si="130"/>
        <v>7.8565614210789967</v>
      </c>
      <c r="L121">
        <f t="shared" si="74"/>
        <v>31.343661959783343</v>
      </c>
      <c r="M121">
        <f t="shared" si="75"/>
        <v>0.68633804021665767</v>
      </c>
      <c r="N121">
        <f t="shared" si="76"/>
        <v>0.4710599054484424</v>
      </c>
    </row>
    <row r="122" spans="1:14" x14ac:dyDescent="0.45">
      <c r="A122" s="22">
        <v>42696</v>
      </c>
      <c r="B122">
        <v>31.28</v>
      </c>
      <c r="C122">
        <v>31.46</v>
      </c>
      <c r="G122">
        <f t="shared" ref="G122:K122" si="131">SUMPRODUCT($B122:$B126,P$2:P$6)</f>
        <v>18.754815767895977</v>
      </c>
      <c r="H122">
        <f t="shared" si="131"/>
        <v>16.434849523872185</v>
      </c>
      <c r="I122">
        <f t="shared" si="131"/>
        <v>13.994367577703876</v>
      </c>
      <c r="J122">
        <f t="shared" si="131"/>
        <v>10.992541362122784</v>
      </c>
      <c r="K122">
        <f t="shared" si="131"/>
        <v>7.8348494531320032</v>
      </c>
      <c r="L122">
        <f t="shared" si="74"/>
        <v>31.2547623002704</v>
      </c>
      <c r="M122">
        <f t="shared" si="75"/>
        <v>0.13523769972960054</v>
      </c>
      <c r="N122">
        <f t="shared" si="76"/>
        <v>1.8289235428153597E-2</v>
      </c>
    </row>
    <row r="123" spans="1:14" x14ac:dyDescent="0.45">
      <c r="A123" s="22">
        <v>42695</v>
      </c>
      <c r="B123">
        <v>30.68</v>
      </c>
      <c r="C123">
        <v>30.99</v>
      </c>
      <c r="G123">
        <f t="shared" ref="G123:K123" si="132">SUMPRODUCT($B123:$B127,P$2:P$6)</f>
        <v>18.411067219831775</v>
      </c>
      <c r="H123">
        <f t="shared" si="132"/>
        <v>16.13380067640718</v>
      </c>
      <c r="I123">
        <f t="shared" si="132"/>
        <v>13.738170832919993</v>
      </c>
      <c r="J123">
        <f t="shared" si="132"/>
        <v>10.791670552646247</v>
      </c>
      <c r="K123">
        <f t="shared" si="132"/>
        <v>7.6921998668791201</v>
      </c>
      <c r="L123">
        <f t="shared" si="74"/>
        <v>30.683299430029436</v>
      </c>
      <c r="M123">
        <f t="shared" si="75"/>
        <v>0.5967005699705652</v>
      </c>
      <c r="N123">
        <f t="shared" si="76"/>
        <v>0.35605157020319739</v>
      </c>
    </row>
    <row r="124" spans="1:14" x14ac:dyDescent="0.45">
      <c r="A124" s="22">
        <v>42692</v>
      </c>
      <c r="B124">
        <v>31.32</v>
      </c>
      <c r="C124">
        <v>30.52</v>
      </c>
      <c r="G124">
        <f t="shared" ref="G124:K124" si="133">SUMPRODUCT($B124:$B128,P$2:P$6)</f>
        <v>18.769306148065457</v>
      </c>
      <c r="H124">
        <f t="shared" si="133"/>
        <v>16.447443843021734</v>
      </c>
      <c r="I124">
        <f t="shared" si="133"/>
        <v>14.00518284861041</v>
      </c>
      <c r="J124">
        <f t="shared" si="133"/>
        <v>11.000646677653069</v>
      </c>
      <c r="K124">
        <f t="shared" si="133"/>
        <v>7.8402934080051603</v>
      </c>
      <c r="L124">
        <f t="shared" si="74"/>
        <v>31.278525717172041</v>
      </c>
      <c r="M124">
        <f t="shared" si="75"/>
        <v>-0.59852571717204128</v>
      </c>
      <c r="N124">
        <f t="shared" si="76"/>
        <v>0.35823303411630636</v>
      </c>
    </row>
    <row r="125" spans="1:14" x14ac:dyDescent="0.45">
      <c r="A125" s="22">
        <v>42691</v>
      </c>
      <c r="B125">
        <v>31.91</v>
      </c>
      <c r="C125">
        <v>31.81</v>
      </c>
      <c r="G125">
        <f t="shared" ref="G125:K125" si="134">SUMPRODUCT($B125:$B129,P$2:P$6)</f>
        <v>19.099480390917957</v>
      </c>
      <c r="H125">
        <f t="shared" si="134"/>
        <v>16.736514369090788</v>
      </c>
      <c r="I125">
        <f t="shared" si="134"/>
        <v>14.251214547755264</v>
      </c>
      <c r="J125">
        <f t="shared" si="134"/>
        <v>11.193257806186136</v>
      </c>
      <c r="K125">
        <f t="shared" si="134"/>
        <v>7.9767953077313853</v>
      </c>
      <c r="L125">
        <f t="shared" si="74"/>
        <v>31.827098403697605</v>
      </c>
      <c r="M125">
        <f t="shared" si="75"/>
        <v>-0.50709840369760428</v>
      </c>
      <c r="N125">
        <f t="shared" si="76"/>
        <v>0.25714879103265842</v>
      </c>
    </row>
    <row r="126" spans="1:14" x14ac:dyDescent="0.45">
      <c r="A126" s="22">
        <v>42690</v>
      </c>
      <c r="B126">
        <v>32.15</v>
      </c>
      <c r="C126">
        <v>32</v>
      </c>
      <c r="G126">
        <f t="shared" ref="G126:K126" si="135">SUMPRODUCT($B126:$B130,P$2:P$6)</f>
        <v>19.24223403448579</v>
      </c>
      <c r="H126">
        <f t="shared" si="135"/>
        <v>16.861595314795274</v>
      </c>
      <c r="I126">
        <f t="shared" si="135"/>
        <v>14.357593629378279</v>
      </c>
      <c r="J126">
        <f t="shared" si="135"/>
        <v>11.276903420629516</v>
      </c>
      <c r="K126">
        <f t="shared" si="135"/>
        <v>8.036392058865804</v>
      </c>
      <c r="L126">
        <f t="shared" si="74"/>
        <v>32.064619894590805</v>
      </c>
      <c r="M126">
        <f t="shared" si="75"/>
        <v>-0.15461989459080527</v>
      </c>
      <c r="N126">
        <f t="shared" si="76"/>
        <v>2.3907311803271734E-2</v>
      </c>
    </row>
    <row r="127" spans="1:14" x14ac:dyDescent="0.45">
      <c r="A127" s="22">
        <v>42689</v>
      </c>
      <c r="B127">
        <v>31.86</v>
      </c>
      <c r="C127">
        <v>32.369999999999997</v>
      </c>
      <c r="G127">
        <f t="shared" ref="G127:K127" si="136">SUMPRODUCT($B127:$B131,P$2:P$6)</f>
        <v>19.047216808603491</v>
      </c>
      <c r="H127">
        <f t="shared" si="136"/>
        <v>16.690468324005224</v>
      </c>
      <c r="I127">
        <f t="shared" si="136"/>
        <v>14.211852353906457</v>
      </c>
      <c r="J127">
        <f t="shared" si="136"/>
        <v>11.161772174546496</v>
      </c>
      <c r="K127">
        <f t="shared" si="136"/>
        <v>7.9536233612069314</v>
      </c>
      <c r="L127">
        <f t="shared" si="74"/>
        <v>31.739153335299836</v>
      </c>
      <c r="M127">
        <f t="shared" si="75"/>
        <v>0.41084666470016273</v>
      </c>
      <c r="N127">
        <f t="shared" si="76"/>
        <v>0.16879498189524794</v>
      </c>
    </row>
    <row r="128" spans="1:14" x14ac:dyDescent="0.45">
      <c r="A128" s="22">
        <v>42688</v>
      </c>
      <c r="B128">
        <v>31.03</v>
      </c>
      <c r="C128">
        <v>32.01</v>
      </c>
      <c r="G128">
        <f t="shared" ref="G128:K128" si="137">SUMPRODUCT($B128:$B132,P$2:P$6)</f>
        <v>18.592703925728827</v>
      </c>
      <c r="H128">
        <f t="shared" si="137"/>
        <v>16.292656661162646</v>
      </c>
      <c r="I128">
        <f t="shared" si="137"/>
        <v>13.873330485883001</v>
      </c>
      <c r="J128">
        <f t="shared" si="137"/>
        <v>10.897037345950642</v>
      </c>
      <c r="K128">
        <f t="shared" si="137"/>
        <v>7.7663615251812841</v>
      </c>
      <c r="L128">
        <f t="shared" si="74"/>
        <v>30.984449307455623</v>
      </c>
      <c r="M128">
        <f t="shared" si="75"/>
        <v>0.87555069254437612</v>
      </c>
      <c r="N128">
        <f t="shared" si="76"/>
        <v>0.76658901521493661</v>
      </c>
    </row>
    <row r="129" spans="1:14" x14ac:dyDescent="0.45">
      <c r="A129" s="22">
        <v>42685</v>
      </c>
      <c r="B129">
        <v>30.59</v>
      </c>
      <c r="C129">
        <v>30.88</v>
      </c>
      <c r="G129">
        <f t="shared" ref="G129:K129" si="138">SUMPRODUCT($B129:$B133,P$2:P$6)</f>
        <v>18.325686412451194</v>
      </c>
      <c r="H129">
        <f t="shared" si="138"/>
        <v>16.058632157921526</v>
      </c>
      <c r="I129">
        <f t="shared" si="138"/>
        <v>13.673912735777854</v>
      </c>
      <c r="J129">
        <f t="shared" si="138"/>
        <v>10.740430647854311</v>
      </c>
      <c r="K129">
        <f t="shared" si="138"/>
        <v>7.654653194165042</v>
      </c>
      <c r="L129">
        <f t="shared" si="74"/>
        <v>30.539829556925575</v>
      </c>
      <c r="M129">
        <f t="shared" si="75"/>
        <v>0.49017044307442603</v>
      </c>
      <c r="N129">
        <f t="shared" si="76"/>
        <v>0.24026706326377914</v>
      </c>
    </row>
    <row r="130" spans="1:14" x14ac:dyDescent="0.45">
      <c r="A130" s="22">
        <v>42684</v>
      </c>
      <c r="B130">
        <v>31.45</v>
      </c>
      <c r="C130">
        <v>30.69</v>
      </c>
      <c r="G130">
        <f t="shared" ref="G130:K130" si="139">SUMPRODUCT($B130:$B134,P$2:P$6)</f>
        <v>18.815237193782494</v>
      </c>
      <c r="H130">
        <f t="shared" si="139"/>
        <v>16.487338123993108</v>
      </c>
      <c r="I130">
        <f t="shared" si="139"/>
        <v>14.03896552227212</v>
      </c>
      <c r="J130">
        <f t="shared" si="139"/>
        <v>11.026336851726308</v>
      </c>
      <c r="K130">
        <f t="shared" si="139"/>
        <v>7.8575492935267564</v>
      </c>
      <c r="L130">
        <f t="shared" si="74"/>
        <v>31.353617107210294</v>
      </c>
      <c r="M130">
        <f t="shared" si="75"/>
        <v>-0.76361710721029397</v>
      </c>
      <c r="N130">
        <f t="shared" si="76"/>
        <v>0.58311108642421761</v>
      </c>
    </row>
    <row r="131" spans="1:14" x14ac:dyDescent="0.45">
      <c r="A131" s="22">
        <v>42683</v>
      </c>
      <c r="B131">
        <v>29.8</v>
      </c>
      <c r="C131">
        <v>31.39</v>
      </c>
      <c r="G131">
        <f t="shared" ref="G131:K131" si="140">SUMPRODUCT($B131:$B135,P$2:P$6)</f>
        <v>17.881309131432712</v>
      </c>
      <c r="H131">
        <f t="shared" si="140"/>
        <v>15.669549906911003</v>
      </c>
      <c r="I131">
        <f t="shared" si="140"/>
        <v>13.342845097025055</v>
      </c>
      <c r="J131">
        <f t="shared" si="140"/>
        <v>10.481088069417131</v>
      </c>
      <c r="K131">
        <f t="shared" si="140"/>
        <v>7.4707644535429099</v>
      </c>
      <c r="L131">
        <f t="shared" ref="L131:L194" si="141">(G131+$P$7)*$U$2+(H131+$Q$7)*$U$3+(I131+$R$7)*$U$4+(J131+$S$7)*$U$5+(K131+$T$7)*$U$6+$U$7</f>
        <v>29.801441081978275</v>
      </c>
      <c r="M131">
        <f t="shared" ref="M131:M194" si="142">B130-L131</f>
        <v>1.6485589180217239</v>
      </c>
      <c r="N131">
        <f t="shared" ref="N131:N194" si="143">M131^2</f>
        <v>2.717746506188957</v>
      </c>
    </row>
    <row r="132" spans="1:14" x14ac:dyDescent="0.45">
      <c r="A132" s="22">
        <v>42682</v>
      </c>
      <c r="B132">
        <v>30.81</v>
      </c>
      <c r="C132">
        <v>31.06</v>
      </c>
      <c r="G132">
        <f t="shared" ref="G132:K132" si="144">SUMPRODUCT($B132:$B136,P$2:P$6)</f>
        <v>18.45568298514058</v>
      </c>
      <c r="H132">
        <f t="shared" si="144"/>
        <v>16.172526974507146</v>
      </c>
      <c r="I132">
        <f t="shared" si="144"/>
        <v>13.770881863984394</v>
      </c>
      <c r="J132">
        <f t="shared" si="144"/>
        <v>10.816550689028615</v>
      </c>
      <c r="K132">
        <f t="shared" si="144"/>
        <v>7.7088445029490158</v>
      </c>
      <c r="L132">
        <f t="shared" si="141"/>
        <v>30.7561234517412</v>
      </c>
      <c r="M132">
        <f t="shared" si="142"/>
        <v>-0.95612345174119895</v>
      </c>
      <c r="N132">
        <f t="shared" si="143"/>
        <v>0.91417205496950482</v>
      </c>
    </row>
    <row r="133" spans="1:14" x14ac:dyDescent="0.45">
      <c r="A133" s="22">
        <v>42681</v>
      </c>
      <c r="B133">
        <v>30.92</v>
      </c>
      <c r="C133">
        <v>30.85</v>
      </c>
      <c r="G133">
        <f t="shared" ref="G133:K133" si="145">SUMPRODUCT($B133:$B137,P$2:P$6)</f>
        <v>18.535444888623022</v>
      </c>
      <c r="H133">
        <f t="shared" si="145"/>
        <v>16.242575810190278</v>
      </c>
      <c r="I133">
        <f t="shared" si="145"/>
        <v>13.830634502931598</v>
      </c>
      <c r="J133">
        <f t="shared" si="145"/>
        <v>10.863827053838643</v>
      </c>
      <c r="K133">
        <f t="shared" si="145"/>
        <v>7.7429919160004079</v>
      </c>
      <c r="L133">
        <f t="shared" si="141"/>
        <v>30.88947909548617</v>
      </c>
      <c r="M133">
        <f t="shared" si="142"/>
        <v>-7.9479095486171047E-2</v>
      </c>
      <c r="N133">
        <f t="shared" si="143"/>
        <v>6.3169266192998948E-3</v>
      </c>
    </row>
    <row r="134" spans="1:14" x14ac:dyDescent="0.45">
      <c r="A134" s="22">
        <v>42678</v>
      </c>
      <c r="B134">
        <v>29.92</v>
      </c>
      <c r="C134">
        <v>30.46</v>
      </c>
      <c r="G134">
        <f t="shared" ref="G134:K134" si="146">SUMPRODUCT($B134:$B138,P$2:P$6)</f>
        <v>17.964676011985539</v>
      </c>
      <c r="H134">
        <f t="shared" si="146"/>
        <v>15.742730300077241</v>
      </c>
      <c r="I134">
        <f t="shared" si="146"/>
        <v>13.405167455141305</v>
      </c>
      <c r="J134">
        <f t="shared" si="146"/>
        <v>10.530398882976453</v>
      </c>
      <c r="K134">
        <f t="shared" si="146"/>
        <v>7.50629463641397</v>
      </c>
      <c r="L134">
        <f t="shared" si="141"/>
        <v>29.940668952109696</v>
      </c>
      <c r="M134">
        <f t="shared" si="142"/>
        <v>0.97933104789030523</v>
      </c>
      <c r="N134">
        <f t="shared" si="143"/>
        <v>0.95908930136192327</v>
      </c>
    </row>
    <row r="135" spans="1:14" x14ac:dyDescent="0.45">
      <c r="A135" s="22">
        <v>42677</v>
      </c>
      <c r="B135">
        <v>30.88</v>
      </c>
      <c r="C135">
        <v>30.05</v>
      </c>
      <c r="G135">
        <f t="shared" ref="G135:K135" si="147">SUMPRODUCT($B135:$B139,P$2:P$6)</f>
        <v>18.516947307196183</v>
      </c>
      <c r="H135">
        <f t="shared" si="147"/>
        <v>16.226427908679067</v>
      </c>
      <c r="I135">
        <f t="shared" si="147"/>
        <v>13.816976263845186</v>
      </c>
      <c r="J135">
        <f t="shared" si="147"/>
        <v>10.853186935851234</v>
      </c>
      <c r="K135">
        <f t="shared" si="147"/>
        <v>7.7355807232634604</v>
      </c>
      <c r="L135">
        <f t="shared" si="141"/>
        <v>30.858942759775537</v>
      </c>
      <c r="M135">
        <f t="shared" si="142"/>
        <v>-0.93894275977553576</v>
      </c>
      <c r="N135">
        <f t="shared" si="143"/>
        <v>0.88161350613489942</v>
      </c>
    </row>
    <row r="136" spans="1:14" x14ac:dyDescent="0.45">
      <c r="A136" s="22">
        <v>42676</v>
      </c>
      <c r="B136">
        <v>31.08</v>
      </c>
      <c r="C136">
        <v>30.9</v>
      </c>
      <c r="G136">
        <f t="shared" ref="G136:K136" si="148">SUMPRODUCT($B136:$B140,P$2:P$6)</f>
        <v>18.642771254376591</v>
      </c>
      <c r="H136">
        <f t="shared" si="148"/>
        <v>16.336752582721015</v>
      </c>
      <c r="I136">
        <f t="shared" si="148"/>
        <v>13.910917015665678</v>
      </c>
      <c r="J136">
        <f t="shared" si="148"/>
        <v>10.927167483948077</v>
      </c>
      <c r="K136">
        <f t="shared" si="148"/>
        <v>7.7885093121877293</v>
      </c>
      <c r="L136">
        <f t="shared" si="141"/>
        <v>31.068612463673858</v>
      </c>
      <c r="M136">
        <f t="shared" si="142"/>
        <v>-0.18861246367385931</v>
      </c>
      <c r="N136">
        <f t="shared" si="143"/>
        <v>3.5574661453122901E-2</v>
      </c>
    </row>
    <row r="137" spans="1:14" x14ac:dyDescent="0.45">
      <c r="A137" s="22">
        <v>42675</v>
      </c>
      <c r="B137">
        <v>31.59</v>
      </c>
      <c r="C137">
        <v>31.03</v>
      </c>
      <c r="G137">
        <f t="shared" ref="G137:K137" si="149">SUMPRODUCT($B137:$B141,P$2:P$6)</f>
        <v>18.939784940431981</v>
      </c>
      <c r="H137">
        <f t="shared" si="149"/>
        <v>16.59692786350702</v>
      </c>
      <c r="I137">
        <f t="shared" si="149"/>
        <v>14.132355554858933</v>
      </c>
      <c r="J137">
        <f t="shared" si="149"/>
        <v>11.100923537073479</v>
      </c>
      <c r="K137">
        <f t="shared" si="149"/>
        <v>7.9120706927905511</v>
      </c>
      <c r="L137">
        <f t="shared" si="141"/>
        <v>31.562594583360934</v>
      </c>
      <c r="M137">
        <f t="shared" si="142"/>
        <v>-0.4825945833609353</v>
      </c>
      <c r="N137">
        <f t="shared" si="143"/>
        <v>0.23289753188931472</v>
      </c>
    </row>
    <row r="138" spans="1:14" x14ac:dyDescent="0.45">
      <c r="A138" s="22">
        <v>42674</v>
      </c>
      <c r="B138">
        <v>31.76</v>
      </c>
      <c r="C138">
        <v>31.53</v>
      </c>
      <c r="G138">
        <f t="shared" ref="G138:K138" si="150">SUMPRODUCT($B138:$B142,P$2:P$6)</f>
        <v>19.053715017880798</v>
      </c>
      <c r="H138">
        <f t="shared" si="150"/>
        <v>16.696897816309264</v>
      </c>
      <c r="I138">
        <f t="shared" si="150"/>
        <v>14.217539381768644</v>
      </c>
      <c r="J138">
        <f t="shared" si="150"/>
        <v>11.168162964394297</v>
      </c>
      <c r="K138">
        <f t="shared" si="150"/>
        <v>7.9603920884640953</v>
      </c>
      <c r="L138">
        <f t="shared" si="141"/>
        <v>31.752733847856661</v>
      </c>
      <c r="M138">
        <f t="shared" si="142"/>
        <v>-0.16273384785666067</v>
      </c>
      <c r="N138">
        <f t="shared" si="143"/>
        <v>2.6482305238234784E-2</v>
      </c>
    </row>
    <row r="139" spans="1:14" x14ac:dyDescent="0.45">
      <c r="A139" s="22">
        <v>42671</v>
      </c>
      <c r="B139">
        <v>31.44</v>
      </c>
      <c r="C139">
        <v>31.73</v>
      </c>
      <c r="G139">
        <f t="shared" ref="G139:K139" si="151">SUMPRODUCT($B139:$B143,P$2:P$6)</f>
        <v>18.86700580762853</v>
      </c>
      <c r="H139">
        <f t="shared" si="151"/>
        <v>16.53334243065893</v>
      </c>
      <c r="I139">
        <f t="shared" si="151"/>
        <v>14.078366216683666</v>
      </c>
      <c r="J139">
        <f t="shared" si="151"/>
        <v>11.058917353453495</v>
      </c>
      <c r="K139">
        <f t="shared" si="151"/>
        <v>7.8826890412272395</v>
      </c>
      <c r="L139">
        <f t="shared" si="141"/>
        <v>31.442201637350987</v>
      </c>
      <c r="M139">
        <f t="shared" si="142"/>
        <v>0.31779836264901462</v>
      </c>
      <c r="N139">
        <f t="shared" si="143"/>
        <v>0.10099579930239461</v>
      </c>
    </row>
    <row r="140" spans="1:14" x14ac:dyDescent="0.45">
      <c r="A140" s="22">
        <v>42670</v>
      </c>
      <c r="B140">
        <v>32.07</v>
      </c>
      <c r="C140">
        <v>31.45</v>
      </c>
      <c r="G140">
        <f t="shared" ref="G140:K140" si="152">SUMPRODUCT($B140:$B144,P$2:P$6)</f>
        <v>19.228793571956899</v>
      </c>
      <c r="H140">
        <f t="shared" si="152"/>
        <v>16.850201357113562</v>
      </c>
      <c r="I140">
        <f t="shared" si="152"/>
        <v>14.348175808372009</v>
      </c>
      <c r="J140">
        <f t="shared" si="152"/>
        <v>11.270339742131339</v>
      </c>
      <c r="K140">
        <f t="shared" si="152"/>
        <v>8.032840082220762</v>
      </c>
      <c r="L140">
        <f t="shared" si="141"/>
        <v>32.043741205689386</v>
      </c>
      <c r="M140">
        <f t="shared" si="142"/>
        <v>-0.60374120568938494</v>
      </c>
      <c r="N140">
        <f t="shared" si="143"/>
        <v>0.3645034434472722</v>
      </c>
    </row>
    <row r="141" spans="1:14" x14ac:dyDescent="0.45">
      <c r="A141" s="22">
        <v>42669</v>
      </c>
      <c r="B141">
        <v>32.53</v>
      </c>
      <c r="C141">
        <v>31.98</v>
      </c>
      <c r="G141">
        <f t="shared" ref="G141:K141" si="153">SUMPRODUCT($B141:$B145,P$2:P$6)</f>
        <v>19.49816798984417</v>
      </c>
      <c r="H141">
        <f t="shared" si="153"/>
        <v>17.08618199264134</v>
      </c>
      <c r="I141">
        <f t="shared" si="153"/>
        <v>14.549000481055169</v>
      </c>
      <c r="J141">
        <f t="shared" si="153"/>
        <v>11.42799004062074</v>
      </c>
      <c r="K141">
        <f t="shared" si="153"/>
        <v>8.1450026889978915</v>
      </c>
      <c r="L141">
        <f t="shared" si="141"/>
        <v>32.491809592221038</v>
      </c>
      <c r="M141">
        <f t="shared" si="142"/>
        <v>-0.42180959222103809</v>
      </c>
      <c r="N141">
        <f t="shared" si="143"/>
        <v>0.17792333208967845</v>
      </c>
    </row>
    <row r="142" spans="1:14" x14ac:dyDescent="0.45">
      <c r="A142" s="22">
        <v>42668</v>
      </c>
      <c r="B142">
        <v>33.229999999999997</v>
      </c>
      <c r="C142">
        <v>32.6</v>
      </c>
      <c r="G142">
        <f t="shared" ref="G142:K142" si="154">SUMPRODUCT($B142:$B146,P$2:P$6)</f>
        <v>19.866518651479339</v>
      </c>
      <c r="H142">
        <f t="shared" si="154"/>
        <v>17.408399746375988</v>
      </c>
      <c r="I142">
        <f t="shared" si="154"/>
        <v>14.82320993601496</v>
      </c>
      <c r="J142">
        <f t="shared" si="154"/>
        <v>11.64189110078796</v>
      </c>
      <c r="K142">
        <f t="shared" si="154"/>
        <v>8.2957480291656474</v>
      </c>
      <c r="L142">
        <f t="shared" si="141"/>
        <v>33.102783784250036</v>
      </c>
      <c r="M142">
        <f t="shared" si="142"/>
        <v>-0.57278378425003496</v>
      </c>
      <c r="N142">
        <f t="shared" si="143"/>
        <v>0.32808126349979061</v>
      </c>
    </row>
    <row r="143" spans="1:14" x14ac:dyDescent="0.45">
      <c r="A143" s="22">
        <v>42667</v>
      </c>
      <c r="B143">
        <v>32.75</v>
      </c>
      <c r="C143">
        <v>33.090000000000003</v>
      </c>
      <c r="G143">
        <f t="shared" ref="G143:K143" si="155">SUMPRODUCT($B143:$B147,P$2:P$6)</f>
        <v>19.591674324929347</v>
      </c>
      <c r="H143">
        <f t="shared" si="155"/>
        <v>17.167698002977524</v>
      </c>
      <c r="I143">
        <f t="shared" si="155"/>
        <v>14.618389095381806</v>
      </c>
      <c r="J143">
        <f t="shared" si="155"/>
        <v>11.481287741042516</v>
      </c>
      <c r="K143">
        <f t="shared" si="155"/>
        <v>8.18169721487285</v>
      </c>
      <c r="L143">
        <f t="shared" si="141"/>
        <v>32.645883113430614</v>
      </c>
      <c r="M143">
        <f t="shared" si="142"/>
        <v>0.5841168865693831</v>
      </c>
      <c r="N143">
        <f t="shared" si="143"/>
        <v>0.34119253717550957</v>
      </c>
    </row>
    <row r="144" spans="1:14" x14ac:dyDescent="0.45">
      <c r="A144" s="22">
        <v>42664</v>
      </c>
      <c r="B144">
        <v>32.26</v>
      </c>
      <c r="C144">
        <v>32.75</v>
      </c>
      <c r="G144">
        <f t="shared" ref="G144:K144" si="156">SUMPRODUCT($B144:$B148,P$2:P$6)</f>
        <v>19.293191392601582</v>
      </c>
      <c r="H144">
        <f t="shared" si="156"/>
        <v>16.906083496291689</v>
      </c>
      <c r="I144">
        <f t="shared" si="156"/>
        <v>14.395438414290014</v>
      </c>
      <c r="J144">
        <f t="shared" si="156"/>
        <v>11.306186356101495</v>
      </c>
      <c r="K144">
        <f t="shared" si="156"/>
        <v>8.0567621582184632</v>
      </c>
      <c r="L144">
        <f t="shared" si="141"/>
        <v>32.148816788775711</v>
      </c>
      <c r="M144">
        <f t="shared" si="142"/>
        <v>0.60118321122428853</v>
      </c>
      <c r="N144">
        <f t="shared" si="143"/>
        <v>0.36142125345794751</v>
      </c>
    </row>
    <row r="145" spans="1:14" x14ac:dyDescent="0.45">
      <c r="A145" s="22">
        <v>42663</v>
      </c>
      <c r="B145">
        <v>32.9</v>
      </c>
      <c r="C145">
        <v>32.46</v>
      </c>
      <c r="G145">
        <f t="shared" ref="G145:K145" si="157">SUMPRODUCT($B145:$B149,P$2:P$6)</f>
        <v>19.651599229632733</v>
      </c>
      <c r="H145">
        <f t="shared" si="157"/>
        <v>17.219875754544567</v>
      </c>
      <c r="I145">
        <f t="shared" si="157"/>
        <v>14.662508438973706</v>
      </c>
      <c r="J145">
        <f t="shared" si="157"/>
        <v>11.515278405109498</v>
      </c>
      <c r="K145">
        <f t="shared" si="157"/>
        <v>8.2049537508760189</v>
      </c>
      <c r="L145">
        <f t="shared" si="141"/>
        <v>32.744308469602338</v>
      </c>
      <c r="M145">
        <f t="shared" si="142"/>
        <v>-0.48430846960233964</v>
      </c>
      <c r="N145">
        <f t="shared" si="143"/>
        <v>0.23455469372856033</v>
      </c>
    </row>
    <row r="146" spans="1:14" x14ac:dyDescent="0.45">
      <c r="A146" s="22">
        <v>42662</v>
      </c>
      <c r="B146">
        <v>30.87</v>
      </c>
      <c r="C146">
        <v>30.62</v>
      </c>
      <c r="G146">
        <f t="shared" ref="G146:K146" si="158">SUMPRODUCT($B146:$B150,P$2:P$6)</f>
        <v>18.474294385709921</v>
      </c>
      <c r="H146">
        <f t="shared" si="158"/>
        <v>16.188645659278503</v>
      </c>
      <c r="I146">
        <f t="shared" si="158"/>
        <v>13.784687453245885</v>
      </c>
      <c r="J146">
        <f t="shared" si="158"/>
        <v>10.826762932847297</v>
      </c>
      <c r="K146">
        <f t="shared" si="158"/>
        <v>7.7155260450637746</v>
      </c>
      <c r="L146">
        <f t="shared" si="141"/>
        <v>30.786423279582838</v>
      </c>
      <c r="M146">
        <f t="shared" si="142"/>
        <v>2.1135767204171607</v>
      </c>
      <c r="N146">
        <f t="shared" si="143"/>
        <v>4.467206553089361</v>
      </c>
    </row>
    <row r="147" spans="1:14" x14ac:dyDescent="0.45">
      <c r="A147" s="22">
        <v>42661</v>
      </c>
      <c r="B147">
        <v>30.54</v>
      </c>
      <c r="C147">
        <v>30.71</v>
      </c>
      <c r="G147">
        <f t="shared" ref="G147:K147" si="159">SUMPRODUCT($B147:$B151,P$2:P$6)</f>
        <v>18.279817312278226</v>
      </c>
      <c r="H147">
        <f t="shared" si="159"/>
        <v>16.018262508266915</v>
      </c>
      <c r="I147">
        <f t="shared" si="159"/>
        <v>13.639592436120655</v>
      </c>
      <c r="J147">
        <f t="shared" si="159"/>
        <v>10.712911685630297</v>
      </c>
      <c r="K147">
        <f t="shared" si="159"/>
        <v>7.6344953403547251</v>
      </c>
      <c r="L147">
        <f t="shared" si="141"/>
        <v>30.462854759335951</v>
      </c>
      <c r="M147">
        <f t="shared" si="142"/>
        <v>0.40714524066405033</v>
      </c>
      <c r="N147">
        <f t="shared" si="143"/>
        <v>0.16576724699538747</v>
      </c>
    </row>
    <row r="148" spans="1:14" x14ac:dyDescent="0.45">
      <c r="A148" s="22">
        <v>42660</v>
      </c>
      <c r="B148">
        <v>30.71</v>
      </c>
      <c r="C148">
        <v>30.18</v>
      </c>
      <c r="G148">
        <f t="shared" ref="G148:K148" si="160">SUMPRODUCT($B148:$B152,P$2:P$6)</f>
        <v>18.381761558545406</v>
      </c>
      <c r="H148">
        <f t="shared" si="160"/>
        <v>16.107595140531611</v>
      </c>
      <c r="I148">
        <f t="shared" si="160"/>
        <v>13.715546299980751</v>
      </c>
      <c r="J148">
        <f t="shared" si="160"/>
        <v>10.772681515052911</v>
      </c>
      <c r="K148">
        <f t="shared" si="160"/>
        <v>7.6771120246953748</v>
      </c>
      <c r="L148">
        <f t="shared" si="141"/>
        <v>30.632501992373317</v>
      </c>
      <c r="M148">
        <f t="shared" si="142"/>
        <v>-9.2501992373318132E-2</v>
      </c>
      <c r="N148">
        <f t="shared" si="143"/>
        <v>8.5566185930334056E-3</v>
      </c>
    </row>
    <row r="149" spans="1:14" x14ac:dyDescent="0.45">
      <c r="A149" s="22">
        <v>42657</v>
      </c>
      <c r="B149">
        <v>30.26</v>
      </c>
      <c r="C149">
        <v>30.1</v>
      </c>
      <c r="G149">
        <f t="shared" ref="G149:K149" si="161">SUMPRODUCT($B149:$B153,P$2:P$6)</f>
        <v>18.124710346910767</v>
      </c>
      <c r="H149">
        <f t="shared" si="161"/>
        <v>15.882482400362557</v>
      </c>
      <c r="I149">
        <f t="shared" si="161"/>
        <v>13.523916041070803</v>
      </c>
      <c r="J149">
        <f t="shared" si="161"/>
        <v>10.622512539291984</v>
      </c>
      <c r="K149">
        <f t="shared" si="161"/>
        <v>7.5705034915503404</v>
      </c>
      <c r="L149">
        <f t="shared" si="141"/>
        <v>30.205182582140246</v>
      </c>
      <c r="M149">
        <f t="shared" si="142"/>
        <v>0.50481741785975487</v>
      </c>
      <c r="N149">
        <f t="shared" si="143"/>
        <v>0.25484062537459035</v>
      </c>
    </row>
    <row r="150" spans="1:14" x14ac:dyDescent="0.45">
      <c r="A150" s="22">
        <v>42656</v>
      </c>
      <c r="B150">
        <v>29.48</v>
      </c>
      <c r="C150">
        <v>29.98</v>
      </c>
      <c r="G150">
        <f t="shared" ref="G150:K150" si="162">SUMPRODUCT($B150:$B154,P$2:P$6)</f>
        <v>17.687057767679196</v>
      </c>
      <c r="H150">
        <f t="shared" si="162"/>
        <v>15.499300577323949</v>
      </c>
      <c r="I150">
        <f t="shared" si="162"/>
        <v>13.19783270165591</v>
      </c>
      <c r="J150">
        <f t="shared" si="162"/>
        <v>10.367146598795394</v>
      </c>
      <c r="K150">
        <f t="shared" si="162"/>
        <v>7.3894792382131032</v>
      </c>
      <c r="L150">
        <f t="shared" si="141"/>
        <v>29.478003916983049</v>
      </c>
      <c r="M150">
        <f t="shared" si="142"/>
        <v>0.78199608301695278</v>
      </c>
      <c r="N150">
        <f t="shared" si="143"/>
        <v>0.61151787385385692</v>
      </c>
    </row>
    <row r="151" spans="1:14" x14ac:dyDescent="0.45">
      <c r="A151" s="22">
        <v>42655</v>
      </c>
      <c r="B151">
        <v>29.45</v>
      </c>
      <c r="C151">
        <v>29.6</v>
      </c>
      <c r="G151">
        <f t="shared" ref="G151:K151" si="163">SUMPRODUCT($B151:$B155,P$2:P$6)</f>
        <v>17.669373066515472</v>
      </c>
      <c r="H151">
        <f t="shared" si="163"/>
        <v>15.483807041882651</v>
      </c>
      <c r="I151">
        <f t="shared" si="163"/>
        <v>13.184660578962326</v>
      </c>
      <c r="J151">
        <f t="shared" si="163"/>
        <v>10.356790104326674</v>
      </c>
      <c r="K151">
        <f t="shared" si="163"/>
        <v>7.3821050558765888</v>
      </c>
      <c r="L151">
        <f t="shared" si="141"/>
        <v>29.448587304032309</v>
      </c>
      <c r="M151">
        <f t="shared" si="142"/>
        <v>3.1412695967691917E-2</v>
      </c>
      <c r="N151">
        <f t="shared" si="143"/>
        <v>9.8675746795864796E-4</v>
      </c>
    </row>
    <row r="152" spans="1:14" x14ac:dyDescent="0.45">
      <c r="A152" s="22">
        <v>42654</v>
      </c>
      <c r="B152">
        <v>30.24</v>
      </c>
      <c r="C152">
        <v>29.44</v>
      </c>
      <c r="G152">
        <f t="shared" ref="G152:K152" si="164">SUMPRODUCT($B152:$B156,P$2:P$6)</f>
        <v>18.122200144103804</v>
      </c>
      <c r="H152">
        <f t="shared" si="164"/>
        <v>15.880388918270688</v>
      </c>
      <c r="I152">
        <f t="shared" si="164"/>
        <v>13.522278911932759</v>
      </c>
      <c r="J152">
        <f t="shared" si="164"/>
        <v>10.621391607639985</v>
      </c>
      <c r="K152">
        <f t="shared" si="164"/>
        <v>7.5700044578801569</v>
      </c>
      <c r="L152">
        <f t="shared" si="141"/>
        <v>30.201436209459864</v>
      </c>
      <c r="M152">
        <f t="shared" si="142"/>
        <v>-0.75143620945986456</v>
      </c>
      <c r="N152">
        <f t="shared" si="143"/>
        <v>0.56465637688740944</v>
      </c>
    </row>
    <row r="153" spans="1:14" x14ac:dyDescent="0.45">
      <c r="A153" s="22">
        <v>42653</v>
      </c>
      <c r="B153">
        <v>30.38</v>
      </c>
      <c r="C153">
        <v>30.3</v>
      </c>
      <c r="G153">
        <f t="shared" ref="G153:K153" si="165">SUMPRODUCT($B153:$B157,P$2:P$6)</f>
        <v>18.208445836034134</v>
      </c>
      <c r="H153">
        <f t="shared" si="165"/>
        <v>15.955991097949827</v>
      </c>
      <c r="I153">
        <f t="shared" si="165"/>
        <v>13.58662450096474</v>
      </c>
      <c r="J153">
        <f t="shared" si="165"/>
        <v>10.672037291298425</v>
      </c>
      <c r="K153">
        <f t="shared" si="165"/>
        <v>7.6061836717537252</v>
      </c>
      <c r="L153">
        <f t="shared" si="141"/>
        <v>30.345073508962344</v>
      </c>
      <c r="M153">
        <f t="shared" si="142"/>
        <v>-0.10507350896234513</v>
      </c>
      <c r="N153">
        <f t="shared" si="143"/>
        <v>1.1040442285660023E-2</v>
      </c>
    </row>
    <row r="154" spans="1:14" x14ac:dyDescent="0.45">
      <c r="A154" s="22">
        <v>42650</v>
      </c>
      <c r="B154">
        <v>30.62</v>
      </c>
      <c r="C154">
        <v>30.06</v>
      </c>
      <c r="G154">
        <f t="shared" ref="G154:K154" si="166">SUMPRODUCT($B154:$B158,P$2:P$6)</f>
        <v>18.334686927049461</v>
      </c>
      <c r="H154">
        <f t="shared" si="166"/>
        <v>16.066420762240138</v>
      </c>
      <c r="I154">
        <f t="shared" si="166"/>
        <v>13.680589908163821</v>
      </c>
      <c r="J154">
        <f t="shared" si="166"/>
        <v>10.745344916869675</v>
      </c>
      <c r="K154">
        <f t="shared" si="166"/>
        <v>7.6578463158251635</v>
      </c>
      <c r="L154">
        <f t="shared" si="141"/>
        <v>30.554460627878289</v>
      </c>
      <c r="M154">
        <f t="shared" si="142"/>
        <v>-0.17446062787828964</v>
      </c>
      <c r="N154">
        <f t="shared" si="143"/>
        <v>3.0436510679687053E-2</v>
      </c>
    </row>
    <row r="155" spans="1:14" x14ac:dyDescent="0.45">
      <c r="A155" s="22">
        <v>42649</v>
      </c>
      <c r="B155">
        <v>30.5</v>
      </c>
      <c r="C155">
        <v>30.5</v>
      </c>
      <c r="G155">
        <f t="shared" ref="G155:K155" si="167">SUMPRODUCT($B155:$B159,P$2:P$6)</f>
        <v>18.279151032834381</v>
      </c>
      <c r="H155">
        <f t="shared" si="167"/>
        <v>16.017936480337525</v>
      </c>
      <c r="I155">
        <f t="shared" si="167"/>
        <v>13.639381373432977</v>
      </c>
      <c r="J155">
        <f t="shared" si="167"/>
        <v>10.713428221142822</v>
      </c>
      <c r="K155">
        <f t="shared" si="167"/>
        <v>7.635641367532128</v>
      </c>
      <c r="L155">
        <f t="shared" si="141"/>
        <v>30.46271305523986</v>
      </c>
      <c r="M155">
        <f t="shared" si="142"/>
        <v>0.15728694476014127</v>
      </c>
      <c r="N155">
        <f t="shared" si="143"/>
        <v>2.4739182991979729E-2</v>
      </c>
    </row>
    <row r="156" spans="1:14" x14ac:dyDescent="0.45">
      <c r="A156" s="22">
        <v>42648</v>
      </c>
      <c r="B156">
        <v>30.24</v>
      </c>
      <c r="C156">
        <v>30.58</v>
      </c>
      <c r="G156">
        <f t="shared" ref="G156:K156" si="168">SUMPRODUCT($B156:$B160,P$2:P$6)</f>
        <v>18.128832485263167</v>
      </c>
      <c r="H156">
        <f t="shared" si="168"/>
        <v>15.886273228743061</v>
      </c>
      <c r="I156">
        <f t="shared" si="168"/>
        <v>13.527226499665876</v>
      </c>
      <c r="J156">
        <f t="shared" si="168"/>
        <v>10.625550033881066</v>
      </c>
      <c r="K156">
        <f t="shared" si="168"/>
        <v>7.573200868389689</v>
      </c>
      <c r="L156">
        <f t="shared" si="141"/>
        <v>30.212724252423289</v>
      </c>
      <c r="M156">
        <f t="shared" si="142"/>
        <v>0.28727574757671093</v>
      </c>
      <c r="N156">
        <f t="shared" si="143"/>
        <v>8.2527355145758138E-2</v>
      </c>
    </row>
    <row r="157" spans="1:14" x14ac:dyDescent="0.45">
      <c r="A157" s="22">
        <v>42647</v>
      </c>
      <c r="B157">
        <v>30.71</v>
      </c>
      <c r="C157">
        <v>30.21</v>
      </c>
      <c r="G157">
        <f t="shared" ref="G157:K157" si="169">SUMPRODUCT($B157:$B161,P$2:P$6)</f>
        <v>18.410247583320587</v>
      </c>
      <c r="H157">
        <f t="shared" si="169"/>
        <v>16.132873286258757</v>
      </c>
      <c r="I157">
        <f t="shared" si="169"/>
        <v>13.737225008316921</v>
      </c>
      <c r="J157">
        <f t="shared" si="169"/>
        <v>10.790474366885377</v>
      </c>
      <c r="K157">
        <f t="shared" si="169"/>
        <v>7.6907340598380278</v>
      </c>
      <c r="L157">
        <f t="shared" si="141"/>
        <v>30.681121592385235</v>
      </c>
      <c r="M157">
        <f t="shared" si="142"/>
        <v>-0.44112159238523674</v>
      </c>
      <c r="N157">
        <f t="shared" si="143"/>
        <v>0.19458825926848694</v>
      </c>
    </row>
    <row r="158" spans="1:14" x14ac:dyDescent="0.45">
      <c r="A158" s="22">
        <v>42646</v>
      </c>
      <c r="B158">
        <v>30.07</v>
      </c>
      <c r="C158">
        <v>30.77</v>
      </c>
      <c r="G158">
        <f t="shared" ref="G158:K158" si="170">SUMPRODUCT($B158:$B162,P$2:P$6)</f>
        <v>18.044096810647218</v>
      </c>
      <c r="H158">
        <f t="shared" si="170"/>
        <v>15.812210537701473</v>
      </c>
      <c r="I158">
        <f t="shared" si="170"/>
        <v>13.464304882380185</v>
      </c>
      <c r="J158">
        <f t="shared" si="170"/>
        <v>10.576538920408632</v>
      </c>
      <c r="K158">
        <f t="shared" si="170"/>
        <v>7.5388291642134462</v>
      </c>
      <c r="L158">
        <f t="shared" si="141"/>
        <v>30.072427842936488</v>
      </c>
      <c r="M158">
        <f t="shared" si="142"/>
        <v>0.63757215706351289</v>
      </c>
      <c r="N158">
        <f t="shared" si="143"/>
        <v>0.40649825546262075</v>
      </c>
    </row>
    <row r="159" spans="1:14" x14ac:dyDescent="0.45">
      <c r="A159" s="22">
        <v>42643</v>
      </c>
      <c r="B159">
        <v>30.69</v>
      </c>
      <c r="C159">
        <v>30.28</v>
      </c>
      <c r="G159">
        <f t="shared" ref="G159:K159" si="171">SUMPRODUCT($B159:$B163,P$2:P$6)</f>
        <v>18.413269969019051</v>
      </c>
      <c r="H159">
        <f t="shared" si="171"/>
        <v>16.135688410071399</v>
      </c>
      <c r="I159">
        <f t="shared" si="171"/>
        <v>13.739716046601352</v>
      </c>
      <c r="J159">
        <f t="shared" si="171"/>
        <v>10.792822124409911</v>
      </c>
      <c r="K159">
        <f t="shared" si="171"/>
        <v>7.6929011406844197</v>
      </c>
      <c r="L159">
        <f t="shared" si="141"/>
        <v>30.686791802113071</v>
      </c>
      <c r="M159">
        <f t="shared" si="142"/>
        <v>-0.61679180211307028</v>
      </c>
      <c r="N159">
        <f t="shared" si="143"/>
        <v>0.38043212715388885</v>
      </c>
    </row>
    <row r="160" spans="1:14" x14ac:dyDescent="0.45">
      <c r="A160" s="22">
        <v>42642</v>
      </c>
      <c r="B160">
        <v>31.05</v>
      </c>
      <c r="C160">
        <v>30.77</v>
      </c>
      <c r="G160">
        <f t="shared" ref="G160:K160" si="172">SUMPRODUCT($B160:$B164,P$2:P$6)</f>
        <v>18.619667581992459</v>
      </c>
      <c r="H160">
        <f t="shared" si="172"/>
        <v>16.316449823107689</v>
      </c>
      <c r="I160">
        <f t="shared" si="172"/>
        <v>13.893577197917008</v>
      </c>
      <c r="J160">
        <f t="shared" si="172"/>
        <v>10.913432816405733</v>
      </c>
      <c r="K160">
        <f t="shared" si="172"/>
        <v>7.7785545734156978</v>
      </c>
      <c r="L160">
        <f t="shared" si="141"/>
        <v>31.029932709569295</v>
      </c>
      <c r="M160">
        <f t="shared" si="142"/>
        <v>-0.33993270956929322</v>
      </c>
      <c r="N160">
        <f t="shared" si="143"/>
        <v>0.11555424703512146</v>
      </c>
    </row>
    <row r="161" spans="1:14" x14ac:dyDescent="0.45">
      <c r="A161" s="22">
        <v>42641</v>
      </c>
      <c r="B161">
        <v>31.41</v>
      </c>
      <c r="C161">
        <v>31.05</v>
      </c>
      <c r="G161">
        <f t="shared" ref="G161:K161" si="173">SUMPRODUCT($B161:$B165,P$2:P$6)</f>
        <v>18.834263904034593</v>
      </c>
      <c r="H161">
        <f t="shared" si="173"/>
        <v>16.50448719550462</v>
      </c>
      <c r="I161">
        <f t="shared" si="173"/>
        <v>14.053723522469674</v>
      </c>
      <c r="J161">
        <f t="shared" si="173"/>
        <v>11.039157288149948</v>
      </c>
      <c r="K161">
        <f t="shared" si="173"/>
        <v>7.8681171321428254</v>
      </c>
      <c r="L161">
        <f t="shared" si="141"/>
        <v>31.387081651303589</v>
      </c>
      <c r="M161">
        <f t="shared" si="142"/>
        <v>-0.33708165130358836</v>
      </c>
      <c r="N161">
        <f t="shared" si="143"/>
        <v>0.11362403964555393</v>
      </c>
    </row>
    <row r="162" spans="1:14" x14ac:dyDescent="0.45">
      <c r="A162" s="22">
        <v>42640</v>
      </c>
      <c r="B162">
        <v>31.31</v>
      </c>
      <c r="C162">
        <v>31.36</v>
      </c>
      <c r="G162">
        <f t="shared" ref="G162:K162" si="174">SUMPRODUCT($B162:$B166,P$2:P$6)</f>
        <v>18.763076031093057</v>
      </c>
      <c r="H162">
        <f t="shared" si="174"/>
        <v>16.441981557427916</v>
      </c>
      <c r="I162">
        <f t="shared" si="174"/>
        <v>14.000510188801885</v>
      </c>
      <c r="J162">
        <f t="shared" si="174"/>
        <v>10.996989284318595</v>
      </c>
      <c r="K162">
        <f t="shared" si="174"/>
        <v>7.8376817030430672</v>
      </c>
      <c r="L162">
        <f t="shared" si="141"/>
        <v>31.268139409116632</v>
      </c>
      <c r="M162">
        <f t="shared" si="142"/>
        <v>0.14186059088336833</v>
      </c>
      <c r="N162">
        <f t="shared" si="143"/>
        <v>2.0124427245778405E-2</v>
      </c>
    </row>
    <row r="163" spans="1:14" x14ac:dyDescent="0.45">
      <c r="A163" s="22">
        <v>42639</v>
      </c>
      <c r="B163">
        <v>31.94</v>
      </c>
      <c r="C163">
        <v>31.28</v>
      </c>
      <c r="G163">
        <f t="shared" ref="G163:K163" si="175">SUMPRODUCT($B163:$B167,P$2:P$6)</f>
        <v>19.137831423425443</v>
      </c>
      <c r="H163">
        <f t="shared" si="175"/>
        <v>16.770346223208357</v>
      </c>
      <c r="I163">
        <f t="shared" si="175"/>
        <v>14.280051230593918</v>
      </c>
      <c r="J163">
        <f t="shared" si="175"/>
        <v>11.216532927073759</v>
      </c>
      <c r="K163">
        <f t="shared" si="175"/>
        <v>7.9940678271437964</v>
      </c>
      <c r="L163">
        <f t="shared" si="141"/>
        <v>31.891767888114476</v>
      </c>
      <c r="M163">
        <f t="shared" si="142"/>
        <v>-0.58176788811447722</v>
      </c>
      <c r="N163">
        <f t="shared" si="143"/>
        <v>0.3384538756411789</v>
      </c>
    </row>
    <row r="164" spans="1:14" x14ac:dyDescent="0.45">
      <c r="A164" s="22">
        <v>42636</v>
      </c>
      <c r="B164">
        <v>31.96</v>
      </c>
      <c r="C164">
        <v>31.97</v>
      </c>
      <c r="G164">
        <f t="shared" ref="G164:K164" si="176">SUMPRODUCT($B164:$B168,P$2:P$6)</f>
        <v>19.143146299379715</v>
      </c>
      <c r="H164">
        <f t="shared" si="176"/>
        <v>16.774928676625713</v>
      </c>
      <c r="I164">
        <f t="shared" si="176"/>
        <v>14.283835376690099</v>
      </c>
      <c r="J164">
        <f t="shared" si="176"/>
        <v>11.21940398533394</v>
      </c>
      <c r="K164">
        <f t="shared" si="176"/>
        <v>7.995905128922316</v>
      </c>
      <c r="L164">
        <f t="shared" si="141"/>
        <v>31.900305415388367</v>
      </c>
      <c r="M164">
        <f t="shared" si="142"/>
        <v>3.9694584611634554E-2</v>
      </c>
      <c r="N164">
        <f t="shared" si="143"/>
        <v>1.5756600474902147E-3</v>
      </c>
    </row>
    <row r="165" spans="1:14" x14ac:dyDescent="0.45">
      <c r="A165" s="22">
        <v>42635</v>
      </c>
      <c r="B165">
        <v>32.07</v>
      </c>
      <c r="C165">
        <v>32.11</v>
      </c>
      <c r="G165">
        <f t="shared" ref="G165:K165" si="177">SUMPRODUCT($B165:$B169,P$2:P$6)</f>
        <v>19.201072733881908</v>
      </c>
      <c r="H165">
        <f t="shared" si="177"/>
        <v>16.825602018286173</v>
      </c>
      <c r="I165">
        <f t="shared" si="177"/>
        <v>14.327060395803636</v>
      </c>
      <c r="J165">
        <f t="shared" si="177"/>
        <v>11.253027431676511</v>
      </c>
      <c r="K165">
        <f t="shared" si="177"/>
        <v>8.0195885993249192</v>
      </c>
      <c r="L165">
        <f t="shared" si="141"/>
        <v>31.996421355955906</v>
      </c>
      <c r="M165">
        <f t="shared" si="142"/>
        <v>-3.6421355955905454E-2</v>
      </c>
      <c r="N165">
        <f t="shared" si="143"/>
        <v>1.3265151696667697E-3</v>
      </c>
    </row>
    <row r="166" spans="1:14" x14ac:dyDescent="0.45">
      <c r="A166" s="22">
        <v>42634</v>
      </c>
      <c r="B166">
        <v>31.12</v>
      </c>
      <c r="C166">
        <v>31.87</v>
      </c>
      <c r="G166">
        <f t="shared" ref="G166:K166" si="178">SUMPRODUCT($B166:$B170,P$2:P$6)</f>
        <v>18.655901904454289</v>
      </c>
      <c r="H166">
        <f t="shared" si="178"/>
        <v>16.348139684357506</v>
      </c>
      <c r="I166">
        <f t="shared" si="178"/>
        <v>13.92064391952103</v>
      </c>
      <c r="J166">
        <f t="shared" si="178"/>
        <v>10.934431665266555</v>
      </c>
      <c r="K166">
        <f t="shared" si="178"/>
        <v>7.7933162412749502</v>
      </c>
      <c r="L166">
        <f t="shared" si="141"/>
        <v>31.090037829497458</v>
      </c>
      <c r="M166">
        <f t="shared" si="142"/>
        <v>0.97996217050254231</v>
      </c>
      <c r="N166">
        <f t="shared" si="143"/>
        <v>0.96032585561605377</v>
      </c>
    </row>
    <row r="167" spans="1:14" x14ac:dyDescent="0.45">
      <c r="A167" s="22">
        <v>42633</v>
      </c>
      <c r="B167">
        <v>31.9</v>
      </c>
      <c r="C167">
        <v>31.53</v>
      </c>
      <c r="G167">
        <f t="shared" ref="G167:K167" si="179">SUMPRODUCT($B167:$B171,P$2:P$6)</f>
        <v>19.102868773389741</v>
      </c>
      <c r="H167">
        <f t="shared" si="179"/>
        <v>16.73958623684544</v>
      </c>
      <c r="I167">
        <f t="shared" si="179"/>
        <v>14.253758627813262</v>
      </c>
      <c r="J167">
        <f t="shared" si="179"/>
        <v>11.195624479116857</v>
      </c>
      <c r="K167">
        <f t="shared" si="179"/>
        <v>7.9788087580066067</v>
      </c>
      <c r="L167">
        <f t="shared" si="141"/>
        <v>31.833095729670347</v>
      </c>
      <c r="M167">
        <f t="shared" si="142"/>
        <v>-0.7130957296703464</v>
      </c>
      <c r="N167">
        <f t="shared" si="143"/>
        <v>0.50850551967408375</v>
      </c>
    </row>
    <row r="168" spans="1:14" x14ac:dyDescent="0.45">
      <c r="A168" s="22">
        <v>42632</v>
      </c>
      <c r="B168">
        <v>32.090000000000003</v>
      </c>
      <c r="C168">
        <v>31.74</v>
      </c>
      <c r="G168">
        <f t="shared" ref="G168:K168" si="180">SUMPRODUCT($B168:$B172,P$2:P$6)</f>
        <v>19.214393991938483</v>
      </c>
      <c r="H168">
        <f t="shared" si="180"/>
        <v>16.837289084249388</v>
      </c>
      <c r="I168">
        <f t="shared" si="180"/>
        <v>14.336924420826348</v>
      </c>
      <c r="J168">
        <f t="shared" si="180"/>
        <v>11.260901495435927</v>
      </c>
      <c r="K168">
        <f t="shared" si="180"/>
        <v>8.0252576851615469</v>
      </c>
      <c r="L168">
        <f t="shared" si="141"/>
        <v>32.018619804201897</v>
      </c>
      <c r="M168">
        <f t="shared" si="142"/>
        <v>-0.11861980420189866</v>
      </c>
      <c r="N168">
        <f t="shared" si="143"/>
        <v>1.4070657948896776E-2</v>
      </c>
    </row>
    <row r="169" spans="1:14" x14ac:dyDescent="0.45">
      <c r="A169" s="22">
        <v>42629</v>
      </c>
      <c r="B169">
        <v>31.22</v>
      </c>
      <c r="C169">
        <v>31.24</v>
      </c>
      <c r="G169">
        <f t="shared" ref="G169:K169" si="181">SUMPRODUCT($B169:$B173,P$2:P$6)</f>
        <v>18.715205639302397</v>
      </c>
      <c r="H169">
        <f t="shared" si="181"/>
        <v>16.400099574780008</v>
      </c>
      <c r="I169">
        <f t="shared" si="181"/>
        <v>13.964820787952235</v>
      </c>
      <c r="J169">
        <f t="shared" si="181"/>
        <v>10.969175383517801</v>
      </c>
      <c r="K169">
        <f t="shared" si="181"/>
        <v>7.8180668626868925</v>
      </c>
      <c r="L169">
        <f t="shared" si="141"/>
        <v>31.18869885860024</v>
      </c>
      <c r="M169">
        <f t="shared" si="142"/>
        <v>0.90130114139976314</v>
      </c>
      <c r="N169">
        <f t="shared" si="143"/>
        <v>0.81234374748851579</v>
      </c>
    </row>
    <row r="170" spans="1:14" x14ac:dyDescent="0.45">
      <c r="A170" s="22">
        <v>42628</v>
      </c>
      <c r="B170">
        <v>31.18</v>
      </c>
      <c r="C170">
        <v>31.31</v>
      </c>
      <c r="G170">
        <f t="shared" ref="G170:K170" si="182">SUMPRODUCT($B170:$B174,P$2:P$6)</f>
        <v>18.702069785691315</v>
      </c>
      <c r="H170">
        <f t="shared" si="182"/>
        <v>16.388708559199149</v>
      </c>
      <c r="I170">
        <f t="shared" si="182"/>
        <v>13.9551515938702</v>
      </c>
      <c r="J170">
        <f t="shared" si="182"/>
        <v>10.961898463597755</v>
      </c>
      <c r="K170">
        <f t="shared" si="182"/>
        <v>7.8132421674755772</v>
      </c>
      <c r="L170">
        <f t="shared" si="141"/>
        <v>31.167284454208474</v>
      </c>
      <c r="M170">
        <f t="shared" si="142"/>
        <v>5.2715545791524931E-2</v>
      </c>
      <c r="N170">
        <f t="shared" si="143"/>
        <v>2.7789287680983618E-3</v>
      </c>
    </row>
    <row r="171" spans="1:14" x14ac:dyDescent="0.45">
      <c r="A171" s="22">
        <v>42627</v>
      </c>
      <c r="B171">
        <v>31.63</v>
      </c>
      <c r="C171">
        <v>31.32</v>
      </c>
      <c r="G171">
        <f t="shared" ref="G171:K171" si="183">SUMPRODUCT($B171:$B175,P$2:P$6)</f>
        <v>18.96648838635312</v>
      </c>
      <c r="H171">
        <f t="shared" si="183"/>
        <v>16.620358266659085</v>
      </c>
      <c r="I171">
        <f t="shared" si="183"/>
        <v>14.152321940117774</v>
      </c>
      <c r="J171">
        <f t="shared" si="183"/>
        <v>11.116679566274124</v>
      </c>
      <c r="K171">
        <f t="shared" si="183"/>
        <v>7.9233903925075593</v>
      </c>
      <c r="L171">
        <f t="shared" si="141"/>
        <v>31.60715701197612</v>
      </c>
      <c r="M171">
        <f t="shared" si="142"/>
        <v>-0.42715701197612077</v>
      </c>
      <c r="N171">
        <f t="shared" si="143"/>
        <v>0.18246311288036779</v>
      </c>
    </row>
    <row r="172" spans="1:14" x14ac:dyDescent="0.45">
      <c r="A172" s="22">
        <v>42626</v>
      </c>
      <c r="B172">
        <v>31.81</v>
      </c>
      <c r="C172">
        <v>31.61</v>
      </c>
      <c r="G172">
        <f t="shared" ref="G172:K172" si="184">SUMPRODUCT($B172:$B176,P$2:P$6)</f>
        <v>19.077775536264717</v>
      </c>
      <c r="H172">
        <f t="shared" si="184"/>
        <v>16.71791683641392</v>
      </c>
      <c r="I172">
        <f t="shared" si="184"/>
        <v>14.235439865792918</v>
      </c>
      <c r="J172">
        <f t="shared" si="184"/>
        <v>11.18203194304354</v>
      </c>
      <c r="K172">
        <f t="shared" si="184"/>
        <v>7.9700769795790878</v>
      </c>
      <c r="L172">
        <f t="shared" si="141"/>
        <v>31.792542725154444</v>
      </c>
      <c r="M172">
        <f t="shared" si="142"/>
        <v>-0.16254272515444512</v>
      </c>
      <c r="N172">
        <f t="shared" si="143"/>
        <v>2.6420137500633486E-2</v>
      </c>
    </row>
    <row r="173" spans="1:14" x14ac:dyDescent="0.45">
      <c r="A173" s="22">
        <v>42625</v>
      </c>
      <c r="B173">
        <v>31.6</v>
      </c>
      <c r="C173">
        <v>31.94</v>
      </c>
      <c r="G173">
        <f t="shared" ref="G173:K173" si="185">SUMPRODUCT($B173:$B177,P$2:P$6)</f>
        <v>18.975326763925583</v>
      </c>
      <c r="H173">
        <f t="shared" si="185"/>
        <v>16.62840072557794</v>
      </c>
      <c r="I173">
        <f t="shared" si="185"/>
        <v>14.159312115698285</v>
      </c>
      <c r="J173">
        <f t="shared" si="185"/>
        <v>11.122893307559334</v>
      </c>
      <c r="K173">
        <f t="shared" si="185"/>
        <v>7.9287050376137689</v>
      </c>
      <c r="L173">
        <f t="shared" si="141"/>
        <v>31.623002381695017</v>
      </c>
      <c r="M173">
        <f t="shared" si="142"/>
        <v>0.18699761830498218</v>
      </c>
      <c r="N173">
        <f t="shared" si="143"/>
        <v>3.496810925173581E-2</v>
      </c>
    </row>
    <row r="174" spans="1:14" x14ac:dyDescent="0.45">
      <c r="A174" s="22">
        <v>42622</v>
      </c>
      <c r="B174">
        <v>32.159999999999997</v>
      </c>
      <c r="C174">
        <v>31.73</v>
      </c>
      <c r="G174">
        <f t="shared" ref="G174:K174" si="186">SUMPRODUCT($B174:$B178,P$2:P$6)</f>
        <v>19.293753062437162</v>
      </c>
      <c r="H174">
        <f t="shared" si="186"/>
        <v>16.907246014244574</v>
      </c>
      <c r="I174">
        <f t="shared" si="186"/>
        <v>14.396697686611407</v>
      </c>
      <c r="J174">
        <f t="shared" si="186"/>
        <v>11.308854777222134</v>
      </c>
      <c r="K174">
        <f t="shared" si="186"/>
        <v>8.0606698021841545</v>
      </c>
      <c r="L174">
        <f t="shared" si="141"/>
        <v>32.152293762932679</v>
      </c>
      <c r="M174">
        <f t="shared" si="142"/>
        <v>-0.55229376293267762</v>
      </c>
      <c r="N174">
        <f t="shared" si="143"/>
        <v>0.30502840057433672</v>
      </c>
    </row>
    <row r="175" spans="1:14" x14ac:dyDescent="0.45">
      <c r="A175" s="22">
        <v>42621</v>
      </c>
      <c r="B175">
        <v>32.68</v>
      </c>
      <c r="C175">
        <v>32.47</v>
      </c>
      <c r="G175">
        <f t="shared" ref="G175:K175" si="187">SUMPRODUCT($B175:$B179,P$2:P$6)</f>
        <v>19.597999046196179</v>
      </c>
      <c r="H175">
        <f t="shared" si="187"/>
        <v>17.173774292668323</v>
      </c>
      <c r="I175">
        <f t="shared" si="187"/>
        <v>14.623692698375077</v>
      </c>
      <c r="J175">
        <f t="shared" si="187"/>
        <v>11.486875207603481</v>
      </c>
      <c r="K175">
        <f t="shared" si="187"/>
        <v>8.1872919663992985</v>
      </c>
      <c r="L175">
        <f t="shared" si="141"/>
        <v>32.658411505675865</v>
      </c>
      <c r="M175">
        <f t="shared" si="142"/>
        <v>-0.49841150567586823</v>
      </c>
      <c r="N175">
        <f t="shared" si="143"/>
        <v>0.24841402899008602</v>
      </c>
    </row>
    <row r="176" spans="1:14" x14ac:dyDescent="0.45">
      <c r="A176" s="22">
        <v>42620</v>
      </c>
      <c r="B176">
        <v>32.85</v>
      </c>
      <c r="C176">
        <v>32.85</v>
      </c>
      <c r="G176">
        <f t="shared" ref="G176:K176" si="188">SUMPRODUCT($B176:$B180,P$2:P$6)</f>
        <v>19.698505504833403</v>
      </c>
      <c r="H176">
        <f t="shared" si="188"/>
        <v>17.261831713400802</v>
      </c>
      <c r="I176">
        <f t="shared" si="188"/>
        <v>14.698610792967326</v>
      </c>
      <c r="J176">
        <f t="shared" si="188"/>
        <v>11.545738138756414</v>
      </c>
      <c r="K176">
        <f t="shared" si="188"/>
        <v>8.2292067210008053</v>
      </c>
      <c r="L176">
        <f t="shared" si="141"/>
        <v>32.825623621417542</v>
      </c>
      <c r="M176">
        <f t="shared" si="142"/>
        <v>-0.14562362141754193</v>
      </c>
      <c r="N176">
        <f t="shared" si="143"/>
        <v>2.1206239114759575E-2</v>
      </c>
    </row>
    <row r="177" spans="1:14" x14ac:dyDescent="0.45">
      <c r="A177" s="22">
        <v>42619</v>
      </c>
      <c r="B177">
        <v>33.770000000000003</v>
      </c>
      <c r="C177">
        <v>32.9</v>
      </c>
      <c r="G177">
        <f t="shared" ref="G177:K177" si="189">SUMPRODUCT($B177:$B181,P$2:P$6)</f>
        <v>20.225512876263995</v>
      </c>
      <c r="H177">
        <f t="shared" si="189"/>
        <v>17.723375435030903</v>
      </c>
      <c r="I177">
        <f t="shared" si="189"/>
        <v>15.09147023840603</v>
      </c>
      <c r="J177">
        <f t="shared" si="189"/>
        <v>11.853681504852235</v>
      </c>
      <c r="K177">
        <f t="shared" si="189"/>
        <v>8.4478809586471115</v>
      </c>
      <c r="L177">
        <f t="shared" si="141"/>
        <v>33.701766748556246</v>
      </c>
      <c r="M177">
        <f t="shared" si="142"/>
        <v>-0.85176674855624412</v>
      </c>
      <c r="N177">
        <f t="shared" si="143"/>
        <v>0.72550659394607597</v>
      </c>
    </row>
    <row r="178" spans="1:14" x14ac:dyDescent="0.45">
      <c r="A178" s="22">
        <v>42615</v>
      </c>
      <c r="B178">
        <v>33.409999999999997</v>
      </c>
      <c r="C178">
        <v>33.69</v>
      </c>
      <c r="G178">
        <f t="shared" ref="G178:K178" si="190">SUMPRODUCT($B178:$B182,P$2:P$6)</f>
        <v>20.024906094722706</v>
      </c>
      <c r="H178">
        <f t="shared" si="190"/>
        <v>17.547752836196203</v>
      </c>
      <c r="I178">
        <f t="shared" si="190"/>
        <v>14.942025049613999</v>
      </c>
      <c r="J178">
        <f t="shared" si="190"/>
        <v>11.736686495922372</v>
      </c>
      <c r="K178">
        <f t="shared" si="190"/>
        <v>8.3649945245017552</v>
      </c>
      <c r="L178">
        <f t="shared" si="141"/>
        <v>33.36851246257833</v>
      </c>
      <c r="M178">
        <f t="shared" si="142"/>
        <v>0.40148753742167287</v>
      </c>
      <c r="N178">
        <f t="shared" si="143"/>
        <v>0.16119224270491916</v>
      </c>
    </row>
    <row r="179" spans="1:14" x14ac:dyDescent="0.45">
      <c r="A179" s="22">
        <v>42614</v>
      </c>
      <c r="B179">
        <v>33.17</v>
      </c>
      <c r="C179">
        <v>33.159999999999997</v>
      </c>
      <c r="G179">
        <f t="shared" ref="G179:K179" si="191">SUMPRODUCT($B179:$B183,P$2:P$6)</f>
        <v>19.882444084555143</v>
      </c>
      <c r="H179">
        <f t="shared" si="191"/>
        <v>17.422929534478573</v>
      </c>
      <c r="I179">
        <f t="shared" si="191"/>
        <v>14.835767902822937</v>
      </c>
      <c r="J179">
        <f t="shared" si="191"/>
        <v>11.653238764122872</v>
      </c>
      <c r="K179">
        <f t="shared" si="191"/>
        <v>8.3055620634198295</v>
      </c>
      <c r="L179">
        <f t="shared" si="141"/>
        <v>33.131456681536697</v>
      </c>
      <c r="M179">
        <f t="shared" si="142"/>
        <v>0.27854331846329927</v>
      </c>
      <c r="N179">
        <f t="shared" si="143"/>
        <v>7.7586380260546955E-2</v>
      </c>
    </row>
    <row r="180" spans="1:14" x14ac:dyDescent="0.45">
      <c r="A180" s="22">
        <v>42613</v>
      </c>
      <c r="B180">
        <v>33.590000000000003</v>
      </c>
      <c r="C180">
        <v>33.130000000000003</v>
      </c>
      <c r="G180">
        <f t="shared" ref="G180:K180" si="192">SUMPRODUCT($B180:$B184,P$2:P$6)</f>
        <v>20.121810595026066</v>
      </c>
      <c r="H180">
        <f t="shared" si="192"/>
        <v>17.632548739206332</v>
      </c>
      <c r="I180">
        <f t="shared" si="192"/>
        <v>15.0142253534096</v>
      </c>
      <c r="J180">
        <f t="shared" si="192"/>
        <v>11.793050968045941</v>
      </c>
      <c r="K180">
        <f t="shared" si="192"/>
        <v>8.4047964370286721</v>
      </c>
      <c r="L180">
        <f t="shared" si="141"/>
        <v>33.529359085769542</v>
      </c>
      <c r="M180">
        <f t="shared" si="142"/>
        <v>-0.35935908576954034</v>
      </c>
      <c r="N180">
        <f t="shared" si="143"/>
        <v>0.12913895252511987</v>
      </c>
    </row>
    <row r="181" spans="1:14" x14ac:dyDescent="0.45">
      <c r="A181" s="22">
        <v>42612</v>
      </c>
      <c r="B181">
        <v>33.6</v>
      </c>
      <c r="C181">
        <v>33.57</v>
      </c>
      <c r="G181">
        <f t="shared" ref="G181:K181" si="193">SUMPRODUCT($B181:$B185,P$2:P$6)</f>
        <v>20.130766892845443</v>
      </c>
      <c r="H181">
        <f t="shared" si="193"/>
        <v>17.640429354731054</v>
      </c>
      <c r="I181">
        <f t="shared" si="193"/>
        <v>15.020898785574017</v>
      </c>
      <c r="J181">
        <f t="shared" si="193"/>
        <v>11.798422833620208</v>
      </c>
      <c r="K181">
        <f t="shared" si="193"/>
        <v>8.4087301740258056</v>
      </c>
      <c r="L181">
        <f t="shared" si="141"/>
        <v>33.544374729196441</v>
      </c>
      <c r="M181">
        <f t="shared" si="142"/>
        <v>4.5625270803562046E-2</v>
      </c>
      <c r="N181">
        <f t="shared" si="143"/>
        <v>2.0816653358983711E-3</v>
      </c>
    </row>
    <row r="182" spans="1:14" x14ac:dyDescent="0.45">
      <c r="A182" s="22">
        <v>42611</v>
      </c>
      <c r="B182">
        <v>33.770000000000003</v>
      </c>
      <c r="C182">
        <v>33.700000000000003</v>
      </c>
      <c r="G182">
        <f t="shared" ref="G182:K182" si="194">SUMPRODUCT($B182:$B186,P$2:P$6)</f>
        <v>20.228422494140688</v>
      </c>
      <c r="H182">
        <f t="shared" si="194"/>
        <v>17.725957264848258</v>
      </c>
      <c r="I182">
        <f t="shared" si="194"/>
        <v>15.093673323213771</v>
      </c>
      <c r="J182">
        <f t="shared" si="194"/>
        <v>11.855500678900404</v>
      </c>
      <c r="K182">
        <f t="shared" si="194"/>
        <v>8.449275122062275</v>
      </c>
      <c r="L182">
        <f t="shared" si="141"/>
        <v>33.706729257008654</v>
      </c>
      <c r="M182">
        <f t="shared" si="142"/>
        <v>-0.10672925700865221</v>
      </c>
      <c r="N182">
        <f t="shared" si="143"/>
        <v>1.1391134301618937E-2</v>
      </c>
    </row>
    <row r="183" spans="1:14" x14ac:dyDescent="0.45">
      <c r="A183" s="22">
        <v>42608</v>
      </c>
      <c r="B183">
        <v>33.46</v>
      </c>
      <c r="C183">
        <v>33.700000000000003</v>
      </c>
      <c r="G183">
        <f t="shared" ref="G183:K183" si="195">SUMPRODUCT($B183:$B187,P$2:P$6)</f>
        <v>20.041250347274541</v>
      </c>
      <c r="H183">
        <f t="shared" si="195"/>
        <v>17.561924906781453</v>
      </c>
      <c r="I183">
        <f t="shared" si="195"/>
        <v>14.954085336084701</v>
      </c>
      <c r="J183">
        <f t="shared" si="195"/>
        <v>11.745730682030821</v>
      </c>
      <c r="K183">
        <f t="shared" si="195"/>
        <v>8.3709815400697263</v>
      </c>
      <c r="L183">
        <f t="shared" si="141"/>
        <v>33.395161594164549</v>
      </c>
      <c r="M183">
        <f t="shared" si="142"/>
        <v>0.37483840583545458</v>
      </c>
      <c r="N183">
        <f t="shared" si="143"/>
        <v>0.14050383048926496</v>
      </c>
    </row>
    <row r="184" spans="1:14" x14ac:dyDescent="0.45">
      <c r="A184" s="22">
        <v>42607</v>
      </c>
      <c r="B184">
        <v>33.200000000000003</v>
      </c>
      <c r="C184">
        <v>33.369999999999997</v>
      </c>
      <c r="G184">
        <f t="shared" ref="G184:K184" si="196">SUMPRODUCT($B184:$B188,P$2:P$6)</f>
        <v>19.893370033553374</v>
      </c>
      <c r="H184">
        <f t="shared" si="196"/>
        <v>17.432426274114999</v>
      </c>
      <c r="I184">
        <f t="shared" si="196"/>
        <v>14.843869736559887</v>
      </c>
      <c r="J184">
        <f t="shared" si="196"/>
        <v>11.659362315079777</v>
      </c>
      <c r="K184">
        <f t="shared" si="196"/>
        <v>8.3096860525409184</v>
      </c>
      <c r="L184">
        <f t="shared" si="141"/>
        <v>33.149361122394644</v>
      </c>
      <c r="M184">
        <f t="shared" si="142"/>
        <v>0.31063887760535636</v>
      </c>
      <c r="N184">
        <f t="shared" si="143"/>
        <v>9.6496512279915569E-2</v>
      </c>
    </row>
    <row r="185" spans="1:14" x14ac:dyDescent="0.45">
      <c r="A185" s="22">
        <v>42606</v>
      </c>
      <c r="B185">
        <v>33.619999999999997</v>
      </c>
      <c r="C185">
        <v>33.18</v>
      </c>
      <c r="G185">
        <f t="shared" ref="G185:K185" si="197">SUMPRODUCT($B185:$B189,P$2:P$6)</f>
        <v>20.138009155091879</v>
      </c>
      <c r="H185">
        <f t="shared" si="197"/>
        <v>17.646722571802069</v>
      </c>
      <c r="I185">
        <f t="shared" si="197"/>
        <v>15.026186733063085</v>
      </c>
      <c r="J185">
        <f t="shared" si="197"/>
        <v>11.802491942604652</v>
      </c>
      <c r="K185">
        <f t="shared" si="197"/>
        <v>8.4114798393737473</v>
      </c>
      <c r="L185">
        <f t="shared" si="141"/>
        <v>33.556213715684343</v>
      </c>
      <c r="M185">
        <f t="shared" si="142"/>
        <v>-0.35621371568434057</v>
      </c>
      <c r="N185">
        <f t="shared" si="143"/>
        <v>0.12688821124164423</v>
      </c>
    </row>
    <row r="186" spans="1:14" x14ac:dyDescent="0.45">
      <c r="A186" s="22">
        <v>42605</v>
      </c>
      <c r="B186">
        <v>33.78</v>
      </c>
      <c r="C186">
        <v>33.78</v>
      </c>
      <c r="G186">
        <f t="shared" ref="G186:K186" si="198">SUMPRODUCT($B186:$B190,P$2:P$6)</f>
        <v>20.230854864552335</v>
      </c>
      <c r="H186">
        <f t="shared" si="198"/>
        <v>17.72804903768872</v>
      </c>
      <c r="I186">
        <f t="shared" si="198"/>
        <v>15.095417231119095</v>
      </c>
      <c r="J186">
        <f t="shared" si="198"/>
        <v>11.856791847728735</v>
      </c>
      <c r="K186">
        <f t="shared" si="198"/>
        <v>8.450080306057755</v>
      </c>
      <c r="L186">
        <f t="shared" si="141"/>
        <v>33.710621208935578</v>
      </c>
      <c r="M186">
        <f t="shared" si="142"/>
        <v>-9.0621208935580455E-2</v>
      </c>
      <c r="N186">
        <f t="shared" si="143"/>
        <v>8.2122035089461261E-3</v>
      </c>
    </row>
    <row r="187" spans="1:14" x14ac:dyDescent="0.45">
      <c r="A187" s="22">
        <v>42604</v>
      </c>
      <c r="B187">
        <v>32.9</v>
      </c>
      <c r="C187">
        <v>33.549999999999997</v>
      </c>
      <c r="G187">
        <f t="shared" ref="G187:K187" si="199">SUMPRODUCT($B187:$B191,P$2:P$6)</f>
        <v>19.735302512866905</v>
      </c>
      <c r="H187">
        <f t="shared" si="199"/>
        <v>17.294152452694618</v>
      </c>
      <c r="I187">
        <f t="shared" si="199"/>
        <v>14.726161515708592</v>
      </c>
      <c r="J187">
        <f t="shared" si="199"/>
        <v>11.567568998052433</v>
      </c>
      <c r="K187">
        <f t="shared" si="199"/>
        <v>8.2449926637950544</v>
      </c>
      <c r="L187">
        <f t="shared" si="141"/>
        <v>32.887157212383023</v>
      </c>
      <c r="M187">
        <f t="shared" si="142"/>
        <v>0.89284278761697777</v>
      </c>
      <c r="N187">
        <f t="shared" si="143"/>
        <v>0.79716824339965564</v>
      </c>
    </row>
    <row r="188" spans="1:14" x14ac:dyDescent="0.45">
      <c r="A188" s="22">
        <v>42601</v>
      </c>
      <c r="B188">
        <v>32.909999999999997</v>
      </c>
      <c r="C188">
        <v>32.869999999999997</v>
      </c>
      <c r="G188">
        <f t="shared" ref="G188:K188" si="200">SUMPRODUCT($B188:$B192,P$2:P$6)</f>
        <v>19.742401026757737</v>
      </c>
      <c r="H188">
        <f t="shared" si="200"/>
        <v>17.300385099031935</v>
      </c>
      <c r="I188">
        <f t="shared" si="200"/>
        <v>14.73147414552</v>
      </c>
      <c r="J188">
        <f t="shared" si="200"/>
        <v>11.571772288149607</v>
      </c>
      <c r="K188">
        <f t="shared" si="200"/>
        <v>8.2480249553869402</v>
      </c>
      <c r="L188">
        <f t="shared" si="141"/>
        <v>32.899019092743629</v>
      </c>
      <c r="M188">
        <f t="shared" si="142"/>
        <v>9.8090725636978959E-4</v>
      </c>
      <c r="N188">
        <f t="shared" si="143"/>
        <v>9.6217904559890818E-7</v>
      </c>
    </row>
    <row r="189" spans="1:14" x14ac:dyDescent="0.45">
      <c r="A189" s="22">
        <v>42600</v>
      </c>
      <c r="B189">
        <v>33.69</v>
      </c>
      <c r="C189">
        <v>33.380000000000003</v>
      </c>
      <c r="G189">
        <f t="shared" ref="G189:K189" si="201">SUMPRODUCT($B189:$B193,P$2:P$6)</f>
        <v>20.192644387629297</v>
      </c>
      <c r="H189">
        <f t="shared" si="201"/>
        <v>17.694740481110141</v>
      </c>
      <c r="I189">
        <f t="shared" si="201"/>
        <v>15.06719661186936</v>
      </c>
      <c r="J189">
        <f t="shared" si="201"/>
        <v>11.834993699222904</v>
      </c>
      <c r="K189">
        <f t="shared" si="201"/>
        <v>8.4350558897438859</v>
      </c>
      <c r="L189">
        <f t="shared" si="141"/>
        <v>33.647705873351988</v>
      </c>
      <c r="M189">
        <f t="shared" si="142"/>
        <v>-0.73770587335199167</v>
      </c>
      <c r="N189">
        <f t="shared" si="143"/>
        <v>0.54420995557802476</v>
      </c>
    </row>
    <row r="190" spans="1:14" x14ac:dyDescent="0.45">
      <c r="A190" s="22">
        <v>42599</v>
      </c>
      <c r="B190">
        <v>33.74</v>
      </c>
      <c r="C190">
        <v>33.64</v>
      </c>
      <c r="G190">
        <f t="shared" ref="G190:K190" si="202">SUMPRODUCT($B190:$B194,P$2:P$6)</f>
        <v>20.220361930716678</v>
      </c>
      <c r="H190">
        <f t="shared" si="202"/>
        <v>17.719004444075246</v>
      </c>
      <c r="I190">
        <f t="shared" si="202"/>
        <v>15.087857956653179</v>
      </c>
      <c r="J190">
        <f t="shared" si="202"/>
        <v>11.851150427995123</v>
      </c>
      <c r="K190">
        <f t="shared" si="202"/>
        <v>8.4464950706555495</v>
      </c>
      <c r="L190">
        <f t="shared" si="141"/>
        <v>33.693749386135913</v>
      </c>
      <c r="M190">
        <f t="shared" si="142"/>
        <v>-3.7493861359152447E-3</v>
      </c>
      <c r="N190">
        <f t="shared" si="143"/>
        <v>1.4057896396193449E-5</v>
      </c>
    </row>
    <row r="191" spans="1:14" x14ac:dyDescent="0.45">
      <c r="A191" s="22">
        <v>42598</v>
      </c>
      <c r="B191">
        <v>33.96</v>
      </c>
      <c r="C191">
        <v>33.68</v>
      </c>
      <c r="G191">
        <f t="shared" ref="G191:K191" si="203">SUMPRODUCT($B191:$B195,P$2:P$6)</f>
        <v>20.343106683556112</v>
      </c>
      <c r="H191">
        <f t="shared" si="203"/>
        <v>17.826464303438303</v>
      </c>
      <c r="I191">
        <f t="shared" si="203"/>
        <v>15.179327471363575</v>
      </c>
      <c r="J191">
        <f t="shared" si="203"/>
        <v>11.922737975629039</v>
      </c>
      <c r="K191">
        <f t="shared" si="203"/>
        <v>8.4972138566936977</v>
      </c>
      <c r="L191">
        <f t="shared" si="141"/>
        <v>33.897672196983351</v>
      </c>
      <c r="M191">
        <f t="shared" si="142"/>
        <v>-0.15767219698334856</v>
      </c>
      <c r="N191">
        <f t="shared" si="143"/>
        <v>2.4860521701555869E-2</v>
      </c>
    </row>
    <row r="192" spans="1:14" x14ac:dyDescent="0.45">
      <c r="A192" s="22">
        <v>42597</v>
      </c>
      <c r="B192">
        <v>34.020000000000003</v>
      </c>
      <c r="C192">
        <v>34.020000000000003</v>
      </c>
      <c r="G192">
        <f t="shared" ref="G192:K192" si="204">SUMPRODUCT($B192:$B196,P$2:P$6)</f>
        <v>20.382852113092525</v>
      </c>
      <c r="H192">
        <f t="shared" si="204"/>
        <v>17.861334584791312</v>
      </c>
      <c r="I192">
        <f t="shared" si="204"/>
        <v>15.209000788049313</v>
      </c>
      <c r="J192">
        <f t="shared" si="204"/>
        <v>11.946184885322941</v>
      </c>
      <c r="K192">
        <f t="shared" si="204"/>
        <v>8.514055314050557</v>
      </c>
      <c r="L192">
        <f t="shared" si="141"/>
        <v>33.963974164948894</v>
      </c>
      <c r="M192">
        <f t="shared" si="142"/>
        <v>-3.974164948893133E-3</v>
      </c>
      <c r="N192">
        <f t="shared" si="143"/>
        <v>1.579398704101076E-5</v>
      </c>
    </row>
    <row r="193" spans="1:14" x14ac:dyDescent="0.45">
      <c r="A193" s="22">
        <v>42594</v>
      </c>
      <c r="B193">
        <v>33.99</v>
      </c>
      <c r="C193">
        <v>34.06</v>
      </c>
      <c r="G193">
        <f t="shared" ref="G193:K193" si="205">SUMPRODUCT($B193:$B197,P$2:P$6)</f>
        <v>20.361291390448805</v>
      </c>
      <c r="H193">
        <f t="shared" si="205"/>
        <v>17.842401218889783</v>
      </c>
      <c r="I193">
        <f t="shared" si="205"/>
        <v>15.192852602191165</v>
      </c>
      <c r="J193">
        <f t="shared" si="205"/>
        <v>11.933411259776136</v>
      </c>
      <c r="K193">
        <f t="shared" si="205"/>
        <v>8.5048340858598124</v>
      </c>
      <c r="L193">
        <f t="shared" si="141"/>
        <v>33.927933481364214</v>
      </c>
      <c r="M193">
        <f t="shared" si="142"/>
        <v>9.2066518635789407E-2</v>
      </c>
      <c r="N193">
        <f t="shared" si="143"/>
        <v>8.476243853714158E-3</v>
      </c>
    </row>
    <row r="194" spans="1:14" x14ac:dyDescent="0.45">
      <c r="A194" s="22">
        <v>42593</v>
      </c>
      <c r="B194">
        <v>33.880000000000003</v>
      </c>
      <c r="C194">
        <v>34.119999999999997</v>
      </c>
      <c r="G194">
        <f t="shared" ref="G194:K194" si="206">SUMPRODUCT($B194:$B198,P$2:P$6)</f>
        <v>20.291137796724865</v>
      </c>
      <c r="H194">
        <f t="shared" si="206"/>
        <v>17.780880032354109</v>
      </c>
      <c r="I194">
        <f t="shared" si="206"/>
        <v>15.140529689133663</v>
      </c>
      <c r="J194">
        <f t="shared" si="206"/>
        <v>11.892117678864357</v>
      </c>
      <c r="K194">
        <f t="shared" si="206"/>
        <v>8.4752520050831954</v>
      </c>
      <c r="L194">
        <f t="shared" si="141"/>
        <v>33.811014702730468</v>
      </c>
      <c r="M194">
        <f t="shared" si="142"/>
        <v>0.17898529726953427</v>
      </c>
      <c r="N194">
        <f t="shared" si="143"/>
        <v>3.2035736638663555E-2</v>
      </c>
    </row>
    <row r="195" spans="1:14" x14ac:dyDescent="0.45">
      <c r="A195" s="22">
        <v>42592</v>
      </c>
      <c r="B195">
        <v>33.64</v>
      </c>
      <c r="C195">
        <v>33.76</v>
      </c>
      <c r="G195">
        <f t="shared" ref="G195:K195" si="207">SUMPRODUCT($B195:$B199,P$2:P$6)</f>
        <v>20.145509877646102</v>
      </c>
      <c r="H195">
        <f t="shared" si="207"/>
        <v>17.653247320857879</v>
      </c>
      <c r="I195">
        <f t="shared" si="207"/>
        <v>15.031861321092952</v>
      </c>
      <c r="J195">
        <f t="shared" si="207"/>
        <v>11.806692757714833</v>
      </c>
      <c r="K195">
        <f t="shared" si="207"/>
        <v>8.4143059973752798</v>
      </c>
      <c r="L195">
        <f t="shared" ref="L195:L247" si="208">(G195+$P$7)*$U$2+(H195+$Q$7)*$U$3+(I195+$R$7)*$U$4+(J195+$S$7)*$U$5+(K195+$T$7)*$U$6+$U$7</f>
        <v>33.568554766782107</v>
      </c>
      <c r="M195">
        <f t="shared" ref="M195:M247" si="209">B194-L195</f>
        <v>0.31144523321789563</v>
      </c>
      <c r="N195">
        <f t="shared" ref="N195:N247" si="210">M195^2</f>
        <v>9.69981332941494E-2</v>
      </c>
    </row>
    <row r="196" spans="1:14" x14ac:dyDescent="0.45">
      <c r="A196" s="22">
        <v>42591</v>
      </c>
      <c r="B196">
        <v>34.07</v>
      </c>
      <c r="C196">
        <v>33.49</v>
      </c>
      <c r="G196">
        <f t="shared" ref="G196:K196" si="211">SUMPRODUCT($B196:$B200,P$2:P$6)</f>
        <v>20.381074730010074</v>
      </c>
      <c r="H196">
        <f t="shared" si="211"/>
        <v>17.859425795080572</v>
      </c>
      <c r="I196">
        <f t="shared" si="211"/>
        <v>15.207274659308608</v>
      </c>
      <c r="J196">
        <f t="shared" si="211"/>
        <v>11.943909204699533</v>
      </c>
      <c r="K196">
        <f t="shared" si="211"/>
        <v>8.5113753598556006</v>
      </c>
      <c r="L196">
        <f t="shared" si="208"/>
        <v>33.95969498600239</v>
      </c>
      <c r="M196">
        <f t="shared" si="209"/>
        <v>-0.31969498600238921</v>
      </c>
      <c r="N196">
        <f t="shared" si="210"/>
        <v>0.10220488407506784</v>
      </c>
    </row>
    <row r="197" spans="1:14" x14ac:dyDescent="0.45">
      <c r="A197" s="22">
        <v>42590</v>
      </c>
      <c r="B197">
        <v>33.93</v>
      </c>
      <c r="C197">
        <v>34.06</v>
      </c>
      <c r="G197">
        <f t="shared" ref="G197:K197" si="212">SUMPRODUCT($B197:$B201,P$2:P$6)</f>
        <v>20.29679176673767</v>
      </c>
      <c r="H197">
        <f t="shared" si="212"/>
        <v>17.785564443080702</v>
      </c>
      <c r="I197">
        <f t="shared" si="212"/>
        <v>15.144346406355826</v>
      </c>
      <c r="J197">
        <f t="shared" si="212"/>
        <v>11.894501332426943</v>
      </c>
      <c r="K197">
        <f t="shared" si="212"/>
        <v>8.4761535731453179</v>
      </c>
      <c r="L197">
        <f t="shared" si="208"/>
        <v>33.81938309830619</v>
      </c>
      <c r="M197">
        <f t="shared" si="209"/>
        <v>0.25061690169381023</v>
      </c>
      <c r="N197">
        <f t="shared" si="210"/>
        <v>6.2808831414604943E-2</v>
      </c>
    </row>
    <row r="198" spans="1:14" x14ac:dyDescent="0.45">
      <c r="A198" s="22">
        <v>42587</v>
      </c>
      <c r="B198">
        <v>33.18</v>
      </c>
      <c r="C198">
        <v>33.950000000000003</v>
      </c>
      <c r="G198">
        <f t="shared" ref="G198:K198" si="213">SUMPRODUCT($B198:$B202,P$2:P$6)</f>
        <v>19.87424146394023</v>
      </c>
      <c r="H198">
        <f t="shared" si="213"/>
        <v>17.415583357366216</v>
      </c>
      <c r="I198">
        <f t="shared" si="213"/>
        <v>14.829366630747668</v>
      </c>
      <c r="J198">
        <f t="shared" si="213"/>
        <v>11.647895153237029</v>
      </c>
      <c r="K198">
        <f t="shared" si="213"/>
        <v>8.301294301910044</v>
      </c>
      <c r="L198">
        <f t="shared" si="208"/>
        <v>33.117180348742131</v>
      </c>
      <c r="M198">
        <f t="shared" si="209"/>
        <v>0.81281965125786826</v>
      </c>
      <c r="N198">
        <f t="shared" si="210"/>
        <v>0.66067578547096262</v>
      </c>
    </row>
    <row r="199" spans="1:14" x14ac:dyDescent="0.45">
      <c r="A199" s="22">
        <v>42586</v>
      </c>
      <c r="B199">
        <v>32.75</v>
      </c>
      <c r="C199">
        <v>33.06</v>
      </c>
      <c r="G199">
        <f t="shared" ref="G199:K199" si="214">SUMPRODUCT($B199:$B203,P$2:P$6)</f>
        <v>19.62245200602068</v>
      </c>
      <c r="H199">
        <f t="shared" si="214"/>
        <v>17.19500731273224</v>
      </c>
      <c r="I199">
        <f t="shared" si="214"/>
        <v>14.641600729456213</v>
      </c>
      <c r="J199">
        <f t="shared" si="214"/>
        <v>11.50054521284464</v>
      </c>
      <c r="K199">
        <f t="shared" si="214"/>
        <v>8.1964676646855263</v>
      </c>
      <c r="L199">
        <f t="shared" si="208"/>
        <v>32.698346485328592</v>
      </c>
      <c r="M199">
        <f t="shared" si="209"/>
        <v>0.48165351467140738</v>
      </c>
      <c r="N199">
        <f t="shared" si="210"/>
        <v>0.23199010819531965</v>
      </c>
    </row>
    <row r="200" spans="1:14" x14ac:dyDescent="0.45">
      <c r="A200" s="22">
        <v>42585</v>
      </c>
      <c r="B200">
        <v>32.43</v>
      </c>
      <c r="C200">
        <v>32.729999999999997</v>
      </c>
      <c r="G200">
        <f t="shared" ref="G200:K200" si="215">SUMPRODUCT($B200:$B204,P$2:P$6)</f>
        <v>19.444735095858572</v>
      </c>
      <c r="H200">
        <f t="shared" si="215"/>
        <v>17.039431538775425</v>
      </c>
      <c r="I200">
        <f t="shared" si="215"/>
        <v>14.50926688654204</v>
      </c>
      <c r="J200">
        <f t="shared" si="215"/>
        <v>11.396916849427317</v>
      </c>
      <c r="K200">
        <f t="shared" si="215"/>
        <v>8.123065550784716</v>
      </c>
      <c r="L200">
        <f t="shared" si="208"/>
        <v>32.403160811085606</v>
      </c>
      <c r="M200">
        <f t="shared" si="209"/>
        <v>0.34683918891439447</v>
      </c>
      <c r="N200">
        <f t="shared" si="210"/>
        <v>0.12029742296679502</v>
      </c>
    </row>
    <row r="201" spans="1:14" x14ac:dyDescent="0.45">
      <c r="A201" s="22">
        <v>42584</v>
      </c>
      <c r="B201">
        <v>32.450000000000003</v>
      </c>
      <c r="C201">
        <v>32.58</v>
      </c>
      <c r="G201">
        <f t="shared" ref="G201:K201" si="216">SUMPRODUCT($B201:$B205,P$2:P$6)</f>
        <v>19.452198089392677</v>
      </c>
      <c r="H201">
        <f t="shared" si="216"/>
        <v>17.045920948094349</v>
      </c>
      <c r="I201">
        <f t="shared" si="216"/>
        <v>14.514750893606356</v>
      </c>
      <c r="J201">
        <f t="shared" si="216"/>
        <v>11.40111962349822</v>
      </c>
      <c r="K201">
        <f t="shared" si="216"/>
        <v>8.1259139005650081</v>
      </c>
      <c r="L201">
        <f t="shared" si="208"/>
        <v>32.415385635239289</v>
      </c>
      <c r="M201">
        <f t="shared" si="209"/>
        <v>1.461436476071043E-2</v>
      </c>
      <c r="N201">
        <f t="shared" si="210"/>
        <v>2.1357965735909482E-4</v>
      </c>
    </row>
    <row r="202" spans="1:14" x14ac:dyDescent="0.45">
      <c r="A202" s="22">
        <v>42583</v>
      </c>
      <c r="B202">
        <v>33.26</v>
      </c>
      <c r="C202">
        <v>32.72</v>
      </c>
      <c r="G202">
        <f t="shared" ref="G202:K202" si="217">SUMPRODUCT($B202:$B206,P$2:P$6)</f>
        <v>19.917209378125683</v>
      </c>
      <c r="H202">
        <f t="shared" si="217"/>
        <v>17.453181493516279</v>
      </c>
      <c r="I202">
        <f t="shared" si="217"/>
        <v>14.861420365449444</v>
      </c>
      <c r="J202">
        <f t="shared" si="217"/>
        <v>11.672876604020779</v>
      </c>
      <c r="K202">
        <f t="shared" si="217"/>
        <v>8.3189256172611081</v>
      </c>
      <c r="L202">
        <f t="shared" si="208"/>
        <v>33.188509048825935</v>
      </c>
      <c r="M202">
        <f t="shared" si="209"/>
        <v>-0.73850904882593227</v>
      </c>
      <c r="N202">
        <f t="shared" si="210"/>
        <v>0.54539561519778323</v>
      </c>
    </row>
    <row r="203" spans="1:14" x14ac:dyDescent="0.45">
      <c r="A203" s="22">
        <v>42580</v>
      </c>
      <c r="B203">
        <v>32.94</v>
      </c>
      <c r="C203">
        <v>33.380000000000003</v>
      </c>
      <c r="G203">
        <f t="shared" ref="G203:K203" si="218">SUMPRODUCT($B203:$B207,P$2:P$6)</f>
        <v>19.731192283187728</v>
      </c>
      <c r="H203">
        <f t="shared" si="218"/>
        <v>17.2902395110032</v>
      </c>
      <c r="I203">
        <f t="shared" si="218"/>
        <v>14.722706358505089</v>
      </c>
      <c r="J203">
        <f t="shared" si="218"/>
        <v>11.564073723866715</v>
      </c>
      <c r="K203">
        <f t="shared" si="218"/>
        <v>8.2415701754049095</v>
      </c>
      <c r="L203">
        <f t="shared" si="208"/>
        <v>32.879136375792228</v>
      </c>
      <c r="M203">
        <f t="shared" si="209"/>
        <v>0.38086362420776965</v>
      </c>
      <c r="N203">
        <f t="shared" si="210"/>
        <v>0.14505710024467719</v>
      </c>
    </row>
    <row r="204" spans="1:14" x14ac:dyDescent="0.45">
      <c r="A204" s="22">
        <v>42579</v>
      </c>
      <c r="B204">
        <v>32.85</v>
      </c>
      <c r="C204">
        <v>33.049999999999997</v>
      </c>
      <c r="G204">
        <f t="shared" ref="G204:K204" si="219">SUMPRODUCT($B204:$B208,P$2:P$6)</f>
        <v>19.679575967326521</v>
      </c>
      <c r="H204">
        <f t="shared" si="219"/>
        <v>17.245034116211524</v>
      </c>
      <c r="I204">
        <f t="shared" si="219"/>
        <v>14.684225289420528</v>
      </c>
      <c r="J204">
        <f t="shared" si="219"/>
        <v>11.533910948483452</v>
      </c>
      <c r="K204">
        <f t="shared" si="219"/>
        <v>8.2201494612331558</v>
      </c>
      <c r="L204">
        <f t="shared" si="208"/>
        <v>32.793321353944542</v>
      </c>
      <c r="M204">
        <f t="shared" si="209"/>
        <v>0.14667864605545589</v>
      </c>
      <c r="N204">
        <f t="shared" si="210"/>
        <v>2.1514625208661705E-2</v>
      </c>
    </row>
    <row r="205" spans="1:14" x14ac:dyDescent="0.45">
      <c r="A205" s="22">
        <v>42578</v>
      </c>
      <c r="B205">
        <v>32.78</v>
      </c>
      <c r="C205">
        <v>32.909999999999997</v>
      </c>
      <c r="G205">
        <f t="shared" ref="G205:K205" si="220">SUMPRODUCT($B205:$B209,P$2:P$6)</f>
        <v>19.643283101711052</v>
      </c>
      <c r="H205">
        <f t="shared" si="220"/>
        <v>17.213293259447344</v>
      </c>
      <c r="I205">
        <f t="shared" si="220"/>
        <v>14.657197476660118</v>
      </c>
      <c r="J205">
        <f t="shared" si="220"/>
        <v>11.512862558328838</v>
      </c>
      <c r="K205">
        <f t="shared" si="220"/>
        <v>8.2053390508080959</v>
      </c>
      <c r="L205">
        <f t="shared" si="208"/>
        <v>32.733143102562288</v>
      </c>
      <c r="M205">
        <f t="shared" si="209"/>
        <v>0.11685689743771377</v>
      </c>
      <c r="N205">
        <f t="shared" si="210"/>
        <v>1.3655534478768355E-2</v>
      </c>
    </row>
    <row r="206" spans="1:14" x14ac:dyDescent="0.45">
      <c r="A206" s="22">
        <v>42577</v>
      </c>
      <c r="B206">
        <v>32.78</v>
      </c>
      <c r="C206">
        <v>32.869999999999997</v>
      </c>
      <c r="G206">
        <f t="shared" ref="G206:K206" si="221">SUMPRODUCT($B206:$B210,P$2:P$6)</f>
        <v>19.634767823943065</v>
      </c>
      <c r="H206">
        <f t="shared" si="221"/>
        <v>17.205737419962976</v>
      </c>
      <c r="I206">
        <f t="shared" si="221"/>
        <v>14.650761717617504</v>
      </c>
      <c r="J206">
        <f t="shared" si="221"/>
        <v>11.507536735160622</v>
      </c>
      <c r="K206">
        <f t="shared" si="221"/>
        <v>8.2012560160128611</v>
      </c>
      <c r="L206">
        <f t="shared" si="208"/>
        <v>32.718623635734502</v>
      </c>
      <c r="M206">
        <f t="shared" si="209"/>
        <v>6.1376364265498751E-2</v>
      </c>
      <c r="N206">
        <f t="shared" si="210"/>
        <v>3.7670580904511919E-3</v>
      </c>
    </row>
    <row r="207" spans="1:14" x14ac:dyDescent="0.45">
      <c r="A207" s="22">
        <v>42576</v>
      </c>
      <c r="B207">
        <v>32.69</v>
      </c>
      <c r="C207">
        <v>32.78</v>
      </c>
      <c r="G207">
        <f t="shared" ref="G207:K207" si="222">SUMPRODUCT($B207:$B211,P$2:P$6)</f>
        <v>19.59151739143692</v>
      </c>
      <c r="H207">
        <f t="shared" si="222"/>
        <v>17.167955771522138</v>
      </c>
      <c r="I207">
        <f t="shared" si="222"/>
        <v>14.618644344852408</v>
      </c>
      <c r="J207">
        <f t="shared" si="222"/>
        <v>11.482599934133859</v>
      </c>
      <c r="K207">
        <f t="shared" si="222"/>
        <v>8.1838365376934963</v>
      </c>
      <c r="L207">
        <f t="shared" si="208"/>
        <v>32.647086434241089</v>
      </c>
      <c r="M207">
        <f t="shared" si="209"/>
        <v>0.132913565758912</v>
      </c>
      <c r="N207">
        <f t="shared" si="210"/>
        <v>1.7666015962748624E-2</v>
      </c>
    </row>
    <row r="208" spans="1:14" x14ac:dyDescent="0.45">
      <c r="A208" s="22">
        <v>42573</v>
      </c>
      <c r="B208">
        <v>32.700000000000003</v>
      </c>
      <c r="C208">
        <v>32.76</v>
      </c>
      <c r="G208">
        <f t="shared" ref="G208:K208" si="223">SUMPRODUCT($B208:$B212,P$2:P$6)</f>
        <v>19.593454959652981</v>
      </c>
      <c r="H208">
        <f t="shared" si="223"/>
        <v>17.16960807829679</v>
      </c>
      <c r="I208">
        <f t="shared" si="223"/>
        <v>14.619978545714718</v>
      </c>
      <c r="J208">
        <f t="shared" si="223"/>
        <v>11.48358746082706</v>
      </c>
      <c r="K208">
        <f t="shared" si="223"/>
        <v>8.1844134694838715</v>
      </c>
      <c r="L208">
        <f t="shared" si="208"/>
        <v>32.65012334974665</v>
      </c>
      <c r="M208">
        <f t="shared" si="209"/>
        <v>3.9876650253347634E-2</v>
      </c>
      <c r="N208">
        <f t="shared" si="210"/>
        <v>1.5901472354278099E-3</v>
      </c>
    </row>
    <row r="209" spans="1:14" x14ac:dyDescent="0.45">
      <c r="A209" s="22">
        <v>42572</v>
      </c>
      <c r="B209">
        <v>33.03</v>
      </c>
      <c r="C209">
        <v>32.729999999999997</v>
      </c>
      <c r="G209">
        <f t="shared" ref="G209:K209" si="224">SUMPRODUCT($B209:$B213,P$2:P$6)</f>
        <v>19.787615247004336</v>
      </c>
      <c r="H209">
        <f t="shared" si="224"/>
        <v>17.339710025496931</v>
      </c>
      <c r="I209">
        <f t="shared" si="224"/>
        <v>14.764824294212</v>
      </c>
      <c r="J209">
        <f t="shared" si="224"/>
        <v>11.5972420181742</v>
      </c>
      <c r="K209">
        <f t="shared" si="224"/>
        <v>8.2652946131086793</v>
      </c>
      <c r="L209">
        <f t="shared" si="208"/>
        <v>32.973148494681517</v>
      </c>
      <c r="M209">
        <f t="shared" si="209"/>
        <v>-0.27314849468151436</v>
      </c>
      <c r="N209">
        <f t="shared" si="210"/>
        <v>7.4610100146777283E-2</v>
      </c>
    </row>
    <row r="210" spans="1:14" x14ac:dyDescent="0.45">
      <c r="A210" s="22">
        <v>42571</v>
      </c>
      <c r="B210">
        <v>32.44</v>
      </c>
      <c r="C210">
        <v>32.83</v>
      </c>
      <c r="G210">
        <f t="shared" ref="G210:K210" si="225">SUMPRODUCT($B210:$B214,P$2:P$6)</f>
        <v>19.457442738662959</v>
      </c>
      <c r="H210">
        <f t="shared" si="225"/>
        <v>17.050640804075996</v>
      </c>
      <c r="I210">
        <f t="shared" si="225"/>
        <v>14.518773737916407</v>
      </c>
      <c r="J210">
        <f t="shared" si="225"/>
        <v>11.404635289342952</v>
      </c>
      <c r="K210">
        <f t="shared" si="225"/>
        <v>8.1287985486559418</v>
      </c>
      <c r="L210">
        <f t="shared" si="208"/>
        <v>32.424572351639178</v>
      </c>
      <c r="M210">
        <f t="shared" si="209"/>
        <v>0.60542764836082341</v>
      </c>
      <c r="N210">
        <f t="shared" si="210"/>
        <v>0.36654263739971682</v>
      </c>
    </row>
    <row r="211" spans="1:14" x14ac:dyDescent="0.45">
      <c r="A211" s="22">
        <v>42570</v>
      </c>
      <c r="B211">
        <v>32.81</v>
      </c>
      <c r="C211">
        <v>32.369999999999997</v>
      </c>
      <c r="G211">
        <f t="shared" ref="G211:K211" si="226">SUMPRODUCT($B211:$B215,P$2:P$6)</f>
        <v>19.673143791749549</v>
      </c>
      <c r="H211">
        <f t="shared" si="226"/>
        <v>17.239591510217419</v>
      </c>
      <c r="I211">
        <f t="shared" si="226"/>
        <v>14.679627055824868</v>
      </c>
      <c r="J211">
        <f t="shared" si="226"/>
        <v>11.530826018602195</v>
      </c>
      <c r="K211">
        <f t="shared" si="226"/>
        <v>8.2185381418219929</v>
      </c>
      <c r="L211">
        <f t="shared" si="208"/>
        <v>32.78333884203996</v>
      </c>
      <c r="M211">
        <f t="shared" si="209"/>
        <v>-0.34333884203996234</v>
      </c>
      <c r="N211">
        <f t="shared" si="210"/>
        <v>0.11788156045334221</v>
      </c>
    </row>
    <row r="212" spans="1:14" x14ac:dyDescent="0.45">
      <c r="A212" s="22">
        <v>42569</v>
      </c>
      <c r="B212">
        <v>32.93</v>
      </c>
      <c r="C212">
        <v>32.630000000000003</v>
      </c>
      <c r="G212">
        <f t="shared" ref="G212:K212" si="227">SUMPRODUCT($B212:$B216,P$2:P$6)</f>
        <v>19.73713295155672</v>
      </c>
      <c r="H212">
        <f t="shared" si="227"/>
        <v>17.295578026793788</v>
      </c>
      <c r="I212">
        <f t="shared" si="227"/>
        <v>14.727348166126152</v>
      </c>
      <c r="J212">
        <f t="shared" si="227"/>
        <v>11.568010275032151</v>
      </c>
      <c r="K212">
        <f t="shared" si="227"/>
        <v>8.2447656186961815</v>
      </c>
      <c r="L212">
        <f t="shared" si="208"/>
        <v>32.889539750303122</v>
      </c>
      <c r="M212">
        <f t="shared" si="209"/>
        <v>-7.9539750303119661E-2</v>
      </c>
      <c r="N212">
        <f t="shared" si="210"/>
        <v>6.3265718782826242E-3</v>
      </c>
    </row>
    <row r="213" spans="1:14" x14ac:dyDescent="0.45">
      <c r="A213" s="22">
        <v>42566</v>
      </c>
      <c r="B213">
        <v>32.99</v>
      </c>
      <c r="C213">
        <v>32.96</v>
      </c>
      <c r="G213">
        <f t="shared" ref="G213:K213" si="228">SUMPRODUCT($B213:$B217,P$2:P$6)</f>
        <v>19.766729519706526</v>
      </c>
      <c r="H213">
        <f t="shared" si="228"/>
        <v>17.321443301019173</v>
      </c>
      <c r="I213">
        <f t="shared" si="228"/>
        <v>14.749382405257847</v>
      </c>
      <c r="J213">
        <f t="shared" si="228"/>
        <v>11.585104902081412</v>
      </c>
      <c r="K213">
        <f t="shared" si="228"/>
        <v>8.2567329574819741</v>
      </c>
      <c r="L213">
        <f t="shared" si="208"/>
        <v>32.938546913175038</v>
      </c>
      <c r="M213">
        <f t="shared" si="209"/>
        <v>-8.5469131750386396E-3</v>
      </c>
      <c r="N213">
        <f t="shared" si="210"/>
        <v>7.3049724821649083E-5</v>
      </c>
    </row>
    <row r="214" spans="1:14" x14ac:dyDescent="0.45">
      <c r="A214" s="22">
        <v>42565</v>
      </c>
      <c r="B214">
        <v>33.54</v>
      </c>
      <c r="C214">
        <v>32.92</v>
      </c>
      <c r="G214">
        <f t="shared" ref="G214:K214" si="229">SUMPRODUCT($B214:$B218,P$2:P$6)</f>
        <v>20.077327459992848</v>
      </c>
      <c r="H214">
        <f t="shared" si="229"/>
        <v>17.593407200474346</v>
      </c>
      <c r="I214">
        <f t="shared" si="229"/>
        <v>14.980805246858287</v>
      </c>
      <c r="J214">
        <f t="shared" si="229"/>
        <v>11.766422164024428</v>
      </c>
      <c r="K214">
        <f t="shared" si="229"/>
        <v>8.3853398762566105</v>
      </c>
      <c r="L214">
        <f t="shared" si="208"/>
        <v>33.454700401409312</v>
      </c>
      <c r="M214">
        <f t="shared" si="209"/>
        <v>-0.4647004014093099</v>
      </c>
      <c r="N214">
        <f t="shared" si="210"/>
        <v>0.21594646306997375</v>
      </c>
    </row>
    <row r="215" spans="1:14" x14ac:dyDescent="0.45">
      <c r="A215" s="22">
        <v>42564</v>
      </c>
      <c r="B215">
        <v>33.700000000000003</v>
      </c>
      <c r="C215">
        <v>33.24</v>
      </c>
      <c r="G215">
        <f t="shared" ref="G215:K215" si="230">SUMPRODUCT($B215:$B219,P$2:P$6)</f>
        <v>20.158194711078327</v>
      </c>
      <c r="H215">
        <f t="shared" si="230"/>
        <v>17.664104211791383</v>
      </c>
      <c r="I215">
        <f t="shared" si="230"/>
        <v>15.040926897029795</v>
      </c>
      <c r="J215">
        <f t="shared" si="230"/>
        <v>11.813239030470298</v>
      </c>
      <c r="K215">
        <f t="shared" si="230"/>
        <v>8.4182104758241447</v>
      </c>
      <c r="L215">
        <f t="shared" si="208"/>
        <v>33.588665498211391</v>
      </c>
      <c r="M215">
        <f t="shared" si="209"/>
        <v>-4.8665498211391878E-2</v>
      </c>
      <c r="N215">
        <f t="shared" si="210"/>
        <v>2.3683307161629862E-3</v>
      </c>
    </row>
    <row r="216" spans="1:14" x14ac:dyDescent="0.45">
      <c r="A216" s="22">
        <v>42563</v>
      </c>
      <c r="B216">
        <v>33</v>
      </c>
      <c r="C216">
        <v>33.520000000000003</v>
      </c>
      <c r="G216">
        <f t="shared" ref="G216:K216" si="231">SUMPRODUCT($B216:$B220,P$2:P$6)</f>
        <v>19.747118048809224</v>
      </c>
      <c r="H216">
        <f t="shared" si="231"/>
        <v>17.303973843813637</v>
      </c>
      <c r="I216">
        <f t="shared" si="231"/>
        <v>14.734367642002761</v>
      </c>
      <c r="J216">
        <f t="shared" si="231"/>
        <v>11.572624254297823</v>
      </c>
      <c r="K216">
        <f t="shared" si="231"/>
        <v>8.2469924211512691</v>
      </c>
      <c r="L216">
        <f t="shared" si="208"/>
        <v>32.90482020744173</v>
      </c>
      <c r="M216">
        <f t="shared" si="209"/>
        <v>0.79517979255827242</v>
      </c>
      <c r="N216">
        <f t="shared" si="210"/>
        <v>0.63231090249301714</v>
      </c>
    </row>
    <row r="217" spans="1:14" x14ac:dyDescent="0.45">
      <c r="A217" s="22">
        <v>42562</v>
      </c>
      <c r="B217">
        <v>32.56</v>
      </c>
      <c r="C217">
        <v>32.86</v>
      </c>
      <c r="G217">
        <f t="shared" ref="G217:K217" si="232">SUMPRODUCT($B217:$B221,P$2:P$6)</f>
        <v>19.488655276830816</v>
      </c>
      <c r="H217">
        <f t="shared" si="232"/>
        <v>17.077541824441901</v>
      </c>
      <c r="I217">
        <f t="shared" si="232"/>
        <v>14.541556944038954</v>
      </c>
      <c r="J217">
        <f t="shared" si="232"/>
        <v>11.421345645866092</v>
      </c>
      <c r="K217">
        <f t="shared" si="232"/>
        <v>8.1393506838738077</v>
      </c>
      <c r="L217">
        <f t="shared" si="208"/>
        <v>32.474832420279327</v>
      </c>
      <c r="M217">
        <f t="shared" si="209"/>
        <v>0.52516757972067296</v>
      </c>
      <c r="N217">
        <f t="shared" si="210"/>
        <v>0.27580098678966941</v>
      </c>
    </row>
    <row r="218" spans="1:14" x14ac:dyDescent="0.45">
      <c r="A218" s="22">
        <v>42559</v>
      </c>
      <c r="B218">
        <v>32.619999999999997</v>
      </c>
      <c r="C218">
        <v>32.619999999999997</v>
      </c>
      <c r="G218">
        <f t="shared" ref="G218:K218" si="233">SUMPRODUCT($B218:$B222,P$2:P$6)</f>
        <v>19.514834848568295</v>
      </c>
      <c r="H218">
        <f t="shared" si="233"/>
        <v>17.100374022871819</v>
      </c>
      <c r="I218">
        <f t="shared" si="233"/>
        <v>14.560913966273663</v>
      </c>
      <c r="J218">
        <f t="shared" si="233"/>
        <v>11.436317746412803</v>
      </c>
      <c r="K218">
        <f t="shared" si="233"/>
        <v>8.1497030508495616</v>
      </c>
      <c r="L218">
        <f t="shared" si="208"/>
        <v>32.51798278568689</v>
      </c>
      <c r="M218">
        <f t="shared" si="209"/>
        <v>4.2017214313112561E-2</v>
      </c>
      <c r="N218">
        <f t="shared" si="210"/>
        <v>1.7654462986340311E-3</v>
      </c>
    </row>
    <row r="219" spans="1:14" x14ac:dyDescent="0.45">
      <c r="A219" s="22">
        <v>42558</v>
      </c>
      <c r="B219">
        <v>32.14</v>
      </c>
      <c r="C219">
        <v>32.340000000000003</v>
      </c>
      <c r="G219">
        <f t="shared" ref="G219:K219" si="234">SUMPRODUCT($B219:$B223,P$2:P$6)</f>
        <v>19.233825878482254</v>
      </c>
      <c r="H219">
        <f t="shared" si="234"/>
        <v>16.854201246906356</v>
      </c>
      <c r="I219">
        <f t="shared" si="234"/>
        <v>14.351348902964377</v>
      </c>
      <c r="J219">
        <f t="shared" si="234"/>
        <v>11.27187207989293</v>
      </c>
      <c r="K219">
        <f t="shared" si="234"/>
        <v>8.0327175942160967</v>
      </c>
      <c r="L219">
        <f t="shared" si="208"/>
        <v>32.050543507565976</v>
      </c>
      <c r="M219">
        <f t="shared" si="209"/>
        <v>0.5694564924340213</v>
      </c>
      <c r="N219">
        <f t="shared" si="210"/>
        <v>0.32428069677525856</v>
      </c>
    </row>
    <row r="220" spans="1:14" x14ac:dyDescent="0.45">
      <c r="A220" s="22">
        <v>42557</v>
      </c>
      <c r="B220">
        <v>31.52</v>
      </c>
      <c r="C220">
        <v>32.130000000000003</v>
      </c>
      <c r="G220">
        <f t="shared" ref="G220:K220" si="235">SUMPRODUCT($B220:$B224,P$2:P$6)</f>
        <v>18.861191491395633</v>
      </c>
      <c r="H220">
        <f t="shared" si="235"/>
        <v>16.527652387787022</v>
      </c>
      <c r="I220">
        <f t="shared" si="235"/>
        <v>14.073344277795133</v>
      </c>
      <c r="J220">
        <f t="shared" si="235"/>
        <v>11.053420626523179</v>
      </c>
      <c r="K220">
        <f t="shared" si="235"/>
        <v>7.8769803717836062</v>
      </c>
      <c r="L220">
        <f t="shared" si="208"/>
        <v>31.430285016791583</v>
      </c>
      <c r="M220">
        <f t="shared" si="209"/>
        <v>0.70971498320841775</v>
      </c>
      <c r="N220">
        <f t="shared" si="210"/>
        <v>0.50369535739052473</v>
      </c>
    </row>
    <row r="221" spans="1:14" x14ac:dyDescent="0.45">
      <c r="A221" s="22">
        <v>42556</v>
      </c>
      <c r="B221">
        <v>31.46</v>
      </c>
      <c r="C221">
        <v>31.62</v>
      </c>
      <c r="G221">
        <f t="shared" ref="G221:K221" si="236">SUMPRODUCT($B221:$B225,P$2:P$6)</f>
        <v>18.81028266078243</v>
      </c>
      <c r="H221">
        <f t="shared" si="236"/>
        <v>16.482875931037899</v>
      </c>
      <c r="I221">
        <f t="shared" si="236"/>
        <v>14.03518287795236</v>
      </c>
      <c r="J221">
        <f t="shared" si="236"/>
        <v>11.022999608644872</v>
      </c>
      <c r="K221">
        <f t="shared" si="236"/>
        <v>7.8547985947974794</v>
      </c>
      <c r="L221">
        <f t="shared" si="208"/>
        <v>31.34493187922574</v>
      </c>
      <c r="M221">
        <f t="shared" si="209"/>
        <v>0.17506812077425948</v>
      </c>
      <c r="N221">
        <f t="shared" si="210"/>
        <v>3.0648846911430706E-2</v>
      </c>
    </row>
    <row r="222" spans="1:14" x14ac:dyDescent="0.45">
      <c r="A222" s="22">
        <v>42552</v>
      </c>
      <c r="B222">
        <v>31.29</v>
      </c>
      <c r="C222">
        <v>31.55</v>
      </c>
      <c r="G222">
        <f t="shared" ref="G222:K222" si="237">SUMPRODUCT($B222:$B226,P$2:P$6)</f>
        <v>18.70959254773442</v>
      </c>
      <c r="H222">
        <f t="shared" si="237"/>
        <v>16.394653686731246</v>
      </c>
      <c r="I222">
        <f t="shared" si="237"/>
        <v>13.95996393751803</v>
      </c>
      <c r="J222">
        <f t="shared" si="237"/>
        <v>10.964047389685774</v>
      </c>
      <c r="K222">
        <f t="shared" si="237"/>
        <v>7.8128359890800532</v>
      </c>
      <c r="L222">
        <f t="shared" si="208"/>
        <v>31.177354716261235</v>
      </c>
      <c r="M222">
        <f t="shared" si="209"/>
        <v>0.2826452837387663</v>
      </c>
      <c r="N222">
        <f t="shared" si="210"/>
        <v>7.98883564197677E-2</v>
      </c>
    </row>
    <row r="223" spans="1:14" x14ac:dyDescent="0.45">
      <c r="A223" s="22">
        <v>42551</v>
      </c>
      <c r="B223">
        <v>30.99</v>
      </c>
      <c r="C223">
        <v>31.29</v>
      </c>
      <c r="G223">
        <f t="shared" ref="G223:K223" si="238">SUMPRODUCT($B223:$B227,P$2:P$6)</f>
        <v>18.554254676917189</v>
      </c>
      <c r="H223">
        <f t="shared" si="238"/>
        <v>16.258800804538012</v>
      </c>
      <c r="I223">
        <f t="shared" si="238"/>
        <v>13.844218027560583</v>
      </c>
      <c r="J223">
        <f t="shared" si="238"/>
        <v>10.873977042040625</v>
      </c>
      <c r="K223">
        <f t="shared" si="238"/>
        <v>7.749476415967786</v>
      </c>
      <c r="L223">
        <f t="shared" si="208"/>
        <v>30.919772824325658</v>
      </c>
      <c r="M223">
        <f t="shared" si="209"/>
        <v>0.37022717567434071</v>
      </c>
      <c r="N223">
        <f t="shared" si="210"/>
        <v>0.13706816160779914</v>
      </c>
    </row>
    <row r="224" spans="1:14" x14ac:dyDescent="0.45">
      <c r="A224" s="22">
        <v>42550</v>
      </c>
      <c r="B224">
        <v>30</v>
      </c>
      <c r="C224">
        <v>31</v>
      </c>
      <c r="G224">
        <f t="shared" ref="G224:K224" si="239">SUMPRODUCT($B224:$B228,P$2:P$6)</f>
        <v>18.005217833898833</v>
      </c>
      <c r="H224">
        <f t="shared" si="239"/>
        <v>15.778172949836154</v>
      </c>
      <c r="I224">
        <f t="shared" si="239"/>
        <v>13.435147137866336</v>
      </c>
      <c r="J224">
        <f t="shared" si="239"/>
        <v>10.553900187661622</v>
      </c>
      <c r="K224">
        <f t="shared" si="239"/>
        <v>7.5228220967701365</v>
      </c>
      <c r="L224">
        <f t="shared" si="208"/>
        <v>30.007783592461038</v>
      </c>
      <c r="M224">
        <f t="shared" si="209"/>
        <v>0.98221640753896011</v>
      </c>
      <c r="N224">
        <f t="shared" si="210"/>
        <v>0.96474907123874054</v>
      </c>
    </row>
    <row r="225" spans="1:14" x14ac:dyDescent="0.45">
      <c r="A225" s="22">
        <v>42549</v>
      </c>
      <c r="B225">
        <v>29.07</v>
      </c>
      <c r="C225">
        <v>29.85</v>
      </c>
      <c r="G225">
        <f t="shared" ref="G225:K225" si="240">SUMPRODUCT($B225:$B229,P$2:P$6)</f>
        <v>17.483919992482807</v>
      </c>
      <c r="H225">
        <f t="shared" si="240"/>
        <v>15.321763723859993</v>
      </c>
      <c r="I225">
        <f t="shared" si="240"/>
        <v>13.046848517205234</v>
      </c>
      <c r="J225">
        <f t="shared" si="240"/>
        <v>10.249734091757073</v>
      </c>
      <c r="K225">
        <f t="shared" si="240"/>
        <v>7.3072092443867813</v>
      </c>
      <c r="L225">
        <f t="shared" si="208"/>
        <v>29.141679768674937</v>
      </c>
      <c r="M225">
        <f t="shared" si="209"/>
        <v>0.85832023132506308</v>
      </c>
      <c r="N225">
        <f t="shared" si="210"/>
        <v>0.73671361950190983</v>
      </c>
    </row>
    <row r="226" spans="1:14" x14ac:dyDescent="0.45">
      <c r="A226" s="22">
        <v>42548</v>
      </c>
      <c r="B226">
        <v>29.51</v>
      </c>
      <c r="C226">
        <v>28.89</v>
      </c>
      <c r="G226">
        <f t="shared" ref="G226:K226" si="241">SUMPRODUCT($B226:$B230,P$2:P$6)</f>
        <v>17.750076046886512</v>
      </c>
      <c r="H226">
        <f t="shared" si="241"/>
        <v>15.555023084950108</v>
      </c>
      <c r="I226">
        <f t="shared" si="241"/>
        <v>13.245551312605835</v>
      </c>
      <c r="J226">
        <f t="shared" si="241"/>
        <v>10.405812671476713</v>
      </c>
      <c r="K226">
        <f t="shared" si="241"/>
        <v>7.418520738372882</v>
      </c>
      <c r="L226">
        <f t="shared" si="208"/>
        <v>29.584810490769186</v>
      </c>
      <c r="M226">
        <f t="shared" si="209"/>
        <v>-0.51481049076918595</v>
      </c>
      <c r="N226">
        <f t="shared" si="210"/>
        <v>0.2650298414060101</v>
      </c>
    </row>
    <row r="227" spans="1:14" x14ac:dyDescent="0.45">
      <c r="A227" s="22">
        <v>42545</v>
      </c>
      <c r="B227">
        <v>31.29</v>
      </c>
      <c r="C227">
        <v>29.76</v>
      </c>
      <c r="G227">
        <f t="shared" ref="G227:K227" si="242">SUMPRODUCT($B227:$B231,P$2:P$6)</f>
        <v>18.767511269122473</v>
      </c>
      <c r="H227">
        <f t="shared" si="242"/>
        <v>16.446049656635896</v>
      </c>
      <c r="I227">
        <f t="shared" si="242"/>
        <v>14.004008903553407</v>
      </c>
      <c r="J227">
        <f t="shared" si="242"/>
        <v>11.000230005143788</v>
      </c>
      <c r="K227">
        <f t="shared" si="242"/>
        <v>7.8405411300322019</v>
      </c>
      <c r="L227">
        <f t="shared" si="208"/>
        <v>31.276199348076663</v>
      </c>
      <c r="M227">
        <f t="shared" si="209"/>
        <v>-1.7661993480766611</v>
      </c>
      <c r="N227">
        <f t="shared" si="210"/>
        <v>3.1194601371464228</v>
      </c>
    </row>
    <row r="228" spans="1:14" x14ac:dyDescent="0.45">
      <c r="A228" s="22">
        <v>42544</v>
      </c>
      <c r="B228">
        <v>32.4</v>
      </c>
      <c r="C228">
        <v>32.380000000000003</v>
      </c>
      <c r="G228">
        <f t="shared" ref="G228:K228" si="243">SUMPRODUCT($B228:$B232,P$2:P$6)</f>
        <v>19.404837427207351</v>
      </c>
      <c r="H228">
        <f t="shared" si="243"/>
        <v>17.004226357962093</v>
      </c>
      <c r="I228">
        <f t="shared" si="243"/>
        <v>14.479177910946349</v>
      </c>
      <c r="J228">
        <f t="shared" si="243"/>
        <v>11.372687365150984</v>
      </c>
      <c r="K228">
        <f t="shared" si="243"/>
        <v>8.1050720070065232</v>
      </c>
      <c r="L228">
        <f t="shared" si="208"/>
        <v>32.335827353489769</v>
      </c>
      <c r="M228">
        <f t="shared" si="209"/>
        <v>-1.04582735348977</v>
      </c>
      <c r="N228">
        <f t="shared" si="210"/>
        <v>1.0937548533074162</v>
      </c>
    </row>
    <row r="229" spans="1:14" x14ac:dyDescent="0.45">
      <c r="A229" s="22">
        <v>42543</v>
      </c>
      <c r="B229">
        <v>32.18</v>
      </c>
      <c r="C229">
        <v>32.130000000000003</v>
      </c>
      <c r="G229">
        <f t="shared" ref="G229:K229" si="244">SUMPRODUCT($B229:$B233,P$2:P$6)</f>
        <v>19.2679840956676</v>
      </c>
      <c r="H229">
        <f t="shared" si="244"/>
        <v>16.884247105672227</v>
      </c>
      <c r="I229">
        <f t="shared" si="244"/>
        <v>14.37700498878721</v>
      </c>
      <c r="J229">
        <f t="shared" si="244"/>
        <v>11.292282119282833</v>
      </c>
      <c r="K229">
        <f t="shared" si="244"/>
        <v>8.0475981958976615</v>
      </c>
      <c r="L229">
        <f t="shared" si="208"/>
        <v>32.107835003862718</v>
      </c>
      <c r="M229">
        <f t="shared" si="209"/>
        <v>0.29216499613728075</v>
      </c>
      <c r="N229">
        <f t="shared" si="210"/>
        <v>8.5360384967897274E-2</v>
      </c>
    </row>
    <row r="230" spans="1:14" x14ac:dyDescent="0.45">
      <c r="A230" s="22">
        <v>42542</v>
      </c>
      <c r="B230">
        <v>32.36</v>
      </c>
      <c r="C230">
        <v>32.130000000000003</v>
      </c>
      <c r="G230">
        <f t="shared" ref="G230:K230" si="245">SUMPRODUCT($B230:$B234,P$2:P$6)</f>
        <v>19.368986865868674</v>
      </c>
      <c r="H230">
        <f t="shared" si="245"/>
        <v>16.972679012350891</v>
      </c>
      <c r="I230">
        <f t="shared" si="245"/>
        <v>14.45225848650988</v>
      </c>
      <c r="J230">
        <f t="shared" si="245"/>
        <v>11.351216578972418</v>
      </c>
      <c r="K230">
        <f t="shared" si="245"/>
        <v>8.0893760939007997</v>
      </c>
      <c r="L230">
        <f t="shared" si="208"/>
        <v>32.275655346994157</v>
      </c>
      <c r="M230">
        <f t="shared" si="209"/>
        <v>-9.5655346994156787E-2</v>
      </c>
      <c r="N230">
        <f t="shared" si="210"/>
        <v>9.14994540857254E-3</v>
      </c>
    </row>
    <row r="231" spans="1:14" x14ac:dyDescent="0.45">
      <c r="A231" s="22">
        <v>42541</v>
      </c>
      <c r="B231">
        <v>32.07</v>
      </c>
      <c r="C231">
        <v>32.42</v>
      </c>
      <c r="G231">
        <f t="shared" ref="G231:K231" si="246">SUMPRODUCT($B231:$B235,P$2:P$6)</f>
        <v>19.190580199223756</v>
      </c>
      <c r="H231">
        <f t="shared" si="246"/>
        <v>16.816290942874392</v>
      </c>
      <c r="I231">
        <f t="shared" si="246"/>
        <v>14.319064232235718</v>
      </c>
      <c r="J231">
        <f t="shared" si="246"/>
        <v>11.246475518935304</v>
      </c>
      <c r="K231">
        <f t="shared" si="246"/>
        <v>8.0145738608650436</v>
      </c>
      <c r="L231">
        <f t="shared" si="208"/>
        <v>31.978509363476807</v>
      </c>
      <c r="M231">
        <f t="shared" si="209"/>
        <v>0.38149063652319271</v>
      </c>
      <c r="N231">
        <f t="shared" si="210"/>
        <v>0.14553510575487072</v>
      </c>
    </row>
    <row r="232" spans="1:14" x14ac:dyDescent="0.45">
      <c r="A232" s="22">
        <v>42538</v>
      </c>
      <c r="B232">
        <v>31.88</v>
      </c>
      <c r="C232">
        <v>31.75</v>
      </c>
      <c r="G232">
        <f t="shared" ref="G232:K232" si="247">SUMPRODUCT($B232:$B236,P$2:P$6)</f>
        <v>19.082729785251892</v>
      </c>
      <c r="H232">
        <f t="shared" si="247"/>
        <v>16.72184873218756</v>
      </c>
      <c r="I232">
        <f t="shared" si="247"/>
        <v>14.238664890119166</v>
      </c>
      <c r="J232">
        <f t="shared" si="247"/>
        <v>11.183498246490155</v>
      </c>
      <c r="K232">
        <f t="shared" si="247"/>
        <v>7.9698895562707799</v>
      </c>
      <c r="L232">
        <f t="shared" si="208"/>
        <v>31.799247563229894</v>
      </c>
      <c r="M232">
        <f t="shared" si="209"/>
        <v>0.27075243677010619</v>
      </c>
      <c r="N232">
        <f t="shared" si="210"/>
        <v>7.3306882016950348E-2</v>
      </c>
    </row>
    <row r="233" spans="1:14" x14ac:dyDescent="0.45">
      <c r="A233" s="22">
        <v>42537</v>
      </c>
      <c r="B233">
        <v>31.36</v>
      </c>
      <c r="C233">
        <v>31.87</v>
      </c>
      <c r="G233">
        <f t="shared" ref="G233:K233" si="248">SUMPRODUCT($B233:$B237,P$2:P$6)</f>
        <v>18.790556580149403</v>
      </c>
      <c r="H233">
        <f t="shared" si="248"/>
        <v>16.466033615248843</v>
      </c>
      <c r="I233">
        <f t="shared" si="248"/>
        <v>14.020851359406462</v>
      </c>
      <c r="J233">
        <f t="shared" si="248"/>
        <v>11.013019709231548</v>
      </c>
      <c r="K233">
        <f t="shared" si="248"/>
        <v>7.8490420934476202</v>
      </c>
      <c r="L233">
        <f t="shared" si="208"/>
        <v>31.313733484768616</v>
      </c>
      <c r="M233">
        <f t="shared" si="209"/>
        <v>0.56626651523138349</v>
      </c>
      <c r="N233">
        <f t="shared" si="210"/>
        <v>0.3206577662722947</v>
      </c>
    </row>
    <row r="234" spans="1:14" x14ac:dyDescent="0.45">
      <c r="A234" s="22">
        <v>42536</v>
      </c>
      <c r="B234">
        <v>31.31</v>
      </c>
      <c r="C234">
        <v>31.56</v>
      </c>
      <c r="G234">
        <f t="shared" ref="G234:K234" si="249">SUMPRODUCT($B234:$B238,P$2:P$6)</f>
        <v>18.763171868504653</v>
      </c>
      <c r="H234">
        <f t="shared" si="249"/>
        <v>16.442065245303731</v>
      </c>
      <c r="I234">
        <f t="shared" si="249"/>
        <v>14.000464345847019</v>
      </c>
      <c r="J234">
        <f t="shared" si="249"/>
        <v>10.997067513299347</v>
      </c>
      <c r="K234">
        <f t="shared" si="249"/>
        <v>7.8377568894095733</v>
      </c>
      <c r="L234">
        <f t="shared" si="208"/>
        <v>31.268264778643392</v>
      </c>
      <c r="M234">
        <f t="shared" si="209"/>
        <v>9.173522135660761E-2</v>
      </c>
      <c r="N234">
        <f t="shared" si="210"/>
        <v>8.4153508373457971E-3</v>
      </c>
    </row>
    <row r="235" spans="1:14" x14ac:dyDescent="0.45">
      <c r="A235" s="22">
        <v>42535</v>
      </c>
      <c r="B235">
        <v>30.85</v>
      </c>
      <c r="C235">
        <v>31.1</v>
      </c>
      <c r="G235">
        <f t="shared" ref="G235:K235" si="250">SUMPRODUCT($B235:$B239,P$2:P$6)</f>
        <v>18.509520098551786</v>
      </c>
      <c r="H235">
        <f t="shared" si="250"/>
        <v>16.220036171841222</v>
      </c>
      <c r="I235">
        <f t="shared" si="250"/>
        <v>13.811560061693379</v>
      </c>
      <c r="J235">
        <f t="shared" si="250"/>
        <v>10.849245139088493</v>
      </c>
      <c r="K235">
        <f t="shared" si="250"/>
        <v>7.7331240172886213</v>
      </c>
      <c r="L235">
        <f t="shared" si="208"/>
        <v>30.847017260987073</v>
      </c>
      <c r="M235">
        <f t="shared" si="209"/>
        <v>0.46298273901292575</v>
      </c>
      <c r="N235">
        <f t="shared" si="210"/>
        <v>0.21435301662391093</v>
      </c>
    </row>
    <row r="236" spans="1:14" x14ac:dyDescent="0.45">
      <c r="A236" s="22">
        <v>42534</v>
      </c>
      <c r="B236">
        <v>30.98</v>
      </c>
      <c r="C236">
        <v>30.95</v>
      </c>
      <c r="G236">
        <f t="shared" ref="G236:K236" si="251">SUMPRODUCT($B236:$B240,P$2:P$6)</f>
        <v>18.580004338921494</v>
      </c>
      <c r="H236">
        <f t="shared" si="251"/>
        <v>16.281719077213264</v>
      </c>
      <c r="I236">
        <f t="shared" si="251"/>
        <v>13.864066693602425</v>
      </c>
      <c r="J236">
        <f t="shared" si="251"/>
        <v>10.890266402612228</v>
      </c>
      <c r="K236">
        <f t="shared" si="251"/>
        <v>7.7621120684074869</v>
      </c>
      <c r="L236">
        <f t="shared" si="208"/>
        <v>30.964028349790635</v>
      </c>
      <c r="M236">
        <f t="shared" si="209"/>
        <v>-0.11402834979063314</v>
      </c>
      <c r="N236">
        <f t="shared" si="210"/>
        <v>1.3002464555974985E-2</v>
      </c>
    </row>
    <row r="237" spans="1:14" x14ac:dyDescent="0.45">
      <c r="A237" s="22">
        <v>42531</v>
      </c>
      <c r="B237">
        <v>31.75</v>
      </c>
      <c r="C237">
        <v>31.08</v>
      </c>
      <c r="G237">
        <f t="shared" ref="G237:K237" si="252">SUMPRODUCT($B237:$B241,P$2:P$6)</f>
        <v>19.024633375107914</v>
      </c>
      <c r="H237">
        <f t="shared" si="252"/>
        <v>16.671158887463871</v>
      </c>
      <c r="I237">
        <f t="shared" si="252"/>
        <v>14.195608410027479</v>
      </c>
      <c r="J237">
        <f t="shared" si="252"/>
        <v>11.150211386730096</v>
      </c>
      <c r="K237">
        <f t="shared" si="252"/>
        <v>7.9468199238045294</v>
      </c>
      <c r="L237">
        <f t="shared" si="208"/>
        <v>31.703387285572443</v>
      </c>
      <c r="M237">
        <f t="shared" si="209"/>
        <v>-0.72338728557244281</v>
      </c>
      <c r="N237">
        <f t="shared" si="210"/>
        <v>0.52328916492786692</v>
      </c>
    </row>
    <row r="238" spans="1:14" x14ac:dyDescent="0.45">
      <c r="A238" s="22">
        <v>42530</v>
      </c>
      <c r="B238">
        <v>31.76</v>
      </c>
      <c r="C238">
        <v>31.99</v>
      </c>
      <c r="G238">
        <f t="shared" ref="G238:K238" si="253">SUMPRODUCT($B238:$B242,P$2:P$6)</f>
        <v>19.027263276019365</v>
      </c>
      <c r="H238">
        <f t="shared" si="253"/>
        <v>16.67342592106349</v>
      </c>
      <c r="I238">
        <f t="shared" si="253"/>
        <v>14.197500790272537</v>
      </c>
      <c r="J238">
        <f t="shared" si="253"/>
        <v>11.151626427566628</v>
      </c>
      <c r="K238">
        <f t="shared" si="253"/>
        <v>7.9477201047102941</v>
      </c>
      <c r="L238">
        <f t="shared" si="208"/>
        <v>31.707615876055073</v>
      </c>
      <c r="M238">
        <f t="shared" si="209"/>
        <v>4.238412394492741E-2</v>
      </c>
      <c r="N238">
        <f t="shared" si="210"/>
        <v>1.796413962578969E-3</v>
      </c>
    </row>
    <row r="239" spans="1:14" x14ac:dyDescent="0.45">
      <c r="A239" s="22">
        <v>42529</v>
      </c>
      <c r="B239">
        <v>32.01</v>
      </c>
      <c r="C239">
        <v>31.84</v>
      </c>
      <c r="G239">
        <f t="shared" ref="G239:K239" si="254">SUMPRODUCT($B239:$B243,P$2:P$6)</f>
        <v>19.173296655402684</v>
      </c>
      <c r="H239">
        <f t="shared" si="254"/>
        <v>16.801352020886736</v>
      </c>
      <c r="I239">
        <f t="shared" si="254"/>
        <v>14.306394398568345</v>
      </c>
      <c r="J239">
        <f t="shared" si="254"/>
        <v>11.237072896888222</v>
      </c>
      <c r="K239">
        <f t="shared" si="254"/>
        <v>8.0084961015914331</v>
      </c>
      <c r="L239">
        <f t="shared" si="208"/>
        <v>31.950515968613932</v>
      </c>
      <c r="M239">
        <f t="shared" si="209"/>
        <v>-0.19051596861392994</v>
      </c>
      <c r="N239">
        <f t="shared" si="210"/>
        <v>3.6296334296903938E-2</v>
      </c>
    </row>
    <row r="240" spans="1:14" x14ac:dyDescent="0.45">
      <c r="A240" s="22">
        <v>42528</v>
      </c>
      <c r="B240">
        <v>31.71</v>
      </c>
      <c r="C240">
        <v>32.159999999999997</v>
      </c>
      <c r="G240">
        <f t="shared" ref="G240:K240" si="255">SUMPRODUCT($B240:$B244,P$2:P$6)</f>
        <v>18.998962031369299</v>
      </c>
      <c r="H240">
        <f t="shared" si="255"/>
        <v>16.648644022749252</v>
      </c>
      <c r="I240">
        <f t="shared" si="255"/>
        <v>14.176398157439385</v>
      </c>
      <c r="J240">
        <f t="shared" si="255"/>
        <v>11.1351046192705</v>
      </c>
      <c r="K240">
        <f t="shared" si="255"/>
        <v>7.9360010723744026</v>
      </c>
      <c r="L240">
        <f t="shared" si="208"/>
        <v>31.660577036400689</v>
      </c>
      <c r="M240">
        <f t="shared" si="209"/>
        <v>0.34942296359930936</v>
      </c>
      <c r="N240">
        <f t="shared" si="210"/>
        <v>0.12209640749052426</v>
      </c>
    </row>
    <row r="241" spans="1:14" x14ac:dyDescent="0.45">
      <c r="A241" s="22">
        <v>42527</v>
      </c>
      <c r="B241">
        <v>31.67</v>
      </c>
      <c r="C241">
        <v>31.57</v>
      </c>
      <c r="G241">
        <f t="shared" ref="G241:K241" si="256">SUMPRODUCT($B241:$B245,P$2:P$6)</f>
        <v>18.977216579708688</v>
      </c>
      <c r="H241">
        <f t="shared" si="256"/>
        <v>16.629613460768613</v>
      </c>
      <c r="I241">
        <f t="shared" si="256"/>
        <v>14.160220535987774</v>
      </c>
      <c r="J241">
        <f t="shared" si="256"/>
        <v>11.12244300751366</v>
      </c>
      <c r="K241">
        <f t="shared" si="256"/>
        <v>7.9270483959907745</v>
      </c>
      <c r="L241">
        <f t="shared" si="208"/>
        <v>31.624481846293126</v>
      </c>
      <c r="M241">
        <f t="shared" si="209"/>
        <v>8.5518153706875211E-2</v>
      </c>
      <c r="N241">
        <f t="shared" si="210"/>
        <v>7.3133546134327345E-3</v>
      </c>
    </row>
    <row r="242" spans="1:14" x14ac:dyDescent="0.45">
      <c r="A242" s="22">
        <v>42524</v>
      </c>
      <c r="B242">
        <v>31.65</v>
      </c>
      <c r="C242">
        <v>31.63</v>
      </c>
      <c r="G242">
        <f t="shared" ref="G242:K242" si="257">SUMPRODUCT($B242:$B246,P$2:P$6)</f>
        <v>18.96482226172418</v>
      </c>
      <c r="H242">
        <f t="shared" si="257"/>
        <v>16.61874775106326</v>
      </c>
      <c r="I242">
        <f t="shared" si="257"/>
        <v>14.150957554544082</v>
      </c>
      <c r="J242">
        <f t="shared" si="257"/>
        <v>11.115164374698709</v>
      </c>
      <c r="K242">
        <f t="shared" si="257"/>
        <v>7.9218484844975832</v>
      </c>
      <c r="L242">
        <f t="shared" si="208"/>
        <v>31.603832049326982</v>
      </c>
      <c r="M242">
        <f t="shared" si="209"/>
        <v>6.6167950673019504E-2</v>
      </c>
      <c r="N242">
        <f t="shared" si="210"/>
        <v>4.3781976962671424E-3</v>
      </c>
    </row>
    <row r="243" spans="1:14" x14ac:dyDescent="0.45">
      <c r="A243" s="22">
        <v>42523</v>
      </c>
      <c r="B243">
        <v>31.83</v>
      </c>
      <c r="C243">
        <v>31.67</v>
      </c>
      <c r="G243">
        <f t="shared" ref="G243:K243" si="258">SUMPRODUCT($B243:$B247,P$2:P$6)</f>
        <v>19.067334156429958</v>
      </c>
      <c r="H243">
        <f t="shared" si="258"/>
        <v>16.708518968388521</v>
      </c>
      <c r="I243">
        <f t="shared" si="258"/>
        <v>14.227371152411418</v>
      </c>
      <c r="J243">
        <f t="shared" si="258"/>
        <v>11.175039684061275</v>
      </c>
      <c r="K243">
        <f t="shared" si="258"/>
        <v>7.9643452252797537</v>
      </c>
      <c r="L243">
        <f t="shared" si="208"/>
        <v>31.77423190297754</v>
      </c>
      <c r="M243">
        <f t="shared" si="209"/>
        <v>-0.12423190297754161</v>
      </c>
      <c r="N243">
        <f t="shared" si="210"/>
        <v>1.5433565717421311E-2</v>
      </c>
    </row>
    <row r="244" spans="1:14" x14ac:dyDescent="0.45">
      <c r="A244" s="22">
        <v>42522</v>
      </c>
      <c r="B244">
        <v>31.72</v>
      </c>
      <c r="C244">
        <v>31.83</v>
      </c>
      <c r="G244">
        <f t="shared" ref="G244:K244" si="259">SUMPRODUCT($B244:$B248,P$2:P$6)</f>
        <v>19.001828708930709</v>
      </c>
      <c r="H244">
        <f t="shared" si="259"/>
        <v>16.651121637805318</v>
      </c>
      <c r="I244">
        <f t="shared" si="259"/>
        <v>14.178511497238816</v>
      </c>
      <c r="J244">
        <f t="shared" si="259"/>
        <v>11.136661102377374</v>
      </c>
      <c r="K244">
        <f t="shared" si="259"/>
        <v>7.9370043136013342</v>
      </c>
      <c r="L244">
        <f t="shared" si="208"/>
        <v>31.665222790312953</v>
      </c>
      <c r="M244">
        <f t="shared" si="209"/>
        <v>0.16477720968704546</v>
      </c>
      <c r="N244">
        <f t="shared" si="210"/>
        <v>2.7151528832248546E-2</v>
      </c>
    </row>
    <row r="245" spans="1:14" x14ac:dyDescent="0.45">
      <c r="A245" s="22">
        <v>42521</v>
      </c>
      <c r="B245">
        <v>31.69</v>
      </c>
      <c r="C245">
        <v>31.88</v>
      </c>
      <c r="G245">
        <f t="shared" ref="G245:K245" si="260">SUMPRODUCT($B245:$B249,P$2:P$6)</f>
        <v>18.979287489213586</v>
      </c>
      <c r="H245">
        <f t="shared" si="260"/>
        <v>16.631318510388223</v>
      </c>
      <c r="I245">
        <f t="shared" si="260"/>
        <v>14.161645021382965</v>
      </c>
      <c r="J245">
        <f t="shared" si="260"/>
        <v>11.123270692756238</v>
      </c>
      <c r="K245">
        <f t="shared" si="260"/>
        <v>7.9273072424400342</v>
      </c>
      <c r="L245">
        <f t="shared" si="208"/>
        <v>31.627517547124345</v>
      </c>
      <c r="M245">
        <f t="shared" si="209"/>
        <v>9.248245287565382E-2</v>
      </c>
      <c r="N245">
        <f t="shared" si="210"/>
        <v>8.5530040898975299E-3</v>
      </c>
    </row>
    <row r="246" spans="1:14" x14ac:dyDescent="0.45">
      <c r="A246" s="22">
        <v>42517</v>
      </c>
      <c r="B246">
        <v>31.7</v>
      </c>
      <c r="C246">
        <v>31.78</v>
      </c>
      <c r="G246">
        <f t="shared" ref="G246:K246" si="261">SUMPRODUCT($B246:$B250,P$2:P$6)</f>
        <v>18.972439395157068</v>
      </c>
      <c r="H246">
        <f t="shared" si="261"/>
        <v>16.625175636844563</v>
      </c>
      <c r="I246">
        <f t="shared" si="261"/>
        <v>14.156389434971658</v>
      </c>
      <c r="J246">
        <f t="shared" si="261"/>
        <v>11.118755319237987</v>
      </c>
      <c r="K246">
        <f t="shared" si="261"/>
        <v>7.9236588593437451</v>
      </c>
      <c r="L246">
        <f t="shared" si="208"/>
        <v>31.615590031445493</v>
      </c>
      <c r="M246">
        <f t="shared" si="209"/>
        <v>7.4409968554508765E-2</v>
      </c>
      <c r="N246">
        <f t="shared" si="210"/>
        <v>5.5368434202829834E-3</v>
      </c>
    </row>
    <row r="247" spans="1:14" x14ac:dyDescent="0.45">
      <c r="A247" s="22">
        <v>42516</v>
      </c>
      <c r="B247">
        <v>31.65</v>
      </c>
      <c r="C247">
        <v>31.63</v>
      </c>
      <c r="G247">
        <f t="shared" ref="G247:K247" si="262">SUMPRODUCT($B247:$B251,P$2:P$6)</f>
        <v>18.93998632360795</v>
      </c>
      <c r="H247">
        <f t="shared" si="262"/>
        <v>16.596709329604067</v>
      </c>
      <c r="I247">
        <f t="shared" si="262"/>
        <v>14.132115948656903</v>
      </c>
      <c r="J247">
        <f t="shared" si="262"/>
        <v>11.099642003113285</v>
      </c>
      <c r="K247">
        <f t="shared" si="262"/>
        <v>7.9099571520042176</v>
      </c>
      <c r="L247">
        <f t="shared" si="208"/>
        <v>31.561461317240202</v>
      </c>
      <c r="M247">
        <f t="shared" si="209"/>
        <v>0.13853868275979764</v>
      </c>
      <c r="N247">
        <f t="shared" si="210"/>
        <v>1.9192966620819853E-2</v>
      </c>
    </row>
    <row r="248" spans="1:14" x14ac:dyDescent="0.45">
      <c r="A248" s="22">
        <v>42515</v>
      </c>
      <c r="B248">
        <v>31.49</v>
      </c>
      <c r="C248">
        <v>31.6</v>
      </c>
      <c r="G248">
        <f>SUMPRODUCT($B248:$B252,P$2:P$6)</f>
        <v>18.83277032349822</v>
      </c>
      <c r="H248">
        <f>SUMPRODUCT($B248:$B252,Q$2:Q$6)</f>
        <v>16.502630653197286</v>
      </c>
      <c r="I248">
        <f>SUMPRODUCT($B248:$B252,R$2:R$6)</f>
        <v>14.05193187884629</v>
      </c>
      <c r="J248">
        <f>SUMPRODUCT($B248:$B252,S$2:S$6)</f>
        <v>11.036368572679761</v>
      </c>
      <c r="K248">
        <f>SUMPRODUCT($B248:$B252,T$2:T$6)</f>
        <v>7.8644891189333599</v>
      </c>
      <c r="L248">
        <f>(G248+$P$7)*$U$2+(H248+$Q$7)*$U$3+(I248+$R$7)*$U$4+(J248+$S$7)*$U$5+(K248+$T$7)*$U$6+$U$7</f>
        <v>31.382521114172004</v>
      </c>
      <c r="M248">
        <f>B247-L248</f>
        <v>0.26747888582799462</v>
      </c>
      <c r="N248">
        <f>M248^2</f>
        <v>7.1544954363785385E-2</v>
      </c>
    </row>
    <row r="249" spans="1:14" x14ac:dyDescent="0.45">
      <c r="A249" s="22">
        <v>42514</v>
      </c>
      <c r="B249">
        <v>31.16</v>
      </c>
      <c r="C249">
        <v>31.37</v>
      </c>
    </row>
    <row r="250" spans="1:14" x14ac:dyDescent="0.45">
      <c r="A250" s="22">
        <v>42513</v>
      </c>
      <c r="B250">
        <v>30.4</v>
      </c>
      <c r="C250">
        <v>31.01</v>
      </c>
    </row>
    <row r="251" spans="1:14" x14ac:dyDescent="0.45">
      <c r="A251" s="22">
        <v>42510</v>
      </c>
      <c r="B251">
        <v>30.36</v>
      </c>
      <c r="C251">
        <v>30.55</v>
      </c>
    </row>
    <row r="252" spans="1:14" x14ac:dyDescent="0.45">
      <c r="A252" s="22">
        <v>42509</v>
      </c>
      <c r="B252">
        <v>29.81</v>
      </c>
      <c r="C252">
        <v>30.31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34.56</v>
      </c>
      <c r="C2">
        <v>33.58</v>
      </c>
      <c r="G2">
        <f t="shared" ref="G2" si="0">SUMPRODUCT($B2:$B6,P$2:P$6)</f>
        <v>19.359728542863834</v>
      </c>
      <c r="H2">
        <f t="shared" ref="H2" si="1">SUMPRODUCT($B2:$B6,Q$2:Q$6)</f>
        <v>18.55839500747545</v>
      </c>
      <c r="I2">
        <f t="shared" ref="I2" si="2">SUMPRODUCT($B2:$B6,R$2:R$6)</f>
        <v>17.801370315143227</v>
      </c>
      <c r="J2">
        <f t="shared" ref="J2" si="3">SUMPRODUCT($B2:$B6,S$2:S$6)</f>
        <v>16.614422501115424</v>
      </c>
      <c r="K2">
        <f t="shared" ref="K2" si="4">SUMPRODUCT($B2:$B6,T$2:T$6)</f>
        <v>10.238294506526666</v>
      </c>
      <c r="L2">
        <f t="shared" ref="L2" si="5">(G2+$P$7)*$U$2+(H2+$Q$7)*$U$3+(I2+$R$7)*$U$4+(J2+$S$7)*$U$5+(K2+$T$7)*$U$6+$U$7</f>
        <v>34.530771326736165</v>
      </c>
      <c r="P2">
        <v>0.53994114229718526</v>
      </c>
      <c r="Q2">
        <v>0.5205214393981682</v>
      </c>
      <c r="R2">
        <v>0.50164196306989239</v>
      </c>
      <c r="S2">
        <v>0.47292056619260531</v>
      </c>
      <c r="T2">
        <v>0.29106393656596091</v>
      </c>
      <c r="U2">
        <v>0.45182068067954562</v>
      </c>
      <c r="W2" t="s">
        <v>30</v>
      </c>
    </row>
    <row r="3" spans="1:23" x14ac:dyDescent="0.45">
      <c r="A3" s="22">
        <v>42871</v>
      </c>
      <c r="B3">
        <v>34.159999999999997</v>
      </c>
      <c r="C3">
        <v>34.81</v>
      </c>
      <c r="G3">
        <f t="shared" ref="G3:K3" si="6">SUMPRODUCT($B3:$B7,P$2:P$6)</f>
        <v>19.144161042905917</v>
      </c>
      <c r="H3">
        <f t="shared" si="6"/>
        <v>18.350519587187925</v>
      </c>
      <c r="I3">
        <f t="shared" si="6"/>
        <v>17.600985558060142</v>
      </c>
      <c r="J3">
        <f t="shared" si="6"/>
        <v>16.425412498540783</v>
      </c>
      <c r="K3">
        <f t="shared" si="6"/>
        <v>10.121973805939394</v>
      </c>
      <c r="L3">
        <f t="shared" ref="L3:L66" si="7">(G3+$P$7)*$U$2+(H3+$Q$7)*$U$3+(I3+$R$7)*$U$4+(J3+$S$7)*$U$5+(K3+$T$7)*$U$6+$U$7</f>
        <v>34.148100444015164</v>
      </c>
      <c r="M3">
        <f t="shared" ref="M3:M66" si="8">B2-L3</f>
        <v>0.41189955598483863</v>
      </c>
      <c r="N3">
        <f t="shared" ref="N3:N66" si="9">M3^2</f>
        <v>0.16966124422050721</v>
      </c>
      <c r="P3">
        <v>2.0471321230659315E-2</v>
      </c>
      <c r="Q3">
        <v>1.6661228698710825E-2</v>
      </c>
      <c r="R3">
        <v>1.3601407243786397E-2</v>
      </c>
      <c r="S3">
        <v>7.9117811526699736E-3</v>
      </c>
      <c r="T3">
        <v>5.2437019557100657E-3</v>
      </c>
      <c r="U3">
        <v>0.43934333931816827</v>
      </c>
      <c r="V3" t="s">
        <v>28</v>
      </c>
      <c r="W3">
        <f>SUM(N3:N252)</f>
        <v>48.555914356325466</v>
      </c>
    </row>
    <row r="4" spans="1:23" x14ac:dyDescent="0.45">
      <c r="A4" s="22">
        <v>42870</v>
      </c>
      <c r="B4">
        <v>34.18</v>
      </c>
      <c r="C4">
        <v>34.18</v>
      </c>
      <c r="G4">
        <f t="shared" ref="G4:K4" si="10">SUMPRODUCT($B4:$B8,P$2:P$6)</f>
        <v>19.15516414958444</v>
      </c>
      <c r="H4">
        <f t="shared" si="10"/>
        <v>18.361096319238172</v>
      </c>
      <c r="I4">
        <f t="shared" si="10"/>
        <v>17.611154411393979</v>
      </c>
      <c r="J4">
        <f t="shared" si="10"/>
        <v>16.43494974639523</v>
      </c>
      <c r="K4">
        <f t="shared" si="10"/>
        <v>10.127847521690271</v>
      </c>
      <c r="L4">
        <f t="shared" si="7"/>
        <v>34.167530664555052</v>
      </c>
      <c r="M4">
        <f t="shared" si="8"/>
        <v>-7.5306645550554663E-3</v>
      </c>
      <c r="N4">
        <f t="shared" si="9"/>
        <v>5.6710908640768744E-5</v>
      </c>
      <c r="P4">
        <v>0</v>
      </c>
      <c r="Q4">
        <v>6.2125223112823266E-7</v>
      </c>
      <c r="R4">
        <v>0</v>
      </c>
      <c r="S4">
        <v>1.7887105189253345E-7</v>
      </c>
      <c r="T4">
        <v>0</v>
      </c>
      <c r="U4">
        <v>0.42653502849044211</v>
      </c>
      <c r="V4" t="s">
        <v>29</v>
      </c>
      <c r="W4">
        <f>MAX(N3:N252)</f>
        <v>5.9292287092682896</v>
      </c>
    </row>
    <row r="5" spans="1:23" x14ac:dyDescent="0.45">
      <c r="A5" s="22">
        <v>42867</v>
      </c>
      <c r="B5">
        <v>34.19</v>
      </c>
      <c r="C5">
        <v>34.07</v>
      </c>
      <c r="G5">
        <f t="shared" ref="G5:K5" si="11">SUMPRODUCT($B5:$B9,P$2:P$6)</f>
        <v>19.150532488259163</v>
      </c>
      <c r="H5">
        <f t="shared" si="11"/>
        <v>18.358137446839677</v>
      </c>
      <c r="I5">
        <f t="shared" si="11"/>
        <v>17.609506141475219</v>
      </c>
      <c r="J5">
        <f t="shared" si="11"/>
        <v>16.435802300013549</v>
      </c>
      <c r="K5">
        <f t="shared" si="11"/>
        <v>10.128188747097632</v>
      </c>
      <c r="L5">
        <f t="shared" si="7"/>
        <v>34.163874948081002</v>
      </c>
      <c r="M5">
        <f t="shared" si="8"/>
        <v>1.6125051918997713E-2</v>
      </c>
      <c r="N5">
        <f t="shared" si="9"/>
        <v>2.6001729939037179E-4</v>
      </c>
      <c r="P5">
        <v>9.0080067390802199E-7</v>
      </c>
      <c r="Q5">
        <v>1.5370358397839323E-7</v>
      </c>
      <c r="R5">
        <v>0</v>
      </c>
      <c r="S5">
        <v>0</v>
      </c>
      <c r="T5">
        <v>0</v>
      </c>
      <c r="U5">
        <v>0.4084761406443001</v>
      </c>
    </row>
    <row r="6" spans="1:23" x14ac:dyDescent="0.45">
      <c r="A6" s="22">
        <v>42866</v>
      </c>
      <c r="B6">
        <v>33.700000000000003</v>
      </c>
      <c r="C6">
        <v>34.119999999999997</v>
      </c>
      <c r="G6">
        <f t="shared" ref="G6:K6" si="12">SUMPRODUCT($B6:$B10,P$2:P$6)</f>
        <v>18.885347487906358</v>
      </c>
      <c r="H6">
        <f t="shared" si="12"/>
        <v>18.10258188057216</v>
      </c>
      <c r="I6">
        <f t="shared" si="12"/>
        <v>17.363293537353663</v>
      </c>
      <c r="J6">
        <f t="shared" si="12"/>
        <v>16.203833814745639</v>
      </c>
      <c r="K6">
        <f t="shared" si="12"/>
        <v>9.9854101071216412</v>
      </c>
      <c r="L6">
        <f t="shared" si="7"/>
        <v>33.693631272957816</v>
      </c>
      <c r="M6">
        <f t="shared" si="8"/>
        <v>0.49636872704218149</v>
      </c>
      <c r="N6">
        <f t="shared" si="9"/>
        <v>0.24638191318547567</v>
      </c>
      <c r="P6">
        <v>9.3571094211993085E-7</v>
      </c>
      <c r="Q6">
        <v>0</v>
      </c>
      <c r="R6">
        <v>0</v>
      </c>
      <c r="S6">
        <v>4.5031190568732196E-7</v>
      </c>
      <c r="T6">
        <v>0</v>
      </c>
      <c r="U6">
        <v>0.26880127287863576</v>
      </c>
    </row>
    <row r="7" spans="1:23" x14ac:dyDescent="0.45">
      <c r="A7" s="22">
        <v>42865</v>
      </c>
      <c r="B7">
        <v>33.67</v>
      </c>
      <c r="C7">
        <v>33.880000000000003</v>
      </c>
      <c r="G7">
        <f t="shared" ref="G7:K7" si="13">SUMPRODUCT($B7:$B11,P$2:P$6)</f>
        <v>18.860346471477431</v>
      </c>
      <c r="H7">
        <f t="shared" si="13"/>
        <v>18.079802090685572</v>
      </c>
      <c r="I7">
        <f t="shared" si="13"/>
        <v>17.342395673346736</v>
      </c>
      <c r="J7">
        <f t="shared" si="13"/>
        <v>16.186244105395083</v>
      </c>
      <c r="K7">
        <f t="shared" si="13"/>
        <v>9.974423397183708</v>
      </c>
      <c r="L7">
        <f t="shared" si="7"/>
        <v>33.653275258513261</v>
      </c>
      <c r="M7">
        <f t="shared" si="8"/>
        <v>4.672474148674155E-2</v>
      </c>
      <c r="N7">
        <f t="shared" si="9"/>
        <v>2.1832014670028271E-3</v>
      </c>
      <c r="O7" t="s">
        <v>27</v>
      </c>
      <c r="P7">
        <v>3.6492476744720417E-7</v>
      </c>
      <c r="Q7">
        <v>3.6492476744720417E-7</v>
      </c>
      <c r="R7">
        <v>3.6492476744720417E-7</v>
      </c>
      <c r="S7">
        <v>3.6492476744720417E-7</v>
      </c>
      <c r="T7">
        <v>3.6492476744720417E-7</v>
      </c>
      <c r="U7">
        <v>0.49856786345331155</v>
      </c>
    </row>
    <row r="8" spans="1:23" x14ac:dyDescent="0.45">
      <c r="A8" s="22">
        <v>42864</v>
      </c>
      <c r="B8">
        <v>33.24</v>
      </c>
      <c r="C8">
        <v>33.72</v>
      </c>
      <c r="G8">
        <f t="shared" ref="G8:K8" si="14">SUMPRODUCT($B8:$B12,P$2:P$6)</f>
        <v>18.633903784240307</v>
      </c>
      <c r="H8">
        <f t="shared" si="14"/>
        <v>17.860643020713002</v>
      </c>
      <c r="I8">
        <f t="shared" si="14"/>
        <v>17.130498023254944</v>
      </c>
      <c r="J8">
        <f t="shared" si="14"/>
        <v>15.985103659660943</v>
      </c>
      <c r="K8">
        <f t="shared" si="14"/>
        <v>9.8507341410079423</v>
      </c>
      <c r="L8">
        <f t="shared" si="7"/>
        <v>33.24888701906589</v>
      </c>
      <c r="M8">
        <f t="shared" si="8"/>
        <v>0.42111298093411165</v>
      </c>
      <c r="N8">
        <f t="shared" si="9"/>
        <v>0.17733614271121348</v>
      </c>
    </row>
    <row r="9" spans="1:23" x14ac:dyDescent="0.45">
      <c r="A9" s="22">
        <v>42863</v>
      </c>
      <c r="B9">
        <v>33.520000000000003</v>
      </c>
      <c r="C9">
        <v>33.24</v>
      </c>
      <c r="G9">
        <f t="shared" ref="G9:K9" si="15">SUMPRODUCT($B9:$B13,P$2:P$6)</f>
        <v>18.786110853805887</v>
      </c>
      <c r="H9">
        <f t="shared" si="15"/>
        <v>18.00722201030726</v>
      </c>
      <c r="I9">
        <f t="shared" si="15"/>
        <v>17.271637843276704</v>
      </c>
      <c r="J9">
        <f t="shared" si="15"/>
        <v>16.117916882278926</v>
      </c>
      <c r="K9">
        <f t="shared" si="15"/>
        <v>9.932494228344197</v>
      </c>
      <c r="L9">
        <f t="shared" si="7"/>
        <v>33.518485148905775</v>
      </c>
      <c r="M9">
        <f t="shared" si="8"/>
        <v>-0.27848514890577292</v>
      </c>
      <c r="N9">
        <f t="shared" si="9"/>
        <v>7.7553978161070514E-2</v>
      </c>
    </row>
    <row r="10" spans="1:23" x14ac:dyDescent="0.45">
      <c r="A10" s="22">
        <v>42860</v>
      </c>
      <c r="B10">
        <v>33.57</v>
      </c>
      <c r="C10">
        <v>33.5</v>
      </c>
      <c r="G10">
        <f t="shared" ref="G10:K10" si="16">SUMPRODUCT($B10:$B14,P$2:P$6)</f>
        <v>18.809627662643155</v>
      </c>
      <c r="H10">
        <f t="shared" si="16"/>
        <v>18.030415765371085</v>
      </c>
      <c r="I10">
        <f t="shared" si="16"/>
        <v>17.294407702198754</v>
      </c>
      <c r="J10">
        <f t="shared" si="16"/>
        <v>16.140217975088646</v>
      </c>
      <c r="K10">
        <f t="shared" si="16"/>
        <v>9.946155995840023</v>
      </c>
      <c r="L10">
        <f t="shared" si="7"/>
        <v>33.561794458522861</v>
      </c>
      <c r="M10">
        <f t="shared" si="8"/>
        <v>-4.1794458522858235E-2</v>
      </c>
      <c r="N10">
        <f t="shared" si="9"/>
        <v>1.7467767632189173E-3</v>
      </c>
    </row>
    <row r="11" spans="1:23" x14ac:dyDescent="0.45">
      <c r="A11" s="22">
        <v>42859</v>
      </c>
      <c r="B11">
        <v>33.4</v>
      </c>
      <c r="C11">
        <v>33.51</v>
      </c>
      <c r="G11">
        <f t="shared" ref="G11:K11" si="17">SUMPRODUCT($B11:$B15,P$2:P$6)</f>
        <v>18.721931574684888</v>
      </c>
      <c r="H11">
        <f t="shared" si="17"/>
        <v>17.945259246709419</v>
      </c>
      <c r="I11">
        <f t="shared" si="17"/>
        <v>17.21184884992563</v>
      </c>
      <c r="J11">
        <f t="shared" si="17"/>
        <v>16.061403594863155</v>
      </c>
      <c r="K11">
        <f t="shared" si="17"/>
        <v>9.8977238670149532</v>
      </c>
      <c r="L11">
        <f t="shared" si="7"/>
        <v>33.404331948950457</v>
      </c>
      <c r="M11">
        <f t="shared" si="8"/>
        <v>0.16566805104954341</v>
      </c>
      <c r="N11">
        <f t="shared" si="9"/>
        <v>2.744590313855412E-2</v>
      </c>
    </row>
    <row r="12" spans="1:23" x14ac:dyDescent="0.45">
      <c r="A12" s="22">
        <v>42858</v>
      </c>
      <c r="B12">
        <v>33.6</v>
      </c>
      <c r="C12">
        <v>33.26</v>
      </c>
      <c r="G12">
        <f t="shared" ref="G12:K12" si="18">SUMPRODUCT($B12:$B16,P$2:P$6)</f>
        <v>18.825620429682694</v>
      </c>
      <c r="H12">
        <f t="shared" si="18"/>
        <v>18.04586465088337</v>
      </c>
      <c r="I12">
        <f t="shared" si="18"/>
        <v>17.30932094701841</v>
      </c>
      <c r="J12">
        <f t="shared" si="18"/>
        <v>16.154326251083713</v>
      </c>
      <c r="K12">
        <f t="shared" si="18"/>
        <v>9.9548354769174452</v>
      </c>
      <c r="L12">
        <f t="shared" si="7"/>
        <v>33.590264657357508</v>
      </c>
      <c r="M12">
        <f t="shared" si="8"/>
        <v>-0.19026465735750975</v>
      </c>
      <c r="N12">
        <f t="shared" si="9"/>
        <v>3.6200639839370587E-2</v>
      </c>
    </row>
    <row r="13" spans="1:23" x14ac:dyDescent="0.45">
      <c r="A13" s="22">
        <v>42857</v>
      </c>
      <c r="B13">
        <v>33.39</v>
      </c>
      <c r="C13">
        <v>33.51</v>
      </c>
      <c r="G13">
        <f t="shared" ref="G13:K13" si="19">SUMPRODUCT($B13:$B17,P$2:P$6)</f>
        <v>18.713665576080921</v>
      </c>
      <c r="H13">
        <f t="shared" si="19"/>
        <v>17.937721156592193</v>
      </c>
      <c r="I13">
        <f t="shared" si="19"/>
        <v>17.2049282332808</v>
      </c>
      <c r="J13">
        <f t="shared" si="19"/>
        <v>16.055566572800242</v>
      </c>
      <c r="K13">
        <f t="shared" si="19"/>
        <v>9.894079109375495</v>
      </c>
      <c r="L13">
        <f t="shared" si="7"/>
        <v>33.390969504994828</v>
      </c>
      <c r="M13">
        <f t="shared" si="8"/>
        <v>0.20903049500517312</v>
      </c>
      <c r="N13">
        <f t="shared" si="9"/>
        <v>4.3693747842107708E-2</v>
      </c>
    </row>
    <row r="14" spans="1:23" x14ac:dyDescent="0.45">
      <c r="A14" s="22">
        <v>42856</v>
      </c>
      <c r="B14">
        <v>33.46</v>
      </c>
      <c r="C14">
        <v>33.31</v>
      </c>
      <c r="G14">
        <f t="shared" ref="G14:K14" si="20">SUMPRODUCT($B14:$B18,P$2:P$6)</f>
        <v>18.742248518020332</v>
      </c>
      <c r="H14">
        <f t="shared" si="20"/>
        <v>17.966660075296343</v>
      </c>
      <c r="I14">
        <f t="shared" si="20"/>
        <v>17.233922537435987</v>
      </c>
      <c r="J14">
        <f t="shared" si="20"/>
        <v>16.085110406491633</v>
      </c>
      <c r="K14">
        <f t="shared" si="20"/>
        <v>9.9120939190550423</v>
      </c>
      <c r="L14">
        <f t="shared" si="7"/>
        <v>33.445875431744973</v>
      </c>
      <c r="M14">
        <f t="shared" si="8"/>
        <v>-5.5875431744972559E-2</v>
      </c>
      <c r="N14">
        <f t="shared" si="9"/>
        <v>3.1220638726870871E-3</v>
      </c>
    </row>
    <row r="15" spans="1:23" x14ac:dyDescent="0.45">
      <c r="A15" s="22">
        <v>42853</v>
      </c>
      <c r="B15">
        <v>33.01</v>
      </c>
      <c r="C15">
        <v>33.409999999999997</v>
      </c>
      <c r="G15">
        <f t="shared" ref="G15:K15" si="21">SUMPRODUCT($B15:$B19,P$2:P$6)</f>
        <v>18.499479216939758</v>
      </c>
      <c r="H15">
        <f t="shared" si="21"/>
        <v>17.7325917924477</v>
      </c>
      <c r="I15">
        <f t="shared" si="21"/>
        <v>17.008319668126973</v>
      </c>
      <c r="J15">
        <f t="shared" si="21"/>
        <v>15.872375282413573</v>
      </c>
      <c r="K15">
        <f t="shared" si="21"/>
        <v>9.7811675846199151</v>
      </c>
      <c r="L15">
        <f t="shared" si="7"/>
        <v>33.015032985766823</v>
      </c>
      <c r="M15">
        <f t="shared" si="8"/>
        <v>0.4449670142331783</v>
      </c>
      <c r="N15">
        <f t="shared" si="9"/>
        <v>0.19799564375558951</v>
      </c>
    </row>
    <row r="16" spans="1:23" x14ac:dyDescent="0.45">
      <c r="A16" s="22">
        <v>42852</v>
      </c>
      <c r="B16">
        <v>33.020000000000003</v>
      </c>
      <c r="C16">
        <v>33.06</v>
      </c>
      <c r="G16">
        <f t="shared" ref="G16:K16" si="22">SUMPRODUCT($B16:$B20,P$2:P$6)</f>
        <v>18.500170763002796</v>
      </c>
      <c r="H16">
        <f t="shared" si="22"/>
        <v>17.733964520233897</v>
      </c>
      <c r="I16">
        <f t="shared" si="22"/>
        <v>17.010207764091604</v>
      </c>
      <c r="J16">
        <f t="shared" si="22"/>
        <v>15.87528486392155</v>
      </c>
      <c r="K16">
        <f t="shared" si="22"/>
        <v>9.7828721725357646</v>
      </c>
      <c r="L16">
        <f t="shared" si="7"/>
        <v>33.018400568482157</v>
      </c>
      <c r="M16">
        <f t="shared" si="8"/>
        <v>-8.4005684821590876E-3</v>
      </c>
      <c r="N16">
        <f t="shared" si="9"/>
        <v>7.0569550823444631E-5</v>
      </c>
    </row>
    <row r="17" spans="1:14" x14ac:dyDescent="0.45">
      <c r="A17" s="22">
        <v>42851</v>
      </c>
      <c r="B17">
        <v>32.79</v>
      </c>
      <c r="C17">
        <v>33.01</v>
      </c>
      <c r="G17">
        <f t="shared" ref="G17:K17" si="23">SUMPRODUCT($B17:$B21,P$2:P$6)</f>
        <v>18.362064375276763</v>
      </c>
      <c r="H17">
        <f t="shared" si="23"/>
        <v>17.602915098911108</v>
      </c>
      <c r="I17">
        <f t="shared" si="23"/>
        <v>16.885581155659754</v>
      </c>
      <c r="J17">
        <f t="shared" si="23"/>
        <v>15.761133220530985</v>
      </c>
      <c r="K17">
        <f t="shared" si="23"/>
        <v>9.7123617497957095</v>
      </c>
      <c r="L17">
        <f t="shared" si="7"/>
        <v>32.779686427891654</v>
      </c>
      <c r="M17">
        <f t="shared" si="8"/>
        <v>0.24031357210834869</v>
      </c>
      <c r="N17">
        <f t="shared" si="9"/>
        <v>5.7750612939474505E-2</v>
      </c>
    </row>
    <row r="18" spans="1:14" x14ac:dyDescent="0.45">
      <c r="A18" s="22">
        <v>42850</v>
      </c>
      <c r="B18">
        <v>32.11</v>
      </c>
      <c r="C18">
        <v>32.81</v>
      </c>
      <c r="G18">
        <f t="shared" ref="G18:K18" si="24">SUMPRODUCT($B18:$B22,P$2:P$6)</f>
        <v>17.997362364051135</v>
      </c>
      <c r="H18">
        <f t="shared" si="24"/>
        <v>17.250960179469839</v>
      </c>
      <c r="I18">
        <f t="shared" si="24"/>
        <v>16.546096789641478</v>
      </c>
      <c r="J18">
        <f t="shared" si="24"/>
        <v>15.440497334956971</v>
      </c>
      <c r="K18">
        <f t="shared" si="24"/>
        <v>9.515067517165539</v>
      </c>
      <c r="L18">
        <f t="shared" si="7"/>
        <v>32.131470443652098</v>
      </c>
      <c r="M18">
        <f t="shared" si="8"/>
        <v>0.65852955634790078</v>
      </c>
      <c r="N18">
        <f t="shared" si="9"/>
        <v>0.43366117658376302</v>
      </c>
    </row>
    <row r="19" spans="1:14" x14ac:dyDescent="0.45">
      <c r="A19" s="22">
        <v>42849</v>
      </c>
      <c r="B19">
        <v>32.229999999999997</v>
      </c>
      <c r="C19">
        <v>32.049999999999997</v>
      </c>
      <c r="G19">
        <f t="shared" ref="G19:K19" si="25">SUMPRODUCT($B19:$B23,P$2:P$6)</f>
        <v>18.071573231751817</v>
      </c>
      <c r="H19">
        <f t="shared" si="25"/>
        <v>17.321087228974701</v>
      </c>
      <c r="I19">
        <f t="shared" si="25"/>
        <v>16.612550472542008</v>
      </c>
      <c r="J19">
        <f t="shared" si="25"/>
        <v>15.500887212110319</v>
      </c>
      <c r="K19">
        <f t="shared" si="25"/>
        <v>9.5524072924530827</v>
      </c>
      <c r="L19">
        <f t="shared" si="7"/>
        <v>32.258859927125592</v>
      </c>
      <c r="M19">
        <f t="shared" si="8"/>
        <v>-0.14885992712559215</v>
      </c>
      <c r="N19">
        <f t="shared" si="9"/>
        <v>2.2159277903836604E-2</v>
      </c>
    </row>
    <row r="20" spans="1:14" x14ac:dyDescent="0.45">
      <c r="A20" s="22">
        <v>42846</v>
      </c>
      <c r="B20">
        <v>32.69</v>
      </c>
      <c r="C20">
        <v>32.18</v>
      </c>
      <c r="G20">
        <f t="shared" ref="G20:K20" si="26">SUMPRODUCT($B20:$B24,P$2:P$6)</f>
        <v>18.323426425316296</v>
      </c>
      <c r="H20">
        <f t="shared" si="26"/>
        <v>17.563360318621307</v>
      </c>
      <c r="I20">
        <f t="shared" si="26"/>
        <v>16.845618014785604</v>
      </c>
      <c r="J20">
        <f t="shared" si="26"/>
        <v>15.719776023116935</v>
      </c>
      <c r="K20">
        <f t="shared" si="26"/>
        <v>9.6871881326058933</v>
      </c>
      <c r="L20">
        <f t="shared" si="7"/>
        <v>32.704145065619478</v>
      </c>
      <c r="M20">
        <f t="shared" si="8"/>
        <v>-0.47414506561948144</v>
      </c>
      <c r="N20">
        <f t="shared" si="9"/>
        <v>0.22481354325130237</v>
      </c>
    </row>
    <row r="21" spans="1:14" x14ac:dyDescent="0.45">
      <c r="A21" s="22">
        <v>42845</v>
      </c>
      <c r="B21">
        <v>32.86</v>
      </c>
      <c r="C21">
        <v>32.53</v>
      </c>
      <c r="G21">
        <f t="shared" ref="G21:K21" si="27">SUMPRODUCT($B21:$B25,P$2:P$6)</f>
        <v>18.442648065791428</v>
      </c>
      <c r="H21">
        <f t="shared" si="27"/>
        <v>17.674174990751432</v>
      </c>
      <c r="I21">
        <f t="shared" si="27"/>
        <v>16.949123034214161</v>
      </c>
      <c r="J21">
        <f t="shared" si="27"/>
        <v>15.810774222469078</v>
      </c>
      <c r="K21">
        <f t="shared" si="27"/>
        <v>9.7436955624427597</v>
      </c>
      <c r="L21">
        <f t="shared" si="7"/>
        <v>32.90320593522484</v>
      </c>
      <c r="M21">
        <f t="shared" si="8"/>
        <v>-0.21320593522484188</v>
      </c>
      <c r="N21">
        <f t="shared" si="9"/>
        <v>4.5456770815099475E-2</v>
      </c>
    </row>
    <row r="22" spans="1:14" x14ac:dyDescent="0.45">
      <c r="A22" s="22">
        <v>42844</v>
      </c>
      <c r="B22">
        <v>34.200000000000003</v>
      </c>
      <c r="C22">
        <v>33.86</v>
      </c>
      <c r="G22">
        <f t="shared" ref="G22:K22" si="28">SUMPRODUCT($B22:$B26,P$2:P$6)</f>
        <v>19.164326343011293</v>
      </c>
      <c r="H22">
        <f t="shared" si="28"/>
        <v>18.370174335007093</v>
      </c>
      <c r="I22">
        <f t="shared" si="28"/>
        <v>17.620099138075876</v>
      </c>
      <c r="J22">
        <f t="shared" si="28"/>
        <v>16.443775619692673</v>
      </c>
      <c r="K22">
        <f t="shared" si="28"/>
        <v>10.133249304265135</v>
      </c>
      <c r="L22">
        <f t="shared" si="7"/>
        <v>34.184531102732393</v>
      </c>
      <c r="M22">
        <f t="shared" si="8"/>
        <v>-1.3245311027323936</v>
      </c>
      <c r="N22">
        <f t="shared" si="9"/>
        <v>1.7543826421054907</v>
      </c>
    </row>
    <row r="23" spans="1:14" x14ac:dyDescent="0.45">
      <c r="A23" s="22">
        <v>42843</v>
      </c>
      <c r="B23">
        <v>34.11</v>
      </c>
      <c r="C23">
        <v>34.020000000000003</v>
      </c>
      <c r="G23">
        <f t="shared" ref="G23:K23" si="29">SUMPRODUCT($B23:$B27,P$2:P$6)</f>
        <v>19.120644665542983</v>
      </c>
      <c r="H23">
        <f t="shared" si="29"/>
        <v>18.327325957975965</v>
      </c>
      <c r="I23">
        <f t="shared" si="29"/>
        <v>17.578215699138092</v>
      </c>
      <c r="J23">
        <f t="shared" si="29"/>
        <v>16.403111663946824</v>
      </c>
      <c r="K23">
        <f t="shared" si="29"/>
        <v>10.108312038443566</v>
      </c>
      <c r="L23">
        <f t="shared" si="7"/>
        <v>34.104791490114266</v>
      </c>
      <c r="M23">
        <f t="shared" si="8"/>
        <v>9.5208509885736703E-2</v>
      </c>
      <c r="N23">
        <f t="shared" si="9"/>
        <v>9.0646603546624231E-3</v>
      </c>
    </row>
    <row r="24" spans="1:14" x14ac:dyDescent="0.45">
      <c r="A24" s="22">
        <v>42842</v>
      </c>
      <c r="B24">
        <v>34.35</v>
      </c>
      <c r="C24">
        <v>34.44</v>
      </c>
      <c r="G24">
        <f t="shared" ref="G24:K24" si="30">SUMPRODUCT($B24:$B28,P$2:P$6)</f>
        <v>19.247159946463867</v>
      </c>
      <c r="H24">
        <f t="shared" si="30"/>
        <v>18.44975175260376</v>
      </c>
      <c r="I24">
        <f t="shared" si="30"/>
        <v>17.696569559188301</v>
      </c>
      <c r="J24">
        <f t="shared" si="30"/>
        <v>16.515425734893341</v>
      </c>
      <c r="K24">
        <f t="shared" si="30"/>
        <v>10.177380827926042</v>
      </c>
      <c r="L24">
        <f t="shared" si="7"/>
        <v>34.330666131724584</v>
      </c>
      <c r="M24">
        <f t="shared" si="8"/>
        <v>-0.2206661317245846</v>
      </c>
      <c r="N24">
        <f t="shared" si="9"/>
        <v>4.869354169029172E-2</v>
      </c>
    </row>
    <row r="25" spans="1:14" x14ac:dyDescent="0.45">
      <c r="A25" s="22">
        <v>42838</v>
      </c>
      <c r="B25">
        <v>34.200000000000003</v>
      </c>
      <c r="C25">
        <v>34.33</v>
      </c>
      <c r="G25">
        <f t="shared" ref="G25:K25" si="31">SUMPRODUCT($B25:$B29,P$2:P$6)</f>
        <v>19.159617974181625</v>
      </c>
      <c r="H25">
        <f t="shared" si="31"/>
        <v>18.366342060140095</v>
      </c>
      <c r="I25">
        <f t="shared" si="31"/>
        <v>17.616970814409804</v>
      </c>
      <c r="J25">
        <f t="shared" si="31"/>
        <v>16.44195596709282</v>
      </c>
      <c r="K25">
        <f t="shared" si="31"/>
        <v>10.132043252815322</v>
      </c>
      <c r="L25">
        <f t="shared" si="7"/>
        <v>34.178318267425418</v>
      </c>
      <c r="M25">
        <f t="shared" si="8"/>
        <v>0.17168173257458363</v>
      </c>
      <c r="N25">
        <f t="shared" si="9"/>
        <v>2.9474617299810851E-2</v>
      </c>
    </row>
    <row r="26" spans="1:14" x14ac:dyDescent="0.45">
      <c r="A26" s="22">
        <v>42837</v>
      </c>
      <c r="B26">
        <v>33.880000000000003</v>
      </c>
      <c r="C26">
        <v>34.270000000000003</v>
      </c>
      <c r="G26">
        <f t="shared" ref="G26:K26" si="32">SUMPRODUCT($B26:$B30,P$2:P$6)</f>
        <v>18.991135791621943</v>
      </c>
      <c r="H26">
        <f t="shared" si="32"/>
        <v>18.203274018554101</v>
      </c>
      <c r="I26">
        <f t="shared" si="32"/>
        <v>17.459301681748634</v>
      </c>
      <c r="J26">
        <f t="shared" si="32"/>
        <v>16.292282798823667</v>
      </c>
      <c r="K26">
        <f t="shared" si="32"/>
        <v>10.040003970524912</v>
      </c>
      <c r="L26">
        <f t="shared" si="7"/>
        <v>33.877422072733687</v>
      </c>
      <c r="M26">
        <f t="shared" si="8"/>
        <v>0.32257792726631607</v>
      </c>
      <c r="N26">
        <f t="shared" si="9"/>
        <v>0.1040565191594327</v>
      </c>
    </row>
    <row r="27" spans="1:14" x14ac:dyDescent="0.45">
      <c r="A27" s="22">
        <v>42836</v>
      </c>
      <c r="B27">
        <v>34.090000000000003</v>
      </c>
      <c r="C27">
        <v>33.99</v>
      </c>
      <c r="G27">
        <f t="shared" ref="G27:K27" si="33">SUMPRODUCT($B27:$B31,P$2:P$6)</f>
        <v>19.102681119012821</v>
      </c>
      <c r="H27">
        <f t="shared" si="33"/>
        <v>18.311084063212217</v>
      </c>
      <c r="I27">
        <f t="shared" si="33"/>
        <v>17.563422367341371</v>
      </c>
      <c r="J27">
        <f t="shared" si="33"/>
        <v>16.390884171661686</v>
      </c>
      <c r="K27">
        <f t="shared" si="33"/>
        <v>10.100655464027751</v>
      </c>
      <c r="L27">
        <f t="shared" si="7"/>
        <v>34.076176810004597</v>
      </c>
      <c r="M27">
        <f t="shared" si="8"/>
        <v>-0.19617681000459442</v>
      </c>
      <c r="N27">
        <f t="shared" si="9"/>
        <v>3.8485340783578736E-2</v>
      </c>
    </row>
    <row r="28" spans="1:14" x14ac:dyDescent="0.45">
      <c r="A28" s="22">
        <v>42835</v>
      </c>
      <c r="B28">
        <v>34</v>
      </c>
      <c r="C28">
        <v>34.06</v>
      </c>
      <c r="G28">
        <f t="shared" ref="G28:K28" si="34">SUMPRODUCT($B28:$B32,P$2:P$6)</f>
        <v>19.056338020282553</v>
      </c>
      <c r="H28">
        <f t="shared" si="34"/>
        <v>18.266069838975767</v>
      </c>
      <c r="I28">
        <f t="shared" si="34"/>
        <v>17.519770745461894</v>
      </c>
      <c r="J28">
        <f t="shared" si="34"/>
        <v>16.349191391600566</v>
      </c>
      <c r="K28">
        <f t="shared" si="34"/>
        <v>10.075036516951942</v>
      </c>
      <c r="L28">
        <f t="shared" si="7"/>
        <v>33.992925482740723</v>
      </c>
      <c r="M28">
        <f t="shared" si="8"/>
        <v>9.7074517259279958E-2</v>
      </c>
      <c r="N28">
        <f t="shared" si="9"/>
        <v>9.4234619011222421E-3</v>
      </c>
    </row>
    <row r="29" spans="1:14" x14ac:dyDescent="0.45">
      <c r="A29" s="22">
        <v>42832</v>
      </c>
      <c r="B29">
        <v>34.11</v>
      </c>
      <c r="C29">
        <v>33.909999999999997</v>
      </c>
      <c r="G29">
        <f t="shared" ref="G29:K29" si="35">SUMPRODUCT($B29:$B33,P$2:P$6)</f>
        <v>19.113683634516601</v>
      </c>
      <c r="H29">
        <f t="shared" si="35"/>
        <v>18.321661134199015</v>
      </c>
      <c r="I29">
        <f t="shared" si="35"/>
        <v>17.573591220675205</v>
      </c>
      <c r="J29">
        <f t="shared" si="35"/>
        <v>16.400421337707762</v>
      </c>
      <c r="K29">
        <f t="shared" si="35"/>
        <v>10.106529179778626</v>
      </c>
      <c r="L29">
        <f t="shared" si="7"/>
        <v>34.095606878932252</v>
      </c>
      <c r="M29">
        <f t="shared" si="8"/>
        <v>-9.5606878932251504E-2</v>
      </c>
      <c r="N29">
        <f t="shared" si="9"/>
        <v>9.1406752991661962E-3</v>
      </c>
    </row>
    <row r="30" spans="1:14" x14ac:dyDescent="0.45">
      <c r="A30" s="22">
        <v>42831</v>
      </c>
      <c r="B30">
        <v>34.01</v>
      </c>
      <c r="C30">
        <v>34.159999999999997</v>
      </c>
      <c r="G30">
        <f t="shared" ref="G30:K30" si="36">SUMPRODUCT($B30:$B34,P$2:P$6)</f>
        <v>19.063988268075477</v>
      </c>
      <c r="H30">
        <f t="shared" si="36"/>
        <v>18.273107502565502</v>
      </c>
      <c r="I30">
        <f t="shared" si="36"/>
        <v>17.526283319889409</v>
      </c>
      <c r="J30">
        <f t="shared" si="36"/>
        <v>16.354790731390423</v>
      </c>
      <c r="K30">
        <f t="shared" si="36"/>
        <v>10.078523963532728</v>
      </c>
      <c r="L30">
        <f t="shared" si="7"/>
        <v>34.005476441434915</v>
      </c>
      <c r="M30">
        <f t="shared" si="8"/>
        <v>0.10452355856508433</v>
      </c>
      <c r="N30">
        <f t="shared" si="9"/>
        <v>1.0925174295108614E-2</v>
      </c>
    </row>
    <row r="31" spans="1:14" x14ac:dyDescent="0.45">
      <c r="A31" s="22">
        <v>42830</v>
      </c>
      <c r="B31">
        <v>34.22</v>
      </c>
      <c r="C31">
        <v>33.81</v>
      </c>
      <c r="G31">
        <f t="shared" ref="G31:K31" si="37">SUMPRODUCT($B31:$B35,P$2:P$6)</f>
        <v>19.167959357652517</v>
      </c>
      <c r="H31">
        <f t="shared" si="37"/>
        <v>18.37475261733081</v>
      </c>
      <c r="I31">
        <f t="shared" si="37"/>
        <v>17.625371484801946</v>
      </c>
      <c r="J31">
        <f t="shared" si="37"/>
        <v>16.450464628747721</v>
      </c>
      <c r="K31">
        <f t="shared" si="37"/>
        <v>10.137235287311954</v>
      </c>
      <c r="L31">
        <f t="shared" si="7"/>
        <v>34.194236590206167</v>
      </c>
      <c r="M31">
        <f t="shared" si="8"/>
        <v>-0.18423659020616867</v>
      </c>
      <c r="N31">
        <f t="shared" si="9"/>
        <v>3.3943121170795724E-2</v>
      </c>
    </row>
    <row r="32" spans="1:14" x14ac:dyDescent="0.45">
      <c r="A32" s="22">
        <v>42829</v>
      </c>
      <c r="B32">
        <v>33.76</v>
      </c>
      <c r="C32">
        <v>34.14</v>
      </c>
      <c r="G32">
        <f t="shared" ref="G32:K32" si="38">SUMPRODUCT($B32:$B36,P$2:P$6)</f>
        <v>18.911602723964627</v>
      </c>
      <c r="H32">
        <f t="shared" si="38"/>
        <v>18.128814979833482</v>
      </c>
      <c r="I32">
        <f t="shared" si="38"/>
        <v>17.38931163296472</v>
      </c>
      <c r="J32">
        <f t="shared" si="38"/>
        <v>16.229835583393459</v>
      </c>
      <c r="K32">
        <f t="shared" si="38"/>
        <v>10.001300832728885</v>
      </c>
      <c r="L32">
        <f t="shared" si="7"/>
        <v>33.743009447545312</v>
      </c>
      <c r="M32">
        <f t="shared" si="8"/>
        <v>0.47699055245468713</v>
      </c>
      <c r="N32">
        <f t="shared" si="9"/>
        <v>0.22751998713102764</v>
      </c>
    </row>
    <row r="33" spans="1:14" x14ac:dyDescent="0.45">
      <c r="A33" s="22">
        <v>42828</v>
      </c>
      <c r="B33">
        <v>33.369999999999997</v>
      </c>
      <c r="C33">
        <v>33.76</v>
      </c>
      <c r="G33">
        <f t="shared" ref="G33:K33" si="39">SUMPRODUCT($B33:$B37,P$2:P$6)</f>
        <v>18.70368671734828</v>
      </c>
      <c r="H33">
        <f t="shared" si="39"/>
        <v>17.927977666775757</v>
      </c>
      <c r="I33">
        <f t="shared" si="39"/>
        <v>17.195439450309152</v>
      </c>
      <c r="J33">
        <f t="shared" si="39"/>
        <v>16.046425021890229</v>
      </c>
      <c r="K33">
        <f t="shared" si="39"/>
        <v>9.8884675787224037</v>
      </c>
      <c r="L33">
        <f t="shared" si="7"/>
        <v>33.372890322564551</v>
      </c>
      <c r="M33">
        <f t="shared" si="8"/>
        <v>0.387109677435447</v>
      </c>
      <c r="N33">
        <f t="shared" si="9"/>
        <v>0.14985390236417581</v>
      </c>
    </row>
    <row r="34" spans="1:14" x14ac:dyDescent="0.45">
      <c r="A34" s="22">
        <v>42825</v>
      </c>
      <c r="B34">
        <v>33.5</v>
      </c>
      <c r="C34">
        <v>33.57</v>
      </c>
      <c r="G34">
        <f t="shared" ref="G34:K34" si="40">SUMPRODUCT($B34:$B38,P$2:P$6)</f>
        <v>18.776949341284745</v>
      </c>
      <c r="H34">
        <f t="shared" si="40"/>
        <v>17.998144585749969</v>
      </c>
      <c r="I34">
        <f t="shared" si="40"/>
        <v>17.262693116594807</v>
      </c>
      <c r="J34">
        <f t="shared" si="40"/>
        <v>16.109091349227178</v>
      </c>
      <c r="K34">
        <f t="shared" si="40"/>
        <v>9.9270924457693344</v>
      </c>
      <c r="L34">
        <f t="shared" si="7"/>
        <v>33.501485417102863</v>
      </c>
      <c r="M34">
        <f t="shared" si="8"/>
        <v>-0.13148541710286565</v>
      </c>
      <c r="N34">
        <f t="shared" si="9"/>
        <v>1.7288414910714554E-2</v>
      </c>
    </row>
    <row r="35" spans="1:14" x14ac:dyDescent="0.45">
      <c r="A35" s="22">
        <v>42824</v>
      </c>
      <c r="B35">
        <v>33.65</v>
      </c>
      <c r="C35">
        <v>33.700000000000003</v>
      </c>
      <c r="G35">
        <f t="shared" ref="G35:K35" si="41">SUMPRODUCT($B35:$B39,P$2:P$6)</f>
        <v>18.857326624655705</v>
      </c>
      <c r="H35">
        <f t="shared" si="41"/>
        <v>18.07572279123438</v>
      </c>
      <c r="I35">
        <f t="shared" si="41"/>
        <v>17.337531368837976</v>
      </c>
      <c r="J35">
        <f t="shared" si="41"/>
        <v>16.179792266525812</v>
      </c>
      <c r="K35">
        <f t="shared" si="41"/>
        <v>9.9705947251955571</v>
      </c>
      <c r="L35">
        <f t="shared" si="7"/>
        <v>33.644379245816296</v>
      </c>
      <c r="M35">
        <f t="shared" si="8"/>
        <v>-0.14437924581629602</v>
      </c>
      <c r="N35">
        <f t="shared" si="9"/>
        <v>2.0845366622482431E-2</v>
      </c>
    </row>
    <row r="36" spans="1:14" x14ac:dyDescent="0.45">
      <c r="A36" s="22">
        <v>42823</v>
      </c>
      <c r="B36">
        <v>33.619999999999997</v>
      </c>
      <c r="C36">
        <v>33.65</v>
      </c>
      <c r="G36">
        <f t="shared" ref="G36:K36" si="42">SUMPRODUCT($B36:$B40,P$2:P$6)</f>
        <v>18.836624953617086</v>
      </c>
      <c r="H36">
        <f t="shared" si="42"/>
        <v>18.056441605489976</v>
      </c>
      <c r="I36">
        <f t="shared" si="42"/>
        <v>17.319489800352247</v>
      </c>
      <c r="J36">
        <f t="shared" si="42"/>
        <v>16.16386392019189</v>
      </c>
      <c r="K36">
        <f t="shared" si="42"/>
        <v>9.96070919266832</v>
      </c>
      <c r="L36">
        <f t="shared" si="7"/>
        <v>33.60969578809366</v>
      </c>
      <c r="M36">
        <f t="shared" si="8"/>
        <v>4.0304211906338594E-2</v>
      </c>
      <c r="N36">
        <f t="shared" si="9"/>
        <v>1.6244294973910456E-3</v>
      </c>
    </row>
    <row r="37" spans="1:14" x14ac:dyDescent="0.45">
      <c r="A37" s="22">
        <v>42822</v>
      </c>
      <c r="B37">
        <v>33.4</v>
      </c>
      <c r="C37">
        <v>33.53</v>
      </c>
      <c r="G37">
        <f t="shared" ref="G37:K37" si="43">SUMPRODUCT($B37:$B41,P$2:P$6)</f>
        <v>18.712924418263125</v>
      </c>
      <c r="H37">
        <f t="shared" si="43"/>
        <v>17.937928472283051</v>
      </c>
      <c r="I37">
        <f t="shared" si="43"/>
        <v>17.205864230738364</v>
      </c>
      <c r="J37">
        <f t="shared" si="43"/>
        <v>16.057922572029142</v>
      </c>
      <c r="K37">
        <f t="shared" si="43"/>
        <v>9.8954166381544404</v>
      </c>
      <c r="L37">
        <f t="shared" si="7"/>
        <v>33.392446851945913</v>
      </c>
      <c r="M37">
        <f t="shared" si="8"/>
        <v>0.22755314805408489</v>
      </c>
      <c r="N37">
        <f t="shared" si="9"/>
        <v>5.1780435189324278E-2</v>
      </c>
    </row>
    <row r="38" spans="1:14" x14ac:dyDescent="0.45">
      <c r="A38" s="22">
        <v>42821</v>
      </c>
      <c r="B38">
        <v>33.159999999999997</v>
      </c>
      <c r="C38">
        <v>33.43</v>
      </c>
      <c r="G38">
        <f t="shared" ref="G38:K38" si="44">SUMPRODUCT($B38:$B42,P$2:P$6)</f>
        <v>18.593574651144227</v>
      </c>
      <c r="H38">
        <f t="shared" si="44"/>
        <v>17.821333781510194</v>
      </c>
      <c r="I38">
        <f t="shared" si="44"/>
        <v>17.092270863223479</v>
      </c>
      <c r="J38">
        <f t="shared" si="44"/>
        <v>15.948377786362189</v>
      </c>
      <c r="K38">
        <f t="shared" si="44"/>
        <v>9.8281831443564638</v>
      </c>
      <c r="L38">
        <f t="shared" si="7"/>
        <v>33.176026627897194</v>
      </c>
      <c r="M38">
        <f t="shared" si="8"/>
        <v>0.22397337210280455</v>
      </c>
      <c r="N38">
        <f t="shared" si="9"/>
        <v>5.0164071411101345E-2</v>
      </c>
    </row>
    <row r="39" spans="1:14" x14ac:dyDescent="0.45">
      <c r="A39" s="22">
        <v>42818</v>
      </c>
      <c r="B39">
        <v>33.659999999999997</v>
      </c>
      <c r="C39">
        <v>33.4</v>
      </c>
      <c r="G39">
        <f t="shared" ref="G39:K39" si="45">SUMPRODUCT($B39:$B43,P$2:P$6)</f>
        <v>18.859246614792198</v>
      </c>
      <c r="H39">
        <f t="shared" si="45"/>
        <v>18.07809562658899</v>
      </c>
      <c r="I39">
        <f t="shared" si="45"/>
        <v>17.340235549237232</v>
      </c>
      <c r="J39">
        <f t="shared" si="45"/>
        <v>16.183176453356072</v>
      </c>
      <c r="K39">
        <f t="shared" si="45"/>
        <v>9.9726139352287451</v>
      </c>
      <c r="L39">
        <f t="shared" si="7"/>
        <v>33.649367779941421</v>
      </c>
      <c r="M39">
        <f t="shared" si="8"/>
        <v>-0.48936777994142489</v>
      </c>
      <c r="N39">
        <f t="shared" si="9"/>
        <v>0.23948082404479884</v>
      </c>
    </row>
    <row r="40" spans="1:14" x14ac:dyDescent="0.45">
      <c r="A40" s="22">
        <v>42817</v>
      </c>
      <c r="B40">
        <v>33.450000000000003</v>
      </c>
      <c r="C40">
        <v>33.520000000000003</v>
      </c>
      <c r="G40">
        <f t="shared" ref="G40:K40" si="46">SUMPRODUCT($B40:$B44,P$2:P$6)</f>
        <v>18.741968852113651</v>
      </c>
      <c r="H40">
        <f t="shared" si="46"/>
        <v>17.965620864000233</v>
      </c>
      <c r="I40">
        <f t="shared" si="46"/>
        <v>17.232306469616237</v>
      </c>
      <c r="J40">
        <f t="shared" si="46"/>
        <v>16.082359842972991</v>
      </c>
      <c r="K40">
        <f t="shared" si="46"/>
        <v>9.9104942051783098</v>
      </c>
      <c r="L40">
        <f t="shared" si="7"/>
        <v>33.443049648113025</v>
      </c>
      <c r="M40">
        <f t="shared" si="8"/>
        <v>0.21695035188697176</v>
      </c>
      <c r="N40">
        <f t="shared" si="9"/>
        <v>4.706745518388087E-2</v>
      </c>
    </row>
    <row r="41" spans="1:14" x14ac:dyDescent="0.45">
      <c r="A41" s="22">
        <v>42816</v>
      </c>
      <c r="B41">
        <v>33.26</v>
      </c>
      <c r="C41">
        <v>33.53</v>
      </c>
      <c r="G41">
        <f t="shared" ref="G41:K41" si="47">SUMPRODUCT($B41:$B45,P$2:P$6)</f>
        <v>18.65289027821547</v>
      </c>
      <c r="H41">
        <f t="shared" si="47"/>
        <v>17.877717993947833</v>
      </c>
      <c r="I41">
        <f t="shared" si="47"/>
        <v>17.145971425413855</v>
      </c>
      <c r="J41">
        <f t="shared" si="47"/>
        <v>15.997726433865912</v>
      </c>
      <c r="K41">
        <f t="shared" si="47"/>
        <v>9.8586529005215446</v>
      </c>
      <c r="L41">
        <f t="shared" si="7"/>
        <v>33.278851908216268</v>
      </c>
      <c r="M41">
        <f t="shared" si="8"/>
        <v>0.17114809178373491</v>
      </c>
      <c r="N41">
        <f t="shared" si="9"/>
        <v>2.9291669321213749E-2</v>
      </c>
    </row>
    <row r="42" spans="1:14" x14ac:dyDescent="0.45">
      <c r="A42" s="22">
        <v>42815</v>
      </c>
      <c r="B42">
        <v>33.92</v>
      </c>
      <c r="C42">
        <v>33.19</v>
      </c>
      <c r="G42">
        <f t="shared" ref="G42:K42" si="48">SUMPRODUCT($B42:$B46,P$2:P$6)</f>
        <v>19.004338071190531</v>
      </c>
      <c r="H42">
        <f t="shared" si="48"/>
        <v>18.217263133061227</v>
      </c>
      <c r="I42">
        <f t="shared" si="48"/>
        <v>17.473790783301478</v>
      </c>
      <c r="J42">
        <f t="shared" si="48"/>
        <v>16.307955220180251</v>
      </c>
      <c r="K42">
        <f t="shared" si="48"/>
        <v>10.049496610185709</v>
      </c>
      <c r="L42">
        <f t="shared" si="7"/>
        <v>33.904666713114281</v>
      </c>
      <c r="M42">
        <f t="shared" si="8"/>
        <v>-0.64466671311428314</v>
      </c>
      <c r="N42">
        <f t="shared" si="9"/>
        <v>0.41559517099757343</v>
      </c>
    </row>
    <row r="43" spans="1:14" x14ac:dyDescent="0.45">
      <c r="A43" s="22">
        <v>42814</v>
      </c>
      <c r="B43">
        <v>33.68</v>
      </c>
      <c r="C43">
        <v>33.81</v>
      </c>
      <c r="G43">
        <f t="shared" ref="G43:K43" si="49">SUMPRODUCT($B43:$B47,P$2:P$6)</f>
        <v>18.866973152092854</v>
      </c>
      <c r="H43">
        <f t="shared" si="49"/>
        <v>18.086006434537854</v>
      </c>
      <c r="I43">
        <f t="shared" si="49"/>
        <v>17.348228177412064</v>
      </c>
      <c r="J43">
        <f t="shared" si="49"/>
        <v>16.19144763789004</v>
      </c>
      <c r="K43">
        <f t="shared" si="49"/>
        <v>9.977648658666709</v>
      </c>
      <c r="L43">
        <f t="shared" si="7"/>
        <v>33.664475407556836</v>
      </c>
      <c r="M43">
        <f t="shared" si="8"/>
        <v>0.25552459244316594</v>
      </c>
      <c r="N43">
        <f t="shared" si="9"/>
        <v>6.529281734324606E-2</v>
      </c>
    </row>
    <row r="44" spans="1:14" x14ac:dyDescent="0.45">
      <c r="A44" s="22">
        <v>42811</v>
      </c>
      <c r="B44">
        <v>33.299999999999997</v>
      </c>
      <c r="C44">
        <v>33.700000000000003</v>
      </c>
      <c r="G44">
        <f t="shared" ref="G44:K44" si="50">SUMPRODUCT($B44:$B48,P$2:P$6)</f>
        <v>18.651150539842927</v>
      </c>
      <c r="H44">
        <f t="shared" si="50"/>
        <v>17.879544571614147</v>
      </c>
      <c r="I44">
        <f t="shared" si="50"/>
        <v>17.150531499678735</v>
      </c>
      <c r="J44">
        <f t="shared" si="50"/>
        <v>16.007623865553846</v>
      </c>
      <c r="K44">
        <f t="shared" si="50"/>
        <v>9.8643176377546737</v>
      </c>
      <c r="L44">
        <f t="shared" si="7"/>
        <v>33.286378937855481</v>
      </c>
      <c r="M44">
        <f t="shared" si="8"/>
        <v>0.39362106214451842</v>
      </c>
      <c r="N44">
        <f t="shared" si="9"/>
        <v>0.15493754056377884</v>
      </c>
    </row>
    <row r="45" spans="1:14" x14ac:dyDescent="0.45">
      <c r="A45" s="22">
        <v>42810</v>
      </c>
      <c r="B45">
        <v>32.78</v>
      </c>
      <c r="C45">
        <v>33.1</v>
      </c>
      <c r="G45">
        <f t="shared" ref="G45:K45" si="51">SUMPRODUCT($B45:$B49,P$2:P$6)</f>
        <v>18.375294805238337</v>
      </c>
      <c r="H45">
        <f t="shared" si="51"/>
        <v>17.612872055438913</v>
      </c>
      <c r="I45">
        <f t="shared" si="51"/>
        <v>16.8929420166209</v>
      </c>
      <c r="J45">
        <f t="shared" si="51"/>
        <v>15.763604107798944</v>
      </c>
      <c r="K45">
        <f t="shared" si="51"/>
        <v>9.7142228792097463</v>
      </c>
      <c r="L45">
        <f t="shared" si="7"/>
        <v>32.794687969783389</v>
      </c>
      <c r="M45">
        <f t="shared" si="8"/>
        <v>0.50531203021660787</v>
      </c>
      <c r="N45">
        <f t="shared" si="9"/>
        <v>0.25534024788163001</v>
      </c>
    </row>
    <row r="46" spans="1:14" x14ac:dyDescent="0.45">
      <c r="A46" s="22">
        <v>42809</v>
      </c>
      <c r="B46">
        <v>33.020000000000003</v>
      </c>
      <c r="C46">
        <v>32.89</v>
      </c>
      <c r="G46">
        <f t="shared" ref="G46:K46" si="52">SUMPRODUCT($B46:$B50,P$2:P$6)</f>
        <v>18.501400674957797</v>
      </c>
      <c r="H46">
        <f t="shared" si="52"/>
        <v>17.734965013614431</v>
      </c>
      <c r="I46">
        <f t="shared" si="52"/>
        <v>17.011023848526232</v>
      </c>
      <c r="J46">
        <f t="shared" si="52"/>
        <v>15.87576001442009</v>
      </c>
      <c r="K46">
        <f t="shared" si="52"/>
        <v>9.7831867946531066</v>
      </c>
      <c r="L46">
        <f t="shared" si="7"/>
        <v>33.020022575306676</v>
      </c>
      <c r="M46">
        <f t="shared" si="8"/>
        <v>-0.24002257530667492</v>
      </c>
      <c r="N46">
        <f t="shared" si="9"/>
        <v>5.7610836656848435E-2</v>
      </c>
    </row>
    <row r="47" spans="1:14" x14ac:dyDescent="0.45">
      <c r="A47" s="22">
        <v>42808</v>
      </c>
      <c r="B47">
        <v>32.85</v>
      </c>
      <c r="C47">
        <v>32.86</v>
      </c>
      <c r="G47">
        <f t="shared" ref="G47:K47" si="53">SUMPRODUCT($B47:$B51,P$2:P$6)</f>
        <v>18.415342759574813</v>
      </c>
      <c r="H47">
        <f t="shared" si="53"/>
        <v>17.651141679410962</v>
      </c>
      <c r="I47">
        <f t="shared" si="53"/>
        <v>16.929553108832607</v>
      </c>
      <c r="J47">
        <f t="shared" si="53"/>
        <v>15.797578998427452</v>
      </c>
      <c r="K47">
        <f t="shared" si="53"/>
        <v>9.7351741619844905</v>
      </c>
      <c r="L47">
        <f t="shared" si="7"/>
        <v>32.864721545102476</v>
      </c>
      <c r="M47">
        <f t="shared" si="8"/>
        <v>0.15527845489752679</v>
      </c>
      <c r="N47">
        <f t="shared" si="9"/>
        <v>2.4111398555363261E-2</v>
      </c>
    </row>
    <row r="48" spans="1:14" x14ac:dyDescent="0.45">
      <c r="A48" s="22">
        <v>42807</v>
      </c>
      <c r="B48">
        <v>33.130000000000003</v>
      </c>
      <c r="C48">
        <v>32.81</v>
      </c>
      <c r="G48">
        <f t="shared" ref="G48:K48" si="54">SUMPRODUCT($B48:$B52,P$2:P$6)</f>
        <v>18.572872790937463</v>
      </c>
      <c r="H48">
        <f t="shared" si="54"/>
        <v>17.802052600763176</v>
      </c>
      <c r="I48">
        <f t="shared" si="54"/>
        <v>17.074229294737751</v>
      </c>
      <c r="J48">
        <f t="shared" si="54"/>
        <v>15.932449450760537</v>
      </c>
      <c r="K48">
        <f t="shared" si="54"/>
        <v>9.8182976118292302</v>
      </c>
      <c r="L48">
        <f t="shared" si="7"/>
        <v>33.141343091283922</v>
      </c>
      <c r="M48">
        <f t="shared" si="8"/>
        <v>-0.29134309128392033</v>
      </c>
      <c r="N48">
        <f t="shared" si="9"/>
        <v>8.4880796838870731E-2</v>
      </c>
    </row>
    <row r="49" spans="1:14" x14ac:dyDescent="0.45">
      <c r="A49" s="22">
        <v>42804</v>
      </c>
      <c r="B49">
        <v>33.44</v>
      </c>
      <c r="C49">
        <v>33.130000000000003</v>
      </c>
      <c r="G49">
        <f t="shared" ref="G49:K49" si="55">SUMPRODUCT($B49:$B53,P$2:P$6)</f>
        <v>18.736774527140049</v>
      </c>
      <c r="H49">
        <f t="shared" si="55"/>
        <v>17.960582036641025</v>
      </c>
      <c r="I49">
        <f t="shared" si="55"/>
        <v>17.227426064057973</v>
      </c>
      <c r="J49">
        <f t="shared" si="55"/>
        <v>16.077709855555707</v>
      </c>
      <c r="K49">
        <f t="shared" si="55"/>
        <v>9.9076360028322057</v>
      </c>
      <c r="L49">
        <f t="shared" si="7"/>
        <v>33.433739608162661</v>
      </c>
      <c r="M49">
        <f t="shared" si="8"/>
        <v>-0.30373960816265821</v>
      </c>
      <c r="N49">
        <f t="shared" si="9"/>
        <v>9.2257749566805144E-2</v>
      </c>
    </row>
    <row r="50" spans="1:14" x14ac:dyDescent="0.45">
      <c r="A50" s="22">
        <v>42803</v>
      </c>
      <c r="B50">
        <v>33.270000000000003</v>
      </c>
      <c r="C50">
        <v>33.18</v>
      </c>
      <c r="G50">
        <f t="shared" ref="G50:K50" si="56">SUMPRODUCT($B50:$B54,P$2:P$6)</f>
        <v>18.650716644647169</v>
      </c>
      <c r="H50">
        <f t="shared" si="56"/>
        <v>17.876758629231187</v>
      </c>
      <c r="I50">
        <f t="shared" si="56"/>
        <v>17.145955324364355</v>
      </c>
      <c r="J50">
        <f t="shared" si="56"/>
        <v>15.999528772204345</v>
      </c>
      <c r="K50">
        <f t="shared" si="56"/>
        <v>9.8596233701635931</v>
      </c>
      <c r="L50">
        <f t="shared" si="7"/>
        <v>33.278438533141738</v>
      </c>
      <c r="M50">
        <f t="shared" si="8"/>
        <v>0.16156146685825945</v>
      </c>
      <c r="N50">
        <f t="shared" si="9"/>
        <v>2.6102107573392468E-2</v>
      </c>
    </row>
    <row r="51" spans="1:14" x14ac:dyDescent="0.45">
      <c r="A51" s="22">
        <v>42802</v>
      </c>
      <c r="B51">
        <v>33.549999999999997</v>
      </c>
      <c r="C51">
        <v>33.32</v>
      </c>
      <c r="G51">
        <f t="shared" ref="G51:K51" si="57">SUMPRODUCT($B51:$B55,P$2:P$6)</f>
        <v>18.80517605582402</v>
      </c>
      <c r="H51">
        <f t="shared" si="57"/>
        <v>18.025170433208061</v>
      </c>
      <c r="I51">
        <f t="shared" si="57"/>
        <v>17.288591299182926</v>
      </c>
      <c r="J51">
        <f t="shared" si="57"/>
        <v>16.133212557170783</v>
      </c>
      <c r="K51">
        <f t="shared" si="57"/>
        <v>9.9419602647149734</v>
      </c>
      <c r="L51">
        <f t="shared" si="7"/>
        <v>33.551008365183556</v>
      </c>
      <c r="M51">
        <f t="shared" si="8"/>
        <v>-0.28100836518355266</v>
      </c>
      <c r="N51">
        <f t="shared" si="9"/>
        <v>7.8965701303132893E-2</v>
      </c>
    </row>
    <row r="52" spans="1:14" x14ac:dyDescent="0.45">
      <c r="A52" s="22">
        <v>42801</v>
      </c>
      <c r="B52">
        <v>33.71</v>
      </c>
      <c r="C52">
        <v>33.47</v>
      </c>
      <c r="G52">
        <f t="shared" ref="G52:K52" si="58">SUMPRODUCT($B52:$B56,P$2:P$6)</f>
        <v>18.890748008149689</v>
      </c>
      <c r="H52">
        <f t="shared" si="58"/>
        <v>18.107787583123926</v>
      </c>
      <c r="I52">
        <f t="shared" si="58"/>
        <v>17.368309956984362</v>
      </c>
      <c r="J52">
        <f t="shared" si="58"/>
        <v>16.208563374476043</v>
      </c>
      <c r="K52">
        <f t="shared" si="58"/>
        <v>9.9883207464873003</v>
      </c>
      <c r="L52">
        <f t="shared" si="7"/>
        <v>33.703212404994872</v>
      </c>
      <c r="M52">
        <f t="shared" si="8"/>
        <v>-0.15321240499487487</v>
      </c>
      <c r="N52">
        <f t="shared" si="9"/>
        <v>2.3474041044313557E-2</v>
      </c>
    </row>
    <row r="53" spans="1:14" x14ac:dyDescent="0.45">
      <c r="A53" s="22">
        <v>42800</v>
      </c>
      <c r="B53">
        <v>33.67</v>
      </c>
      <c r="C53">
        <v>33.64</v>
      </c>
      <c r="G53">
        <f t="shared" ref="G53:K53" si="59">SUMPRODUCT($B53:$B57,P$2:P$6)</f>
        <v>18.873039888213118</v>
      </c>
      <c r="H53">
        <f t="shared" si="59"/>
        <v>18.090132551717705</v>
      </c>
      <c r="I53">
        <f t="shared" si="59"/>
        <v>17.350828545837885</v>
      </c>
      <c r="J53">
        <f t="shared" si="59"/>
        <v>16.191149871790387</v>
      </c>
      <c r="K53">
        <f t="shared" si="59"/>
        <v>9.9776744923962468</v>
      </c>
      <c r="L53">
        <f t="shared" si="7"/>
        <v>33.670023728513186</v>
      </c>
      <c r="M53">
        <f t="shared" si="8"/>
        <v>3.9976271486814596E-2</v>
      </c>
      <c r="N53">
        <f t="shared" si="9"/>
        <v>1.5981022819875057E-3</v>
      </c>
    </row>
    <row r="54" spans="1:14" x14ac:dyDescent="0.45">
      <c r="A54" s="22">
        <v>42797</v>
      </c>
      <c r="B54">
        <v>33.86</v>
      </c>
      <c r="C54">
        <v>33.74</v>
      </c>
      <c r="G54">
        <f t="shared" ref="G54:K54" si="60">SUMPRODUCT($B54:$B58,P$2:P$6)</f>
        <v>18.982384183367536</v>
      </c>
      <c r="H54">
        <f t="shared" si="60"/>
        <v>18.194529788658929</v>
      </c>
      <c r="I54">
        <f t="shared" si="60"/>
        <v>17.450628983211612</v>
      </c>
      <c r="J54">
        <f t="shared" si="60"/>
        <v>16.283615603303371</v>
      </c>
      <c r="K54">
        <f t="shared" si="60"/>
        <v>10.034707061989163</v>
      </c>
      <c r="L54">
        <f t="shared" si="7"/>
        <v>33.860962827922584</v>
      </c>
      <c r="M54">
        <f t="shared" si="8"/>
        <v>-0.19096282792258279</v>
      </c>
      <c r="N54">
        <f t="shared" si="9"/>
        <v>3.6466801648189967E-2</v>
      </c>
    </row>
    <row r="55" spans="1:14" x14ac:dyDescent="0.45">
      <c r="A55" s="22">
        <v>42796</v>
      </c>
      <c r="B55">
        <v>34.19</v>
      </c>
      <c r="C55">
        <v>33.909999999999997</v>
      </c>
      <c r="G55">
        <f t="shared" ref="G55:K55" si="61">SUMPRODUCT($B55:$B59,P$2:P$6)</f>
        <v>19.158926487683608</v>
      </c>
      <c r="H55">
        <f t="shared" si="61"/>
        <v>18.364968979519645</v>
      </c>
      <c r="I55">
        <f t="shared" si="61"/>
        <v>17.615082718445173</v>
      </c>
      <c r="J55">
        <f t="shared" si="61"/>
        <v>16.439046231442319</v>
      </c>
      <c r="K55">
        <f t="shared" si="61"/>
        <v>10.130338664899472</v>
      </c>
      <c r="L55">
        <f t="shared" si="7"/>
        <v>34.174950493643877</v>
      </c>
      <c r="M55">
        <f t="shared" si="8"/>
        <v>-0.31495049364387739</v>
      </c>
      <c r="N55">
        <f t="shared" si="9"/>
        <v>9.9193813446522061E-2</v>
      </c>
    </row>
    <row r="56" spans="1:14" x14ac:dyDescent="0.45">
      <c r="A56" s="22">
        <v>42795</v>
      </c>
      <c r="B56">
        <v>34.11</v>
      </c>
      <c r="C56">
        <v>34.270000000000003</v>
      </c>
      <c r="G56">
        <f t="shared" ref="G56:K56" si="62">SUMPRODUCT($B56:$B60,P$2:P$6)</f>
        <v>19.116754527174542</v>
      </c>
      <c r="H56">
        <f t="shared" si="62"/>
        <v>18.324160180613195</v>
      </c>
      <c r="I56">
        <f t="shared" si="62"/>
        <v>17.575631431761774</v>
      </c>
      <c r="J56">
        <f t="shared" si="62"/>
        <v>16.401608259100463</v>
      </c>
      <c r="K56">
        <f t="shared" si="62"/>
        <v>10.107315735071982</v>
      </c>
      <c r="L56">
        <f t="shared" si="7"/>
        <v>34.099658788767691</v>
      </c>
      <c r="M56">
        <f t="shared" si="8"/>
        <v>9.0341211232306762E-2</v>
      </c>
      <c r="N56">
        <f t="shared" si="9"/>
        <v>8.1615344469202697E-3</v>
      </c>
    </row>
    <row r="57" spans="1:14" x14ac:dyDescent="0.45">
      <c r="A57" s="22">
        <v>42794</v>
      </c>
      <c r="B57">
        <v>34.159999999999997</v>
      </c>
      <c r="C57">
        <v>33.9</v>
      </c>
      <c r="G57">
        <f t="shared" ref="G57:K57" si="63">SUMPRODUCT($B57:$B61,P$2:P$6)</f>
        <v>19.141500077137717</v>
      </c>
      <c r="H57">
        <f t="shared" si="63"/>
        <v>18.348353242151948</v>
      </c>
      <c r="I57">
        <f t="shared" si="63"/>
        <v>17.59921737511845</v>
      </c>
      <c r="J57">
        <f t="shared" si="63"/>
        <v>16.424383965091437</v>
      </c>
      <c r="K57">
        <f t="shared" si="63"/>
        <v>10.121292124685151</v>
      </c>
      <c r="L57">
        <f t="shared" si="7"/>
        <v>34.14458883526413</v>
      </c>
      <c r="M57">
        <f t="shared" si="8"/>
        <v>-3.4588835264131035E-2</v>
      </c>
      <c r="N57">
        <f t="shared" si="9"/>
        <v>1.1963875249291947E-3</v>
      </c>
    </row>
    <row r="58" spans="1:14" x14ac:dyDescent="0.45">
      <c r="A58" s="22">
        <v>42793</v>
      </c>
      <c r="B58">
        <v>34.049999999999997</v>
      </c>
      <c r="C58">
        <v>34.28</v>
      </c>
      <c r="G58">
        <f t="shared" ref="G58:K58" si="64">SUMPRODUCT($B58:$B62,P$2:P$6)</f>
        <v>19.071870867268039</v>
      </c>
      <c r="H58">
        <f t="shared" si="64"/>
        <v>18.282765433875305</v>
      </c>
      <c r="I58">
        <f t="shared" si="64"/>
        <v>17.537236055558868</v>
      </c>
      <c r="J58">
        <f t="shared" si="64"/>
        <v>16.368406781324357</v>
      </c>
      <c r="K58">
        <f t="shared" si="64"/>
        <v>10.086653240685042</v>
      </c>
      <c r="L58">
        <f t="shared" si="7"/>
        <v>34.025699827554952</v>
      </c>
      <c r="M58">
        <f t="shared" si="8"/>
        <v>0.13430017244504455</v>
      </c>
      <c r="N58">
        <f t="shared" si="9"/>
        <v>1.8036536318768705E-2</v>
      </c>
    </row>
    <row r="59" spans="1:14" x14ac:dyDescent="0.45">
      <c r="A59" s="22">
        <v>42790</v>
      </c>
      <c r="B59">
        <v>33.549999999999997</v>
      </c>
      <c r="C59">
        <v>34.06</v>
      </c>
      <c r="G59">
        <f t="shared" ref="G59:K59" si="65">SUMPRODUCT($B59:$B63,P$2:P$6)</f>
        <v>18.806608321946655</v>
      </c>
      <c r="H59">
        <f t="shared" si="65"/>
        <v>18.026336859159667</v>
      </c>
      <c r="I59">
        <f t="shared" si="65"/>
        <v>17.289543397689989</v>
      </c>
      <c r="J59">
        <f t="shared" si="65"/>
        <v>16.133766120357137</v>
      </c>
      <c r="K59">
        <f t="shared" si="65"/>
        <v>9.9423273238518739</v>
      </c>
      <c r="L59">
        <f t="shared" si="7"/>
        <v>33.55289884079167</v>
      </c>
      <c r="M59">
        <f t="shared" si="8"/>
        <v>0.4971011592083272</v>
      </c>
      <c r="N59">
        <f t="shared" si="9"/>
        <v>0.24710956248626267</v>
      </c>
    </row>
    <row r="60" spans="1:14" x14ac:dyDescent="0.45">
      <c r="A60" s="22">
        <v>42789</v>
      </c>
      <c r="B60">
        <v>33.78</v>
      </c>
      <c r="C60">
        <v>33.6</v>
      </c>
      <c r="G60">
        <f t="shared" ref="G60:K60" si="66">SUMPRODUCT($B60:$B64,P$2:P$6)</f>
        <v>18.933660853231746</v>
      </c>
      <c r="H60">
        <f t="shared" si="66"/>
        <v>18.148389224412814</v>
      </c>
      <c r="I60">
        <f t="shared" si="66"/>
        <v>17.4068252462102</v>
      </c>
      <c r="J60">
        <f t="shared" si="66"/>
        <v>16.243645619926372</v>
      </c>
      <c r="K60">
        <f t="shared" si="66"/>
        <v>10.010006147535845</v>
      </c>
      <c r="L60">
        <f t="shared" si="7"/>
        <v>33.777026820154084</v>
      </c>
      <c r="M60">
        <f t="shared" si="8"/>
        <v>-0.22702682015408726</v>
      </c>
      <c r="N60">
        <f t="shared" si="9"/>
        <v>5.154117706927628E-2</v>
      </c>
    </row>
    <row r="61" spans="1:14" x14ac:dyDescent="0.45">
      <c r="A61" s="22">
        <v>42788</v>
      </c>
      <c r="B61">
        <v>33.92</v>
      </c>
      <c r="C61">
        <v>33.82</v>
      </c>
      <c r="G61">
        <f t="shared" ref="G61:K61" si="67">SUMPRODUCT($B61:$B65,P$2:P$6)</f>
        <v>19.005977293164264</v>
      </c>
      <c r="H61">
        <f t="shared" si="67"/>
        <v>18.218596324745892</v>
      </c>
      <c r="I61">
        <f t="shared" si="67"/>
        <v>17.47487889588098</v>
      </c>
      <c r="J61">
        <f t="shared" si="67"/>
        <v>16.308588470422528</v>
      </c>
      <c r="K61">
        <f t="shared" si="67"/>
        <v>10.049916106342167</v>
      </c>
      <c r="L61">
        <f t="shared" si="7"/>
        <v>33.90682862323488</v>
      </c>
      <c r="M61">
        <f t="shared" si="8"/>
        <v>-0.12682862323487853</v>
      </c>
      <c r="N61">
        <f t="shared" si="9"/>
        <v>1.608549967165477E-2</v>
      </c>
    </row>
    <row r="62" spans="1:14" x14ac:dyDescent="0.45">
      <c r="A62" s="22">
        <v>42787</v>
      </c>
      <c r="B62">
        <v>33.76</v>
      </c>
      <c r="C62">
        <v>33.92</v>
      </c>
      <c r="G62">
        <f t="shared" ref="G62:K62" si="68">SUMPRODUCT($B62:$B66,P$2:P$6)</f>
        <v>18.914468672555792</v>
      </c>
      <c r="H62">
        <f t="shared" si="68"/>
        <v>18.131147758465957</v>
      </c>
      <c r="I62">
        <f t="shared" si="68"/>
        <v>17.391215829978851</v>
      </c>
      <c r="J62">
        <f t="shared" si="68"/>
        <v>16.230943289067874</v>
      </c>
      <c r="K62">
        <f t="shared" si="68"/>
        <v>10.002034951002685</v>
      </c>
      <c r="L62">
        <f t="shared" si="7"/>
        <v>33.74679124313581</v>
      </c>
      <c r="M62">
        <f t="shared" si="8"/>
        <v>0.17320875686419157</v>
      </c>
      <c r="N62">
        <f t="shared" si="9"/>
        <v>3.0001273454438631E-2</v>
      </c>
    </row>
    <row r="63" spans="1:14" x14ac:dyDescent="0.45">
      <c r="A63" s="22">
        <v>42783</v>
      </c>
      <c r="B63">
        <v>33.51</v>
      </c>
      <c r="C63">
        <v>33.76</v>
      </c>
      <c r="G63">
        <f t="shared" ref="G63:K63" si="69">SUMPRODUCT($B63:$B67,P$2:P$6)</f>
        <v>18.786238923336715</v>
      </c>
      <c r="H63">
        <f t="shared" si="69"/>
        <v>18.006515465874458</v>
      </c>
      <c r="I63">
        <f t="shared" si="69"/>
        <v>17.270293803601824</v>
      </c>
      <c r="J63">
        <f t="shared" si="69"/>
        <v>16.115324000451587</v>
      </c>
      <c r="K63">
        <f t="shared" si="69"/>
        <v>9.9309993885065779</v>
      </c>
      <c r="L63">
        <f t="shared" si="7"/>
        <v>33.516198372563785</v>
      </c>
      <c r="M63">
        <f t="shared" si="8"/>
        <v>0.2438016274362127</v>
      </c>
      <c r="N63">
        <f t="shared" si="9"/>
        <v>5.9439233540545859E-2</v>
      </c>
    </row>
    <row r="64" spans="1:14" x14ac:dyDescent="0.45">
      <c r="A64" s="22">
        <v>42782</v>
      </c>
      <c r="B64">
        <v>33.840000000000003</v>
      </c>
      <c r="C64">
        <v>33.54</v>
      </c>
      <c r="G64">
        <f t="shared" ref="G64:K64" si="70">SUMPRODUCT($B64:$B68,P$2:P$6)</f>
        <v>18.959915341419471</v>
      </c>
      <c r="H64">
        <f t="shared" si="70"/>
        <v>18.174622065886652</v>
      </c>
      <c r="I64">
        <f t="shared" si="70"/>
        <v>17.432843341821258</v>
      </c>
      <c r="J64">
        <f t="shared" si="70"/>
        <v>16.269646963993782</v>
      </c>
      <c r="K64">
        <f t="shared" si="70"/>
        <v>10.02589687314309</v>
      </c>
      <c r="L64">
        <f t="shared" si="7"/>
        <v>33.826404370150016</v>
      </c>
      <c r="M64">
        <f t="shared" si="8"/>
        <v>-0.31640437015001766</v>
      </c>
      <c r="N64">
        <f t="shared" si="9"/>
        <v>0.10011172545002939</v>
      </c>
    </row>
    <row r="65" spans="1:14" x14ac:dyDescent="0.45">
      <c r="A65" s="22">
        <v>42781</v>
      </c>
      <c r="B65">
        <v>33.619999999999997</v>
      </c>
      <c r="C65">
        <v>34.01</v>
      </c>
      <c r="G65">
        <f t="shared" ref="G65:K65" si="71">SUMPRODUCT($B65:$B69,P$2:P$6)</f>
        <v>18.840923285921402</v>
      </c>
      <c r="H65">
        <f t="shared" si="71"/>
        <v>18.059940664755761</v>
      </c>
      <c r="I65">
        <f t="shared" si="71"/>
        <v>17.322346095873442</v>
      </c>
      <c r="J65">
        <f t="shared" si="71"/>
        <v>16.165525404464731</v>
      </c>
      <c r="K65">
        <f t="shared" si="71"/>
        <v>9.9618103700790197</v>
      </c>
      <c r="L65">
        <f t="shared" si="7"/>
        <v>33.615368136568165</v>
      </c>
      <c r="M65">
        <f t="shared" si="8"/>
        <v>0.2246318634318385</v>
      </c>
      <c r="N65">
        <f t="shared" si="9"/>
        <v>5.0459474068860144E-2</v>
      </c>
    </row>
    <row r="66" spans="1:14" x14ac:dyDescent="0.45">
      <c r="A66" s="22">
        <v>42780</v>
      </c>
      <c r="B66">
        <v>33.61</v>
      </c>
      <c r="C66">
        <v>33.630000000000003</v>
      </c>
      <c r="G66">
        <f t="shared" ref="G66:K66" si="72">SUMPRODUCT($B66:$B70,P$2:P$6)</f>
        <v>18.835727963857675</v>
      </c>
      <c r="H66">
        <f t="shared" si="72"/>
        <v>18.054901773476772</v>
      </c>
      <c r="I66">
        <f t="shared" si="72"/>
        <v>17.317465690315181</v>
      </c>
      <c r="J66">
        <f t="shared" si="72"/>
        <v>16.160874847128095</v>
      </c>
      <c r="K66">
        <f t="shared" si="72"/>
        <v>9.9589521677329174</v>
      </c>
      <c r="L66">
        <f t="shared" si="7"/>
        <v>33.606057385230685</v>
      </c>
      <c r="M66">
        <f t="shared" si="8"/>
        <v>1.3942614769312911E-2</v>
      </c>
      <c r="N66">
        <f t="shared" si="9"/>
        <v>1.9439650660546252E-4</v>
      </c>
    </row>
    <row r="67" spans="1:14" x14ac:dyDescent="0.45">
      <c r="A67" s="22">
        <v>42779</v>
      </c>
      <c r="B67">
        <v>33.619999999999997</v>
      </c>
      <c r="C67">
        <v>33.79</v>
      </c>
      <c r="G67">
        <f t="shared" ref="G67:K67" si="73">SUMPRODUCT($B67:$B71,P$2:P$6)</f>
        <v>18.830685776924966</v>
      </c>
      <c r="H67">
        <f t="shared" si="73"/>
        <v>18.051609743948802</v>
      </c>
      <c r="I67">
        <f t="shared" si="73"/>
        <v>17.315545392251551</v>
      </c>
      <c r="J67">
        <f t="shared" si="73"/>
        <v>16.161568851443</v>
      </c>
      <c r="K67">
        <f t="shared" si="73"/>
        <v>9.9591885191011649</v>
      </c>
      <c r="L67">
        <f t="shared" ref="L67:L130" si="74">(G67+$P$7)*$U$2+(H67+$Q$7)*$U$3+(I67+$R$7)*$U$4+(J67+$S$7)*$U$5+(K67+$T$7)*$U$6+$U$7</f>
        <v>33.601860831016175</v>
      </c>
      <c r="M67">
        <f t="shared" ref="M67:M130" si="75">B66-L67</f>
        <v>8.1391689838241632E-3</v>
      </c>
      <c r="N67">
        <f t="shared" ref="N67:N130" si="76">M67^2</f>
        <v>6.6246071747245259E-5</v>
      </c>
    </row>
    <row r="68" spans="1:14" x14ac:dyDescent="0.45">
      <c r="A68" s="22">
        <v>42776</v>
      </c>
      <c r="B68">
        <v>33.11</v>
      </c>
      <c r="C68">
        <v>33.630000000000003</v>
      </c>
      <c r="G68">
        <f t="shared" ref="G68:K68" si="77">SUMPRODUCT($B68:$B72,P$2:P$6)</f>
        <v>18.559000237917243</v>
      </c>
      <c r="H68">
        <f t="shared" si="77"/>
        <v>17.78914223231784</v>
      </c>
      <c r="I68">
        <f t="shared" si="77"/>
        <v>17.062156244389787</v>
      </c>
      <c r="J68">
        <f t="shared" si="77"/>
        <v>15.921803360059279</v>
      </c>
      <c r="K68">
        <f t="shared" si="77"/>
        <v>9.8116897778045544</v>
      </c>
      <c r="L68">
        <f t="shared" si="74"/>
        <v>33.118128653437417</v>
      </c>
      <c r="M68">
        <f t="shared" si="75"/>
        <v>0.50187134656258081</v>
      </c>
      <c r="N68">
        <f t="shared" si="76"/>
        <v>0.2518748485005381</v>
      </c>
    </row>
    <row r="69" spans="1:14" x14ac:dyDescent="0.45">
      <c r="A69" s="22">
        <v>42775</v>
      </c>
      <c r="B69">
        <v>33.29</v>
      </c>
      <c r="C69">
        <v>33.119999999999997</v>
      </c>
      <c r="G69">
        <f t="shared" ref="G69:K69" si="78">SUMPRODUCT($B69:$B73,P$2:P$6)</f>
        <v>18.638993881316111</v>
      </c>
      <c r="H69">
        <f t="shared" si="78"/>
        <v>17.868840357898691</v>
      </c>
      <c r="I69">
        <f t="shared" si="78"/>
        <v>17.141026615657584</v>
      </c>
      <c r="J69">
        <f t="shared" si="78"/>
        <v>16.00028312140137</v>
      </c>
      <c r="K69">
        <f t="shared" si="78"/>
        <v>9.8596765767436292</v>
      </c>
      <c r="L69">
        <f t="shared" si="74"/>
        <v>33.267883275201683</v>
      </c>
      <c r="M69">
        <f t="shared" si="75"/>
        <v>-0.15788327520168366</v>
      </c>
      <c r="N69">
        <f t="shared" si="76"/>
        <v>2.4927128588410577E-2</v>
      </c>
    </row>
    <row r="70" spans="1:14" x14ac:dyDescent="0.45">
      <c r="A70" s="22">
        <v>42774</v>
      </c>
      <c r="B70">
        <v>32.450000000000003</v>
      </c>
      <c r="C70">
        <v>33.25</v>
      </c>
      <c r="G70">
        <f t="shared" ref="G70:K70" si="79">SUMPRODUCT($B70:$B74,P$2:P$6)</f>
        <v>18.17520770446567</v>
      </c>
      <c r="H70">
        <f t="shared" si="79"/>
        <v>17.423271787100369</v>
      </c>
      <c r="I70">
        <f t="shared" si="79"/>
        <v>16.712846663056986</v>
      </c>
      <c r="J70">
        <f t="shared" si="79"/>
        <v>15.599073943439917</v>
      </c>
      <c r="K70">
        <f t="shared" si="79"/>
        <v>9.6125610190503696</v>
      </c>
      <c r="L70">
        <f t="shared" si="74"/>
        <v>32.44963440395523</v>
      </c>
      <c r="M70">
        <f t="shared" si="75"/>
        <v>0.84036559604476935</v>
      </c>
      <c r="N70">
        <f t="shared" si="76"/>
        <v>0.70621433501568043</v>
      </c>
    </row>
    <row r="71" spans="1:14" x14ac:dyDescent="0.45">
      <c r="A71" s="22">
        <v>42773</v>
      </c>
      <c r="B71">
        <v>31.95</v>
      </c>
      <c r="C71">
        <v>32.43</v>
      </c>
      <c r="G71">
        <f t="shared" ref="G71:K71" si="80">SUMPRODUCT($B71:$B75,P$2:P$6)</f>
        <v>17.906465217837134</v>
      </c>
      <c r="H71">
        <f t="shared" si="80"/>
        <v>17.164010795563254</v>
      </c>
      <c r="I71">
        <f t="shared" si="80"/>
        <v>16.462841765956664</v>
      </c>
      <c r="J71">
        <f t="shared" si="80"/>
        <v>15.363088313049971</v>
      </c>
      <c r="K71">
        <f t="shared" si="80"/>
        <v>9.4673436728847289</v>
      </c>
      <c r="L71">
        <f t="shared" si="74"/>
        <v>31.972241447992342</v>
      </c>
      <c r="M71">
        <f t="shared" si="75"/>
        <v>0.4777585520076606</v>
      </c>
      <c r="N71">
        <f t="shared" si="76"/>
        <v>0.22825323401645653</v>
      </c>
    </row>
    <row r="72" spans="1:14" x14ac:dyDescent="0.45">
      <c r="A72" s="22">
        <v>42772</v>
      </c>
      <c r="B72">
        <v>32.01</v>
      </c>
      <c r="C72">
        <v>32.03</v>
      </c>
      <c r="G72">
        <f t="shared" ref="G72:K72" si="81">SUMPRODUCT($B72:$B76,P$2:P$6)</f>
        <v>17.940908665012813</v>
      </c>
      <c r="H72">
        <f t="shared" si="81"/>
        <v>17.19690814914183</v>
      </c>
      <c r="I72">
        <f t="shared" si="81"/>
        <v>16.494300424465237</v>
      </c>
      <c r="J72">
        <f t="shared" si="81"/>
        <v>15.392254711690125</v>
      </c>
      <c r="K72">
        <f t="shared" si="81"/>
        <v>9.4853318792742591</v>
      </c>
      <c r="L72">
        <f t="shared" si="74"/>
        <v>32.032424193446715</v>
      </c>
      <c r="M72">
        <f t="shared" si="75"/>
        <v>-8.2424193446716032E-2</v>
      </c>
      <c r="N72">
        <f t="shared" si="76"/>
        <v>6.7937476653416665E-3</v>
      </c>
    </row>
    <row r="73" spans="1:14" x14ac:dyDescent="0.45">
      <c r="A73" s="22">
        <v>42769</v>
      </c>
      <c r="B73">
        <v>32.11</v>
      </c>
      <c r="C73">
        <v>32.07</v>
      </c>
      <c r="G73">
        <f t="shared" ref="G73:K73" si="82">SUMPRODUCT($B73:$B77,P$2:P$6)</f>
        <v>17.99387952231471</v>
      </c>
      <c r="H73">
        <f t="shared" si="82"/>
        <v>17.248127130709317</v>
      </c>
      <c r="I73">
        <f t="shared" si="82"/>
        <v>16.543784550410034</v>
      </c>
      <c r="J73">
        <f t="shared" si="82"/>
        <v>15.439151303738432</v>
      </c>
      <c r="K73">
        <f t="shared" si="82"/>
        <v>9.5141760878330697</v>
      </c>
      <c r="L73">
        <f t="shared" si="74"/>
        <v>32.126876452622106</v>
      </c>
      <c r="M73">
        <f t="shared" si="75"/>
        <v>-0.11687645262210822</v>
      </c>
      <c r="N73">
        <f t="shared" si="76"/>
        <v>1.3660105177527906E-2</v>
      </c>
    </row>
    <row r="74" spans="1:14" x14ac:dyDescent="0.45">
      <c r="A74" s="22">
        <v>42768</v>
      </c>
      <c r="B74">
        <v>32.06</v>
      </c>
      <c r="C74">
        <v>31.97</v>
      </c>
      <c r="G74">
        <f t="shared" ref="G74:K74" si="83">SUMPRODUCT($B74:$B78,P$2:P$6)</f>
        <v>17.963607098076114</v>
      </c>
      <c r="H74">
        <f t="shared" si="83"/>
        <v>17.21943530819431</v>
      </c>
      <c r="I74">
        <f t="shared" si="83"/>
        <v>16.516526227097536</v>
      </c>
      <c r="J74">
        <f t="shared" si="83"/>
        <v>15.41423926256833</v>
      </c>
      <c r="K74">
        <f t="shared" si="83"/>
        <v>9.4987838986918582</v>
      </c>
      <c r="L74">
        <f t="shared" si="74"/>
        <v>32.074653140004955</v>
      </c>
      <c r="M74">
        <f t="shared" si="75"/>
        <v>3.5346859995044611E-2</v>
      </c>
      <c r="N74">
        <f t="shared" si="76"/>
        <v>1.2494005115092851E-3</v>
      </c>
    </row>
    <row r="75" spans="1:14" x14ac:dyDescent="0.45">
      <c r="A75" s="22">
        <v>42767</v>
      </c>
      <c r="B75">
        <v>31.9</v>
      </c>
      <c r="C75">
        <v>32.18</v>
      </c>
      <c r="G75">
        <f t="shared" ref="G75:K75" si="84">SUMPRODUCT($B75:$B79,P$2:P$6)</f>
        <v>17.877011942870659</v>
      </c>
      <c r="H75">
        <f t="shared" si="84"/>
        <v>17.135985433792367</v>
      </c>
      <c r="I75">
        <f t="shared" si="84"/>
        <v>16.436127498933914</v>
      </c>
      <c r="J75">
        <f t="shared" si="84"/>
        <v>15.338493104113143</v>
      </c>
      <c r="K75">
        <f t="shared" si="84"/>
        <v>9.4521612318217478</v>
      </c>
      <c r="L75">
        <f t="shared" si="74"/>
        <v>31.921098907069091</v>
      </c>
      <c r="M75">
        <f t="shared" si="75"/>
        <v>0.13890109293091157</v>
      </c>
      <c r="N75">
        <f t="shared" si="76"/>
        <v>1.9293513617401732E-2</v>
      </c>
    </row>
    <row r="76" spans="1:14" x14ac:dyDescent="0.45">
      <c r="A76" s="22">
        <v>42766</v>
      </c>
      <c r="B76">
        <v>31.89</v>
      </c>
      <c r="C76">
        <v>31.83</v>
      </c>
      <c r="G76">
        <f t="shared" ref="G76:K76" si="85">SUMPRODUCT($B76:$B80,P$2:P$6)</f>
        <v>17.8785711752952</v>
      </c>
      <c r="H76">
        <f t="shared" si="85"/>
        <v>17.136444927760831</v>
      </c>
      <c r="I76">
        <f t="shared" si="85"/>
        <v>16.435735557766105</v>
      </c>
      <c r="J76">
        <f t="shared" si="85"/>
        <v>15.336452899297992</v>
      </c>
      <c r="K76">
        <f t="shared" si="85"/>
        <v>9.4510334511210292</v>
      </c>
      <c r="L76">
        <f t="shared" si="74"/>
        <v>31.920701575624907</v>
      </c>
      <c r="M76">
        <f t="shared" si="75"/>
        <v>-2.0701575624908486E-2</v>
      </c>
      <c r="N76">
        <f t="shared" si="76"/>
        <v>4.2855523335380514E-4</v>
      </c>
    </row>
    <row r="77" spans="1:14" x14ac:dyDescent="0.45">
      <c r="A77" s="22">
        <v>42765</v>
      </c>
      <c r="B77">
        <v>32.229999999999997</v>
      </c>
      <c r="C77">
        <v>32.17</v>
      </c>
      <c r="G77">
        <f t="shared" ref="G77:K77" si="86">SUMPRODUCT($B77:$B81,P$2:P$6)</f>
        <v>18.056417330819773</v>
      </c>
      <c r="H77">
        <f t="shared" si="86"/>
        <v>17.308757008194906</v>
      </c>
      <c r="I77">
        <f t="shared" si="86"/>
        <v>16.602485431181606</v>
      </c>
      <c r="J77">
        <f t="shared" si="86"/>
        <v>15.495030690722166</v>
      </c>
      <c r="K77">
        <f t="shared" si="86"/>
        <v>9.5485269530058563</v>
      </c>
      <c r="L77">
        <f t="shared" si="74"/>
        <v>32.238866595137971</v>
      </c>
      <c r="M77">
        <f t="shared" si="75"/>
        <v>-0.34886659513797014</v>
      </c>
      <c r="N77">
        <f t="shared" si="76"/>
        <v>0.12170790120316037</v>
      </c>
    </row>
    <row r="78" spans="1:14" x14ac:dyDescent="0.45">
      <c r="A78" s="22">
        <v>42762</v>
      </c>
      <c r="B78">
        <v>31.95</v>
      </c>
      <c r="C78">
        <v>32.51</v>
      </c>
      <c r="G78">
        <f t="shared" ref="G78:K78" si="87">SUMPRODUCT($B78:$B82,P$2:P$6)</f>
        <v>17.913832129075196</v>
      </c>
      <c r="H78">
        <f t="shared" si="87"/>
        <v>17.170007411847326</v>
      </c>
      <c r="I78">
        <f t="shared" si="87"/>
        <v>16.467738272564429</v>
      </c>
      <c r="J78">
        <f t="shared" si="87"/>
        <v>15.365935654171775</v>
      </c>
      <c r="K78">
        <f t="shared" si="87"/>
        <v>9.4692314055887845</v>
      </c>
      <c r="L78">
        <f t="shared" si="74"/>
        <v>31.981963571716967</v>
      </c>
      <c r="M78">
        <f t="shared" si="75"/>
        <v>0.24803642828302941</v>
      </c>
      <c r="N78">
        <f t="shared" si="76"/>
        <v>6.1522069755402392E-2</v>
      </c>
    </row>
    <row r="79" spans="1:14" x14ac:dyDescent="0.45">
      <c r="A79" s="22">
        <v>42761</v>
      </c>
      <c r="B79">
        <v>32.369999999999997</v>
      </c>
      <c r="C79">
        <v>31.74</v>
      </c>
      <c r="G79">
        <f t="shared" ref="G79:K79" si="88">SUMPRODUCT($B79:$B83,P$2:P$6)</f>
        <v>18.097208701245432</v>
      </c>
      <c r="H79">
        <f t="shared" si="88"/>
        <v>17.353304694875121</v>
      </c>
      <c r="I79">
        <f t="shared" si="88"/>
        <v>16.649592913696953</v>
      </c>
      <c r="J79">
        <f t="shared" si="88"/>
        <v>15.547789414934943</v>
      </c>
      <c r="K79">
        <f t="shared" si="88"/>
        <v>9.5803616108003826</v>
      </c>
      <c r="L79">
        <f t="shared" si="74"/>
        <v>32.327069577299902</v>
      </c>
      <c r="M79">
        <f t="shared" si="75"/>
        <v>-0.37706957729990265</v>
      </c>
      <c r="N79">
        <f t="shared" si="76"/>
        <v>0.14218146612512725</v>
      </c>
    </row>
    <row r="80" spans="1:14" x14ac:dyDescent="0.45">
      <c r="A80" s="22">
        <v>42760</v>
      </c>
      <c r="B80">
        <v>30.25</v>
      </c>
      <c r="C80">
        <v>30.23</v>
      </c>
      <c r="G80">
        <f t="shared" ref="G80:K80" si="89">SUMPRODUCT($B80:$B84,P$2:P$6)</f>
        <v>16.953556683084724</v>
      </c>
      <c r="H80">
        <f t="shared" si="89"/>
        <v>16.250632546752414</v>
      </c>
      <c r="I80">
        <f t="shared" si="89"/>
        <v>15.586792022350973</v>
      </c>
      <c r="J80">
        <f t="shared" si="89"/>
        <v>14.545593203299507</v>
      </c>
      <c r="K80">
        <f t="shared" si="89"/>
        <v>8.9635682503783318</v>
      </c>
      <c r="L80">
        <f t="shared" si="74"/>
        <v>30.297402390712982</v>
      </c>
      <c r="M80">
        <f t="shared" si="75"/>
        <v>2.0725976092870155</v>
      </c>
      <c r="N80">
        <f t="shared" si="76"/>
        <v>4.2956608500222524</v>
      </c>
    </row>
    <row r="81" spans="1:14" x14ac:dyDescent="0.45">
      <c r="A81" s="22">
        <v>42759</v>
      </c>
      <c r="B81">
        <v>30.3</v>
      </c>
      <c r="C81">
        <v>29.99</v>
      </c>
      <c r="G81">
        <f t="shared" ref="G81:K81" si="90">SUMPRODUCT($B81:$B85,P$2:P$6)</f>
        <v>16.987513495024945</v>
      </c>
      <c r="H81">
        <f t="shared" si="90"/>
        <v>16.282323471582256</v>
      </c>
      <c r="I81">
        <f t="shared" si="90"/>
        <v>15.616498598967356</v>
      </c>
      <c r="J81">
        <f t="shared" si="90"/>
        <v>14.571929286484611</v>
      </c>
      <c r="K81">
        <f t="shared" si="90"/>
        <v>8.9799043058715728</v>
      </c>
      <c r="L81">
        <f t="shared" si="74"/>
        <v>30.3544876869713</v>
      </c>
      <c r="M81">
        <f t="shared" si="75"/>
        <v>-0.10448768697130006</v>
      </c>
      <c r="N81">
        <f t="shared" si="76"/>
        <v>1.0917676728612389E-2</v>
      </c>
    </row>
    <row r="82" spans="1:14" x14ac:dyDescent="0.45">
      <c r="A82" s="22">
        <v>42758</v>
      </c>
      <c r="B82">
        <v>30.64</v>
      </c>
      <c r="C82">
        <v>30.27</v>
      </c>
      <c r="G82">
        <f t="shared" ref="G82:K82" si="91">SUMPRODUCT($B82:$B86,P$2:P$6)</f>
        <v>17.175187812104575</v>
      </c>
      <c r="H82">
        <f t="shared" si="91"/>
        <v>16.462632651002188</v>
      </c>
      <c r="I82">
        <f t="shared" si="91"/>
        <v>15.789777147859876</v>
      </c>
      <c r="J82">
        <f t="shared" si="91"/>
        <v>14.734304549487899</v>
      </c>
      <c r="K82">
        <f t="shared" si="91"/>
        <v>9.0799147846951396</v>
      </c>
      <c r="L82">
        <f t="shared" si="74"/>
        <v>30.68561919722168</v>
      </c>
      <c r="M82">
        <f t="shared" si="75"/>
        <v>-0.38561919722167914</v>
      </c>
      <c r="N82">
        <f t="shared" si="76"/>
        <v>0.14870216526589228</v>
      </c>
    </row>
    <row r="83" spans="1:14" x14ac:dyDescent="0.45">
      <c r="A83" s="22">
        <v>42755</v>
      </c>
      <c r="B83">
        <v>30.84</v>
      </c>
      <c r="C83">
        <v>30.64</v>
      </c>
      <c r="G83">
        <f t="shared" ref="G83:K83" si="92">SUMPRODUCT($B83:$B87,P$2:P$6)</f>
        <v>17.271302597996947</v>
      </c>
      <c r="H83">
        <f t="shared" si="92"/>
        <v>16.55707345102228</v>
      </c>
      <c r="I83">
        <f t="shared" si="92"/>
        <v>15.882216724272457</v>
      </c>
      <c r="J83">
        <f t="shared" si="92"/>
        <v>14.824299780986575</v>
      </c>
      <c r="K83">
        <f t="shared" si="92"/>
        <v>9.1350862248740228</v>
      </c>
      <c r="L83">
        <f t="shared" si="74"/>
        <v>30.86155755720003</v>
      </c>
      <c r="M83">
        <f t="shared" si="75"/>
        <v>-0.22155755720002901</v>
      </c>
      <c r="N83">
        <f t="shared" si="76"/>
        <v>4.9087751152444126E-2</v>
      </c>
    </row>
    <row r="84" spans="1:14" x14ac:dyDescent="0.45">
      <c r="A84" s="22">
        <v>42754</v>
      </c>
      <c r="B84">
        <v>30.26</v>
      </c>
      <c r="C84">
        <v>30.72</v>
      </c>
      <c r="G84">
        <f t="shared" ref="G84:K84" si="93">SUMPRODUCT($B84:$B88,P$2:P$6)</f>
        <v>16.958751319074874</v>
      </c>
      <c r="H84">
        <f t="shared" si="93"/>
        <v>16.255670859437966</v>
      </c>
      <c r="I84">
        <f t="shared" si="93"/>
        <v>15.591672427909234</v>
      </c>
      <c r="J84">
        <f t="shared" si="93"/>
        <v>14.55024347886831</v>
      </c>
      <c r="K84">
        <f t="shared" si="93"/>
        <v>8.9664264527244359</v>
      </c>
      <c r="L84">
        <f t="shared" si="74"/>
        <v>30.306712462771625</v>
      </c>
      <c r="M84">
        <f t="shared" si="75"/>
        <v>0.53328753722837519</v>
      </c>
      <c r="N84">
        <f t="shared" si="76"/>
        <v>0.28439559736310566</v>
      </c>
    </row>
    <row r="85" spans="1:14" x14ac:dyDescent="0.45">
      <c r="A85" s="22">
        <v>42753</v>
      </c>
      <c r="B85">
        <v>30.29</v>
      </c>
      <c r="C85">
        <v>30.39</v>
      </c>
      <c r="G85">
        <f t="shared" ref="G85:K85" si="94">SUMPRODUCT($B85:$B89,P$2:P$6)</f>
        <v>16.975768469809942</v>
      </c>
      <c r="H85">
        <f t="shared" si="94"/>
        <v>16.271952967902706</v>
      </c>
      <c r="I85">
        <f t="shared" si="94"/>
        <v>15.607265743091082</v>
      </c>
      <c r="J85">
        <f t="shared" si="94"/>
        <v>14.564747320479716</v>
      </c>
      <c r="K85">
        <f t="shared" si="94"/>
        <v>8.9753681188996417</v>
      </c>
      <c r="L85">
        <f t="shared" si="74"/>
        <v>30.336533698934851</v>
      </c>
      <c r="M85">
        <f t="shared" si="75"/>
        <v>-7.653369893484907E-2</v>
      </c>
      <c r="N85">
        <f t="shared" si="76"/>
        <v>5.8574070726501179E-3</v>
      </c>
    </row>
    <row r="86" spans="1:14" x14ac:dyDescent="0.45">
      <c r="A86" s="22">
        <v>42752</v>
      </c>
      <c r="B86">
        <v>30.33</v>
      </c>
      <c r="C86">
        <v>30.29</v>
      </c>
      <c r="G86">
        <f t="shared" ref="G86:K86" si="95">SUMPRODUCT($B86:$B90,P$2:P$6)</f>
        <v>16.994909452766862</v>
      </c>
      <c r="H86">
        <f t="shared" si="95"/>
        <v>16.290774767721803</v>
      </c>
      <c r="I86">
        <f t="shared" si="95"/>
        <v>15.625699252744623</v>
      </c>
      <c r="J86">
        <f t="shared" si="95"/>
        <v>14.582715001538423</v>
      </c>
      <c r="K86">
        <f t="shared" si="95"/>
        <v>8.9863814321275939</v>
      </c>
      <c r="L86">
        <f t="shared" si="74"/>
        <v>30.37161352246255</v>
      </c>
      <c r="M86">
        <f t="shared" si="75"/>
        <v>-8.1613522462550492E-2</v>
      </c>
      <c r="N86">
        <f t="shared" si="76"/>
        <v>6.6607670487452333E-3</v>
      </c>
    </row>
    <row r="87" spans="1:14" x14ac:dyDescent="0.45">
      <c r="A87" s="22">
        <v>42748</v>
      </c>
      <c r="B87">
        <v>30.21</v>
      </c>
      <c r="C87">
        <v>30.29</v>
      </c>
      <c r="G87">
        <f t="shared" ref="G87:K87" si="96">SUMPRODUCT($B87:$B91,P$2:P$6)</f>
        <v>16.942195237298151</v>
      </c>
      <c r="H87">
        <f t="shared" si="96"/>
        <v>16.238142066170479</v>
      </c>
      <c r="I87">
        <f t="shared" si="96"/>
        <v>15.573527047450071</v>
      </c>
      <c r="J87">
        <f t="shared" si="96"/>
        <v>14.53063254364279</v>
      </c>
      <c r="K87">
        <f t="shared" si="96"/>
        <v>8.9545475438935505</v>
      </c>
      <c r="L87">
        <f t="shared" si="74"/>
        <v>30.272587618744911</v>
      </c>
      <c r="M87">
        <f t="shared" si="75"/>
        <v>5.7412381255087297E-2</v>
      </c>
      <c r="N87">
        <f t="shared" si="76"/>
        <v>3.2961815213794991E-3</v>
      </c>
    </row>
    <row r="88" spans="1:14" x14ac:dyDescent="0.45">
      <c r="A88" s="22">
        <v>42747</v>
      </c>
      <c r="B88">
        <v>30.8</v>
      </c>
      <c r="C88">
        <v>30.35</v>
      </c>
      <c r="G88">
        <f t="shared" ref="G88:K88" si="97">SUMPRODUCT($B88:$B92,P$2:P$6)</f>
        <v>17.250524184120113</v>
      </c>
      <c r="H88">
        <f t="shared" si="97"/>
        <v>16.536919381651547</v>
      </c>
      <c r="I88">
        <f t="shared" si="97"/>
        <v>15.862695102039414</v>
      </c>
      <c r="J88">
        <f t="shared" si="97"/>
        <v>14.80569938948112</v>
      </c>
      <c r="K88">
        <f t="shared" si="97"/>
        <v>9.1236534154896098</v>
      </c>
      <c r="L88">
        <f t="shared" si="74"/>
        <v>30.824317258413487</v>
      </c>
      <c r="M88">
        <f t="shared" si="75"/>
        <v>-0.61431725841348594</v>
      </c>
      <c r="N88">
        <f t="shared" si="76"/>
        <v>0.37738569398466165</v>
      </c>
    </row>
    <row r="89" spans="1:14" x14ac:dyDescent="0.45">
      <c r="A89" s="22">
        <v>42746</v>
      </c>
      <c r="B89">
        <v>30.3</v>
      </c>
      <c r="C89">
        <v>30.41</v>
      </c>
      <c r="G89">
        <f t="shared" ref="G89:K89" si="98">SUMPRODUCT($B89:$B93,P$2:P$6)</f>
        <v>16.988126849431541</v>
      </c>
      <c r="H89">
        <f t="shared" si="98"/>
        <v>16.282823363269532</v>
      </c>
      <c r="I89">
        <f t="shared" si="98"/>
        <v>15.61690664118467</v>
      </c>
      <c r="J89">
        <f t="shared" si="98"/>
        <v>14.572166416363894</v>
      </c>
      <c r="K89">
        <f t="shared" si="98"/>
        <v>8.9800616169302447</v>
      </c>
      <c r="L89">
        <f t="shared" si="74"/>
        <v>30.35529762886949</v>
      </c>
      <c r="M89">
        <f t="shared" si="75"/>
        <v>0.4447023711305107</v>
      </c>
      <c r="N89">
        <f t="shared" si="76"/>
        <v>0.19776019888909849</v>
      </c>
    </row>
    <row r="90" spans="1:14" x14ac:dyDescent="0.45">
      <c r="A90" s="22">
        <v>42745</v>
      </c>
      <c r="B90">
        <v>30.67</v>
      </c>
      <c r="C90">
        <v>30.25</v>
      </c>
      <c r="G90">
        <f t="shared" ref="G90:K90" si="99">SUMPRODUCT($B90:$B94,P$2:P$6)</f>
        <v>17.194660560323427</v>
      </c>
      <c r="H90">
        <f t="shared" si="99"/>
        <v>16.480913824538774</v>
      </c>
      <c r="I90">
        <f t="shared" si="99"/>
        <v>15.807002631910978</v>
      </c>
      <c r="J90">
        <f t="shared" si="99"/>
        <v>14.749757810454497</v>
      </c>
      <c r="K90">
        <f t="shared" si="99"/>
        <v>9.0894856951050347</v>
      </c>
      <c r="L90">
        <f t="shared" si="74"/>
        <v>30.71868133303613</v>
      </c>
      <c r="M90">
        <f t="shared" si="75"/>
        <v>-0.41868133303612964</v>
      </c>
      <c r="N90">
        <f t="shared" si="76"/>
        <v>0.1752940586329105</v>
      </c>
    </row>
    <row r="91" spans="1:14" x14ac:dyDescent="0.45">
      <c r="A91" s="22">
        <v>42744</v>
      </c>
      <c r="B91">
        <v>31</v>
      </c>
      <c r="C91">
        <v>30.75</v>
      </c>
      <c r="G91">
        <f t="shared" ref="G91:K91" si="100">SUMPRODUCT($B91:$B95,P$2:P$6)</f>
        <v>17.351755763701167</v>
      </c>
      <c r="H91">
        <f t="shared" si="100"/>
        <v>16.635524712546601</v>
      </c>
      <c r="I91">
        <f t="shared" si="100"/>
        <v>15.958535030262944</v>
      </c>
      <c r="J91">
        <f t="shared" si="100"/>
        <v>14.897672383756802</v>
      </c>
      <c r="K91">
        <f t="shared" si="100"/>
        <v>9.1801357811574196</v>
      </c>
      <c r="L91">
        <f t="shared" si="74"/>
        <v>31.007007767003351</v>
      </c>
      <c r="M91">
        <f t="shared" si="75"/>
        <v>-0.33700776700334956</v>
      </c>
      <c r="N91">
        <f t="shared" si="76"/>
        <v>0.11357423502058395</v>
      </c>
    </row>
    <row r="92" spans="1:14" x14ac:dyDescent="0.45">
      <c r="A92" s="22">
        <v>42741</v>
      </c>
      <c r="B92">
        <v>29.97</v>
      </c>
      <c r="C92">
        <v>31.05</v>
      </c>
      <c r="G92">
        <f t="shared" ref="G92:K92" si="101">SUMPRODUCT($B92:$B96,P$2:P$6)</f>
        <v>16.790703712616668</v>
      </c>
      <c r="H92">
        <f t="shared" si="101"/>
        <v>16.095389034607912</v>
      </c>
      <c r="I92">
        <f t="shared" si="101"/>
        <v>15.438579470562445</v>
      </c>
      <c r="J92">
        <f t="shared" si="101"/>
        <v>14.408665652970114</v>
      </c>
      <c r="K92">
        <f t="shared" si="101"/>
        <v>8.8790814380251089</v>
      </c>
      <c r="L92">
        <f t="shared" si="74"/>
        <v>30.013757202704177</v>
      </c>
      <c r="M92">
        <f t="shared" si="75"/>
        <v>0.98624279729582298</v>
      </c>
      <c r="N92">
        <f t="shared" si="76"/>
        <v>0.97267485521788977</v>
      </c>
    </row>
    <row r="93" spans="1:14" x14ac:dyDescent="0.45">
      <c r="A93" s="22">
        <v>42740</v>
      </c>
      <c r="B93">
        <v>29.73</v>
      </c>
      <c r="C93">
        <v>30.01</v>
      </c>
      <c r="G93">
        <f t="shared" ref="G93:K93" si="102">SUMPRODUCT($B93:$B97,P$2:P$6)</f>
        <v>16.664802834871296</v>
      </c>
      <c r="H93">
        <f t="shared" si="102"/>
        <v>15.973462945154917</v>
      </c>
      <c r="I93">
        <f t="shared" si="102"/>
        <v>15.320633652729553</v>
      </c>
      <c r="J93">
        <f t="shared" si="102"/>
        <v>14.296588661269402</v>
      </c>
      <c r="K93">
        <f t="shared" si="102"/>
        <v>8.810169959601307</v>
      </c>
      <c r="L93">
        <f t="shared" si="74"/>
        <v>29.788692874221947</v>
      </c>
      <c r="M93">
        <f t="shared" si="75"/>
        <v>0.18130712577805141</v>
      </c>
      <c r="N93">
        <f t="shared" si="76"/>
        <v>3.2872273857898156E-2</v>
      </c>
    </row>
    <row r="94" spans="1:14" x14ac:dyDescent="0.45">
      <c r="A94" s="22">
        <v>42739</v>
      </c>
      <c r="B94">
        <v>29.91</v>
      </c>
      <c r="C94">
        <v>29.76</v>
      </c>
      <c r="G94">
        <f t="shared" ref="G94:K94" si="103">SUMPRODUCT($B94:$B98,P$2:P$6)</f>
        <v>16.760354416354499</v>
      </c>
      <c r="H94">
        <f t="shared" si="103"/>
        <v>16.065824192306128</v>
      </c>
      <c r="I94">
        <f t="shared" si="103"/>
        <v>15.40984109350263</v>
      </c>
      <c r="J94">
        <f t="shared" si="103"/>
        <v>14.381081618139554</v>
      </c>
      <c r="K94">
        <f t="shared" si="103"/>
        <v>8.8621419720267216</v>
      </c>
      <c r="L94">
        <f t="shared" si="74"/>
        <v>29.958976951874366</v>
      </c>
      <c r="M94">
        <f t="shared" si="75"/>
        <v>-0.2289769518743654</v>
      </c>
      <c r="N94">
        <f t="shared" si="76"/>
        <v>5.2430444489675446E-2</v>
      </c>
    </row>
    <row r="95" spans="1:14" x14ac:dyDescent="0.45">
      <c r="A95" s="22">
        <v>42738</v>
      </c>
      <c r="B95">
        <v>29.83</v>
      </c>
      <c r="C95">
        <v>29.84</v>
      </c>
      <c r="G95">
        <f t="shared" ref="G95:K95" si="104">SUMPRODUCT($B95:$B99,P$2:P$6)</f>
        <v>16.728418166182248</v>
      </c>
      <c r="H95">
        <f t="shared" si="104"/>
        <v>16.033345963102551</v>
      </c>
      <c r="I95">
        <f t="shared" si="104"/>
        <v>15.377190510441119</v>
      </c>
      <c r="J95">
        <f t="shared" si="104"/>
        <v>14.347599203456655</v>
      </c>
      <c r="K95">
        <f t="shared" si="104"/>
        <v>8.8417408931770858</v>
      </c>
      <c r="L95">
        <f t="shared" si="74"/>
        <v>29.897191179041371</v>
      </c>
      <c r="M95">
        <f t="shared" si="75"/>
        <v>1.2808820958628786E-2</v>
      </c>
      <c r="N95">
        <f t="shared" si="76"/>
        <v>1.6406589435020806E-4</v>
      </c>
    </row>
    <row r="96" spans="1:14" x14ac:dyDescent="0.45">
      <c r="A96" s="22">
        <v>42734</v>
      </c>
      <c r="B96">
        <v>30.38</v>
      </c>
      <c r="C96">
        <v>29.69</v>
      </c>
      <c r="G96">
        <f t="shared" ref="G96:K96" si="105">SUMPRODUCT($B96:$B100,P$2:P$6)</f>
        <v>17.018015740117274</v>
      </c>
      <c r="H96">
        <f t="shared" si="105"/>
        <v>16.313634786097026</v>
      </c>
      <c r="I96">
        <f t="shared" si="105"/>
        <v>15.648197083521797</v>
      </c>
      <c r="J96">
        <f t="shared" si="105"/>
        <v>14.604857308496138</v>
      </c>
      <c r="K96">
        <f t="shared" si="105"/>
        <v>8.9999383255843082</v>
      </c>
      <c r="L96">
        <f t="shared" si="74"/>
        <v>30.414381644951042</v>
      </c>
      <c r="M96">
        <f t="shared" si="75"/>
        <v>-0.58438164495104417</v>
      </c>
      <c r="N96">
        <f t="shared" si="76"/>
        <v>0.34150190695568822</v>
      </c>
    </row>
    <row r="97" spans="1:14" x14ac:dyDescent="0.45">
      <c r="A97" s="22">
        <v>42733</v>
      </c>
      <c r="B97">
        <v>30.02</v>
      </c>
      <c r="C97">
        <v>29.98</v>
      </c>
      <c r="G97">
        <f t="shared" ref="G97:K97" si="106">SUMPRODUCT($B97:$B101,P$2:P$6)</f>
        <v>16.828140105269121</v>
      </c>
      <c r="H97">
        <f t="shared" si="106"/>
        <v>16.129912281976953</v>
      </c>
      <c r="I97">
        <f t="shared" si="106"/>
        <v>15.470598286410269</v>
      </c>
      <c r="J97">
        <f t="shared" si="106"/>
        <v>14.436346180014827</v>
      </c>
      <c r="K97">
        <f t="shared" si="106"/>
        <v>8.8963089228508192</v>
      </c>
      <c r="L97">
        <f t="shared" si="74"/>
        <v>30.07543404913557</v>
      </c>
      <c r="M97">
        <f t="shared" si="75"/>
        <v>0.30456595086442917</v>
      </c>
      <c r="N97">
        <f t="shared" si="76"/>
        <v>9.2760418425953881E-2</v>
      </c>
    </row>
    <row r="98" spans="1:14" x14ac:dyDescent="0.45">
      <c r="A98" s="22">
        <v>42732</v>
      </c>
      <c r="B98">
        <v>30.24</v>
      </c>
      <c r="C98">
        <v>30.01</v>
      </c>
      <c r="G98">
        <f t="shared" ref="G98:K98" si="107">SUMPRODUCT($B98:$B102,P$2:P$6)</f>
        <v>16.938533297438035</v>
      </c>
      <c r="H98">
        <f t="shared" si="107"/>
        <v>16.237595805665617</v>
      </c>
      <c r="I98">
        <f t="shared" si="107"/>
        <v>15.575382941315693</v>
      </c>
      <c r="J98">
        <f t="shared" si="107"/>
        <v>14.537144809472228</v>
      </c>
      <c r="K98">
        <f t="shared" si="107"/>
        <v>8.9581930710934881</v>
      </c>
      <c r="L98">
        <f t="shared" si="74"/>
        <v>30.275124713977725</v>
      </c>
      <c r="M98">
        <f t="shared" si="75"/>
        <v>-0.25512471397772529</v>
      </c>
      <c r="N98">
        <f t="shared" si="76"/>
        <v>6.5088619682216145E-2</v>
      </c>
    </row>
    <row r="99" spans="1:14" x14ac:dyDescent="0.45">
      <c r="A99" s="22">
        <v>42731</v>
      </c>
      <c r="B99">
        <v>29.83</v>
      </c>
      <c r="C99">
        <v>30.24</v>
      </c>
      <c r="G99">
        <f t="shared" ref="G99:K99" si="108">SUMPRODUCT($B99:$B103,P$2:P$6)</f>
        <v>16.716952954699053</v>
      </c>
      <c r="H99">
        <f t="shared" si="108"/>
        <v>16.02401504623068</v>
      </c>
      <c r="I99">
        <f t="shared" si="108"/>
        <v>15.369573722384599</v>
      </c>
      <c r="J99">
        <f t="shared" si="108"/>
        <v>14.34316833855301</v>
      </c>
      <c r="K99">
        <f t="shared" si="108"/>
        <v>8.8388044200818889</v>
      </c>
      <c r="L99">
        <f t="shared" si="74"/>
        <v>29.882063425995501</v>
      </c>
      <c r="M99">
        <f t="shared" si="75"/>
        <v>0.35793657400449774</v>
      </c>
      <c r="N99">
        <f t="shared" si="76"/>
        <v>0.12811859101007728</v>
      </c>
    </row>
    <row r="100" spans="1:14" x14ac:dyDescent="0.45">
      <c r="A100" s="22">
        <v>42727</v>
      </c>
      <c r="B100">
        <v>29.82</v>
      </c>
      <c r="C100">
        <v>29.79</v>
      </c>
      <c r="G100">
        <f t="shared" ref="G100:K100" si="109">SUMPRODUCT($B100:$B104,P$2:P$6)</f>
        <v>16.700499540194652</v>
      </c>
      <c r="H100">
        <f t="shared" si="109"/>
        <v>16.00981274130848</v>
      </c>
      <c r="I100">
        <f t="shared" si="109"/>
        <v>15.357212542842257</v>
      </c>
      <c r="J100">
        <f t="shared" si="109"/>
        <v>14.334166822579718</v>
      </c>
      <c r="K100">
        <f t="shared" si="109"/>
        <v>8.8330621816601465</v>
      </c>
      <c r="L100">
        <f t="shared" si="74"/>
        <v>29.85789684341416</v>
      </c>
      <c r="M100">
        <f t="shared" si="75"/>
        <v>-2.7896843414161765E-2</v>
      </c>
      <c r="N100">
        <f t="shared" si="76"/>
        <v>7.7823387247426062E-4</v>
      </c>
    </row>
    <row r="101" spans="1:14" x14ac:dyDescent="0.45">
      <c r="A101" s="22">
        <v>42726</v>
      </c>
      <c r="B101">
        <v>29.28</v>
      </c>
      <c r="C101">
        <v>29.54</v>
      </c>
      <c r="G101">
        <f t="shared" ref="G101:K101" si="110">SUMPRODUCT($B101:$B105,P$2:P$6)</f>
        <v>16.406065519589323</v>
      </c>
      <c r="H101">
        <f t="shared" si="110"/>
        <v>15.726398860433628</v>
      </c>
      <c r="I101">
        <f t="shared" si="110"/>
        <v>15.084421685770385</v>
      </c>
      <c r="J101">
        <f t="shared" si="110"/>
        <v>14.077682150743405</v>
      </c>
      <c r="K101">
        <f t="shared" si="110"/>
        <v>8.6751535376407283</v>
      </c>
      <c r="L101">
        <f t="shared" si="74"/>
        <v>29.336780693586206</v>
      </c>
      <c r="M101">
        <f t="shared" si="75"/>
        <v>0.48321930641379396</v>
      </c>
      <c r="N101">
        <f t="shared" si="76"/>
        <v>0.23350089809102809</v>
      </c>
    </row>
    <row r="102" spans="1:14" x14ac:dyDescent="0.45">
      <c r="A102" s="22">
        <v>42725</v>
      </c>
      <c r="B102">
        <v>29.14</v>
      </c>
      <c r="C102">
        <v>29.36</v>
      </c>
      <c r="G102">
        <f t="shared" ref="G102:K102" si="111">SUMPRODUCT($B102:$B106,P$2:P$6)</f>
        <v>16.338457732971225</v>
      </c>
      <c r="H102">
        <f t="shared" si="111"/>
        <v>15.660023848334367</v>
      </c>
      <c r="I102">
        <f t="shared" si="111"/>
        <v>15.019496359765677</v>
      </c>
      <c r="J102">
        <f t="shared" si="111"/>
        <v>14.014558959577727</v>
      </c>
      <c r="K102">
        <f t="shared" si="111"/>
        <v>8.6364496302842184</v>
      </c>
      <c r="L102">
        <f t="shared" si="74"/>
        <v>29.213191775101723</v>
      </c>
      <c r="M102">
        <f t="shared" si="75"/>
        <v>6.6808224898277757E-2</v>
      </c>
      <c r="N102">
        <f t="shared" si="76"/>
        <v>4.4633389140588597E-3</v>
      </c>
    </row>
    <row r="103" spans="1:14" x14ac:dyDescent="0.45">
      <c r="A103" s="22">
        <v>42724</v>
      </c>
      <c r="B103">
        <v>29.53</v>
      </c>
      <c r="C103">
        <v>29.26</v>
      </c>
      <c r="G103">
        <f t="shared" ref="G103:K103" si="112">SUMPRODUCT($B103:$B107,P$2:P$6)</f>
        <v>16.552515010474217</v>
      </c>
      <c r="H103">
        <f t="shared" si="112"/>
        <v>15.865859658734502</v>
      </c>
      <c r="I103">
        <f t="shared" si="112"/>
        <v>15.217448964594379</v>
      </c>
      <c r="J103">
        <f t="shared" si="112"/>
        <v>14.20034297954869</v>
      </c>
      <c r="K103">
        <f t="shared" si="112"/>
        <v>8.7508559948774156</v>
      </c>
      <c r="L103">
        <f t="shared" si="74"/>
        <v>29.59141450805955</v>
      </c>
      <c r="M103">
        <f t="shared" si="75"/>
        <v>-0.45141450805954975</v>
      </c>
      <c r="N103">
        <f t="shared" si="76"/>
        <v>0.20377505808664531</v>
      </c>
    </row>
    <row r="104" spans="1:14" x14ac:dyDescent="0.45">
      <c r="A104" s="22">
        <v>42723</v>
      </c>
      <c r="B104">
        <v>29.7</v>
      </c>
      <c r="C104">
        <v>29.38</v>
      </c>
      <c r="G104">
        <f t="shared" ref="G104:K104" si="113">SUMPRODUCT($B104:$B108,P$2:P$6)</f>
        <v>16.644919603498224</v>
      </c>
      <c r="H104">
        <f t="shared" si="113"/>
        <v>15.954848224194393</v>
      </c>
      <c r="I104">
        <f t="shared" si="113"/>
        <v>15.303136140533573</v>
      </c>
      <c r="J104">
        <f t="shared" si="113"/>
        <v>14.280977083937032</v>
      </c>
      <c r="K104">
        <f t="shared" si="113"/>
        <v>8.8004941751523003</v>
      </c>
      <c r="L104">
        <f t="shared" si="74"/>
        <v>29.755089843524473</v>
      </c>
      <c r="M104">
        <f t="shared" si="75"/>
        <v>-0.22508984352447214</v>
      </c>
      <c r="N104">
        <f t="shared" si="76"/>
        <v>5.0665437657871355E-2</v>
      </c>
    </row>
    <row r="105" spans="1:14" x14ac:dyDescent="0.45">
      <c r="A105" s="22">
        <v>42720</v>
      </c>
      <c r="B105">
        <v>29.73</v>
      </c>
      <c r="C105">
        <v>29.61</v>
      </c>
      <c r="G105">
        <f t="shared" ref="G105:K105" si="114">SUMPRODUCT($B105:$B109,P$2:P$6)</f>
        <v>16.663983964006057</v>
      </c>
      <c r="H105">
        <f t="shared" si="114"/>
        <v>15.972796505357941</v>
      </c>
      <c r="I105">
        <f t="shared" si="114"/>
        <v>15.3200895964398</v>
      </c>
      <c r="J105">
        <f t="shared" si="114"/>
        <v>14.296272193600716</v>
      </c>
      <c r="K105">
        <f t="shared" si="114"/>
        <v>8.8099602115230784</v>
      </c>
      <c r="L105">
        <f t="shared" si="74"/>
        <v>29.787612386436962</v>
      </c>
      <c r="M105">
        <f t="shared" si="75"/>
        <v>-8.7612386436962453E-2</v>
      </c>
      <c r="N105">
        <f t="shared" si="76"/>
        <v>7.6759302571796422E-3</v>
      </c>
    </row>
    <row r="106" spans="1:14" x14ac:dyDescent="0.45">
      <c r="A106" s="22">
        <v>42719</v>
      </c>
      <c r="B106">
        <v>29.87</v>
      </c>
      <c r="C106">
        <v>29.73</v>
      </c>
      <c r="G106">
        <f t="shared" ref="G106:K106" si="115">SUMPRODUCT($B106:$B110,P$2:P$6)</f>
        <v>16.739165607589328</v>
      </c>
      <c r="H106">
        <f t="shared" si="115"/>
        <v>16.045336546879131</v>
      </c>
      <c r="I106">
        <f t="shared" si="115"/>
        <v>15.390047443124709</v>
      </c>
      <c r="J106">
        <f t="shared" si="115"/>
        <v>14.362322743840982</v>
      </c>
      <c r="K106">
        <f t="shared" si="115"/>
        <v>8.850604288603197</v>
      </c>
      <c r="L106">
        <f t="shared" si="74"/>
        <v>29.921195717524128</v>
      </c>
      <c r="M106">
        <f t="shared" si="75"/>
        <v>-0.19119571752412767</v>
      </c>
      <c r="N106">
        <f t="shared" si="76"/>
        <v>3.6555802399566024E-2</v>
      </c>
    </row>
    <row r="107" spans="1:14" x14ac:dyDescent="0.45">
      <c r="A107" s="22">
        <v>42718</v>
      </c>
      <c r="B107">
        <v>29.85</v>
      </c>
      <c r="C107">
        <v>29.82</v>
      </c>
      <c r="G107">
        <f t="shared" ref="G107:K107" si="116">SUMPRODUCT($B107:$B111,P$2:P$6)</f>
        <v>16.738806181030636</v>
      </c>
      <c r="H107">
        <f t="shared" si="116"/>
        <v>16.043423070483282</v>
      </c>
      <c r="I107">
        <f t="shared" si="116"/>
        <v>15.386951321557644</v>
      </c>
      <c r="J107">
        <f t="shared" si="116"/>
        <v>14.356898987386096</v>
      </c>
      <c r="K107">
        <f t="shared" si="116"/>
        <v>8.8474572978692922</v>
      </c>
      <c r="L107">
        <f t="shared" si="74"/>
        <v>29.915810653541957</v>
      </c>
      <c r="M107">
        <f t="shared" si="75"/>
        <v>-4.5810653541956015E-2</v>
      </c>
      <c r="N107">
        <f t="shared" si="76"/>
        <v>2.0986159779411272E-3</v>
      </c>
    </row>
    <row r="108" spans="1:14" x14ac:dyDescent="0.45">
      <c r="A108" s="22">
        <v>42717</v>
      </c>
      <c r="B108">
        <v>30.36</v>
      </c>
      <c r="C108">
        <v>29.82</v>
      </c>
      <c r="G108">
        <f t="shared" ref="G108:K108" si="117">SUMPRODUCT($B108:$B112,P$2:P$6)</f>
        <v>17.007214561580366</v>
      </c>
      <c r="H108">
        <f t="shared" si="117"/>
        <v>16.303223832198039</v>
      </c>
      <c r="I108">
        <f t="shared" si="117"/>
        <v>15.638164244260402</v>
      </c>
      <c r="J108">
        <f t="shared" si="117"/>
        <v>14.595398027959522</v>
      </c>
      <c r="K108">
        <f t="shared" si="117"/>
        <v>8.9941170468529883</v>
      </c>
      <c r="L108">
        <f t="shared" si="74"/>
        <v>30.39521945094106</v>
      </c>
      <c r="M108">
        <f t="shared" si="75"/>
        <v>-0.54521945094105817</v>
      </c>
      <c r="N108">
        <f t="shared" si="76"/>
        <v>0.29726424968446896</v>
      </c>
    </row>
    <row r="109" spans="1:14" x14ac:dyDescent="0.45">
      <c r="A109" s="22">
        <v>42716</v>
      </c>
      <c r="B109">
        <v>30.02</v>
      </c>
      <c r="C109">
        <v>30.21</v>
      </c>
      <c r="G109">
        <f t="shared" ref="G109:K109" si="118">SUMPRODUCT($B109:$B113,P$2:P$6)</f>
        <v>16.815240742551953</v>
      </c>
      <c r="H109">
        <f t="shared" si="118"/>
        <v>16.119414909185302</v>
      </c>
      <c r="I109">
        <f t="shared" si="118"/>
        <v>15.462029399846683</v>
      </c>
      <c r="J109">
        <f t="shared" si="118"/>
        <v>14.431361160965164</v>
      </c>
      <c r="K109">
        <f t="shared" si="118"/>
        <v>8.8930053906187219</v>
      </c>
      <c r="L109">
        <f t="shared" si="74"/>
        <v>30.058414714190054</v>
      </c>
      <c r="M109">
        <f t="shared" si="75"/>
        <v>0.3015852858099457</v>
      </c>
      <c r="N109">
        <f t="shared" si="76"/>
        <v>9.0953684617066641E-2</v>
      </c>
    </row>
    <row r="110" spans="1:14" x14ac:dyDescent="0.45">
      <c r="A110" s="22">
        <v>42713</v>
      </c>
      <c r="B110">
        <v>29.61</v>
      </c>
      <c r="C110">
        <v>29.97</v>
      </c>
      <c r="G110">
        <f t="shared" ref="G110:K110" si="119">SUMPRODUCT($B110:$B114,P$2:P$6)</f>
        <v>16.580558893466019</v>
      </c>
      <c r="H110">
        <f t="shared" si="119"/>
        <v>15.895170835543635</v>
      </c>
      <c r="I110">
        <f t="shared" si="119"/>
        <v>15.247515280279567</v>
      </c>
      <c r="J110">
        <f t="shared" si="119"/>
        <v>14.232321036980673</v>
      </c>
      <c r="K110">
        <f t="shared" si="119"/>
        <v>8.7702607703554669</v>
      </c>
      <c r="L110">
        <f t="shared" si="74"/>
        <v>29.648065623311396</v>
      </c>
      <c r="M110">
        <f t="shared" si="75"/>
        <v>0.37193437668860341</v>
      </c>
      <c r="N110">
        <f t="shared" si="76"/>
        <v>0.13833518056273994</v>
      </c>
    </row>
    <row r="111" spans="1:14" x14ac:dyDescent="0.45">
      <c r="A111" s="22">
        <v>42712</v>
      </c>
      <c r="B111">
        <v>28.96</v>
      </c>
      <c r="C111">
        <v>29.42</v>
      </c>
      <c r="G111">
        <f t="shared" ref="G111:K111" si="120">SUMPRODUCT($B111:$B115,P$2:P$6)</f>
        <v>16.212810125480907</v>
      </c>
      <c r="H111">
        <f t="shared" si="120"/>
        <v>15.543169830228138</v>
      </c>
      <c r="I111">
        <f t="shared" si="120"/>
        <v>14.910294850344233</v>
      </c>
      <c r="J111">
        <f t="shared" si="120"/>
        <v>13.918434667773894</v>
      </c>
      <c r="K111">
        <f t="shared" si="120"/>
        <v>8.5767693759839094</v>
      </c>
      <c r="L111">
        <f t="shared" si="74"/>
        <v>29.003197676040038</v>
      </c>
      <c r="M111">
        <f t="shared" si="75"/>
        <v>0.60680232395996114</v>
      </c>
      <c r="N111">
        <f t="shared" si="76"/>
        <v>0.36820906036320961</v>
      </c>
    </row>
    <row r="112" spans="1:14" x14ac:dyDescent="0.45">
      <c r="A112" s="22">
        <v>42711</v>
      </c>
      <c r="B112">
        <v>28.14</v>
      </c>
      <c r="C112">
        <v>28.91</v>
      </c>
      <c r="G112">
        <f t="shared" ref="G112:K112" si="121">SUMPRODUCT($B112:$B116,P$2:P$6)</f>
        <v>15.773333239322641</v>
      </c>
      <c r="H112">
        <f t="shared" si="121"/>
        <v>15.119008075789552</v>
      </c>
      <c r="I112">
        <f t="shared" si="121"/>
        <v>14.501124665785927</v>
      </c>
      <c r="J112">
        <f t="shared" si="121"/>
        <v>13.531905818757412</v>
      </c>
      <c r="K112">
        <f t="shared" si="121"/>
        <v>8.3389359403127354</v>
      </c>
      <c r="L112">
        <f t="shared" si="74"/>
        <v>28.221937129523521</v>
      </c>
      <c r="M112">
        <f t="shared" si="75"/>
        <v>0.73806287047647956</v>
      </c>
      <c r="N112">
        <f t="shared" si="76"/>
        <v>0.54473680077598063</v>
      </c>
    </row>
    <row r="113" spans="1:14" x14ac:dyDescent="0.45">
      <c r="A113" s="22">
        <v>42710</v>
      </c>
      <c r="B113">
        <v>28.3</v>
      </c>
      <c r="C113">
        <v>28.21</v>
      </c>
      <c r="G113">
        <f t="shared" ref="G113:K113" si="122">SUMPRODUCT($B113:$B117,P$2:P$6)</f>
        <v>15.864842375619443</v>
      </c>
      <c r="H113">
        <f t="shared" si="122"/>
        <v>15.206456333044787</v>
      </c>
      <c r="I113">
        <f t="shared" si="122"/>
        <v>14.584787731688056</v>
      </c>
      <c r="J113">
        <f t="shared" si="122"/>
        <v>13.609551173646159</v>
      </c>
      <c r="K113">
        <f t="shared" si="122"/>
        <v>8.3868170956522157</v>
      </c>
      <c r="L113">
        <f t="shared" si="74"/>
        <v>28.381974677737837</v>
      </c>
      <c r="M113">
        <f t="shared" si="75"/>
        <v>-0.24197467773783643</v>
      </c>
      <c r="N113">
        <f t="shared" si="76"/>
        <v>5.8551744666329793E-2</v>
      </c>
    </row>
    <row r="114" spans="1:14" x14ac:dyDescent="0.45">
      <c r="A114" s="22">
        <v>42709</v>
      </c>
      <c r="B114">
        <v>28.55</v>
      </c>
      <c r="C114">
        <v>28.35</v>
      </c>
      <c r="G114">
        <f t="shared" ref="G114:K114" si="123">SUMPRODUCT($B114:$B118,P$2:P$6)</f>
        <v>15.983041756042541</v>
      </c>
      <c r="H114">
        <f t="shared" si="123"/>
        <v>15.322924694084426</v>
      </c>
      <c r="I114">
        <f t="shared" si="123"/>
        <v>14.699045068515625</v>
      </c>
      <c r="J114">
        <f t="shared" si="123"/>
        <v>13.721293711150215</v>
      </c>
      <c r="K114">
        <f t="shared" si="123"/>
        <v>8.4552832441900243</v>
      </c>
      <c r="L114">
        <f t="shared" si="74"/>
        <v>28.599331905681076</v>
      </c>
      <c r="M114">
        <f t="shared" si="75"/>
        <v>-0.29933190568107548</v>
      </c>
      <c r="N114">
        <f t="shared" si="76"/>
        <v>8.9599589758664264E-2</v>
      </c>
    </row>
    <row r="115" spans="1:14" x14ac:dyDescent="0.45">
      <c r="A115" s="22">
        <v>42706</v>
      </c>
      <c r="B115">
        <v>27.73</v>
      </c>
      <c r="C115">
        <v>28.42</v>
      </c>
      <c r="G115">
        <f t="shared" ref="G115:K115" si="124">SUMPRODUCT($B115:$B119,P$2:P$6)</f>
        <v>15.544179877431773</v>
      </c>
      <c r="H115">
        <f t="shared" si="124"/>
        <v>14.89926312145468</v>
      </c>
      <c r="I115">
        <f t="shared" si="124"/>
        <v>14.290282926174632</v>
      </c>
      <c r="J115">
        <f t="shared" si="124"/>
        <v>13.33500231691254</v>
      </c>
      <c r="K115">
        <f t="shared" si="124"/>
        <v>8.2176071195775222</v>
      </c>
      <c r="L115">
        <f t="shared" si="74"/>
        <v>27.818882308162674</v>
      </c>
      <c r="M115">
        <f t="shared" si="75"/>
        <v>0.73111769183732633</v>
      </c>
      <c r="N115">
        <f t="shared" si="76"/>
        <v>0.53453307931753968</v>
      </c>
    </row>
    <row r="116" spans="1:14" x14ac:dyDescent="0.45">
      <c r="A116" s="22">
        <v>42705</v>
      </c>
      <c r="B116">
        <v>27.92</v>
      </c>
      <c r="C116">
        <v>27.39</v>
      </c>
      <c r="G116">
        <f t="shared" ref="G116:K116" si="125">SUMPRODUCT($B116:$B120,P$2:P$6)</f>
        <v>15.658847119789611</v>
      </c>
      <c r="H116">
        <f t="shared" si="125"/>
        <v>15.007992393972186</v>
      </c>
      <c r="I116">
        <f t="shared" si="125"/>
        <v>14.393619729431746</v>
      </c>
      <c r="J116">
        <f t="shared" si="125"/>
        <v>13.429525229343954</v>
      </c>
      <c r="K116">
        <f t="shared" si="125"/>
        <v>8.2760030516789236</v>
      </c>
      <c r="L116">
        <f t="shared" si="74"/>
        <v>28.016844842999536</v>
      </c>
      <c r="M116">
        <f t="shared" si="75"/>
        <v>-0.28684484299953539</v>
      </c>
      <c r="N116">
        <f t="shared" si="76"/>
        <v>8.2279963955428109E-2</v>
      </c>
    </row>
    <row r="117" spans="1:14" x14ac:dyDescent="0.45">
      <c r="A117" s="22">
        <v>42704</v>
      </c>
      <c r="B117">
        <v>28.51</v>
      </c>
      <c r="C117">
        <v>27.81</v>
      </c>
      <c r="G117">
        <f t="shared" ref="G117:K117" si="126">SUMPRODUCT($B117:$B121,P$2:P$6)</f>
        <v>15.978436096672096</v>
      </c>
      <c r="H117">
        <f t="shared" si="126"/>
        <v>15.315933293973023</v>
      </c>
      <c r="I117">
        <f t="shared" si="126"/>
        <v>14.690268558005172</v>
      </c>
      <c r="J117">
        <f t="shared" si="126"/>
        <v>13.708944025054716</v>
      </c>
      <c r="K117">
        <f t="shared" si="126"/>
        <v>8.4479929593506267</v>
      </c>
      <c r="L117">
        <f t="shared" si="74"/>
        <v>28.583431669338335</v>
      </c>
      <c r="M117">
        <f t="shared" si="75"/>
        <v>-0.66343166933833331</v>
      </c>
      <c r="N117">
        <f t="shared" si="76"/>
        <v>0.44014157988104763</v>
      </c>
    </row>
    <row r="118" spans="1:14" x14ac:dyDescent="0.45">
      <c r="A118" s="22">
        <v>42703</v>
      </c>
      <c r="B118">
        <v>28.56</v>
      </c>
      <c r="C118">
        <v>28.51</v>
      </c>
      <c r="G118">
        <f t="shared" ref="G118:K118" si="127">SUMPRODUCT($B118:$B122,P$2:P$6)</f>
        <v>16.011165589841497</v>
      </c>
      <c r="H118">
        <f t="shared" si="127"/>
        <v>15.346624579788973</v>
      </c>
      <c r="I118">
        <f t="shared" si="127"/>
        <v>14.719159050186926</v>
      </c>
      <c r="J118">
        <f t="shared" si="127"/>
        <v>13.734805572614555</v>
      </c>
      <c r="K118">
        <f t="shared" si="127"/>
        <v>8.4640143927265221</v>
      </c>
      <c r="L118">
        <f t="shared" si="74"/>
        <v>28.638896756947734</v>
      </c>
      <c r="M118">
        <f t="shared" si="75"/>
        <v>-0.12889675694773217</v>
      </c>
      <c r="N118">
        <f t="shared" si="76"/>
        <v>1.6614373951642742E-2</v>
      </c>
    </row>
    <row r="119" spans="1:14" x14ac:dyDescent="0.45">
      <c r="A119" s="22">
        <v>42702</v>
      </c>
      <c r="B119">
        <v>28.84</v>
      </c>
      <c r="C119">
        <v>28.57</v>
      </c>
      <c r="G119">
        <f t="shared" ref="G119:K119" si="128">SUMPRODUCT($B119:$B123,P$2:P$6)</f>
        <v>16.164395982813311</v>
      </c>
      <c r="H119">
        <f t="shared" si="128"/>
        <v>15.494036805919556</v>
      </c>
      <c r="I119">
        <f t="shared" si="128"/>
        <v>14.860978940570874</v>
      </c>
      <c r="J119">
        <f t="shared" si="128"/>
        <v>13.868014198485852</v>
      </c>
      <c r="K119">
        <f t="shared" si="128"/>
        <v>8.5460366651605622</v>
      </c>
      <c r="L119">
        <f t="shared" si="74"/>
        <v>28.909845384702123</v>
      </c>
      <c r="M119">
        <f t="shared" si="75"/>
        <v>-0.34984538470212456</v>
      </c>
      <c r="N119">
        <f t="shared" si="76"/>
        <v>0.12239179319737753</v>
      </c>
    </row>
    <row r="120" spans="1:14" x14ac:dyDescent="0.45">
      <c r="A120" s="22">
        <v>42699</v>
      </c>
      <c r="B120">
        <v>28.94</v>
      </c>
      <c r="C120">
        <v>28.95</v>
      </c>
      <c r="G120">
        <f t="shared" ref="G120:K120" si="129">SUMPRODUCT($B120:$B124,P$2:P$6)</f>
        <v>16.219413126464286</v>
      </c>
      <c r="H120">
        <f t="shared" si="129"/>
        <v>15.546922181728268</v>
      </c>
      <c r="I120">
        <f t="shared" si="129"/>
        <v>14.911823207240055</v>
      </c>
      <c r="J120">
        <f t="shared" si="129"/>
        <v>13.915701974189028</v>
      </c>
      <c r="K120">
        <f t="shared" si="129"/>
        <v>8.5754052439149433</v>
      </c>
      <c r="L120">
        <f t="shared" si="74"/>
        <v>29.00699859626372</v>
      </c>
      <c r="M120">
        <f t="shared" si="75"/>
        <v>-0.1669985962637206</v>
      </c>
      <c r="N120">
        <f t="shared" si="76"/>
        <v>2.7888531154053157E-2</v>
      </c>
    </row>
    <row r="121" spans="1:14" x14ac:dyDescent="0.45">
      <c r="A121" s="22">
        <v>42697</v>
      </c>
      <c r="B121">
        <v>28.99</v>
      </c>
      <c r="C121">
        <v>28.9</v>
      </c>
      <c r="G121">
        <f t="shared" ref="G121:K121" si="130">SUMPRODUCT($B121:$B125,P$2:P$6)</f>
        <v>16.255621937436874</v>
      </c>
      <c r="H121">
        <f t="shared" si="130"/>
        <v>15.580445382430904</v>
      </c>
      <c r="I121">
        <f t="shared" si="130"/>
        <v>14.943025938653252</v>
      </c>
      <c r="J121">
        <f t="shared" si="130"/>
        <v>13.942907965372317</v>
      </c>
      <c r="K121">
        <f t="shared" si="130"/>
        <v>8.5923181066233099</v>
      </c>
      <c r="L121">
        <f t="shared" si="74"/>
        <v>29.067054936062569</v>
      </c>
      <c r="M121">
        <f t="shared" si="75"/>
        <v>-0.12705493606256724</v>
      </c>
      <c r="N121">
        <f t="shared" si="76"/>
        <v>1.6142956777863048E-2</v>
      </c>
    </row>
    <row r="122" spans="1:14" x14ac:dyDescent="0.45">
      <c r="A122" s="22">
        <v>42696</v>
      </c>
      <c r="B122">
        <v>29.44</v>
      </c>
      <c r="C122">
        <v>29.06</v>
      </c>
      <c r="G122">
        <f t="shared" ref="G122:K122" si="131">SUMPRODUCT($B122:$B126,P$2:P$6)</f>
        <v>16.484060408734742</v>
      </c>
      <c r="H122">
        <f t="shared" si="131"/>
        <v>15.802850553881058</v>
      </c>
      <c r="I122">
        <f t="shared" si="131"/>
        <v>15.159107822891615</v>
      </c>
      <c r="J122">
        <f t="shared" si="131"/>
        <v>14.15010488422265</v>
      </c>
      <c r="K122">
        <f t="shared" si="131"/>
        <v>8.7195738496894393</v>
      </c>
      <c r="L122">
        <f t="shared" si="74"/>
        <v>29.478988388496855</v>
      </c>
      <c r="M122">
        <f t="shared" si="75"/>
        <v>-0.48898838849685689</v>
      </c>
      <c r="N122">
        <f t="shared" si="76"/>
        <v>0.23910964408475305</v>
      </c>
    </row>
    <row r="123" spans="1:14" x14ac:dyDescent="0.45">
      <c r="A123" s="22">
        <v>42695</v>
      </c>
      <c r="B123">
        <v>28.73</v>
      </c>
      <c r="C123">
        <v>29</v>
      </c>
      <c r="G123">
        <f t="shared" ref="G123:K123" si="132">SUMPRODUCT($B123:$B127,P$2:P$6)</f>
        <v>16.102953724199185</v>
      </c>
      <c r="H123">
        <f t="shared" si="132"/>
        <v>15.43511277815074</v>
      </c>
      <c r="I123">
        <f t="shared" si="132"/>
        <v>14.804438183908809</v>
      </c>
      <c r="J123">
        <f t="shared" si="132"/>
        <v>13.815201331971011</v>
      </c>
      <c r="K123">
        <f t="shared" si="132"/>
        <v>8.5134952619427349</v>
      </c>
      <c r="L123">
        <f t="shared" si="74"/>
        <v>28.801760042716293</v>
      </c>
      <c r="M123">
        <f t="shared" si="75"/>
        <v>0.63823995728370875</v>
      </c>
      <c r="N123">
        <f t="shared" si="76"/>
        <v>0.40735024307351037</v>
      </c>
    </row>
    <row r="124" spans="1:14" x14ac:dyDescent="0.45">
      <c r="A124" s="22">
        <v>42692</v>
      </c>
      <c r="B124">
        <v>28.84</v>
      </c>
      <c r="C124">
        <v>28.69</v>
      </c>
      <c r="G124">
        <f t="shared" ref="G124:K124" si="133">SUMPRODUCT($B124:$B128,P$2:P$6)</f>
        <v>16.15272596601179</v>
      </c>
      <c r="H124">
        <f t="shared" si="133"/>
        <v>15.484539316087897</v>
      </c>
      <c r="I124">
        <f t="shared" si="133"/>
        <v>14.853226138441917</v>
      </c>
      <c r="J124">
        <f t="shared" si="133"/>
        <v>13.863504330875008</v>
      </c>
      <c r="K124">
        <f t="shared" si="133"/>
        <v>8.5430477550458086</v>
      </c>
      <c r="L124">
        <f t="shared" si="74"/>
        <v>28.894447533032725</v>
      </c>
      <c r="M124">
        <f t="shared" si="75"/>
        <v>-0.16444753303272464</v>
      </c>
      <c r="N124">
        <f t="shared" si="76"/>
        <v>2.7042991120549059E-2</v>
      </c>
    </row>
    <row r="125" spans="1:14" x14ac:dyDescent="0.45">
      <c r="A125" s="22">
        <v>42691</v>
      </c>
      <c r="B125">
        <v>28.37</v>
      </c>
      <c r="C125">
        <v>28.87</v>
      </c>
      <c r="G125">
        <f t="shared" ref="G125:K125" si="134">SUMPRODUCT($B125:$B129,P$2:P$6)</f>
        <v>15.899362978467909</v>
      </c>
      <c r="H125">
        <f t="shared" si="134"/>
        <v>15.24022733271608</v>
      </c>
      <c r="I125">
        <f t="shared" si="134"/>
        <v>14.617726443943944</v>
      </c>
      <c r="J125">
        <f t="shared" si="134"/>
        <v>13.641389538788099</v>
      </c>
      <c r="K125">
        <f t="shared" si="134"/>
        <v>8.40635257889892</v>
      </c>
      <c r="L125">
        <f t="shared" si="74"/>
        <v>28.444714753633114</v>
      </c>
      <c r="M125">
        <f t="shared" si="75"/>
        <v>0.39528524636688545</v>
      </c>
      <c r="N125">
        <f t="shared" si="76"/>
        <v>0.15625042599532932</v>
      </c>
    </row>
    <row r="126" spans="1:14" x14ac:dyDescent="0.45">
      <c r="A126" s="22">
        <v>42690</v>
      </c>
      <c r="B126">
        <v>28.39</v>
      </c>
      <c r="C126">
        <v>28.33</v>
      </c>
      <c r="G126">
        <f t="shared" ref="G126:K126" si="135">SUMPRODUCT($B126:$B130,P$2:P$6)</f>
        <v>15.902791924140967</v>
      </c>
      <c r="H126">
        <f t="shared" si="135"/>
        <v>15.244639990479481</v>
      </c>
      <c r="I126">
        <f t="shared" si="135"/>
        <v>14.622862776597577</v>
      </c>
      <c r="J126">
        <f t="shared" si="135"/>
        <v>13.648000005350623</v>
      </c>
      <c r="K126">
        <f t="shared" si="135"/>
        <v>8.4102861249261842</v>
      </c>
      <c r="L126">
        <f t="shared" si="74"/>
        <v>28.454151079841296</v>
      </c>
      <c r="M126">
        <f t="shared" si="75"/>
        <v>-8.4151079841294774E-2</v>
      </c>
      <c r="N126">
        <f t="shared" si="76"/>
        <v>7.081404238455968E-3</v>
      </c>
    </row>
    <row r="127" spans="1:14" x14ac:dyDescent="0.45">
      <c r="A127" s="22">
        <v>42689</v>
      </c>
      <c r="B127">
        <v>28.03</v>
      </c>
      <c r="C127">
        <v>28.49</v>
      </c>
      <c r="G127">
        <f t="shared" ref="G127:K127" si="136">SUMPRODUCT($B127:$B131,P$2:P$6)</f>
        <v>15.720695301492169</v>
      </c>
      <c r="H127">
        <f t="shared" si="136"/>
        <v>15.067248664044399</v>
      </c>
      <c r="I127">
        <f t="shared" si="136"/>
        <v>14.45043251423869</v>
      </c>
      <c r="J127">
        <f t="shared" si="136"/>
        <v>13.482495079330493</v>
      </c>
      <c r="K127">
        <f t="shared" si="136"/>
        <v>8.3086493289358643</v>
      </c>
      <c r="L127">
        <f t="shared" si="74"/>
        <v>28.125467901684914</v>
      </c>
      <c r="M127">
        <f t="shared" si="75"/>
        <v>0.26453209831508673</v>
      </c>
      <c r="N127">
        <f t="shared" si="76"/>
        <v>6.9977231038982707E-2</v>
      </c>
    </row>
    <row r="128" spans="1:14" x14ac:dyDescent="0.45">
      <c r="A128" s="22">
        <v>42688</v>
      </c>
      <c r="B128">
        <v>28.63</v>
      </c>
      <c r="C128">
        <v>27.89</v>
      </c>
      <c r="G128">
        <f t="shared" ref="G128:K128" si="137">SUMPRODUCT($B128:$B132,P$2:P$6)</f>
        <v>16.031148670800743</v>
      </c>
      <c r="H128">
        <f t="shared" si="137"/>
        <v>15.368565216279325</v>
      </c>
      <c r="I128">
        <f t="shared" si="137"/>
        <v>14.742440763299724</v>
      </c>
      <c r="J128">
        <f t="shared" si="137"/>
        <v>13.761026056345063</v>
      </c>
      <c r="K128">
        <f t="shared" si="137"/>
        <v>8.4798268475846719</v>
      </c>
      <c r="L128">
        <f t="shared" si="74"/>
        <v>28.682456314850398</v>
      </c>
      <c r="M128">
        <f t="shared" si="75"/>
        <v>-0.65245631485039723</v>
      </c>
      <c r="N128">
        <f t="shared" si="76"/>
        <v>0.42569924278816068</v>
      </c>
    </row>
    <row r="129" spans="1:14" x14ac:dyDescent="0.45">
      <c r="A129" s="22">
        <v>42685</v>
      </c>
      <c r="B129">
        <v>27.97</v>
      </c>
      <c r="C129">
        <v>28.64</v>
      </c>
      <c r="G129">
        <f t="shared" ref="G129:K129" si="138">SUMPRODUCT($B129:$B133,P$2:P$6)</f>
        <v>15.683386381329719</v>
      </c>
      <c r="H129">
        <f t="shared" si="138"/>
        <v>15.032018245292839</v>
      </c>
      <c r="I129">
        <f t="shared" si="138"/>
        <v>14.417069658715986</v>
      </c>
      <c r="J129">
        <f t="shared" si="138"/>
        <v>13.452221355505436</v>
      </c>
      <c r="K129">
        <f t="shared" si="138"/>
        <v>8.2899270042725348</v>
      </c>
      <c r="L129">
        <f t="shared" si="74"/>
        <v>28.061503605059169</v>
      </c>
      <c r="M129">
        <f t="shared" si="75"/>
        <v>0.56849639494082993</v>
      </c>
      <c r="N129">
        <f t="shared" si="76"/>
        <v>0.32318815106072007</v>
      </c>
    </row>
    <row r="130" spans="1:14" x14ac:dyDescent="0.45">
      <c r="A130" s="22">
        <v>42684</v>
      </c>
      <c r="B130">
        <v>28.39</v>
      </c>
      <c r="C130">
        <v>28.16</v>
      </c>
      <c r="G130">
        <f t="shared" ref="G130:K130" si="139">SUMPRODUCT($B130:$B134,P$2:P$6)</f>
        <v>15.888666774431888</v>
      </c>
      <c r="H130">
        <f t="shared" si="139"/>
        <v>15.233143464071491</v>
      </c>
      <c r="I130">
        <f t="shared" si="139"/>
        <v>14.613477805599365</v>
      </c>
      <c r="J130">
        <f t="shared" si="139"/>
        <v>13.64254064917446</v>
      </c>
      <c r="K130">
        <f t="shared" si="139"/>
        <v>8.4066679705767449</v>
      </c>
      <c r="L130">
        <f t="shared" si="74"/>
        <v>28.435512522674451</v>
      </c>
      <c r="M130">
        <f t="shared" si="75"/>
        <v>-0.46551252267445165</v>
      </c>
      <c r="N130">
        <f t="shared" si="76"/>
        <v>0.21670190876673187</v>
      </c>
    </row>
    <row r="131" spans="1:14" x14ac:dyDescent="0.45">
      <c r="A131" s="22">
        <v>42683</v>
      </c>
      <c r="B131">
        <v>27.34</v>
      </c>
      <c r="C131">
        <v>28.29</v>
      </c>
      <c r="G131">
        <f t="shared" ref="G131:K131" si="140">SUMPRODUCT($B131:$B135,P$2:P$6)</f>
        <v>15.33708191525044</v>
      </c>
      <c r="H131">
        <f t="shared" si="140"/>
        <v>14.699091992651645</v>
      </c>
      <c r="I131">
        <f t="shared" si="140"/>
        <v>14.096954799808818</v>
      </c>
      <c r="J131">
        <f t="shared" si="140"/>
        <v>13.151907966776323</v>
      </c>
      <c r="K131">
        <f t="shared" si="140"/>
        <v>8.1049836136492672</v>
      </c>
      <c r="L131">
        <f t="shared" ref="L131:L194" si="141">(G131+$P$7)*$U$2+(H131+$Q$7)*$U$3+(I131+$R$7)*$U$4+(J131+$S$7)*$U$5+(K131+$T$7)*$U$6+$U$7</f>
        <v>27.449843080604712</v>
      </c>
      <c r="M131">
        <f t="shared" ref="M131:M194" si="142">B130-L131</f>
        <v>0.94015691939528878</v>
      </c>
      <c r="N131">
        <f t="shared" ref="N131:N194" si="143">M131^2</f>
        <v>0.88389503308683948</v>
      </c>
    </row>
    <row r="132" spans="1:14" x14ac:dyDescent="0.45">
      <c r="A132" s="22">
        <v>42682</v>
      </c>
      <c r="B132">
        <v>28.09</v>
      </c>
      <c r="C132">
        <v>28.03</v>
      </c>
      <c r="G132">
        <f t="shared" ref="G132:K132" si="144">SUMPRODUCT($B132:$B136,P$2:P$6)</f>
        <v>15.747155730836807</v>
      </c>
      <c r="H132">
        <f t="shared" si="144"/>
        <v>15.093648241033666</v>
      </c>
      <c r="I132">
        <f t="shared" si="144"/>
        <v>14.476586623922184</v>
      </c>
      <c r="J132">
        <f t="shared" si="144"/>
        <v>13.508576325301723</v>
      </c>
      <c r="K132">
        <f t="shared" si="144"/>
        <v>8.3245924915626652</v>
      </c>
      <c r="L132">
        <f t="shared" si="141"/>
        <v>28.175116502217843</v>
      </c>
      <c r="M132">
        <f t="shared" si="142"/>
        <v>-0.8351165022178435</v>
      </c>
      <c r="N132">
        <f t="shared" si="143"/>
        <v>0.69741957227656537</v>
      </c>
    </row>
    <row r="133" spans="1:14" x14ac:dyDescent="0.45">
      <c r="A133" s="22">
        <v>42681</v>
      </c>
      <c r="B133">
        <v>28.34</v>
      </c>
      <c r="C133">
        <v>28.24</v>
      </c>
      <c r="G133">
        <f t="shared" ref="G133:K133" si="145">SUMPRODUCT($B133:$B137,P$2:P$6)</f>
        <v>15.877228215013748</v>
      </c>
      <c r="H133">
        <f t="shared" si="145"/>
        <v>15.219779960242423</v>
      </c>
      <c r="I133">
        <f t="shared" si="145"/>
        <v>14.598732776951147</v>
      </c>
      <c r="J133">
        <f t="shared" si="145"/>
        <v>13.624907773478423</v>
      </c>
      <c r="K133">
        <f t="shared" si="145"/>
        <v>8.3960999872347841</v>
      </c>
      <c r="L133">
        <f t="shared" si="141"/>
        <v>28.408140610973483</v>
      </c>
      <c r="M133">
        <f t="shared" si="142"/>
        <v>-0.31814061097348301</v>
      </c>
      <c r="N133">
        <f t="shared" si="143"/>
        <v>0.10121344835058106</v>
      </c>
    </row>
    <row r="134" spans="1:14" x14ac:dyDescent="0.45">
      <c r="A134" s="22">
        <v>42678</v>
      </c>
      <c r="B134">
        <v>28.1</v>
      </c>
      <c r="C134">
        <v>27.95</v>
      </c>
      <c r="G134">
        <f t="shared" ref="G134:K134" si="146">SUMPRODUCT($B134:$B138,P$2:P$6)</f>
        <v>15.749075819849597</v>
      </c>
      <c r="H134">
        <f t="shared" si="146"/>
        <v>15.096021185783396</v>
      </c>
      <c r="I134">
        <f t="shared" si="146"/>
        <v>14.47929080432144</v>
      </c>
      <c r="J134">
        <f t="shared" si="146"/>
        <v>13.511960791874955</v>
      </c>
      <c r="K134">
        <f t="shared" si="146"/>
        <v>8.326611701595855</v>
      </c>
      <c r="L134">
        <f t="shared" si="141"/>
        <v>28.180105243347676</v>
      </c>
      <c r="M134">
        <f t="shared" si="142"/>
        <v>0.15989475665232433</v>
      </c>
      <c r="N134">
        <f t="shared" si="143"/>
        <v>2.5566333204906016E-2</v>
      </c>
    </row>
    <row r="135" spans="1:14" x14ac:dyDescent="0.45">
      <c r="A135" s="22">
        <v>42677</v>
      </c>
      <c r="B135">
        <v>28.17</v>
      </c>
      <c r="C135">
        <v>28.06</v>
      </c>
      <c r="G135">
        <f t="shared" ref="G135:K135" si="147">SUMPRODUCT($B135:$B139,P$2:P$6)</f>
        <v>15.788305010718707</v>
      </c>
      <c r="H135">
        <f t="shared" si="147"/>
        <v>15.133624180251214</v>
      </c>
      <c r="I135">
        <f t="shared" si="147"/>
        <v>14.515357840243398</v>
      </c>
      <c r="J135">
        <f t="shared" si="147"/>
        <v>13.545619145012379</v>
      </c>
      <c r="K135">
        <f t="shared" si="147"/>
        <v>8.3473532362923724</v>
      </c>
      <c r="L135">
        <f t="shared" si="141"/>
        <v>28.249058267538953</v>
      </c>
      <c r="M135">
        <f t="shared" si="142"/>
        <v>-0.14905826753895113</v>
      </c>
      <c r="N135">
        <f t="shared" si="143"/>
        <v>2.2218367121713531E-2</v>
      </c>
    </row>
    <row r="136" spans="1:14" x14ac:dyDescent="0.45">
      <c r="A136" s="22">
        <v>42676</v>
      </c>
      <c r="B136">
        <v>28.24</v>
      </c>
      <c r="C136">
        <v>28.26</v>
      </c>
      <c r="G136">
        <f t="shared" ref="G136:K136" si="148">SUMPRODUCT($B136:$B140,P$2:P$6)</f>
        <v>15.83162833141205</v>
      </c>
      <c r="H136">
        <f t="shared" si="148"/>
        <v>15.174559388116638</v>
      </c>
      <c r="I136">
        <f t="shared" si="148"/>
        <v>14.55414515761411</v>
      </c>
      <c r="J136">
        <f t="shared" si="148"/>
        <v>13.580859861597865</v>
      </c>
      <c r="K136">
        <f t="shared" si="148"/>
        <v>8.369143511380031</v>
      </c>
      <c r="L136">
        <f t="shared" si="141"/>
        <v>28.323413645807303</v>
      </c>
      <c r="M136">
        <f t="shared" si="142"/>
        <v>-0.15341364580730144</v>
      </c>
      <c r="N136">
        <f t="shared" si="143"/>
        <v>2.3535746719888138E-2</v>
      </c>
    </row>
    <row r="137" spans="1:14" x14ac:dyDescent="0.45">
      <c r="A137" s="22">
        <v>42675</v>
      </c>
      <c r="B137">
        <v>28.51</v>
      </c>
      <c r="C137">
        <v>28.38</v>
      </c>
      <c r="G137">
        <f t="shared" ref="G137:K137" si="149">SUMPRODUCT($B137:$B141,P$2:P$6)</f>
        <v>15.982735110511664</v>
      </c>
      <c r="H137">
        <f t="shared" si="149"/>
        <v>15.319432169035906</v>
      </c>
      <c r="I137">
        <f t="shared" si="149"/>
        <v>14.693124853526367</v>
      </c>
      <c r="J137">
        <f t="shared" si="149"/>
        <v>13.710605507177318</v>
      </c>
      <c r="K137">
        <f t="shared" si="149"/>
        <v>8.4490941367613246</v>
      </c>
      <c r="L137">
        <f t="shared" si="141"/>
        <v>28.589104243937925</v>
      </c>
      <c r="M137">
        <f t="shared" si="142"/>
        <v>-0.34910424393792638</v>
      </c>
      <c r="N137">
        <f t="shared" si="143"/>
        <v>0.12187377313547121</v>
      </c>
    </row>
    <row r="138" spans="1:14" x14ac:dyDescent="0.45">
      <c r="A138" s="22">
        <v>42674</v>
      </c>
      <c r="B138">
        <v>28.77</v>
      </c>
      <c r="C138">
        <v>28.51</v>
      </c>
      <c r="G138">
        <f t="shared" ref="G138:K138" si="150">SUMPRODUCT($B138:$B142,P$2:P$6)</f>
        <v>16.124962440585904</v>
      </c>
      <c r="H138">
        <f t="shared" si="150"/>
        <v>15.456267326811163</v>
      </c>
      <c r="I138">
        <f t="shared" si="150"/>
        <v>14.824775890576479</v>
      </c>
      <c r="J138">
        <f t="shared" si="150"/>
        <v>13.83427702442933</v>
      </c>
      <c r="K138">
        <f t="shared" si="150"/>
        <v>8.5252426934444863</v>
      </c>
      <c r="L138">
        <f t="shared" si="141"/>
        <v>28.840622580054408</v>
      </c>
      <c r="M138">
        <f t="shared" si="142"/>
        <v>-0.33062258005440626</v>
      </c>
      <c r="N138">
        <f t="shared" si="143"/>
        <v>0.10931129044183227</v>
      </c>
    </row>
    <row r="139" spans="1:14" x14ac:dyDescent="0.45">
      <c r="A139" s="22">
        <v>42671</v>
      </c>
      <c r="B139">
        <v>28.86</v>
      </c>
      <c r="C139">
        <v>28.6</v>
      </c>
      <c r="G139">
        <f t="shared" ref="G139:K139" si="151">SUMPRODUCT($B139:$B143,P$2:P$6)</f>
        <v>16.175809225030811</v>
      </c>
      <c r="H139">
        <f t="shared" si="151"/>
        <v>15.504947040892143</v>
      </c>
      <c r="I139">
        <f t="shared" si="151"/>
        <v>14.871419822049587</v>
      </c>
      <c r="J139">
        <f t="shared" si="151"/>
        <v>13.877710203698305</v>
      </c>
      <c r="K139">
        <f t="shared" si="151"/>
        <v>8.5520152549505521</v>
      </c>
      <c r="L139">
        <f t="shared" si="141"/>
        <v>28.929816503648606</v>
      </c>
      <c r="M139">
        <f t="shared" si="142"/>
        <v>-0.15981650364860656</v>
      </c>
      <c r="N139">
        <f t="shared" si="143"/>
        <v>2.5541314838465074E-2</v>
      </c>
    </row>
    <row r="140" spans="1:14" x14ac:dyDescent="0.45">
      <c r="A140" s="22">
        <v>42670</v>
      </c>
      <c r="B140">
        <v>28.97</v>
      </c>
      <c r="C140">
        <v>28.81</v>
      </c>
      <c r="G140">
        <f t="shared" ref="G140:K140" si="152">SUMPRODUCT($B140:$B144,P$2:P$6)</f>
        <v>16.235816757226274</v>
      </c>
      <c r="H140">
        <f t="shared" si="152"/>
        <v>15.562704369559562</v>
      </c>
      <c r="I140">
        <f t="shared" si="152"/>
        <v>14.927008480204588</v>
      </c>
      <c r="J140">
        <f t="shared" si="152"/>
        <v>13.929968765125899</v>
      </c>
      <c r="K140">
        <f t="shared" si="152"/>
        <v>8.5841895990314789</v>
      </c>
      <c r="L140">
        <f t="shared" si="141"/>
        <v>29.036009835358342</v>
      </c>
      <c r="M140">
        <f t="shared" si="142"/>
        <v>-0.17600983535834303</v>
      </c>
      <c r="N140">
        <f t="shared" si="143"/>
        <v>3.097946214287102E-2</v>
      </c>
    </row>
    <row r="141" spans="1:14" x14ac:dyDescent="0.45">
      <c r="A141" s="22">
        <v>42669</v>
      </c>
      <c r="B141">
        <v>29</v>
      </c>
      <c r="C141">
        <v>28.82</v>
      </c>
      <c r="G141">
        <f t="shared" ref="G141:K141" si="153">SUMPRODUCT($B141:$B145,P$2:P$6)</f>
        <v>16.256109487293998</v>
      </c>
      <c r="H141">
        <f t="shared" si="153"/>
        <v>15.581652265015668</v>
      </c>
      <c r="I141">
        <f t="shared" si="153"/>
        <v>14.944778020545442</v>
      </c>
      <c r="J141">
        <f t="shared" si="153"/>
        <v>13.945738947211714</v>
      </c>
      <c r="K141">
        <f t="shared" si="153"/>
        <v>8.5939702575196009</v>
      </c>
      <c r="L141">
        <f t="shared" si="141"/>
        <v>29.070153270095542</v>
      </c>
      <c r="M141">
        <f t="shared" si="142"/>
        <v>-0.10015327009554298</v>
      </c>
      <c r="N141">
        <f t="shared" si="143"/>
        <v>1.0030677510830784E-2</v>
      </c>
    </row>
    <row r="142" spans="1:14" x14ac:dyDescent="0.45">
      <c r="A142" s="22">
        <v>42668</v>
      </c>
      <c r="B142">
        <v>29.2</v>
      </c>
      <c r="C142">
        <v>29.05</v>
      </c>
      <c r="G142">
        <f t="shared" ref="G142:K142" si="154">SUMPRODUCT($B142:$B146,P$2:P$6)</f>
        <v>16.365328646442943</v>
      </c>
      <c r="H142">
        <f t="shared" si="154"/>
        <v>15.686756169996356</v>
      </c>
      <c r="I142">
        <f t="shared" si="154"/>
        <v>15.045922497594049</v>
      </c>
      <c r="J142">
        <f t="shared" si="154"/>
        <v>14.040798816796878</v>
      </c>
      <c r="K142">
        <f t="shared" si="154"/>
        <v>8.6524976669501346</v>
      </c>
      <c r="L142">
        <f t="shared" si="141"/>
        <v>29.263381038726152</v>
      </c>
      <c r="M142">
        <f t="shared" si="142"/>
        <v>-0.26338103872615193</v>
      </c>
      <c r="N142">
        <f t="shared" si="143"/>
        <v>6.9369571560466747E-2</v>
      </c>
    </row>
    <row r="143" spans="1:14" x14ac:dyDescent="0.45">
      <c r="A143" s="22">
        <v>42667</v>
      </c>
      <c r="B143">
        <v>29.26</v>
      </c>
      <c r="C143">
        <v>29.22</v>
      </c>
      <c r="G143">
        <f t="shared" ref="G143:K143" si="155">SUMPRODUCT($B143:$B147,P$2:P$6)</f>
        <v>16.393633152663799</v>
      </c>
      <c r="H143">
        <f t="shared" si="155"/>
        <v>15.714655854397121</v>
      </c>
      <c r="I143">
        <f t="shared" si="155"/>
        <v>15.073300733929486</v>
      </c>
      <c r="J143">
        <f t="shared" si="155"/>
        <v>14.06759183628483</v>
      </c>
      <c r="K143">
        <f t="shared" si="155"/>
        <v>8.6689127627529512</v>
      </c>
      <c r="L143">
        <f t="shared" si="141"/>
        <v>29.315461625161934</v>
      </c>
      <c r="M143">
        <f t="shared" si="142"/>
        <v>-0.11546162516193448</v>
      </c>
      <c r="N143">
        <f t="shared" si="143"/>
        <v>1.3331386885035061E-2</v>
      </c>
    </row>
    <row r="144" spans="1:14" x14ac:dyDescent="0.45">
      <c r="A144" s="22">
        <v>42664</v>
      </c>
      <c r="B144">
        <v>29.06</v>
      </c>
      <c r="C144">
        <v>29.06</v>
      </c>
      <c r="G144">
        <f t="shared" ref="G144:K144" si="156">SUMPRODUCT($B144:$B148,P$2:P$6)</f>
        <v>16.294652749799667</v>
      </c>
      <c r="H144">
        <f t="shared" si="156"/>
        <v>15.617884025881297</v>
      </c>
      <c r="I144">
        <f t="shared" si="156"/>
        <v>14.978956960502771</v>
      </c>
      <c r="J144">
        <f t="shared" si="156"/>
        <v>13.976489490938764</v>
      </c>
      <c r="K144">
        <f t="shared" si="156"/>
        <v>8.6130072043002706</v>
      </c>
      <c r="L144">
        <f t="shared" si="141"/>
        <v>29.135742630083726</v>
      </c>
      <c r="M144">
        <f t="shared" si="142"/>
        <v>0.12425736991627545</v>
      </c>
      <c r="N144">
        <f t="shared" si="143"/>
        <v>1.5439893978510115E-2</v>
      </c>
    </row>
    <row r="145" spans="1:14" x14ac:dyDescent="0.45">
      <c r="A145" s="22">
        <v>42663</v>
      </c>
      <c r="B145">
        <v>29.5</v>
      </c>
      <c r="C145">
        <v>29.02</v>
      </c>
      <c r="G145">
        <f t="shared" ref="G145:K145" si="157">SUMPRODUCT($B145:$B149,P$2:P$6)</f>
        <v>16.581562509493313</v>
      </c>
      <c r="H145">
        <f t="shared" si="157"/>
        <v>15.887067159614915</v>
      </c>
      <c r="I145">
        <f t="shared" si="157"/>
        <v>15.232458815711048</v>
      </c>
      <c r="J145">
        <f t="shared" si="157"/>
        <v>14.203641701005608</v>
      </c>
      <c r="K145">
        <f t="shared" si="157"/>
        <v>8.7537126581025539</v>
      </c>
      <c r="L145">
        <f t="shared" si="141"/>
        <v>29.622373694088363</v>
      </c>
      <c r="M145">
        <f t="shared" si="142"/>
        <v>-0.56237369408836457</v>
      </c>
      <c r="N145">
        <f t="shared" si="143"/>
        <v>0.31626417180259347</v>
      </c>
    </row>
    <row r="146" spans="1:14" x14ac:dyDescent="0.45">
      <c r="A146" s="22">
        <v>42662</v>
      </c>
      <c r="B146">
        <v>31.91</v>
      </c>
      <c r="C146">
        <v>32.520000000000003</v>
      </c>
      <c r="G146">
        <f t="shared" ref="G146:K146" si="158">SUMPRODUCT($B146:$B150,P$2:P$6)</f>
        <v>17.885686105874107</v>
      </c>
      <c r="H146">
        <f t="shared" si="158"/>
        <v>17.143856524197037</v>
      </c>
      <c r="I146">
        <f t="shared" si="158"/>
        <v>16.443320143723618</v>
      </c>
      <c r="J146">
        <f t="shared" si="158"/>
        <v>15.34448796219796</v>
      </c>
      <c r="K146">
        <f t="shared" si="158"/>
        <v>9.4559108635003195</v>
      </c>
      <c r="L146">
        <f t="shared" si="141"/>
        <v>31.935000761656614</v>
      </c>
      <c r="M146">
        <f t="shared" si="142"/>
        <v>-2.4350007616566138</v>
      </c>
      <c r="N146">
        <f t="shared" si="143"/>
        <v>5.9292287092682896</v>
      </c>
    </row>
    <row r="147" spans="1:14" x14ac:dyDescent="0.45">
      <c r="A147" s="22">
        <v>42661</v>
      </c>
      <c r="B147">
        <v>32.049999999999997</v>
      </c>
      <c r="C147">
        <v>31.64</v>
      </c>
      <c r="G147">
        <f t="shared" ref="G147:K147" si="159">SUMPRODUCT($B147:$B151,P$2:P$6)</f>
        <v>17.968237610777532</v>
      </c>
      <c r="H147">
        <f t="shared" si="159"/>
        <v>17.222393984745459</v>
      </c>
      <c r="I147">
        <f t="shared" si="159"/>
        <v>16.518174497016293</v>
      </c>
      <c r="J147">
        <f t="shared" si="159"/>
        <v>15.413386515441262</v>
      </c>
      <c r="K147">
        <f t="shared" si="159"/>
        <v>9.4984426732844955</v>
      </c>
      <c r="L147">
        <f t="shared" si="141"/>
        <v>32.078308172419064</v>
      </c>
      <c r="M147">
        <f t="shared" si="142"/>
        <v>-0.1683081724190636</v>
      </c>
      <c r="N147">
        <f t="shared" si="143"/>
        <v>2.832764090304524E-2</v>
      </c>
    </row>
    <row r="148" spans="1:14" x14ac:dyDescent="0.45">
      <c r="A148" s="22">
        <v>42660</v>
      </c>
      <c r="B148">
        <v>32.39</v>
      </c>
      <c r="C148">
        <v>31.81</v>
      </c>
      <c r="G148">
        <f t="shared" ref="G148:K148" si="160">SUMPRODUCT($B148:$B152,P$2:P$6)</f>
        <v>18.140149122932204</v>
      </c>
      <c r="H148">
        <f t="shared" si="160"/>
        <v>17.389874276756181</v>
      </c>
      <c r="I148">
        <f t="shared" si="160"/>
        <v>16.680979962331101</v>
      </c>
      <c r="J148">
        <f t="shared" si="160"/>
        <v>15.56967009353569</v>
      </c>
      <c r="K148">
        <f t="shared" si="160"/>
        <v>9.5944155016021675</v>
      </c>
      <c r="L148">
        <f t="shared" si="141"/>
        <v>32.3886406646455</v>
      </c>
      <c r="M148">
        <f t="shared" si="142"/>
        <v>-0.33864066464550291</v>
      </c>
      <c r="N148">
        <f t="shared" si="143"/>
        <v>0.11467749975154796</v>
      </c>
    </row>
    <row r="149" spans="1:14" x14ac:dyDescent="0.45">
      <c r="A149" s="22">
        <v>42657</v>
      </c>
      <c r="B149">
        <v>31.82</v>
      </c>
      <c r="C149">
        <v>31.89</v>
      </c>
      <c r="G149">
        <f t="shared" ref="G149:K149" si="161">SUMPRODUCT($B149:$B153,P$2:P$6)</f>
        <v>17.831769191515892</v>
      </c>
      <c r="H149">
        <f t="shared" si="161"/>
        <v>17.092677007118066</v>
      </c>
      <c r="I149">
        <f t="shared" si="161"/>
        <v>16.394636001163946</v>
      </c>
      <c r="J149">
        <f t="shared" si="161"/>
        <v>15.299867948662683</v>
      </c>
      <c r="K149">
        <f t="shared" si="161"/>
        <v>9.4283517467008977</v>
      </c>
      <c r="L149">
        <f t="shared" si="141"/>
        <v>31.841754976039773</v>
      </c>
      <c r="M149">
        <f t="shared" si="142"/>
        <v>0.54824502396022723</v>
      </c>
      <c r="N149">
        <f t="shared" si="143"/>
        <v>0.3005726062971501</v>
      </c>
    </row>
    <row r="150" spans="1:14" x14ac:dyDescent="0.45">
      <c r="A150" s="22">
        <v>42656</v>
      </c>
      <c r="B150">
        <v>31.79</v>
      </c>
      <c r="C150">
        <v>31.51</v>
      </c>
      <c r="G150">
        <f t="shared" ref="G150:K150" si="162">SUMPRODUCT($B150:$B154,P$2:P$6)</f>
        <v>17.805130853029997</v>
      </c>
      <c r="H150">
        <f t="shared" si="162"/>
        <v>17.068564567436471</v>
      </c>
      <c r="I150">
        <f t="shared" si="162"/>
        <v>16.372650024577517</v>
      </c>
      <c r="J150">
        <f t="shared" si="162"/>
        <v>15.281645552996217</v>
      </c>
      <c r="K150">
        <f t="shared" si="162"/>
        <v>9.4169455406065072</v>
      </c>
      <c r="L150">
        <f t="shared" si="141"/>
        <v>31.799238378322382</v>
      </c>
      <c r="M150">
        <f t="shared" si="142"/>
        <v>2.0761621677618081E-2</v>
      </c>
      <c r="N150">
        <f t="shared" si="143"/>
        <v>4.3104493468454103E-4</v>
      </c>
    </row>
    <row r="151" spans="1:14" x14ac:dyDescent="0.45">
      <c r="A151" s="22">
        <v>42655</v>
      </c>
      <c r="B151">
        <v>31.28</v>
      </c>
      <c r="C151">
        <v>31.5</v>
      </c>
      <c r="G151">
        <f t="shared" ref="G151:K151" si="163">SUMPRODUCT($B151:$B155,P$2:P$6)</f>
        <v>17.543681463445022</v>
      </c>
      <c r="H151">
        <f t="shared" si="163"/>
        <v>16.814428336810003</v>
      </c>
      <c r="I151">
        <f t="shared" si="163"/>
        <v>16.126061580337648</v>
      </c>
      <c r="J151">
        <f t="shared" si="163"/>
        <v>15.04583602582481</v>
      </c>
      <c r="K151">
        <f t="shared" si="163"/>
        <v>9.2720686502877516</v>
      </c>
      <c r="L151">
        <f t="shared" si="141"/>
        <v>31.329012809747908</v>
      </c>
      <c r="M151">
        <f t="shared" si="142"/>
        <v>0.46098719025209078</v>
      </c>
      <c r="N151">
        <f t="shared" si="143"/>
        <v>0.21250918957651735</v>
      </c>
    </row>
    <row r="152" spans="1:14" x14ac:dyDescent="0.45">
      <c r="A152" s="22">
        <v>42654</v>
      </c>
      <c r="B152">
        <v>31.96</v>
      </c>
      <c r="C152">
        <v>31.46</v>
      </c>
      <c r="G152">
        <f t="shared" ref="G152:K152" si="164">SUMPRODUCT($B152:$B156,P$2:P$6)</f>
        <v>17.911865151163617</v>
      </c>
      <c r="H152">
        <f t="shared" si="164"/>
        <v>17.169216106154764</v>
      </c>
      <c r="I152">
        <f t="shared" si="164"/>
        <v>16.467858185587364</v>
      </c>
      <c r="J152">
        <f t="shared" si="164"/>
        <v>15.367817768909799</v>
      </c>
      <c r="K152">
        <f t="shared" si="164"/>
        <v>9.4702543122503897</v>
      </c>
      <c r="L152">
        <f t="shared" si="141"/>
        <v>31.981822100214451</v>
      </c>
      <c r="M152">
        <f t="shared" si="142"/>
        <v>-0.70182210021445002</v>
      </c>
      <c r="N152">
        <f t="shared" si="143"/>
        <v>0.49255426034942151</v>
      </c>
    </row>
    <row r="153" spans="1:14" x14ac:dyDescent="0.45">
      <c r="A153" s="22">
        <v>42653</v>
      </c>
      <c r="B153">
        <v>32.01</v>
      </c>
      <c r="C153">
        <v>31.95</v>
      </c>
      <c r="G153">
        <f t="shared" ref="G153:K153" si="165">SUMPRODUCT($B153:$B157,P$2:P$6)</f>
        <v>17.943775867668414</v>
      </c>
      <c r="H153">
        <f t="shared" si="165"/>
        <v>17.199240835286574</v>
      </c>
      <c r="I153">
        <f t="shared" si="165"/>
        <v>16.496204621479368</v>
      </c>
      <c r="J153">
        <f t="shared" si="165"/>
        <v>15.393362741039525</v>
      </c>
      <c r="K153">
        <f t="shared" si="165"/>
        <v>9.4860659975480583</v>
      </c>
      <c r="L153">
        <f t="shared" si="141"/>
        <v>32.0362066472291</v>
      </c>
      <c r="M153">
        <f t="shared" si="142"/>
        <v>-7.6206647229099644E-2</v>
      </c>
      <c r="N153">
        <f t="shared" si="143"/>
        <v>5.8074530819004402E-3</v>
      </c>
    </row>
    <row r="154" spans="1:14" x14ac:dyDescent="0.45">
      <c r="A154" s="22">
        <v>42650</v>
      </c>
      <c r="B154">
        <v>32.25</v>
      </c>
      <c r="C154">
        <v>31.62</v>
      </c>
      <c r="G154">
        <f t="shared" ref="G154:K154" si="166">SUMPRODUCT($B154:$B158,P$2:P$6)</f>
        <v>18.070699429955532</v>
      </c>
      <c r="H154">
        <f t="shared" si="166"/>
        <v>17.322000242610034</v>
      </c>
      <c r="I154">
        <f t="shared" si="166"/>
        <v>16.614830509674448</v>
      </c>
      <c r="J154">
        <f t="shared" si="166"/>
        <v>15.505834560520011</v>
      </c>
      <c r="K154">
        <f t="shared" si="166"/>
        <v>9.5552396610696473</v>
      </c>
      <c r="L154">
        <f t="shared" si="141"/>
        <v>32.262620985640055</v>
      </c>
      <c r="M154">
        <f t="shared" si="142"/>
        <v>-0.25262098564005697</v>
      </c>
      <c r="N154">
        <f t="shared" si="143"/>
        <v>6.3817362385753876E-2</v>
      </c>
    </row>
    <row r="155" spans="1:14" x14ac:dyDescent="0.45">
      <c r="A155" s="22">
        <v>42649</v>
      </c>
      <c r="B155">
        <v>32.119999999999997</v>
      </c>
      <c r="C155">
        <v>32.130000000000003</v>
      </c>
      <c r="G155">
        <f t="shared" ref="G155:K155" si="167">SUMPRODUCT($B155:$B159,P$2:P$6)</f>
        <v>18.006238894768554</v>
      </c>
      <c r="H155">
        <f t="shared" si="167"/>
        <v>17.258997575390051</v>
      </c>
      <c r="I155">
        <f t="shared" si="167"/>
        <v>16.553425448503621</v>
      </c>
      <c r="J155">
        <f t="shared" si="167"/>
        <v>15.446570776958911</v>
      </c>
      <c r="K155">
        <f t="shared" si="167"/>
        <v>9.5188695858636692</v>
      </c>
      <c r="L155">
        <f t="shared" si="141"/>
        <v>32.145641006937495</v>
      </c>
      <c r="M155">
        <f t="shared" si="142"/>
        <v>0.10435899306250462</v>
      </c>
      <c r="N155">
        <f t="shared" si="143"/>
        <v>1.0890799433019889E-2</v>
      </c>
    </row>
    <row r="156" spans="1:14" x14ac:dyDescent="0.45">
      <c r="A156" s="22">
        <v>42648</v>
      </c>
      <c r="B156">
        <v>32.4</v>
      </c>
      <c r="C156">
        <v>32.15</v>
      </c>
      <c r="G156">
        <f t="shared" ref="G156:K156" si="168">SUMPRODUCT($B156:$B160,P$2:P$6)</f>
        <v>18.163770110787095</v>
      </c>
      <c r="H156">
        <f t="shared" si="168"/>
        <v>17.409907866259754</v>
      </c>
      <c r="I156">
        <f t="shared" si="168"/>
        <v>16.698101634408765</v>
      </c>
      <c r="J156">
        <f t="shared" si="168"/>
        <v>15.581441183113535</v>
      </c>
      <c r="K156">
        <f t="shared" si="168"/>
        <v>9.6019930357084089</v>
      </c>
      <c r="L156">
        <f t="shared" si="141"/>
        <v>32.422262792509883</v>
      </c>
      <c r="M156">
        <f t="shared" si="142"/>
        <v>-0.30226279250988597</v>
      </c>
      <c r="N156">
        <f t="shared" si="143"/>
        <v>9.1362795735874372E-2</v>
      </c>
    </row>
    <row r="157" spans="1:14" x14ac:dyDescent="0.45">
      <c r="A157" s="22">
        <v>42647</v>
      </c>
      <c r="B157">
        <v>32.71</v>
      </c>
      <c r="C157">
        <v>32.56</v>
      </c>
      <c r="G157">
        <f t="shared" ref="G157:K157" si="169">SUMPRODUCT($B157:$B161,P$2:P$6)</f>
        <v>18.302286777479434</v>
      </c>
      <c r="H157">
        <f t="shared" si="169"/>
        <v>17.547778003835134</v>
      </c>
      <c r="I157">
        <f t="shared" si="169"/>
        <v>16.834432658746696</v>
      </c>
      <c r="J157">
        <f t="shared" si="169"/>
        <v>15.716890669224552</v>
      </c>
      <c r="K157">
        <f t="shared" si="169"/>
        <v>9.6848292362863067</v>
      </c>
      <c r="L157">
        <f t="shared" si="141"/>
        <v>32.681164130619656</v>
      </c>
      <c r="M157">
        <f t="shared" si="142"/>
        <v>-0.28116413061965773</v>
      </c>
      <c r="N157">
        <f t="shared" si="143"/>
        <v>7.9053268347107949E-2</v>
      </c>
    </row>
    <row r="158" spans="1:14" x14ac:dyDescent="0.45">
      <c r="A158" s="22">
        <v>42646</v>
      </c>
      <c r="B158">
        <v>31.3</v>
      </c>
      <c r="C158">
        <v>32.549999999999997</v>
      </c>
      <c r="G158">
        <f t="shared" ref="G158:K158" si="170">SUMPRODUCT($B158:$B162,P$2:P$6)</f>
        <v>17.565329516875508</v>
      </c>
      <c r="H158">
        <f t="shared" si="170"/>
        <v>16.833669810587004</v>
      </c>
      <c r="I158">
        <f t="shared" si="170"/>
        <v>16.143303165438251</v>
      </c>
      <c r="J158">
        <f t="shared" si="170"/>
        <v>15.059487721296948</v>
      </c>
      <c r="K158">
        <f t="shared" si="170"/>
        <v>9.2806690910555965</v>
      </c>
      <c r="L158">
        <f t="shared" si="141"/>
        <v>31.362489802624374</v>
      </c>
      <c r="M158">
        <f t="shared" si="142"/>
        <v>1.3475101973756267</v>
      </c>
      <c r="N158">
        <f t="shared" si="143"/>
        <v>1.8157837320313004</v>
      </c>
    </row>
    <row r="159" spans="1:14" x14ac:dyDescent="0.45">
      <c r="A159" s="22">
        <v>42643</v>
      </c>
      <c r="B159">
        <v>32.49</v>
      </c>
      <c r="C159">
        <v>32.9</v>
      </c>
      <c r="G159">
        <f t="shared" ref="G159:K159" si="171">SUMPRODUCT($B159:$B163,P$2:P$6)</f>
        <v>18.219118642622803</v>
      </c>
      <c r="H159">
        <f t="shared" si="171"/>
        <v>17.46225329903465</v>
      </c>
      <c r="I159">
        <f t="shared" si="171"/>
        <v>16.747737875475508</v>
      </c>
      <c r="J159">
        <f t="shared" si="171"/>
        <v>15.626614515755625</v>
      </c>
      <c r="K159">
        <f t="shared" si="171"/>
        <v>9.6299192116447312</v>
      </c>
      <c r="L159">
        <f t="shared" si="141"/>
        <v>32.517398436785435</v>
      </c>
      <c r="M159">
        <f t="shared" si="142"/>
        <v>-1.2173984367854338</v>
      </c>
      <c r="N159">
        <f t="shared" si="143"/>
        <v>1.4820589538876179</v>
      </c>
    </row>
    <row r="160" spans="1:14" x14ac:dyDescent="0.45">
      <c r="A160" s="22">
        <v>42642</v>
      </c>
      <c r="B160">
        <v>33.04</v>
      </c>
      <c r="C160">
        <v>32.299999999999997</v>
      </c>
      <c r="G160">
        <f t="shared" ref="G160:K160" si="172">SUMPRODUCT($B160:$B164,P$2:P$6)</f>
        <v>18.493772977093261</v>
      </c>
      <c r="H160">
        <f t="shared" si="172"/>
        <v>17.730379270530495</v>
      </c>
      <c r="I160">
        <f t="shared" si="172"/>
        <v>17.008815421268221</v>
      </c>
      <c r="J160">
        <f t="shared" si="172"/>
        <v>15.878097138999252</v>
      </c>
      <c r="K160">
        <f t="shared" si="172"/>
        <v>9.7842887416242856</v>
      </c>
      <c r="L160">
        <f t="shared" si="141"/>
        <v>33.014870400779124</v>
      </c>
      <c r="M160">
        <f t="shared" si="142"/>
        <v>-0.52487040077912184</v>
      </c>
      <c r="N160">
        <f t="shared" si="143"/>
        <v>0.27548893761403598</v>
      </c>
    </row>
    <row r="161" spans="1:14" x14ac:dyDescent="0.45">
      <c r="A161" s="22">
        <v>42641</v>
      </c>
      <c r="B161">
        <v>31.95</v>
      </c>
      <c r="C161">
        <v>31.85</v>
      </c>
      <c r="G161">
        <f t="shared" ref="G161:K161" si="173">SUMPRODUCT($B161:$B165,P$2:P$6)</f>
        <v>17.902166550840157</v>
      </c>
      <c r="H161">
        <f t="shared" si="173"/>
        <v>17.160511828463296</v>
      </c>
      <c r="I161">
        <f t="shared" si="173"/>
        <v>16.45998547043547</v>
      </c>
      <c r="J161">
        <f t="shared" si="173"/>
        <v>15.361426851905</v>
      </c>
      <c r="K161">
        <f t="shared" si="173"/>
        <v>9.466242495474031</v>
      </c>
      <c r="L161">
        <f t="shared" si="141"/>
        <v>31.966568998236401</v>
      </c>
      <c r="M161">
        <f t="shared" si="142"/>
        <v>1.0734310017635984</v>
      </c>
      <c r="N161">
        <f t="shared" si="143"/>
        <v>1.1522541155472024</v>
      </c>
    </row>
    <row r="162" spans="1:14" x14ac:dyDescent="0.45">
      <c r="A162" s="22">
        <v>42640</v>
      </c>
      <c r="B162">
        <v>31.8</v>
      </c>
      <c r="C162">
        <v>31.94</v>
      </c>
      <c r="G162">
        <f t="shared" ref="G162:K162" si="174">SUMPRODUCT($B162:$B166,P$2:P$6)</f>
        <v>17.822812420558826</v>
      </c>
      <c r="H162">
        <f t="shared" si="174"/>
        <v>17.083766719387427</v>
      </c>
      <c r="I162">
        <f t="shared" si="174"/>
        <v>16.385827288554488</v>
      </c>
      <c r="J162">
        <f t="shared" si="174"/>
        <v>15.291121573873268</v>
      </c>
      <c r="K162">
        <f t="shared" si="174"/>
        <v>9.4230024011455953</v>
      </c>
      <c r="L162">
        <f t="shared" si="141"/>
        <v>31.825025625326614</v>
      </c>
      <c r="M162">
        <f t="shared" si="142"/>
        <v>0.12497437467338557</v>
      </c>
      <c r="N162">
        <f t="shared" si="143"/>
        <v>1.5618594325003756E-2</v>
      </c>
    </row>
    <row r="163" spans="1:14" x14ac:dyDescent="0.45">
      <c r="A163" s="22">
        <v>42639</v>
      </c>
      <c r="B163">
        <v>31.88</v>
      </c>
      <c r="C163">
        <v>31.67</v>
      </c>
      <c r="G163">
        <f t="shared" ref="G163:K163" si="175">SUMPRODUCT($B163:$B167,P$2:P$6)</f>
        <v>17.87419600385163</v>
      </c>
      <c r="H163">
        <f t="shared" si="175"/>
        <v>17.132072693789535</v>
      </c>
      <c r="I163">
        <f t="shared" si="175"/>
        <v>16.431399208497595</v>
      </c>
      <c r="J163">
        <f t="shared" si="175"/>
        <v>15.332119970682532</v>
      </c>
      <c r="K163">
        <f t="shared" si="175"/>
        <v>9.4483849968531537</v>
      </c>
      <c r="L163">
        <f t="shared" si="141"/>
        <v>31.912472460116273</v>
      </c>
      <c r="M163">
        <f t="shared" si="142"/>
        <v>-0.11247246011627254</v>
      </c>
      <c r="N163">
        <f t="shared" si="143"/>
        <v>1.2650054284606518E-2</v>
      </c>
    </row>
    <row r="164" spans="1:14" x14ac:dyDescent="0.45">
      <c r="A164" s="22">
        <v>42636</v>
      </c>
      <c r="B164">
        <v>32.28</v>
      </c>
      <c r="C164">
        <v>32.07</v>
      </c>
      <c r="G164">
        <f t="shared" ref="G164:K164" si="176">SUMPRODUCT($B164:$B168,P$2:P$6)</f>
        <v>18.084850144545321</v>
      </c>
      <c r="H164">
        <f t="shared" si="176"/>
        <v>17.335949093514795</v>
      </c>
      <c r="I164">
        <f t="shared" si="176"/>
        <v>16.628519627842167</v>
      </c>
      <c r="J164">
        <f t="shared" si="176"/>
        <v>15.519231078797908</v>
      </c>
      <c r="K164">
        <f t="shared" si="176"/>
        <v>9.5634472089710556</v>
      </c>
      <c r="L164">
        <f t="shared" si="141"/>
        <v>32.288660151689278</v>
      </c>
      <c r="M164">
        <f t="shared" si="142"/>
        <v>-0.40866015168927916</v>
      </c>
      <c r="N164">
        <f t="shared" si="143"/>
        <v>0.16700311957870465</v>
      </c>
    </row>
    <row r="165" spans="1:14" x14ac:dyDescent="0.45">
      <c r="A165" s="22">
        <v>42635</v>
      </c>
      <c r="B165">
        <v>32.020000000000003</v>
      </c>
      <c r="C165">
        <v>32.28</v>
      </c>
      <c r="G165">
        <f t="shared" ref="G165:K165" si="177">SUMPRODUCT($B165:$B169,P$2:P$6)</f>
        <v>17.935048600258892</v>
      </c>
      <c r="H165">
        <f t="shared" si="177"/>
        <v>17.192949481330007</v>
      </c>
      <c r="I165">
        <f t="shared" si="177"/>
        <v>16.491836070111855</v>
      </c>
      <c r="J165">
        <f t="shared" si="177"/>
        <v>15.392632301211915</v>
      </c>
      <c r="K165">
        <f t="shared" si="177"/>
        <v>9.485358482564278</v>
      </c>
      <c r="L165">
        <f t="shared" si="141"/>
        <v>32.027147534519571</v>
      </c>
      <c r="M165">
        <f t="shared" si="142"/>
        <v>0.25285246548043006</v>
      </c>
      <c r="N165">
        <f t="shared" si="143"/>
        <v>6.3934369299532071E-2</v>
      </c>
    </row>
    <row r="166" spans="1:14" x14ac:dyDescent="0.45">
      <c r="A166" s="22">
        <v>42634</v>
      </c>
      <c r="B166">
        <v>31.56</v>
      </c>
      <c r="C166">
        <v>31.97</v>
      </c>
      <c r="G166">
        <f t="shared" ref="G166:K166" si="178">SUMPRODUCT($B166:$B170,P$2:P$6)</f>
        <v>17.690565163827273</v>
      </c>
      <c r="H166">
        <f t="shared" si="178"/>
        <v>16.956675274564372</v>
      </c>
      <c r="I166">
        <f t="shared" si="178"/>
        <v>16.26366503447602</v>
      </c>
      <c r="J166">
        <f t="shared" si="178"/>
        <v>15.176592103423941</v>
      </c>
      <c r="K166">
        <f t="shared" si="178"/>
        <v>9.3524653751155213</v>
      </c>
      <c r="L166">
        <f t="shared" si="141"/>
        <v>31.591587321019883</v>
      </c>
      <c r="M166">
        <f t="shared" si="142"/>
        <v>0.42841267898011992</v>
      </c>
      <c r="N166">
        <f t="shared" si="143"/>
        <v>0.18353742351092328</v>
      </c>
    </row>
    <row r="167" spans="1:14" x14ac:dyDescent="0.45">
      <c r="A167" s="22">
        <v>42633</v>
      </c>
      <c r="B167">
        <v>31.75</v>
      </c>
      <c r="C167">
        <v>31.36</v>
      </c>
      <c r="G167">
        <f t="shared" ref="G167:K167" si="179">SUMPRODUCT($B167:$B171,P$2:P$6)</f>
        <v>17.79438259594621</v>
      </c>
      <c r="H167">
        <f t="shared" si="179"/>
        <v>17.05657396425784</v>
      </c>
      <c r="I167">
        <f t="shared" si="179"/>
        <v>16.359793091893927</v>
      </c>
      <c r="J167">
        <f t="shared" si="179"/>
        <v>15.26692184858552</v>
      </c>
      <c r="K167">
        <f t="shared" si="179"/>
        <v>9.408082145180396</v>
      </c>
      <c r="L167">
        <f t="shared" si="141"/>
        <v>31.775233395775004</v>
      </c>
      <c r="M167">
        <f t="shared" si="142"/>
        <v>-0.21523339577500522</v>
      </c>
      <c r="N167">
        <f t="shared" si="143"/>
        <v>4.6325414656840036E-2</v>
      </c>
    </row>
    <row r="168" spans="1:14" x14ac:dyDescent="0.45">
      <c r="A168" s="22">
        <v>42632</v>
      </c>
      <c r="B168">
        <v>31.81</v>
      </c>
      <c r="C168">
        <v>31.57</v>
      </c>
      <c r="G168">
        <f t="shared" ref="G168:K168" si="180">SUMPRODUCT($B168:$B172,P$2:P$6)</f>
        <v>17.824732313839181</v>
      </c>
      <c r="H168">
        <f t="shared" si="180"/>
        <v>17.086139197111603</v>
      </c>
      <c r="I168">
        <f t="shared" si="180"/>
        <v>16.388531468953744</v>
      </c>
      <c r="J168">
        <f t="shared" si="180"/>
        <v>15.294505950336013</v>
      </c>
      <c r="K168">
        <f t="shared" si="180"/>
        <v>9.4250216111787832</v>
      </c>
      <c r="L168">
        <f t="shared" si="141"/>
        <v>31.83001403602794</v>
      </c>
      <c r="M168">
        <f t="shared" si="142"/>
        <v>-8.0014036027939994E-2</v>
      </c>
      <c r="N168">
        <f t="shared" si="143"/>
        <v>6.4022459614804794E-3</v>
      </c>
    </row>
    <row r="169" spans="1:14" x14ac:dyDescent="0.45">
      <c r="A169" s="22">
        <v>42629</v>
      </c>
      <c r="B169">
        <v>31.71</v>
      </c>
      <c r="C169">
        <v>31.77</v>
      </c>
      <c r="G169">
        <f t="shared" ref="G169:K169" si="181">SUMPRODUCT($B169:$B173,P$2:P$6)</f>
        <v>17.771351961820081</v>
      </c>
      <c r="H169">
        <f t="shared" si="181"/>
        <v>17.034587108879307</v>
      </c>
      <c r="I169">
        <f t="shared" si="181"/>
        <v>16.338775314864069</v>
      </c>
      <c r="J169">
        <f t="shared" si="181"/>
        <v>15.247451085525947</v>
      </c>
      <c r="K169">
        <f t="shared" si="181"/>
        <v>9.3960725285808575</v>
      </c>
      <c r="L169">
        <f t="shared" si="141"/>
        <v>31.735021540021592</v>
      </c>
      <c r="M169">
        <f t="shared" si="142"/>
        <v>7.497845997840713E-2</v>
      </c>
      <c r="N169">
        <f t="shared" si="143"/>
        <v>5.6217694607336001E-3</v>
      </c>
    </row>
    <row r="170" spans="1:14" x14ac:dyDescent="0.45">
      <c r="A170" s="22">
        <v>42628</v>
      </c>
      <c r="B170">
        <v>31.74</v>
      </c>
      <c r="C170">
        <v>31.98</v>
      </c>
      <c r="G170">
        <f t="shared" ref="G170:K170" si="182">SUMPRODUCT($B170:$B174,P$2:P$6)</f>
        <v>17.794305992485992</v>
      </c>
      <c r="H170">
        <f t="shared" si="182"/>
        <v>17.055700938129771</v>
      </c>
      <c r="I170">
        <f t="shared" si="182"/>
        <v>16.358313038146612</v>
      </c>
      <c r="J170">
        <f t="shared" si="182"/>
        <v>15.26424994412443</v>
      </c>
      <c r="K170">
        <f t="shared" si="182"/>
        <v>9.4065348683232219</v>
      </c>
      <c r="L170">
        <f t="shared" si="141"/>
        <v>31.772676612554626</v>
      </c>
      <c r="M170">
        <f t="shared" si="142"/>
        <v>-6.2676612554625422E-2</v>
      </c>
      <c r="N170">
        <f t="shared" si="143"/>
        <v>3.9283577613226294E-3</v>
      </c>
    </row>
    <row r="171" spans="1:14" x14ac:dyDescent="0.45">
      <c r="A171" s="22">
        <v>42627</v>
      </c>
      <c r="B171">
        <v>32.07</v>
      </c>
      <c r="C171">
        <v>31.8</v>
      </c>
      <c r="G171">
        <f t="shared" ref="G171:K171" si="183">SUMPRODUCT($B171:$B175,P$2:P$6)</f>
        <v>17.974329738812202</v>
      </c>
      <c r="H171">
        <f t="shared" si="183"/>
        <v>17.228972334578145</v>
      </c>
      <c r="I171">
        <f t="shared" si="183"/>
        <v>16.52507901261162</v>
      </c>
      <c r="J171">
        <f t="shared" si="183"/>
        <v>15.421025739649869</v>
      </c>
      <c r="K171">
        <f t="shared" si="183"/>
        <v>9.5030579005660023</v>
      </c>
      <c r="L171">
        <f t="shared" si="141"/>
        <v>32.091256913583472</v>
      </c>
      <c r="M171">
        <f t="shared" si="142"/>
        <v>-0.35125691358347311</v>
      </c>
      <c r="N171">
        <f t="shared" si="143"/>
        <v>0.1233814193401875</v>
      </c>
    </row>
    <row r="172" spans="1:14" x14ac:dyDescent="0.45">
      <c r="A172" s="22">
        <v>42626</v>
      </c>
      <c r="B172">
        <v>32.159999999999997</v>
      </c>
      <c r="C172">
        <v>31.91</v>
      </c>
      <c r="G172">
        <f t="shared" ref="G172:K172" si="184">SUMPRODUCT($B172:$B176,P$2:P$6)</f>
        <v>18.012893519494433</v>
      </c>
      <c r="H172">
        <f t="shared" si="184"/>
        <v>17.267655740297069</v>
      </c>
      <c r="I172">
        <f t="shared" si="184"/>
        <v>16.563562099738451</v>
      </c>
      <c r="J172">
        <f t="shared" si="184"/>
        <v>15.459711929480084</v>
      </c>
      <c r="K172">
        <f t="shared" si="184"/>
        <v>9.5266842408986392</v>
      </c>
      <c r="L172">
        <f t="shared" si="141"/>
        <v>32.164243684402649</v>
      </c>
      <c r="M172">
        <f t="shared" si="142"/>
        <v>-9.4243684402648853E-2</v>
      </c>
      <c r="N172">
        <f t="shared" si="143"/>
        <v>8.8818720497860788E-3</v>
      </c>
    </row>
    <row r="173" spans="1:14" x14ac:dyDescent="0.45">
      <c r="A173" s="22">
        <v>42625</v>
      </c>
      <c r="B173">
        <v>31.67</v>
      </c>
      <c r="C173">
        <v>32.49</v>
      </c>
      <c r="G173">
        <f t="shared" ref="G173:K173" si="185">SUMPRODUCT($B173:$B177,P$2:P$6)</f>
        <v>17.76367557172404</v>
      </c>
      <c r="H173">
        <f t="shared" si="185"/>
        <v>17.025096198531003</v>
      </c>
      <c r="I173">
        <f t="shared" si="185"/>
        <v>16.327958593267049</v>
      </c>
      <c r="J173">
        <f t="shared" si="185"/>
        <v>15.233914589641921</v>
      </c>
      <c r="K173">
        <f t="shared" si="185"/>
        <v>9.3879956884481039</v>
      </c>
      <c r="L173">
        <f t="shared" si="141"/>
        <v>31.715069308818009</v>
      </c>
      <c r="M173">
        <f t="shared" si="142"/>
        <v>0.44493069118198747</v>
      </c>
      <c r="N173">
        <f t="shared" si="143"/>
        <v>0.19796331995568112</v>
      </c>
    </row>
    <row r="174" spans="1:14" x14ac:dyDescent="0.45">
      <c r="A174" s="22">
        <v>42622</v>
      </c>
      <c r="B174">
        <v>32.42</v>
      </c>
      <c r="C174">
        <v>31.89</v>
      </c>
      <c r="G174">
        <f t="shared" ref="G174:K174" si="186">SUMPRODUCT($B174:$B178,P$2:P$6)</f>
        <v>18.170269002516303</v>
      </c>
      <c r="H174">
        <f t="shared" si="186"/>
        <v>17.416820106887023</v>
      </c>
      <c r="I174">
        <f t="shared" si="186"/>
        <v>16.705278178148969</v>
      </c>
      <c r="J174">
        <f t="shared" si="186"/>
        <v>15.589237992866227</v>
      </c>
      <c r="K174">
        <f t="shared" si="186"/>
        <v>9.6067131370290291</v>
      </c>
      <c r="L174">
        <f t="shared" si="141"/>
        <v>32.435750600362894</v>
      </c>
      <c r="M174">
        <f t="shared" si="142"/>
        <v>-0.76575060036289244</v>
      </c>
      <c r="N174">
        <f t="shared" si="143"/>
        <v>0.58637398195613022</v>
      </c>
    </row>
    <row r="175" spans="1:14" x14ac:dyDescent="0.45">
      <c r="A175" s="22">
        <v>42621</v>
      </c>
      <c r="B175">
        <v>32.5</v>
      </c>
      <c r="C175">
        <v>32.700000000000003</v>
      </c>
      <c r="G175">
        <f t="shared" ref="G175:K175" si="187">SUMPRODUCT($B175:$B179,P$2:P$6)</f>
        <v>18.212440677561972</v>
      </c>
      <c r="H175">
        <f t="shared" si="187"/>
        <v>17.457628620661239</v>
      </c>
      <c r="I175">
        <f t="shared" si="187"/>
        <v>16.744729464832371</v>
      </c>
      <c r="J175">
        <f t="shared" si="187"/>
        <v>15.626675936839453</v>
      </c>
      <c r="K175">
        <f t="shared" si="187"/>
        <v>9.6297360668565215</v>
      </c>
      <c r="L175">
        <f t="shared" si="141"/>
        <v>32.511042039401957</v>
      </c>
      <c r="M175">
        <f t="shared" si="142"/>
        <v>-9.1042039401955321E-2</v>
      </c>
      <c r="N175">
        <f t="shared" si="143"/>
        <v>8.2886529384671847E-3</v>
      </c>
    </row>
    <row r="176" spans="1:14" x14ac:dyDescent="0.45">
      <c r="A176" s="22">
        <v>42620</v>
      </c>
      <c r="B176">
        <v>32.450000000000003</v>
      </c>
      <c r="C176">
        <v>32.51</v>
      </c>
      <c r="G176">
        <f t="shared" ref="G176:K176" si="188">SUMPRODUCT($B176:$B180,P$2:P$6)</f>
        <v>18.180325196520986</v>
      </c>
      <c r="H176">
        <f t="shared" si="188"/>
        <v>17.427437280586339</v>
      </c>
      <c r="I176">
        <f t="shared" si="188"/>
        <v>16.716247014867932</v>
      </c>
      <c r="J176">
        <f t="shared" si="188"/>
        <v>15.601051760475928</v>
      </c>
      <c r="K176">
        <f t="shared" si="188"/>
        <v>9.6138719445392979</v>
      </c>
      <c r="L176">
        <f t="shared" si="141"/>
        <v>32.456387313183477</v>
      </c>
      <c r="M176">
        <f t="shared" si="142"/>
        <v>4.3612686816523194E-2</v>
      </c>
      <c r="N176">
        <f t="shared" si="143"/>
        <v>1.9020664513561361E-3</v>
      </c>
    </row>
    <row r="177" spans="1:14" x14ac:dyDescent="0.45">
      <c r="A177" s="22">
        <v>42619</v>
      </c>
      <c r="B177">
        <v>32.200000000000003</v>
      </c>
      <c r="C177">
        <v>32.409999999999997</v>
      </c>
      <c r="G177">
        <f t="shared" ref="G177:K177" si="189">SUMPRODUCT($B177:$B181,P$2:P$6)</f>
        <v>18.047386414535236</v>
      </c>
      <c r="H177">
        <f t="shared" si="189"/>
        <v>17.298972875104081</v>
      </c>
      <c r="I177">
        <f t="shared" si="189"/>
        <v>16.59219666482484</v>
      </c>
      <c r="J177">
        <f t="shared" si="189"/>
        <v>15.483612680150003</v>
      </c>
      <c r="K177">
        <f t="shared" si="189"/>
        <v>9.5416303305933781</v>
      </c>
      <c r="L177">
        <f t="shared" si="141"/>
        <v>32.219581321664165</v>
      </c>
      <c r="M177">
        <f t="shared" si="142"/>
        <v>0.23041867833583751</v>
      </c>
      <c r="N177">
        <f t="shared" si="143"/>
        <v>5.3092767326034157E-2</v>
      </c>
    </row>
    <row r="178" spans="1:14" x14ac:dyDescent="0.45">
      <c r="A178" s="22">
        <v>42615</v>
      </c>
      <c r="B178">
        <v>32.299999999999997</v>
      </c>
      <c r="C178">
        <v>32.28</v>
      </c>
      <c r="G178">
        <f t="shared" ref="G178:K178" si="190">SUMPRODUCT($B178:$B182,P$2:P$6)</f>
        <v>18.098309453920919</v>
      </c>
      <c r="H178">
        <f t="shared" si="190"/>
        <v>17.348525499584774</v>
      </c>
      <c r="I178">
        <f t="shared" si="190"/>
        <v>16.640320650045254</v>
      </c>
      <c r="J178">
        <f t="shared" si="190"/>
        <v>15.529717787384046</v>
      </c>
      <c r="K178">
        <f t="shared" si="190"/>
        <v>9.5699501689566162</v>
      </c>
      <c r="L178">
        <f t="shared" si="141"/>
        <v>32.311331829766779</v>
      </c>
      <c r="M178">
        <f t="shared" si="142"/>
        <v>-0.11133182976677602</v>
      </c>
      <c r="N178">
        <f t="shared" si="143"/>
        <v>1.2394776319218396E-2</v>
      </c>
    </row>
    <row r="179" spans="1:14" x14ac:dyDescent="0.45">
      <c r="A179" s="22">
        <v>42614</v>
      </c>
      <c r="B179">
        <v>32.15</v>
      </c>
      <c r="C179">
        <v>32.130000000000003</v>
      </c>
      <c r="G179">
        <f t="shared" ref="G179:K179" si="191">SUMPRODUCT($B179:$B183,P$2:P$6)</f>
        <v>18.007287230219166</v>
      </c>
      <c r="H179">
        <f t="shared" si="191"/>
        <v>17.262283125084483</v>
      </c>
      <c r="I179">
        <f t="shared" si="191"/>
        <v>16.558409666035317</v>
      </c>
      <c r="J179">
        <f t="shared" si="191"/>
        <v>15.454902934444208</v>
      </c>
      <c r="K179">
        <f t="shared" si="191"/>
        <v>9.5237211645134234</v>
      </c>
      <c r="L179">
        <f t="shared" si="141"/>
        <v>32.154391692364861</v>
      </c>
      <c r="M179">
        <f t="shared" si="142"/>
        <v>0.14560830763513621</v>
      </c>
      <c r="N179">
        <f t="shared" si="143"/>
        <v>2.1201779252368467E-2</v>
      </c>
    </row>
    <row r="180" spans="1:14" x14ac:dyDescent="0.45">
      <c r="A180" s="22">
        <v>42613</v>
      </c>
      <c r="B180">
        <v>31.66</v>
      </c>
      <c r="C180">
        <v>32.159999999999997</v>
      </c>
      <c r="G180">
        <f t="shared" ref="G180:K180" si="192">SUMPRODUCT($B180:$B184,P$2:P$6)</f>
        <v>17.738621644034627</v>
      </c>
      <c r="H180">
        <f t="shared" si="192"/>
        <v>17.003895257409994</v>
      </c>
      <c r="I180">
        <f t="shared" si="192"/>
        <v>16.309884822682314</v>
      </c>
      <c r="J180">
        <f t="shared" si="192"/>
        <v>15.221589346135282</v>
      </c>
      <c r="K180">
        <f t="shared" si="192"/>
        <v>9.3800510952049603</v>
      </c>
      <c r="L180">
        <f t="shared" si="141"/>
        <v>31.679555752959249</v>
      </c>
      <c r="M180">
        <f t="shared" si="142"/>
        <v>0.47044424704074927</v>
      </c>
      <c r="N180">
        <f t="shared" si="143"/>
        <v>0.22131778957373754</v>
      </c>
    </row>
    <row r="181" spans="1:14" x14ac:dyDescent="0.45">
      <c r="A181" s="22">
        <v>42612</v>
      </c>
      <c r="B181">
        <v>31.46</v>
      </c>
      <c r="C181">
        <v>31.77</v>
      </c>
      <c r="G181">
        <f t="shared" ref="G181:K181" si="193">SUMPRODUCT($B181:$B185,P$2:P$6)</f>
        <v>17.626333885766861</v>
      </c>
      <c r="H181">
        <f t="shared" si="193"/>
        <v>16.896292127453396</v>
      </c>
      <c r="I181">
        <f t="shared" si="193"/>
        <v>16.206700134547141</v>
      </c>
      <c r="J181">
        <f t="shared" si="193"/>
        <v>15.125343621847046</v>
      </c>
      <c r="K181">
        <f t="shared" si="193"/>
        <v>9.3207371304810707</v>
      </c>
      <c r="L181">
        <f t="shared" si="141"/>
        <v>31.482277468028958</v>
      </c>
      <c r="M181">
        <f t="shared" si="142"/>
        <v>0.17772253197104249</v>
      </c>
      <c r="N181">
        <f t="shared" si="143"/>
        <v>3.1585298370198217E-2</v>
      </c>
    </row>
    <row r="182" spans="1:14" x14ac:dyDescent="0.45">
      <c r="A182" s="22">
        <v>42611</v>
      </c>
      <c r="B182">
        <v>31.25</v>
      </c>
      <c r="C182">
        <v>31.4</v>
      </c>
      <c r="G182">
        <f t="shared" ref="G182:K182" si="194">SUMPRODUCT($B182:$B186,P$2:P$6)</f>
        <v>17.514788302380321</v>
      </c>
      <c r="H182">
        <f t="shared" si="194"/>
        <v>16.788481921977873</v>
      </c>
      <c r="I182">
        <f t="shared" si="194"/>
        <v>16.102579448954401</v>
      </c>
      <c r="J182">
        <f t="shared" si="194"/>
        <v>15.026742289725151</v>
      </c>
      <c r="K182">
        <f t="shared" si="194"/>
        <v>9.2600856369782321</v>
      </c>
      <c r="L182">
        <f t="shared" si="141"/>
        <v>31.283522561071425</v>
      </c>
      <c r="M182">
        <f t="shared" si="142"/>
        <v>0.17647743892857548</v>
      </c>
      <c r="N182">
        <f t="shared" si="143"/>
        <v>3.1144286450789087E-2</v>
      </c>
    </row>
    <row r="183" spans="1:14" x14ac:dyDescent="0.45">
      <c r="A183" s="22">
        <v>42608</v>
      </c>
      <c r="B183">
        <v>31.34</v>
      </c>
      <c r="C183">
        <v>31.31</v>
      </c>
      <c r="G183">
        <f t="shared" ref="G183:K183" si="195">SUMPRODUCT($B183:$B187,P$2:P$6)</f>
        <v>17.558060201762647</v>
      </c>
      <c r="H183">
        <f t="shared" si="195"/>
        <v>16.830996711614063</v>
      </c>
      <c r="I183">
        <f t="shared" si="195"/>
        <v>16.144190859747308</v>
      </c>
      <c r="J183">
        <f t="shared" si="195"/>
        <v>15.067247917698014</v>
      </c>
      <c r="K183">
        <f t="shared" si="195"/>
        <v>9.2849180287606838</v>
      </c>
      <c r="L183">
        <f t="shared" si="141"/>
        <v>31.362721575150371</v>
      </c>
      <c r="M183">
        <f t="shared" si="142"/>
        <v>-0.11272157515037051</v>
      </c>
      <c r="N183">
        <f t="shared" si="143"/>
        <v>1.2706153504380627E-2</v>
      </c>
    </row>
    <row r="184" spans="1:14" x14ac:dyDescent="0.45">
      <c r="A184" s="22">
        <v>42607</v>
      </c>
      <c r="B184">
        <v>31.08</v>
      </c>
      <c r="C184">
        <v>31.34</v>
      </c>
      <c r="G184">
        <f t="shared" ref="G184:K184" si="196">SUMPRODUCT($B184:$B188,P$2:P$6)</f>
        <v>17.410715057370808</v>
      </c>
      <c r="H184">
        <f t="shared" si="196"/>
        <v>16.689996248523055</v>
      </c>
      <c r="I184">
        <f t="shared" si="196"/>
        <v>16.00913947088625</v>
      </c>
      <c r="J184">
        <f t="shared" si="196"/>
        <v>14.941598554163766</v>
      </c>
      <c r="K184">
        <f t="shared" si="196"/>
        <v>9.2074585465885921</v>
      </c>
      <c r="L184">
        <f t="shared" si="141"/>
        <v>31.104450254925826</v>
      </c>
      <c r="M184">
        <f t="shared" si="142"/>
        <v>0.2355497450741737</v>
      </c>
      <c r="N184">
        <f t="shared" si="143"/>
        <v>5.5483682404508218E-2</v>
      </c>
    </row>
    <row r="185" spans="1:14" x14ac:dyDescent="0.45">
      <c r="A185" s="22">
        <v>42606</v>
      </c>
      <c r="B185">
        <v>30.74</v>
      </c>
      <c r="C185">
        <v>31.25</v>
      </c>
      <c r="G185">
        <f t="shared" ref="G185:K185" si="197">SUMPRODUCT($B185:$B189,P$2:P$6)</f>
        <v>17.225906836501473</v>
      </c>
      <c r="H185">
        <f t="shared" si="197"/>
        <v>16.512019148730264</v>
      </c>
      <c r="I185">
        <f t="shared" si="197"/>
        <v>15.837765119007859</v>
      </c>
      <c r="J185">
        <f t="shared" si="197"/>
        <v>14.780330837953084</v>
      </c>
      <c r="K185">
        <f t="shared" si="197"/>
        <v>9.1081821860388228</v>
      </c>
      <c r="L185">
        <f t="shared" si="141"/>
        <v>30.777100234960564</v>
      </c>
      <c r="M185">
        <f t="shared" si="142"/>
        <v>0.3028997650394345</v>
      </c>
      <c r="N185">
        <f t="shared" si="143"/>
        <v>9.1748267660944627E-2</v>
      </c>
    </row>
    <row r="186" spans="1:14" x14ac:dyDescent="0.45">
      <c r="A186" s="22">
        <v>42605</v>
      </c>
      <c r="B186">
        <v>30.68</v>
      </c>
      <c r="C186">
        <v>30.67</v>
      </c>
      <c r="G186">
        <f t="shared" ref="G186:K186" si="198">SUMPRODUCT($B186:$B190,P$2:P$6)</f>
        <v>17.18900706854598</v>
      </c>
      <c r="H186">
        <f t="shared" si="198"/>
        <v>16.477122399737837</v>
      </c>
      <c r="I186">
        <f t="shared" si="198"/>
        <v>15.804674291630032</v>
      </c>
      <c r="J186">
        <f t="shared" si="198"/>
        <v>14.750215178743346</v>
      </c>
      <c r="K186">
        <f t="shared" si="198"/>
        <v>9.0895647354146085</v>
      </c>
      <c r="L186">
        <f t="shared" si="141"/>
        <v>30.713676182781441</v>
      </c>
      <c r="M186">
        <f t="shared" si="142"/>
        <v>2.6323817218557366E-2</v>
      </c>
      <c r="N186">
        <f t="shared" si="143"/>
        <v>6.9294335295601729E-4</v>
      </c>
    </row>
    <row r="187" spans="1:14" x14ac:dyDescent="0.45">
      <c r="A187" s="22">
        <v>42604</v>
      </c>
      <c r="B187">
        <v>30.46</v>
      </c>
      <c r="C187">
        <v>30.62</v>
      </c>
      <c r="G187">
        <f t="shared" ref="G187:K187" si="199">SUMPRODUCT($B187:$B191,P$2:P$6)</f>
        <v>17.070220369251064</v>
      </c>
      <c r="H187">
        <f t="shared" si="199"/>
        <v>16.36260777100318</v>
      </c>
      <c r="I187">
        <f t="shared" si="199"/>
        <v>15.694313059754656</v>
      </c>
      <c r="J187">
        <f t="shared" si="199"/>
        <v>14.646172672130765</v>
      </c>
      <c r="K187">
        <f t="shared" si="199"/>
        <v>9.0255306693700987</v>
      </c>
      <c r="L187">
        <f t="shared" si="141"/>
        <v>30.502910404854646</v>
      </c>
      <c r="M187">
        <f t="shared" si="142"/>
        <v>0.17708959514535394</v>
      </c>
      <c r="N187">
        <f t="shared" si="143"/>
        <v>3.1360724708745367E-2</v>
      </c>
    </row>
    <row r="188" spans="1:14" x14ac:dyDescent="0.45">
      <c r="A188" s="22">
        <v>42601</v>
      </c>
      <c r="B188">
        <v>30.46</v>
      </c>
      <c r="C188">
        <v>30.63</v>
      </c>
      <c r="G188">
        <f t="shared" ref="G188:K188" si="200">SUMPRODUCT($B188:$B192,P$2:P$6)</f>
        <v>17.071244046899707</v>
      </c>
      <c r="H188">
        <f t="shared" si="200"/>
        <v>16.363441065375511</v>
      </c>
      <c r="I188">
        <f t="shared" si="200"/>
        <v>15.694993130116845</v>
      </c>
      <c r="J188">
        <f t="shared" si="200"/>
        <v>14.646568372401877</v>
      </c>
      <c r="K188">
        <f t="shared" si="200"/>
        <v>9.025792854467884</v>
      </c>
      <c r="L188">
        <f t="shared" si="141"/>
        <v>30.504261209557754</v>
      </c>
      <c r="M188">
        <f t="shared" si="142"/>
        <v>-4.4261209557753034E-2</v>
      </c>
      <c r="N188">
        <f t="shared" si="143"/>
        <v>1.9590546715153286E-3</v>
      </c>
    </row>
    <row r="189" spans="1:14" x14ac:dyDescent="0.45">
      <c r="A189" s="22">
        <v>42600</v>
      </c>
      <c r="B189">
        <v>30.51</v>
      </c>
      <c r="C189">
        <v>30.52</v>
      </c>
      <c r="G189">
        <f t="shared" ref="G189:K189" si="201">SUMPRODUCT($B189:$B193,P$2:P$6)</f>
        <v>17.105815788806389</v>
      </c>
      <c r="H189">
        <f t="shared" si="201"/>
        <v>16.395631819759345</v>
      </c>
      <c r="I189">
        <f t="shared" si="201"/>
        <v>15.725107748950542</v>
      </c>
      <c r="J189">
        <f t="shared" si="201"/>
        <v>14.673141862384036</v>
      </c>
      <c r="K189">
        <f t="shared" si="201"/>
        <v>9.0422862210197934</v>
      </c>
      <c r="L189">
        <f t="shared" si="141"/>
        <v>30.562157245401249</v>
      </c>
      <c r="M189">
        <f t="shared" si="142"/>
        <v>-0.10215724540124782</v>
      </c>
      <c r="N189">
        <f t="shared" si="143"/>
        <v>1.0436102787970769E-2</v>
      </c>
    </row>
    <row r="190" spans="1:14" x14ac:dyDescent="0.45">
      <c r="A190" s="22">
        <v>42599</v>
      </c>
      <c r="B190">
        <v>30.88</v>
      </c>
      <c r="C190">
        <v>30.61</v>
      </c>
      <c r="G190">
        <f t="shared" ref="G190:K190" si="202">SUMPRODUCT($B190:$B194,P$2:P$6)</f>
        <v>17.30600360798578</v>
      </c>
      <c r="H190">
        <f t="shared" si="202"/>
        <v>16.588558072850656</v>
      </c>
      <c r="I190">
        <f t="shared" si="202"/>
        <v>15.910987303431277</v>
      </c>
      <c r="J190">
        <f t="shared" si="202"/>
        <v>14.8482807118761</v>
      </c>
      <c r="K190">
        <f t="shared" si="202"/>
        <v>9.1500847515883148</v>
      </c>
      <c r="L190">
        <f t="shared" si="141"/>
        <v>30.917167671016809</v>
      </c>
      <c r="M190">
        <f t="shared" si="142"/>
        <v>-0.40716767101680773</v>
      </c>
      <c r="N190">
        <f t="shared" si="143"/>
        <v>0.16578551232125138</v>
      </c>
    </row>
    <row r="191" spans="1:14" x14ac:dyDescent="0.45">
      <c r="A191" s="22">
        <v>42598</v>
      </c>
      <c r="B191">
        <v>30.9</v>
      </c>
      <c r="C191">
        <v>30.83</v>
      </c>
      <c r="G191">
        <f t="shared" ref="G191:K191" si="203">SUMPRODUCT($B191:$B195,P$2:P$6)</f>
        <v>17.318849461073892</v>
      </c>
      <c r="H191">
        <f t="shared" si="203"/>
        <v>16.600634756572877</v>
      </c>
      <c r="I191">
        <f t="shared" si="203"/>
        <v>15.922380283417052</v>
      </c>
      <c r="J191">
        <f t="shared" si="203"/>
        <v>14.858530304641898</v>
      </c>
      <c r="K191">
        <f t="shared" si="203"/>
        <v>9.1564304005152035</v>
      </c>
      <c r="L191">
        <f t="shared" si="141"/>
        <v>30.939029441305166</v>
      </c>
      <c r="M191">
        <f t="shared" si="142"/>
        <v>-5.9029441305167296E-2</v>
      </c>
      <c r="N191">
        <f t="shared" si="143"/>
        <v>3.4844749408001908E-3</v>
      </c>
    </row>
    <row r="192" spans="1:14" x14ac:dyDescent="0.45">
      <c r="A192" s="22">
        <v>42597</v>
      </c>
      <c r="B192">
        <v>31</v>
      </c>
      <c r="C192">
        <v>31.05</v>
      </c>
      <c r="G192">
        <f t="shared" ref="G192:K192" si="204">SUMPRODUCT($B192:$B196,P$2:P$6)</f>
        <v>17.377347296838504</v>
      </c>
      <c r="H192">
        <f t="shared" si="204"/>
        <v>16.656352339892553</v>
      </c>
      <c r="I192">
        <f t="shared" si="204"/>
        <v>15.975536789317676</v>
      </c>
      <c r="J192">
        <f t="shared" si="204"/>
        <v>14.907562997282925</v>
      </c>
      <c r="K192">
        <f t="shared" si="204"/>
        <v>9.1866904086020575</v>
      </c>
      <c r="L192">
        <f t="shared" si="141"/>
        <v>31.040774847898259</v>
      </c>
      <c r="M192">
        <f t="shared" si="142"/>
        <v>-0.14077484789826045</v>
      </c>
      <c r="N192">
        <f t="shared" si="143"/>
        <v>1.9817557800778363E-2</v>
      </c>
    </row>
    <row r="193" spans="1:14" x14ac:dyDescent="0.45">
      <c r="A193" s="22">
        <v>42594</v>
      </c>
      <c r="B193">
        <v>31.22</v>
      </c>
      <c r="C193">
        <v>30.89</v>
      </c>
      <c r="G193">
        <f t="shared" ref="G193:K193" si="205">SUMPRODUCT($B193:$B197,P$2:P$6)</f>
        <v>17.495520457308793</v>
      </c>
      <c r="H193">
        <f t="shared" si="205"/>
        <v>16.770367186906405</v>
      </c>
      <c r="I193">
        <f t="shared" si="205"/>
        <v>16.085489978975737</v>
      </c>
      <c r="J193">
        <f t="shared" si="205"/>
        <v>15.011368226150939</v>
      </c>
      <c r="K193">
        <f t="shared" si="205"/>
        <v>9.2505671635878954</v>
      </c>
      <c r="L193">
        <f t="shared" si="141"/>
        <v>31.250730588516582</v>
      </c>
      <c r="M193">
        <f t="shared" si="142"/>
        <v>-0.25073058851658203</v>
      </c>
      <c r="N193">
        <f t="shared" si="143"/>
        <v>6.2865828017871578E-2</v>
      </c>
    </row>
    <row r="194" spans="1:14" x14ac:dyDescent="0.45">
      <c r="A194" s="22">
        <v>42593</v>
      </c>
      <c r="B194">
        <v>31.19</v>
      </c>
      <c r="C194">
        <v>31.2</v>
      </c>
      <c r="G194">
        <f t="shared" ref="G194:K194" si="206">SUMPRODUCT($B194:$B198,P$2:P$6)</f>
        <v>17.477684446256013</v>
      </c>
      <c r="H194">
        <f t="shared" si="206"/>
        <v>16.753418738358882</v>
      </c>
      <c r="I194">
        <f t="shared" si="206"/>
        <v>16.06935260750414</v>
      </c>
      <c r="J194">
        <f t="shared" si="206"/>
        <v>14.996547582777024</v>
      </c>
      <c r="K194">
        <f t="shared" si="206"/>
        <v>9.2414157493344611</v>
      </c>
      <c r="L194">
        <f t="shared" si="141"/>
        <v>31.219828776673374</v>
      </c>
      <c r="M194">
        <f t="shared" si="142"/>
        <v>1.7122332662466988E-4</v>
      </c>
      <c r="N194">
        <f t="shared" si="143"/>
        <v>2.9317427580418386E-8</v>
      </c>
    </row>
    <row r="195" spans="1:14" x14ac:dyDescent="0.45">
      <c r="A195" s="22">
        <v>42592</v>
      </c>
      <c r="B195">
        <v>31.11</v>
      </c>
      <c r="C195">
        <v>31.12</v>
      </c>
      <c r="G195">
        <f t="shared" ref="G195:K195" si="207">SUMPRODUCT($B195:$B199,P$2:P$6)</f>
        <v>17.436740596524157</v>
      </c>
      <c r="H195">
        <f t="shared" si="207"/>
        <v>16.713609822412419</v>
      </c>
      <c r="I195">
        <f t="shared" si="207"/>
        <v>16.030717405255363</v>
      </c>
      <c r="J195">
        <f t="shared" si="207"/>
        <v>14.959584167462276</v>
      </c>
      <c r="K195">
        <f t="shared" si="207"/>
        <v>9.2187074416243124</v>
      </c>
      <c r="L195">
        <f t="shared" ref="L195:L247" si="208">(G195+$P$7)*$U$2+(H195+$Q$7)*$U$3+(I195+$R$7)*$U$4+(J195+$S$7)*$U$5+(K195+$T$7)*$U$6+$U$7</f>
        <v>31.146157754209202</v>
      </c>
      <c r="M195">
        <f t="shared" ref="M195:M247" si="209">B194-L195</f>
        <v>4.3842245790798984E-2</v>
      </c>
      <c r="N195">
        <f t="shared" ref="N195:N247" si="210">M195^2</f>
        <v>1.9221425159808311E-3</v>
      </c>
    </row>
    <row r="196" spans="1:14" x14ac:dyDescent="0.45">
      <c r="A196" s="22">
        <v>42591</v>
      </c>
      <c r="B196">
        <v>31.22</v>
      </c>
      <c r="C196">
        <v>31.11</v>
      </c>
      <c r="G196">
        <f t="shared" ref="G196:K196" si="211">SUMPRODUCT($B196:$B200,P$2:P$6)</f>
        <v>17.499409213406082</v>
      </c>
      <c r="H196">
        <f t="shared" si="211"/>
        <v>16.773532802172248</v>
      </c>
      <c r="I196">
        <f t="shared" si="211"/>
        <v>16.088074246352058</v>
      </c>
      <c r="J196">
        <f t="shared" si="211"/>
        <v>15.012871210543883</v>
      </c>
      <c r="K196">
        <f t="shared" si="211"/>
        <v>9.25156346695948</v>
      </c>
      <c r="L196">
        <f t="shared" si="208"/>
        <v>31.255862422363066</v>
      </c>
      <c r="M196">
        <f t="shared" si="209"/>
        <v>-0.14586242236306646</v>
      </c>
      <c r="N196">
        <f t="shared" si="210"/>
        <v>2.1275846257621588E-2</v>
      </c>
    </row>
    <row r="197" spans="1:14" x14ac:dyDescent="0.45">
      <c r="A197" s="22">
        <v>42590</v>
      </c>
      <c r="B197">
        <v>31.38</v>
      </c>
      <c r="C197">
        <v>31.15</v>
      </c>
      <c r="G197">
        <f t="shared" ref="G197:K197" si="212">SUMPRODUCT($B197:$B201,P$2:P$6)</f>
        <v>17.581091518820436</v>
      </c>
      <c r="H197">
        <f t="shared" si="212"/>
        <v>16.852983997893777</v>
      </c>
      <c r="I197">
        <f t="shared" si="212"/>
        <v>16.165208636777169</v>
      </c>
      <c r="J197">
        <f t="shared" si="212"/>
        <v>15.086718875490879</v>
      </c>
      <c r="K197">
        <f t="shared" si="212"/>
        <v>9.2969276453602205</v>
      </c>
      <c r="L197">
        <f t="shared" si="208"/>
        <v>31.402934008323896</v>
      </c>
      <c r="M197">
        <f t="shared" si="209"/>
        <v>-0.1829340083238975</v>
      </c>
      <c r="N197">
        <f t="shared" si="210"/>
        <v>3.3464851401447802E-2</v>
      </c>
    </row>
    <row r="198" spans="1:14" x14ac:dyDescent="0.45">
      <c r="A198" s="22">
        <v>42587</v>
      </c>
      <c r="B198">
        <v>31.15</v>
      </c>
      <c r="C198">
        <v>31.39</v>
      </c>
      <c r="G198">
        <f t="shared" ref="G198:K198" si="213">SUMPRODUCT($B198:$B202,P$2:P$6)</f>
        <v>17.452606537063346</v>
      </c>
      <c r="H198">
        <f t="shared" si="213"/>
        <v>16.729765163330121</v>
      </c>
      <c r="I198">
        <f t="shared" si="213"/>
        <v>16.046974689749899</v>
      </c>
      <c r="J198">
        <f t="shared" si="213"/>
        <v>14.976285749754309</v>
      </c>
      <c r="K198">
        <f t="shared" si="213"/>
        <v>9.228881762539352</v>
      </c>
      <c r="L198">
        <f t="shared" si="208"/>
        <v>31.176915425284847</v>
      </c>
      <c r="M198">
        <f t="shared" si="209"/>
        <v>0.2030845747151524</v>
      </c>
      <c r="N198">
        <f t="shared" si="210"/>
        <v>4.1243344487234317E-2</v>
      </c>
    </row>
    <row r="199" spans="1:14" x14ac:dyDescent="0.45">
      <c r="A199" s="22">
        <v>42586</v>
      </c>
      <c r="B199">
        <v>30.94</v>
      </c>
      <c r="C199">
        <v>31.06</v>
      </c>
      <c r="G199">
        <f t="shared" ref="G199:K199" si="214">SUMPRODUCT($B199:$B203,P$2:P$6)</f>
        <v>17.336352950964834</v>
      </c>
      <c r="H199">
        <f t="shared" si="214"/>
        <v>16.618123292128619</v>
      </c>
      <c r="I199">
        <f t="shared" si="214"/>
        <v>15.939725680491094</v>
      </c>
      <c r="J199">
        <f t="shared" si="214"/>
        <v>14.87586474873153</v>
      </c>
      <c r="K199">
        <f t="shared" si="214"/>
        <v>9.1670242175867003</v>
      </c>
      <c r="L199">
        <f t="shared" si="208"/>
        <v>30.971948109403364</v>
      </c>
      <c r="M199">
        <f t="shared" si="209"/>
        <v>0.17805189059663462</v>
      </c>
      <c r="N199">
        <f t="shared" si="210"/>
        <v>3.1702475745035943E-2</v>
      </c>
    </row>
    <row r="200" spans="1:14" x14ac:dyDescent="0.45">
      <c r="A200" s="22">
        <v>42585</v>
      </c>
      <c r="B200">
        <v>30.8</v>
      </c>
      <c r="C200">
        <v>30.95</v>
      </c>
      <c r="G200">
        <f t="shared" ref="G200:K200" si="215">SUMPRODUCT($B200:$B204,P$2:P$6)</f>
        <v>17.266288435345132</v>
      </c>
      <c r="H200">
        <f t="shared" si="215"/>
        <v>16.549748937582894</v>
      </c>
      <c r="I200">
        <f t="shared" si="215"/>
        <v>15.873168185617129</v>
      </c>
      <c r="J200">
        <f t="shared" si="215"/>
        <v>14.811792163566034</v>
      </c>
      <c r="K200">
        <f t="shared" si="215"/>
        <v>9.1276910659955064</v>
      </c>
      <c r="L200">
        <f t="shared" si="208"/>
        <v>30.845117668518878</v>
      </c>
      <c r="M200">
        <f t="shared" si="209"/>
        <v>9.4882331481123572E-2</v>
      </c>
      <c r="N200">
        <f t="shared" si="210"/>
        <v>9.0026568272938128E-3</v>
      </c>
    </row>
    <row r="201" spans="1:14" x14ac:dyDescent="0.45">
      <c r="A201" s="22">
        <v>42584</v>
      </c>
      <c r="B201">
        <v>31.07</v>
      </c>
      <c r="C201">
        <v>30.79</v>
      </c>
      <c r="G201">
        <f t="shared" ref="G201:K201" si="216">SUMPRODUCT($B201:$B205,P$2:P$6)</f>
        <v>17.416781241490288</v>
      </c>
      <c r="H201">
        <f t="shared" si="216"/>
        <v>16.694121721588274</v>
      </c>
      <c r="I201">
        <f t="shared" si="216"/>
        <v>16.011739839312071</v>
      </c>
      <c r="J201">
        <f t="shared" si="216"/>
        <v>14.941300465956266</v>
      </c>
      <c r="K201">
        <f t="shared" si="216"/>
        <v>9.2074843803181317</v>
      </c>
      <c r="L201">
        <f t="shared" si="208"/>
        <v>31.109997911915961</v>
      </c>
      <c r="M201">
        <f t="shared" si="209"/>
        <v>-0.3099979119159606</v>
      </c>
      <c r="N201">
        <f t="shared" si="210"/>
        <v>9.6098705392255665E-2</v>
      </c>
    </row>
    <row r="202" spans="1:14" x14ac:dyDescent="0.45">
      <c r="A202" s="22">
        <v>42583</v>
      </c>
      <c r="B202">
        <v>31.3</v>
      </c>
      <c r="C202">
        <v>31.25</v>
      </c>
      <c r="G202">
        <f t="shared" ref="G202:K202" si="217">SUMPRODUCT($B202:$B206,P$2:P$6)</f>
        <v>17.537282187099592</v>
      </c>
      <c r="H202">
        <f t="shared" si="217"/>
        <v>16.810842755477019</v>
      </c>
      <c r="I202">
        <f t="shared" si="217"/>
        <v>16.124669237514265</v>
      </c>
      <c r="J202">
        <f t="shared" si="217"/>
        <v>15.048647707917976</v>
      </c>
      <c r="K202">
        <f t="shared" si="217"/>
        <v>9.2734852193762745</v>
      </c>
      <c r="L202">
        <f t="shared" si="208"/>
        <v>31.325481580715834</v>
      </c>
      <c r="M202">
        <f t="shared" si="209"/>
        <v>-0.25548158071583416</v>
      </c>
      <c r="N202">
        <f t="shared" si="210"/>
        <v>6.5270838085061289E-2</v>
      </c>
    </row>
    <row r="203" spans="1:14" x14ac:dyDescent="0.45">
      <c r="A203" s="22">
        <v>42580</v>
      </c>
      <c r="B203">
        <v>31.12</v>
      </c>
      <c r="C203">
        <v>31.16</v>
      </c>
      <c r="G203">
        <f t="shared" ref="G203:K203" si="218">SUMPRODUCT($B203:$B207,P$2:P$6)</f>
        <v>17.443367166250681</v>
      </c>
      <c r="H203">
        <f t="shared" si="218"/>
        <v>16.719814657118341</v>
      </c>
      <c r="I203">
        <f t="shared" si="218"/>
        <v>16.036549909320691</v>
      </c>
      <c r="J203">
        <f t="shared" si="218"/>
        <v>14.964787807029127</v>
      </c>
      <c r="K203">
        <f t="shared" si="218"/>
        <v>9.2219327031073153</v>
      </c>
      <c r="L203">
        <f t="shared" si="208"/>
        <v>31.157358112540475</v>
      </c>
      <c r="M203">
        <f t="shared" si="209"/>
        <v>0.14264188745952566</v>
      </c>
      <c r="N203">
        <f t="shared" si="210"/>
        <v>2.0346708058015986E-2</v>
      </c>
    </row>
    <row r="204" spans="1:14" x14ac:dyDescent="0.45">
      <c r="A204" s="22">
        <v>42579</v>
      </c>
      <c r="B204">
        <v>31.28</v>
      </c>
      <c r="C204">
        <v>31.17</v>
      </c>
      <c r="G204">
        <f t="shared" ref="G204:K204" si="219">SUMPRODUCT($B204:$B208,P$2:P$6)</f>
        <v>17.533032467359494</v>
      </c>
      <c r="H204">
        <f t="shared" si="219"/>
        <v>16.805763298885989</v>
      </c>
      <c r="I204">
        <f t="shared" si="219"/>
        <v>16.118988848570879</v>
      </c>
      <c r="J204">
        <f t="shared" si="219"/>
        <v>15.041720600041893</v>
      </c>
      <c r="K204">
        <f t="shared" si="219"/>
        <v>9.2693419252707834</v>
      </c>
      <c r="L204">
        <f t="shared" si="208"/>
        <v>31.314963678149223</v>
      </c>
      <c r="M204">
        <f t="shared" si="209"/>
        <v>-0.19496367814922166</v>
      </c>
      <c r="N204">
        <f t="shared" si="210"/>
        <v>3.8010835797473295E-2</v>
      </c>
    </row>
    <row r="205" spans="1:14" x14ac:dyDescent="0.45">
      <c r="A205" s="22">
        <v>42578</v>
      </c>
      <c r="B205">
        <v>31.44</v>
      </c>
      <c r="C205">
        <v>31.31</v>
      </c>
      <c r="G205">
        <f t="shared" ref="G205:K205" si="220">SUMPRODUCT($B205:$B209,P$2:P$6)</f>
        <v>17.601406957475444</v>
      </c>
      <c r="H205">
        <f t="shared" si="220"/>
        <v>16.874384615769973</v>
      </c>
      <c r="I205">
        <f t="shared" si="220"/>
        <v>16.18728232428753</v>
      </c>
      <c r="J205">
        <f t="shared" si="220"/>
        <v>15.110425055207406</v>
      </c>
      <c r="K205">
        <f t="shared" si="220"/>
        <v>9.3112976974003114</v>
      </c>
      <c r="L205">
        <f t="shared" si="208"/>
        <v>31.444476460577363</v>
      </c>
      <c r="M205">
        <f t="shared" si="209"/>
        <v>-0.16447646057736165</v>
      </c>
      <c r="N205">
        <f t="shared" si="210"/>
        <v>2.7052506084056401E-2</v>
      </c>
    </row>
    <row r="206" spans="1:14" x14ac:dyDescent="0.45">
      <c r="A206" s="22">
        <v>42577</v>
      </c>
      <c r="B206">
        <v>30.56</v>
      </c>
      <c r="C206">
        <v>31.4</v>
      </c>
      <c r="G206">
        <f t="shared" ref="G206:K206" si="221">SUMPRODUCT($B206:$B210,P$2:P$6)</f>
        <v>17.121137960486887</v>
      </c>
      <c r="H206">
        <f t="shared" si="221"/>
        <v>16.412159986817425</v>
      </c>
      <c r="I206">
        <f t="shared" si="221"/>
        <v>15.742437044975077</v>
      </c>
      <c r="J206">
        <f t="shared" si="221"/>
        <v>14.692275904529312</v>
      </c>
      <c r="K206">
        <f t="shared" si="221"/>
        <v>9.0538505077333387</v>
      </c>
      <c r="L206">
        <f t="shared" si="208"/>
        <v>30.594657506000033</v>
      </c>
      <c r="M206">
        <f t="shared" si="209"/>
        <v>0.84534249399996853</v>
      </c>
      <c r="N206">
        <f t="shared" si="210"/>
        <v>0.71460393216208684</v>
      </c>
    </row>
    <row r="207" spans="1:14" x14ac:dyDescent="0.45">
      <c r="A207" s="22">
        <v>42576</v>
      </c>
      <c r="B207">
        <v>30.31</v>
      </c>
      <c r="C207">
        <v>30.68</v>
      </c>
      <c r="G207">
        <f t="shared" ref="G207:K207" si="222">SUMPRODUCT($B207:$B211,P$2:P$6)</f>
        <v>16.975914959773522</v>
      </c>
      <c r="H207">
        <f t="shared" si="222"/>
        <v>16.273698081271327</v>
      </c>
      <c r="I207">
        <f t="shared" si="222"/>
        <v>15.61022585058571</v>
      </c>
      <c r="J207">
        <f t="shared" si="222"/>
        <v>14.570089695259799</v>
      </c>
      <c r="K207">
        <f t="shared" si="222"/>
        <v>8.9784626726139933</v>
      </c>
      <c r="L207">
        <f t="shared" si="208"/>
        <v>30.341643232208778</v>
      </c>
      <c r="M207">
        <f t="shared" si="209"/>
        <v>0.21835676779122082</v>
      </c>
      <c r="N207">
        <f t="shared" si="210"/>
        <v>4.7679678040229129E-2</v>
      </c>
    </row>
    <row r="208" spans="1:14" x14ac:dyDescent="0.45">
      <c r="A208" s="22">
        <v>42573</v>
      </c>
      <c r="B208">
        <v>29.81</v>
      </c>
      <c r="C208">
        <v>30.49</v>
      </c>
      <c r="G208">
        <f t="shared" ref="G208:K208" si="223">SUMPRODUCT($B208:$B212,P$2:P$6)</f>
        <v>16.686700991796158</v>
      </c>
      <c r="H208">
        <f t="shared" si="223"/>
        <v>15.997774399491343</v>
      </c>
      <c r="I208">
        <f t="shared" si="223"/>
        <v>15.346619546241605</v>
      </c>
      <c r="J208">
        <f t="shared" si="223"/>
        <v>14.326191771519122</v>
      </c>
      <c r="K208">
        <f t="shared" si="223"/>
        <v>8.8280016244926447</v>
      </c>
      <c r="L208">
        <f t="shared" si="208"/>
        <v>29.837237222196936</v>
      </c>
      <c r="M208">
        <f t="shared" si="209"/>
        <v>0.47276277780306231</v>
      </c>
      <c r="N208">
        <f t="shared" si="210"/>
        <v>0.22350464407606765</v>
      </c>
    </row>
    <row r="209" spans="1:14" x14ac:dyDescent="0.45">
      <c r="A209" s="22">
        <v>42572</v>
      </c>
      <c r="B209">
        <v>28.87</v>
      </c>
      <c r="C209">
        <v>29.93</v>
      </c>
      <c r="G209">
        <f t="shared" ref="G209:K209" si="224">SUMPRODUCT($B209:$B213,P$2:P$6)</f>
        <v>16.132890779695945</v>
      </c>
      <c r="H209">
        <f t="shared" si="224"/>
        <v>15.470829801839646</v>
      </c>
      <c r="I209">
        <f t="shared" si="224"/>
        <v>14.844336920584951</v>
      </c>
      <c r="J209">
        <f t="shared" si="224"/>
        <v>13.863765796806261</v>
      </c>
      <c r="K209">
        <f t="shared" si="224"/>
        <v>8.5425507577007362</v>
      </c>
      <c r="L209">
        <f t="shared" si="208"/>
        <v>28.875644048163494</v>
      </c>
      <c r="M209">
        <f t="shared" si="209"/>
        <v>0.93435595183650477</v>
      </c>
      <c r="N209">
        <f t="shared" si="210"/>
        <v>0.8730210447323008</v>
      </c>
    </row>
    <row r="210" spans="1:14" x14ac:dyDescent="0.45">
      <c r="A210" s="22">
        <v>42571</v>
      </c>
      <c r="B210">
        <v>26.61</v>
      </c>
      <c r="C210">
        <v>26.99</v>
      </c>
      <c r="G210">
        <f t="shared" ref="G210:K210" si="225">SUMPRODUCT($B210:$B214,P$2:P$6)</f>
        <v>14.912213642872462</v>
      </c>
      <c r="H210">
        <f t="shared" si="225"/>
        <v>14.294117895963899</v>
      </c>
      <c r="I210">
        <f t="shared" si="225"/>
        <v>13.710354055902117</v>
      </c>
      <c r="J210">
        <f t="shared" si="225"/>
        <v>12.794806679460413</v>
      </c>
      <c r="K210">
        <f t="shared" si="225"/>
        <v>7.8846413870225502</v>
      </c>
      <c r="L210">
        <f t="shared" si="208"/>
        <v>26.709961750638833</v>
      </c>
      <c r="M210">
        <f t="shared" si="209"/>
        <v>2.1600382493611683</v>
      </c>
      <c r="N210">
        <f t="shared" si="210"/>
        <v>4.6657652387032602</v>
      </c>
    </row>
    <row r="211" spans="1:14" x14ac:dyDescent="0.45">
      <c r="A211" s="22">
        <v>42570</v>
      </c>
      <c r="B211">
        <v>26.59</v>
      </c>
      <c r="C211">
        <v>26.5</v>
      </c>
      <c r="G211">
        <f t="shared" ref="G211:K211" si="226">SUMPRODUCT($B211:$B215,P$2:P$6)</f>
        <v>14.894044159998366</v>
      </c>
      <c r="H211">
        <f t="shared" si="226"/>
        <v>14.277709290929144</v>
      </c>
      <c r="I211">
        <f t="shared" si="226"/>
        <v>13.695424710032954</v>
      </c>
      <c r="J211">
        <f t="shared" si="226"/>
        <v>12.78249987295254</v>
      </c>
      <c r="K211">
        <f t="shared" si="226"/>
        <v>7.8769323755871756</v>
      </c>
      <c r="L211">
        <f t="shared" si="208"/>
        <v>26.681076273311444</v>
      </c>
      <c r="M211">
        <f t="shared" si="209"/>
        <v>-7.1076273311444282E-2</v>
      </c>
      <c r="N211">
        <f t="shared" si="210"/>
        <v>5.051836627843127E-3</v>
      </c>
    </row>
    <row r="212" spans="1:14" x14ac:dyDescent="0.45">
      <c r="A212" s="22">
        <v>42569</v>
      </c>
      <c r="B212">
        <v>26.23</v>
      </c>
      <c r="C212">
        <v>26.49</v>
      </c>
      <c r="G212">
        <f t="shared" ref="G212:K212" si="227">SUMPRODUCT($B212:$B216,P$2:P$6)</f>
        <v>14.699050771513596</v>
      </c>
      <c r="H212">
        <f t="shared" si="227"/>
        <v>14.089821219223486</v>
      </c>
      <c r="I212">
        <f t="shared" si="227"/>
        <v>13.514425561110482</v>
      </c>
      <c r="J212">
        <f t="shared" si="227"/>
        <v>12.612010913988547</v>
      </c>
      <c r="K212">
        <f t="shared" si="227"/>
        <v>7.7719920473647592</v>
      </c>
      <c r="L212">
        <f t="shared" si="208"/>
        <v>26.33537561203207</v>
      </c>
      <c r="M212">
        <f t="shared" si="209"/>
        <v>0.25462438796792952</v>
      </c>
      <c r="N212">
        <f t="shared" si="210"/>
        <v>6.4833578948042689E-2</v>
      </c>
    </row>
    <row r="213" spans="1:14" x14ac:dyDescent="0.45">
      <c r="A213" s="22">
        <v>42566</v>
      </c>
      <c r="B213">
        <v>26.2</v>
      </c>
      <c r="C213">
        <v>26.34</v>
      </c>
      <c r="G213">
        <f t="shared" ref="G213:K213" si="228">SUMPRODUCT($B213:$B217,P$2:P$6)</f>
        <v>14.667498695988069</v>
      </c>
      <c r="H213">
        <f t="shared" si="228"/>
        <v>14.061709426448735</v>
      </c>
      <c r="I213">
        <f t="shared" si="228"/>
        <v>13.489175246785543</v>
      </c>
      <c r="J213">
        <f t="shared" si="228"/>
        <v>12.591889298539078</v>
      </c>
      <c r="K213">
        <f t="shared" si="228"/>
        <v>7.7593273528009963</v>
      </c>
      <c r="L213">
        <f t="shared" si="208"/>
        <v>26.286375373497727</v>
      </c>
      <c r="M213">
        <f t="shared" si="209"/>
        <v>-5.6375373497726144E-2</v>
      </c>
      <c r="N213">
        <f t="shared" si="210"/>
        <v>3.1781827370081232E-3</v>
      </c>
    </row>
    <row r="214" spans="1:14" x14ac:dyDescent="0.45">
      <c r="A214" s="22">
        <v>42565</v>
      </c>
      <c r="B214">
        <v>25.45</v>
      </c>
      <c r="C214">
        <v>26.08</v>
      </c>
      <c r="G214">
        <f t="shared" ref="G214:K214" si="229">SUMPRODUCT($B214:$B218,P$2:P$6)</f>
        <v>14.255786422363027</v>
      </c>
      <c r="H214">
        <f t="shared" si="229"/>
        <v>13.665820012889874</v>
      </c>
      <c r="I214">
        <f t="shared" si="229"/>
        <v>13.108455310092676</v>
      </c>
      <c r="J214">
        <f t="shared" si="229"/>
        <v>12.234587635059015</v>
      </c>
      <c r="K214">
        <f t="shared" si="229"/>
        <v>7.539298978731142</v>
      </c>
      <c r="L214">
        <f t="shared" si="208"/>
        <v>25.558940376222985</v>
      </c>
      <c r="M214">
        <f t="shared" si="209"/>
        <v>0.64105962377701431</v>
      </c>
      <c r="N214">
        <f t="shared" si="210"/>
        <v>0.41095744123712713</v>
      </c>
    </row>
    <row r="215" spans="1:14" x14ac:dyDescent="0.45">
      <c r="A215" s="22">
        <v>42564</v>
      </c>
      <c r="B215">
        <v>25.12</v>
      </c>
      <c r="C215">
        <v>25.12</v>
      </c>
      <c r="G215">
        <f t="shared" ref="G215:K215" si="230">SUMPRODUCT($B215:$B219,P$2:P$6)</f>
        <v>14.074534405072779</v>
      </c>
      <c r="H215">
        <f t="shared" si="230"/>
        <v>13.491548500029081</v>
      </c>
      <c r="I215">
        <f t="shared" si="230"/>
        <v>12.940873251193045</v>
      </c>
      <c r="J215">
        <f t="shared" si="230"/>
        <v>12.077336994871024</v>
      </c>
      <c r="K215">
        <f t="shared" si="230"/>
        <v>7.4424613243710187</v>
      </c>
      <c r="L215">
        <f t="shared" si="208"/>
        <v>25.238739100348418</v>
      </c>
      <c r="M215">
        <f t="shared" si="209"/>
        <v>0.21126089965158101</v>
      </c>
      <c r="N215">
        <f t="shared" si="210"/>
        <v>4.463116772159538E-2</v>
      </c>
    </row>
    <row r="216" spans="1:14" x14ac:dyDescent="0.45">
      <c r="A216" s="22">
        <v>42563</v>
      </c>
      <c r="B216">
        <v>24.97</v>
      </c>
      <c r="C216">
        <v>25.13</v>
      </c>
      <c r="G216">
        <f t="shared" ref="G216:K216" si="231">SUMPRODUCT($B216:$B220,P$2:P$6)</f>
        <v>13.988834543265785</v>
      </c>
      <c r="H216">
        <f t="shared" si="231"/>
        <v>13.409637738846685</v>
      </c>
      <c r="I216">
        <f t="shared" si="231"/>
        <v>12.862498633066487</v>
      </c>
      <c r="J216">
        <f t="shared" si="231"/>
        <v>12.00457897692436</v>
      </c>
      <c r="K216">
        <f t="shared" si="231"/>
        <v>7.3975956824363109</v>
      </c>
      <c r="L216">
        <f t="shared" si="208"/>
        <v>25.088821807100782</v>
      </c>
      <c r="M216">
        <f t="shared" si="209"/>
        <v>3.1178192899218971E-2</v>
      </c>
      <c r="N216">
        <f t="shared" si="210"/>
        <v>9.7207971246090824E-4</v>
      </c>
    </row>
    <row r="217" spans="1:14" x14ac:dyDescent="0.45">
      <c r="A217" s="22">
        <v>42562</v>
      </c>
      <c r="B217">
        <v>24.74</v>
      </c>
      <c r="C217">
        <v>24.86</v>
      </c>
      <c r="G217">
        <f t="shared" ref="G217:K217" si="232">SUMPRODUCT($B217:$B221,P$2:P$6)</f>
        <v>13.849908540083216</v>
      </c>
      <c r="H217">
        <f t="shared" si="232"/>
        <v>13.27792162871906</v>
      </c>
      <c r="I217">
        <f t="shared" si="232"/>
        <v>12.737327968344886</v>
      </c>
      <c r="J217">
        <f t="shared" si="232"/>
        <v>11.890110746383034</v>
      </c>
      <c r="K217">
        <f t="shared" si="232"/>
        <v>7.3268755116180282</v>
      </c>
      <c r="L217">
        <f t="shared" si="208"/>
        <v>24.849026684098028</v>
      </c>
      <c r="M217">
        <f t="shared" si="209"/>
        <v>0.12097331590197058</v>
      </c>
      <c r="N217">
        <f t="shared" si="210"/>
        <v>1.4634543160317967E-2</v>
      </c>
    </row>
    <row r="218" spans="1:14" x14ac:dyDescent="0.45">
      <c r="A218" s="22">
        <v>42559</v>
      </c>
      <c r="B218">
        <v>24.02</v>
      </c>
      <c r="C218">
        <v>24.61</v>
      </c>
      <c r="G218">
        <f t="shared" ref="G218:K218" si="233">SUMPRODUCT($B218:$B222,P$2:P$6)</f>
        <v>13.459103523507112</v>
      </c>
      <c r="H218">
        <f t="shared" si="233"/>
        <v>12.90147993901954</v>
      </c>
      <c r="I218">
        <f t="shared" si="233"/>
        <v>12.374785614210186</v>
      </c>
      <c r="J218">
        <f t="shared" si="233"/>
        <v>11.548816596958835</v>
      </c>
      <c r="K218">
        <f t="shared" si="233"/>
        <v>7.1167851070949659</v>
      </c>
      <c r="L218">
        <f t="shared" si="208"/>
        <v>24.156545647997977</v>
      </c>
      <c r="M218">
        <f t="shared" si="209"/>
        <v>0.58345435200202189</v>
      </c>
      <c r="N218">
        <f t="shared" si="210"/>
        <v>0.34041898087009925</v>
      </c>
    </row>
    <row r="219" spans="1:14" x14ac:dyDescent="0.45">
      <c r="A219" s="22">
        <v>42558</v>
      </c>
      <c r="B219">
        <v>23.92</v>
      </c>
      <c r="C219">
        <v>23.93</v>
      </c>
      <c r="G219">
        <f t="shared" ref="G219:K219" si="234">SUMPRODUCT($B219:$B223,P$2:P$6)</f>
        <v>13.400810114095004</v>
      </c>
      <c r="H219">
        <f t="shared" si="234"/>
        <v>12.845928894015993</v>
      </c>
      <c r="I219">
        <f t="shared" si="234"/>
        <v>12.321765122382002</v>
      </c>
      <c r="J219">
        <f t="shared" si="234"/>
        <v>11.499863034775682</v>
      </c>
      <c r="K219">
        <f t="shared" si="234"/>
        <v>7.0865775360276713</v>
      </c>
      <c r="L219">
        <f t="shared" si="208"/>
        <v>24.055070205766455</v>
      </c>
      <c r="M219">
        <f t="shared" si="209"/>
        <v>-3.5070205766455587E-2</v>
      </c>
      <c r="N219">
        <f t="shared" si="210"/>
        <v>1.2299193325015347E-3</v>
      </c>
    </row>
    <row r="220" spans="1:14" x14ac:dyDescent="0.45">
      <c r="A220" s="22">
        <v>42557</v>
      </c>
      <c r="B220">
        <v>23.71</v>
      </c>
      <c r="C220">
        <v>23.83</v>
      </c>
      <c r="G220">
        <f t="shared" ref="G220:K220" si="235">SUMPRODUCT($B220:$B224,P$2:P$6)</f>
        <v>13.287422242728576</v>
      </c>
      <c r="H220">
        <f t="shared" si="235"/>
        <v>12.736619207032501</v>
      </c>
      <c r="I220">
        <f t="shared" si="235"/>
        <v>12.216420310137325</v>
      </c>
      <c r="J220">
        <f t="shared" si="235"/>
        <v>11.400549584735197</v>
      </c>
      <c r="K220">
        <f t="shared" si="235"/>
        <v>7.0254541093488196</v>
      </c>
      <c r="L220">
        <f t="shared" si="208"/>
        <v>23.853884255473027</v>
      </c>
      <c r="M220">
        <f t="shared" si="209"/>
        <v>6.6115744526975107E-2</v>
      </c>
      <c r="N220">
        <f t="shared" si="210"/>
        <v>4.3712916743562386E-3</v>
      </c>
    </row>
    <row r="221" spans="1:14" x14ac:dyDescent="0.45">
      <c r="A221" s="22">
        <v>42556</v>
      </c>
      <c r="B221">
        <v>23.71</v>
      </c>
      <c r="C221">
        <v>23.76</v>
      </c>
      <c r="G221">
        <f t="shared" ref="G221:K221" si="236">SUMPRODUCT($B221:$B225,P$2:P$6)</f>
        <v>13.281689839283697</v>
      </c>
      <c r="H221">
        <f t="shared" si="236"/>
        <v>12.731953991842561</v>
      </c>
      <c r="I221">
        <f t="shared" si="236"/>
        <v>12.212611916109065</v>
      </c>
      <c r="J221">
        <f t="shared" si="236"/>
        <v>11.398334142901023</v>
      </c>
      <c r="K221">
        <f t="shared" si="236"/>
        <v>7.0239858728012203</v>
      </c>
      <c r="L221">
        <f t="shared" si="208"/>
        <v>23.846320573387974</v>
      </c>
      <c r="M221">
        <f t="shared" si="209"/>
        <v>-0.1363205733879731</v>
      </c>
      <c r="N221">
        <f t="shared" si="210"/>
        <v>1.8583298728825758E-2</v>
      </c>
    </row>
    <row r="222" spans="1:14" x14ac:dyDescent="0.45">
      <c r="A222" s="22">
        <v>42552</v>
      </c>
      <c r="B222">
        <v>23.43</v>
      </c>
      <c r="C222">
        <v>23.78</v>
      </c>
      <c r="G222">
        <f t="shared" ref="G222:K222" si="237">SUMPRODUCT($B222:$B226,P$2:P$6)</f>
        <v>13.129073121864801</v>
      </c>
      <c r="H222">
        <f t="shared" si="237"/>
        <v>12.585041546402719</v>
      </c>
      <c r="I222">
        <f t="shared" si="237"/>
        <v>12.07120006794243</v>
      </c>
      <c r="J222">
        <f t="shared" si="237"/>
        <v>11.26536255450833</v>
      </c>
      <c r="K222">
        <f t="shared" si="237"/>
        <v>6.9421209114258513</v>
      </c>
      <c r="L222">
        <f t="shared" si="208"/>
        <v>23.576181946123263</v>
      </c>
      <c r="M222">
        <f t="shared" si="209"/>
        <v>0.13381805387673751</v>
      </c>
      <c r="N222">
        <f t="shared" si="210"/>
        <v>1.7907271543357424E-2</v>
      </c>
    </row>
    <row r="223" spans="1:14" x14ac:dyDescent="0.45">
      <c r="A223" s="22">
        <v>42551</v>
      </c>
      <c r="B223">
        <v>23.36</v>
      </c>
      <c r="C223">
        <v>23.41</v>
      </c>
      <c r="G223">
        <f t="shared" ref="G223:K223" si="238">SUMPRODUCT($B223:$B227,P$2:P$6)</f>
        <v>13.087593225413492</v>
      </c>
      <c r="H223">
        <f t="shared" si="238"/>
        <v>12.54560585353815</v>
      </c>
      <c r="I223">
        <f t="shared" si="238"/>
        <v>12.033636877223655</v>
      </c>
      <c r="J223">
        <f t="shared" si="238"/>
        <v>11.230834311650527</v>
      </c>
      <c r="K223">
        <f t="shared" si="238"/>
        <v>6.9208025695142057</v>
      </c>
      <c r="L223">
        <f t="shared" si="208"/>
        <v>23.504258284631945</v>
      </c>
      <c r="M223">
        <f t="shared" si="209"/>
        <v>-7.425828463194506E-2</v>
      </c>
      <c r="N223">
        <f t="shared" si="210"/>
        <v>5.5142928364789682E-3</v>
      </c>
    </row>
    <row r="224" spans="1:14" x14ac:dyDescent="0.45">
      <c r="A224" s="22">
        <v>42550</v>
      </c>
      <c r="B224">
        <v>23.18</v>
      </c>
      <c r="C224">
        <v>23.31</v>
      </c>
      <c r="G224">
        <f t="shared" ref="G224:K224" si="239">SUMPRODUCT($B224:$B228,P$2:P$6)</f>
        <v>12.984468736153726</v>
      </c>
      <c r="H224">
        <f t="shared" si="239"/>
        <v>12.447080401435926</v>
      </c>
      <c r="I224">
        <f t="shared" si="239"/>
        <v>11.939396915770377</v>
      </c>
      <c r="J224">
        <f t="shared" si="239"/>
        <v>11.143414618220799</v>
      </c>
      <c r="K224">
        <f t="shared" si="239"/>
        <v>6.866890387365177</v>
      </c>
      <c r="L224">
        <f t="shared" si="208"/>
        <v>23.323980839748227</v>
      </c>
      <c r="M224">
        <f t="shared" si="209"/>
        <v>3.601916025177232E-2</v>
      </c>
      <c r="N224">
        <f t="shared" si="210"/>
        <v>1.297379905242855E-3</v>
      </c>
    </row>
    <row r="225" spans="1:14" x14ac:dyDescent="0.45">
      <c r="A225" s="22">
        <v>42549</v>
      </c>
      <c r="B225">
        <v>22.89</v>
      </c>
      <c r="C225">
        <v>22.99</v>
      </c>
      <c r="G225">
        <f t="shared" ref="G225:K225" si="240">SUMPRODUCT($B225:$B229,P$2:P$6)</f>
        <v>12.829114847398236</v>
      </c>
      <c r="H225">
        <f t="shared" si="240"/>
        <v>12.297129508566504</v>
      </c>
      <c r="I225">
        <f t="shared" si="240"/>
        <v>11.794736830914735</v>
      </c>
      <c r="J225">
        <f t="shared" si="240"/>
        <v>11.006742476046531</v>
      </c>
      <c r="K225">
        <f t="shared" si="240"/>
        <v>6.7827964678783914</v>
      </c>
      <c r="L225">
        <f t="shared" si="208"/>
        <v>23.047774358793845</v>
      </c>
      <c r="M225">
        <f t="shared" si="209"/>
        <v>0.13222564120615488</v>
      </c>
      <c r="N225">
        <f t="shared" si="210"/>
        <v>1.7483620192378802E-2</v>
      </c>
    </row>
    <row r="226" spans="1:14" x14ac:dyDescent="0.45">
      <c r="A226" s="22">
        <v>42548</v>
      </c>
      <c r="B226">
        <v>22.95</v>
      </c>
      <c r="C226">
        <v>22.72</v>
      </c>
      <c r="G226">
        <f t="shared" ref="G226:K226" si="241">SUMPRODUCT($B226:$B230,P$2:P$6)</f>
        <v>12.878297661432283</v>
      </c>
      <c r="H226">
        <f t="shared" si="241"/>
        <v>12.34202356325614</v>
      </c>
      <c r="I226">
        <f t="shared" si="241"/>
        <v>11.835988502638832</v>
      </c>
      <c r="J226">
        <f t="shared" si="241"/>
        <v>11.041605499099695</v>
      </c>
      <c r="K226">
        <f t="shared" si="241"/>
        <v>6.8045601396760311</v>
      </c>
      <c r="L226">
        <f t="shared" si="208"/>
        <v>23.12740617397511</v>
      </c>
      <c r="M226">
        <f t="shared" si="209"/>
        <v>-0.23740617397510988</v>
      </c>
      <c r="N226">
        <f t="shared" si="210"/>
        <v>5.636169144150014E-2</v>
      </c>
    </row>
    <row r="227" spans="1:14" x14ac:dyDescent="0.45">
      <c r="A227" s="22">
        <v>42545</v>
      </c>
      <c r="B227">
        <v>23.77</v>
      </c>
      <c r="C227">
        <v>23.13</v>
      </c>
      <c r="G227">
        <f t="shared" ref="G227:K227" si="242">SUMPRODUCT($B227:$B231,P$2:P$6)</f>
        <v>13.339882754441941</v>
      </c>
      <c r="H227">
        <f t="shared" si="242"/>
        <v>12.784179418181509</v>
      </c>
      <c r="I227">
        <f t="shared" si="242"/>
        <v>12.259848207020429</v>
      </c>
      <c r="J227">
        <f t="shared" si="242"/>
        <v>11.436679099454732</v>
      </c>
      <c r="K227">
        <f t="shared" si="242"/>
        <v>7.048056773459372</v>
      </c>
      <c r="L227">
        <f t="shared" si="208"/>
        <v>23.937839450422704</v>
      </c>
      <c r="M227">
        <f t="shared" si="209"/>
        <v>-0.9878394504227046</v>
      </c>
      <c r="N227">
        <f t="shared" si="210"/>
        <v>0.97582677981143107</v>
      </c>
    </row>
    <row r="228" spans="1:14" x14ac:dyDescent="0.45">
      <c r="A228" s="22">
        <v>42544</v>
      </c>
      <c r="B228">
        <v>24.69</v>
      </c>
      <c r="C228">
        <v>24.85</v>
      </c>
      <c r="G228">
        <f t="shared" ref="G228:K228" si="243">SUMPRODUCT($B228:$B232,P$2:P$6)</f>
        <v>13.835194871282507</v>
      </c>
      <c r="H228">
        <f t="shared" si="243"/>
        <v>13.261892775978019</v>
      </c>
      <c r="I228">
        <f t="shared" si="243"/>
        <v>12.720406714537665</v>
      </c>
      <c r="J228">
        <f t="shared" si="243"/>
        <v>11.871211911174415</v>
      </c>
      <c r="K228">
        <f t="shared" si="243"/>
        <v>7.3154685359631566</v>
      </c>
      <c r="L228">
        <f t="shared" si="208"/>
        <v>24.817333134237341</v>
      </c>
      <c r="M228">
        <f t="shared" si="209"/>
        <v>-1.0473331342373413</v>
      </c>
      <c r="N228">
        <f t="shared" si="210"/>
        <v>1.0969066940714127</v>
      </c>
    </row>
    <row r="229" spans="1:14" x14ac:dyDescent="0.45">
      <c r="A229" s="22">
        <v>42543</v>
      </c>
      <c r="B229">
        <v>24.62</v>
      </c>
      <c r="C229">
        <v>24.34</v>
      </c>
      <c r="G229">
        <f t="shared" ref="G229:K229" si="244">SUMPRODUCT($B229:$B233,P$2:P$6)</f>
        <v>13.795760932285035</v>
      </c>
      <c r="H229">
        <f t="shared" si="244"/>
        <v>13.224123160451654</v>
      </c>
      <c r="I229">
        <f t="shared" si="244"/>
        <v>12.684203664543269</v>
      </c>
      <c r="J229">
        <f t="shared" si="244"/>
        <v>11.83747458333689</v>
      </c>
      <c r="K229">
        <f t="shared" si="244"/>
        <v>7.2946745642470834</v>
      </c>
      <c r="L229">
        <f t="shared" si="208"/>
        <v>24.748110027570505</v>
      </c>
      <c r="M229">
        <f t="shared" si="209"/>
        <v>-5.811002757050332E-2</v>
      </c>
      <c r="N229">
        <f t="shared" si="210"/>
        <v>3.3767753042446558E-3</v>
      </c>
    </row>
    <row r="230" spans="1:14" x14ac:dyDescent="0.45">
      <c r="A230" s="22">
        <v>42542</v>
      </c>
      <c r="B230">
        <v>24.54</v>
      </c>
      <c r="C230">
        <v>24.7</v>
      </c>
      <c r="G230">
        <f t="shared" ref="G230:K230" si="245">SUMPRODUCT($B230:$B234,P$2:P$6)</f>
        <v>13.748471603600807</v>
      </c>
      <c r="H230">
        <f t="shared" si="245"/>
        <v>13.179148857549437</v>
      </c>
      <c r="I230">
        <f t="shared" si="245"/>
        <v>12.641352026048921</v>
      </c>
      <c r="J230">
        <f t="shared" si="245"/>
        <v>11.798058497003911</v>
      </c>
      <c r="K230">
        <f t="shared" si="245"/>
        <v>7.2703407089306635</v>
      </c>
      <c r="L230">
        <f t="shared" si="208"/>
        <v>24.666065343521204</v>
      </c>
      <c r="M230">
        <f t="shared" si="209"/>
        <v>-4.6065343521203062E-2</v>
      </c>
      <c r="N230">
        <f t="shared" si="210"/>
        <v>2.122015873726445E-3</v>
      </c>
    </row>
    <row r="231" spans="1:14" x14ac:dyDescent="0.45">
      <c r="A231" s="22">
        <v>42541</v>
      </c>
      <c r="B231">
        <v>24.34</v>
      </c>
      <c r="C231">
        <v>24.57</v>
      </c>
      <c r="G231">
        <f t="shared" ref="G231:K231" si="246">SUMPRODUCT($B231:$B235,P$2:P$6)</f>
        <v>13.628200440300821</v>
      </c>
      <c r="H231">
        <f t="shared" si="246"/>
        <v>13.065047964386201</v>
      </c>
      <c r="I231">
        <f t="shared" si="246"/>
        <v>12.53286278908867</v>
      </c>
      <c r="J231">
        <f t="shared" si="246"/>
        <v>11.698727260785617</v>
      </c>
      <c r="K231">
        <f t="shared" si="246"/>
        <v>7.2089817004440455</v>
      </c>
      <c r="L231">
        <f t="shared" si="208"/>
        <v>24.458252597853967</v>
      </c>
      <c r="M231">
        <f t="shared" si="209"/>
        <v>8.1747402146032044E-2</v>
      </c>
      <c r="N231">
        <f t="shared" si="210"/>
        <v>6.6826377576250841E-3</v>
      </c>
    </row>
    <row r="232" spans="1:14" x14ac:dyDescent="0.45">
      <c r="A232" s="22">
        <v>42538</v>
      </c>
      <c r="B232">
        <v>23.74</v>
      </c>
      <c r="C232">
        <v>23.79</v>
      </c>
      <c r="G232">
        <f t="shared" ref="G232:K232" si="247">SUMPRODUCT($B232:$B236,P$2:P$6)</f>
        <v>13.308330054222024</v>
      </c>
      <c r="H232">
        <f t="shared" si="247"/>
        <v>12.756067346808937</v>
      </c>
      <c r="I232">
        <f t="shared" si="247"/>
        <v>12.23459789269549</v>
      </c>
      <c r="J232">
        <f t="shared" si="247"/>
        <v>11.416557389815877</v>
      </c>
      <c r="K232">
        <f t="shared" si="247"/>
        <v>7.0353920788956108</v>
      </c>
      <c r="L232">
        <f t="shared" si="208"/>
        <v>23.888838768764305</v>
      </c>
      <c r="M232">
        <f t="shared" si="209"/>
        <v>0.45116123123569452</v>
      </c>
      <c r="N232">
        <f t="shared" si="210"/>
        <v>0.20354645657010781</v>
      </c>
    </row>
    <row r="233" spans="1:14" x14ac:dyDescent="0.45">
      <c r="A233" s="22">
        <v>42537</v>
      </c>
      <c r="B233">
        <v>23.94</v>
      </c>
      <c r="C233">
        <v>23.85</v>
      </c>
      <c r="G233">
        <f t="shared" ref="G233:K233" si="248">SUMPRODUCT($B233:$B237,P$2:P$6)</f>
        <v>13.417342186926682</v>
      </c>
      <c r="H233">
        <f t="shared" si="248"/>
        <v>12.861004607224885</v>
      </c>
      <c r="I233">
        <f t="shared" si="248"/>
        <v>12.335606355671661</v>
      </c>
      <c r="J233">
        <f t="shared" si="248"/>
        <v>11.51153711938149</v>
      </c>
      <c r="K233">
        <f t="shared" si="248"/>
        <v>7.0938670513065887</v>
      </c>
      <c r="L233">
        <f t="shared" si="208"/>
        <v>24.081794939196627</v>
      </c>
      <c r="M233">
        <f t="shared" si="209"/>
        <v>-0.34179493919662818</v>
      </c>
      <c r="N233">
        <f t="shared" si="210"/>
        <v>0.11682378046042675</v>
      </c>
    </row>
    <row r="234" spans="1:14" x14ac:dyDescent="0.45">
      <c r="A234" s="22">
        <v>42536</v>
      </c>
      <c r="B234">
        <v>23.99</v>
      </c>
      <c r="C234">
        <v>23.96</v>
      </c>
      <c r="G234">
        <f t="shared" ref="G234:K234" si="249">SUMPRODUCT($B234:$B238,P$2:P$6)</f>
        <v>13.440245133978832</v>
      </c>
      <c r="H234">
        <f t="shared" si="249"/>
        <v>12.883698597861565</v>
      </c>
      <c r="I234">
        <f t="shared" si="249"/>
        <v>12.357968172376395</v>
      </c>
      <c r="J234">
        <f t="shared" si="249"/>
        <v>11.533600846110284</v>
      </c>
      <c r="K234">
        <f t="shared" si="249"/>
        <v>7.1073715077437436</v>
      </c>
      <c r="L234">
        <f t="shared" si="208"/>
        <v>24.124294037099574</v>
      </c>
      <c r="M234">
        <f t="shared" si="209"/>
        <v>-0.18429403709957271</v>
      </c>
      <c r="N234">
        <f t="shared" si="210"/>
        <v>3.3964292110458684E-2</v>
      </c>
    </row>
    <row r="235" spans="1:14" x14ac:dyDescent="0.45">
      <c r="A235" s="22">
        <v>42535</v>
      </c>
      <c r="B235">
        <v>23.79</v>
      </c>
      <c r="C235">
        <v>23.88</v>
      </c>
      <c r="G235">
        <f t="shared" ref="G235:K235" si="250">SUMPRODUCT($B235:$B239,P$2:P$6)</f>
        <v>13.336965392569123</v>
      </c>
      <c r="H235">
        <f t="shared" si="250"/>
        <v>12.783426484169055</v>
      </c>
      <c r="I235">
        <f t="shared" si="250"/>
        <v>12.260768103428488</v>
      </c>
      <c r="J235">
        <f t="shared" si="250"/>
        <v>11.440836494597541</v>
      </c>
      <c r="K235">
        <f t="shared" si="250"/>
        <v>7.0503647718803659</v>
      </c>
      <c r="L235">
        <f t="shared" si="208"/>
        <v>23.938901487129275</v>
      </c>
      <c r="M235">
        <f t="shared" si="209"/>
        <v>5.1098512870723312E-2</v>
      </c>
      <c r="N235">
        <f t="shared" si="210"/>
        <v>2.611058017599476E-3</v>
      </c>
    </row>
    <row r="236" spans="1:14" x14ac:dyDescent="0.45">
      <c r="A236" s="22">
        <v>42534</v>
      </c>
      <c r="B236">
        <v>24.02</v>
      </c>
      <c r="C236">
        <v>23.89</v>
      </c>
      <c r="G236">
        <f t="shared" ref="G236:K236" si="251">SUMPRODUCT($B236:$B240,P$2:P$6)</f>
        <v>13.464017782032494</v>
      </c>
      <c r="H236">
        <f t="shared" si="251"/>
        <v>12.905479015108236</v>
      </c>
      <c r="I236">
        <f t="shared" si="251"/>
        <v>12.378049951948695</v>
      </c>
      <c r="J236">
        <f t="shared" si="251"/>
        <v>11.550715825511917</v>
      </c>
      <c r="K236">
        <f t="shared" si="251"/>
        <v>7.1180435955643366</v>
      </c>
      <c r="L236">
        <f t="shared" si="208"/>
        <v>24.163029406315275</v>
      </c>
      <c r="M236">
        <f t="shared" si="209"/>
        <v>-0.37302940631527548</v>
      </c>
      <c r="N236">
        <f t="shared" si="210"/>
        <v>0.1391509379759269</v>
      </c>
    </row>
    <row r="237" spans="1:14" x14ac:dyDescent="0.45">
      <c r="A237" s="22">
        <v>42531</v>
      </c>
      <c r="B237">
        <v>24.16</v>
      </c>
      <c r="C237">
        <v>24.07</v>
      </c>
      <c r="G237">
        <f t="shared" ref="G237:K237" si="252">SUMPRODUCT($B237:$B241,P$2:P$6)</f>
        <v>13.5402234331383</v>
      </c>
      <c r="H237">
        <f t="shared" si="252"/>
        <v>12.978851872315643</v>
      </c>
      <c r="I237">
        <f t="shared" si="252"/>
        <v>12.448687868995794</v>
      </c>
      <c r="J237">
        <f t="shared" si="252"/>
        <v>11.61716200139894</v>
      </c>
      <c r="K237">
        <f t="shared" si="252"/>
        <v>7.1589498577422424</v>
      </c>
      <c r="L237">
        <f t="shared" si="208"/>
        <v>24.297963450359564</v>
      </c>
      <c r="M237">
        <f t="shared" si="209"/>
        <v>-0.27796345035956449</v>
      </c>
      <c r="N237">
        <f t="shared" si="210"/>
        <v>7.7263679735794066E-2</v>
      </c>
    </row>
    <row r="238" spans="1:14" x14ac:dyDescent="0.45">
      <c r="A238" s="22">
        <v>42530</v>
      </c>
      <c r="B238">
        <v>24.19</v>
      </c>
      <c r="C238">
        <v>24.33</v>
      </c>
      <c r="G238">
        <f t="shared" ref="G238:K238" si="253">SUMPRODUCT($B238:$B242,P$2:P$6)</f>
        <v>13.557650026774468</v>
      </c>
      <c r="H238">
        <f t="shared" si="253"/>
        <v>12.995467091613708</v>
      </c>
      <c r="I238">
        <f t="shared" si="253"/>
        <v>12.464553212322517</v>
      </c>
      <c r="J238">
        <f t="shared" si="253"/>
        <v>11.631824407361089</v>
      </c>
      <c r="K238">
        <f t="shared" si="253"/>
        <v>7.1679963979565642</v>
      </c>
      <c r="L238">
        <f t="shared" si="208"/>
        <v>24.328325020880712</v>
      </c>
      <c r="M238">
        <f t="shared" si="209"/>
        <v>-0.16832502088071166</v>
      </c>
      <c r="N238">
        <f t="shared" si="210"/>
        <v>2.8333312654492016E-2</v>
      </c>
    </row>
    <row r="239" spans="1:14" x14ac:dyDescent="0.45">
      <c r="A239" s="22">
        <v>42529</v>
      </c>
      <c r="B239">
        <v>24.25</v>
      </c>
      <c r="C239">
        <v>24.23</v>
      </c>
      <c r="G239">
        <f t="shared" ref="G239:K239" si="254">SUMPRODUCT($B239:$B243,P$2:P$6)</f>
        <v>13.587590087806117</v>
      </c>
      <c r="H239">
        <f t="shared" si="254"/>
        <v>13.024698972697744</v>
      </c>
      <c r="I239">
        <f t="shared" si="254"/>
        <v>12.493019561237455</v>
      </c>
      <c r="J239">
        <f t="shared" si="254"/>
        <v>11.659250173744953</v>
      </c>
      <c r="K239">
        <f t="shared" si="254"/>
        <v>7.1848309899158362</v>
      </c>
      <c r="L239">
        <f t="shared" si="208"/>
        <v>24.382565217784816</v>
      </c>
      <c r="M239">
        <f t="shared" si="209"/>
        <v>-0.19256521778481428</v>
      </c>
      <c r="N239">
        <f t="shared" si="210"/>
        <v>3.7081363100512951E-2</v>
      </c>
    </row>
    <row r="240" spans="1:14" x14ac:dyDescent="0.45">
      <c r="A240" s="22">
        <v>42528</v>
      </c>
      <c r="B240">
        <v>24.13</v>
      </c>
      <c r="C240">
        <v>24.28</v>
      </c>
      <c r="G240">
        <f t="shared" ref="G240:K240" si="255">SUMPRODUCT($B240:$B244,P$2:P$6)</f>
        <v>13.519726660496882</v>
      </c>
      <c r="H240">
        <f t="shared" si="255"/>
        <v>12.95973734933095</v>
      </c>
      <c r="I240">
        <f t="shared" si="255"/>
        <v>12.430782314582501</v>
      </c>
      <c r="J240">
        <f t="shared" si="255"/>
        <v>11.601313105856613</v>
      </c>
      <c r="K240">
        <f t="shared" si="255"/>
        <v>7.1491167622345637</v>
      </c>
      <c r="L240">
        <f t="shared" si="208"/>
        <v>24.263550355800202</v>
      </c>
      <c r="M240">
        <f t="shared" si="209"/>
        <v>-1.3550355800202141E-2</v>
      </c>
      <c r="N240">
        <f t="shared" si="210"/>
        <v>1.8361214231207178E-4</v>
      </c>
    </row>
    <row r="241" spans="1:14" x14ac:dyDescent="0.45">
      <c r="A241" s="22">
        <v>42527</v>
      </c>
      <c r="B241">
        <v>23.98</v>
      </c>
      <c r="C241">
        <v>23.99</v>
      </c>
      <c r="G241">
        <f t="shared" ref="G241:K241" si="256">SUMPRODUCT($B241:$B245,P$2:P$6)</f>
        <v>13.443444014260013</v>
      </c>
      <c r="H241">
        <f t="shared" si="256"/>
        <v>12.885491221783802</v>
      </c>
      <c r="I241">
        <f t="shared" si="256"/>
        <v>12.358664343788089</v>
      </c>
      <c r="J241">
        <f t="shared" si="256"/>
        <v>11.532194656816909</v>
      </c>
      <c r="K241">
        <f t="shared" si="256"/>
        <v>7.1066632231994831</v>
      </c>
      <c r="L241">
        <f t="shared" si="208"/>
        <v>24.126059093676059</v>
      </c>
      <c r="M241">
        <f t="shared" si="209"/>
        <v>3.9409063239403963E-3</v>
      </c>
      <c r="N241">
        <f t="shared" si="210"/>
        <v>1.5530742654073409E-5</v>
      </c>
    </row>
    <row r="242" spans="1:14" x14ac:dyDescent="0.45">
      <c r="A242" s="22">
        <v>42524</v>
      </c>
      <c r="B242">
        <v>24.21</v>
      </c>
      <c r="C242">
        <v>23.98</v>
      </c>
      <c r="G242">
        <f t="shared" ref="G242:K242" si="257">SUMPRODUCT($B242:$B246,P$2:P$6)</f>
        <v>13.566401959317117</v>
      </c>
      <c r="H242">
        <f t="shared" si="257"/>
        <v>13.004211631555579</v>
      </c>
      <c r="I242">
        <f t="shared" si="257"/>
        <v>12.473225910859536</v>
      </c>
      <c r="J242">
        <f t="shared" si="257"/>
        <v>11.640491676218513</v>
      </c>
      <c r="K242">
        <f t="shared" si="257"/>
        <v>7.1732933064923117</v>
      </c>
      <c r="L242">
        <f t="shared" si="208"/>
        <v>24.344784578385369</v>
      </c>
      <c r="M242">
        <f t="shared" si="209"/>
        <v>-0.36478457838536826</v>
      </c>
      <c r="N242">
        <f t="shared" si="210"/>
        <v>0.1330677886277909</v>
      </c>
    </row>
    <row r="243" spans="1:14" x14ac:dyDescent="0.45">
      <c r="A243" s="22">
        <v>42523</v>
      </c>
      <c r="B243">
        <v>24.15</v>
      </c>
      <c r="C243">
        <v>24.25</v>
      </c>
      <c r="G243">
        <f t="shared" ref="G243:K243" si="258">SUMPRODUCT($B243:$B247,P$2:P$6)</f>
        <v>13.539737174842712</v>
      </c>
      <c r="H243">
        <f t="shared" si="258"/>
        <v>12.977645383807586</v>
      </c>
      <c r="I243">
        <f t="shared" si="258"/>
        <v>12.446935787103602</v>
      </c>
      <c r="J243">
        <f t="shared" si="258"/>
        <v>11.614331630368497</v>
      </c>
      <c r="K243">
        <f t="shared" si="258"/>
        <v>7.1572977068459522</v>
      </c>
      <c r="L243">
        <f t="shared" si="208"/>
        <v>24.294866122516666</v>
      </c>
      <c r="M243">
        <f t="shared" si="209"/>
        <v>-8.4866122516665143E-2</v>
      </c>
      <c r="N243">
        <f t="shared" si="210"/>
        <v>7.2022587510136181E-3</v>
      </c>
    </row>
    <row r="244" spans="1:14" x14ac:dyDescent="0.45">
      <c r="A244" s="22">
        <v>42522</v>
      </c>
      <c r="B244">
        <v>24.43</v>
      </c>
      <c r="C244">
        <v>24.07</v>
      </c>
      <c r="G244">
        <f t="shared" ref="G244:K244" si="259">SUMPRODUCT($B244:$B248,P$2:P$6)</f>
        <v>13.688054473061737</v>
      </c>
      <c r="H244">
        <f t="shared" si="259"/>
        <v>13.121058711067304</v>
      </c>
      <c r="I244">
        <f t="shared" si="259"/>
        <v>12.585491339749042</v>
      </c>
      <c r="J244">
        <f t="shared" si="259"/>
        <v>11.745641686554691</v>
      </c>
      <c r="K244">
        <f t="shared" si="259"/>
        <v>7.2380614908106224</v>
      </c>
      <c r="L244">
        <f t="shared" si="208"/>
        <v>24.559331864761603</v>
      </c>
      <c r="M244">
        <f t="shared" si="209"/>
        <v>-0.40933186476160444</v>
      </c>
      <c r="N244">
        <f t="shared" si="210"/>
        <v>0.16755257550921243</v>
      </c>
    </row>
    <row r="245" spans="1:14" x14ac:dyDescent="0.45">
      <c r="A245" s="22">
        <v>42521</v>
      </c>
      <c r="B245">
        <v>24.29</v>
      </c>
      <c r="C245">
        <v>24.46</v>
      </c>
      <c r="G245">
        <f t="shared" ref="G245:K245" si="260">SUMPRODUCT($B245:$B249,P$2:P$6)</f>
        <v>13.61000583889445</v>
      </c>
      <c r="H245">
        <f t="shared" si="260"/>
        <v>13.046186233310541</v>
      </c>
      <c r="I245">
        <f t="shared" si="260"/>
        <v>12.513629296050002</v>
      </c>
      <c r="J245">
        <f t="shared" si="260"/>
        <v>11.678483237979691</v>
      </c>
      <c r="K245">
        <f t="shared" si="260"/>
        <v>7.1966832954567019</v>
      </c>
      <c r="L245">
        <f t="shared" si="208"/>
        <v>24.421966339022671</v>
      </c>
      <c r="M245">
        <f t="shared" si="209"/>
        <v>8.033660977329049E-3</v>
      </c>
      <c r="N245">
        <f t="shared" si="210"/>
        <v>6.4539708698659531E-5</v>
      </c>
    </row>
    <row r="246" spans="1:14" x14ac:dyDescent="0.45">
      <c r="A246" s="22">
        <v>42517</v>
      </c>
      <c r="B246">
        <v>24.17</v>
      </c>
      <c r="C246">
        <v>24.36</v>
      </c>
      <c r="G246">
        <f t="shared" ref="G246:K246" si="261">SUMPRODUCT($B246:$B250,P$2:P$6)</f>
        <v>13.541322864283938</v>
      </c>
      <c r="H246">
        <f t="shared" si="261"/>
        <v>12.980557942142383</v>
      </c>
      <c r="I246">
        <f t="shared" si="261"/>
        <v>12.450847993105297</v>
      </c>
      <c r="J246">
        <f t="shared" si="261"/>
        <v>11.620229402015504</v>
      </c>
      <c r="K246">
        <f t="shared" si="261"/>
        <v>7.1607593196972035</v>
      </c>
      <c r="L246">
        <f t="shared" si="208"/>
        <v>24.301870460743913</v>
      </c>
      <c r="M246">
        <f t="shared" si="209"/>
        <v>-1.187046074391418E-2</v>
      </c>
      <c r="N246">
        <f t="shared" si="210"/>
        <v>1.4090783827280757E-4</v>
      </c>
    </row>
    <row r="247" spans="1:14" x14ac:dyDescent="0.45">
      <c r="A247" s="22">
        <v>42516</v>
      </c>
      <c r="B247">
        <v>23.98</v>
      </c>
      <c r="C247">
        <v>24.12</v>
      </c>
      <c r="G247">
        <f t="shared" ref="G247:K247" si="262">SUMPRODUCT($B247:$B251,P$2:P$6)</f>
        <v>13.437300876695808</v>
      </c>
      <c r="H247">
        <f t="shared" si="262"/>
        <v>12.880492374946789</v>
      </c>
      <c r="I247">
        <f t="shared" si="262"/>
        <v>12.354583921614953</v>
      </c>
      <c r="J247">
        <f t="shared" si="262"/>
        <v>11.529820648481751</v>
      </c>
      <c r="K247">
        <f t="shared" si="262"/>
        <v>7.1050901126127703</v>
      </c>
      <c r="L247">
        <f t="shared" si="208"/>
        <v>24.117954264139613</v>
      </c>
      <c r="M247">
        <f t="shared" si="209"/>
        <v>5.2045735860389186E-2</v>
      </c>
      <c r="N247">
        <f t="shared" si="210"/>
        <v>2.7087586212494008E-3</v>
      </c>
    </row>
    <row r="248" spans="1:14" x14ac:dyDescent="0.45">
      <c r="A248" s="22">
        <v>42515</v>
      </c>
      <c r="B248">
        <v>23.91</v>
      </c>
      <c r="C248">
        <v>24.04</v>
      </c>
      <c r="G248">
        <f>SUMPRODUCT($B248:$B252,P$2:P$6)</f>
        <v>13.393977934407406</v>
      </c>
      <c r="H248">
        <f>SUMPRODUCT($B248:$B252,Q$2:Q$6)</f>
        <v>12.839557190136897</v>
      </c>
      <c r="I248">
        <f>SUMPRODUCT($B248:$B252,R$2:R$6)</f>
        <v>12.315796604244237</v>
      </c>
      <c r="J248">
        <f>SUMPRODUCT($B248:$B252,S$2:S$6)</f>
        <v>11.49458004897736</v>
      </c>
      <c r="K248">
        <f>SUMPRODUCT($B248:$B252,T$2:T$6)</f>
        <v>7.0832998375251117</v>
      </c>
      <c r="L248">
        <f>(G248+$P$7)*$U$2+(H248+$Q$7)*$U$3+(I248+$R$7)*$U$4+(J248+$S$7)*$U$5+(K248+$T$7)*$U$6+$U$7</f>
        <v>24.043599114796574</v>
      </c>
      <c r="M248">
        <f>B247-L248</f>
        <v>-6.3599114796573986E-2</v>
      </c>
      <c r="N248">
        <f>M248^2</f>
        <v>4.0448474029077964E-3</v>
      </c>
    </row>
    <row r="249" spans="1:14" x14ac:dyDescent="0.45">
      <c r="A249" s="22">
        <v>42514</v>
      </c>
      <c r="B249">
        <v>23.64</v>
      </c>
      <c r="C249">
        <v>24.05</v>
      </c>
    </row>
    <row r="250" spans="1:14" x14ac:dyDescent="0.45">
      <c r="A250" s="22">
        <v>42513</v>
      </c>
      <c r="B250">
        <v>23.38</v>
      </c>
      <c r="C250">
        <v>23.46</v>
      </c>
    </row>
    <row r="251" spans="1:14" x14ac:dyDescent="0.45">
      <c r="A251" s="22">
        <v>42510</v>
      </c>
      <c r="B251">
        <v>23.44</v>
      </c>
      <c r="C251">
        <v>23.65</v>
      </c>
    </row>
    <row r="252" spans="1:14" x14ac:dyDescent="0.45">
      <c r="A252" s="22">
        <v>42509</v>
      </c>
      <c r="B252">
        <v>23.59</v>
      </c>
      <c r="C252">
        <v>23.42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52"/>
  <sheetViews>
    <sheetView workbookViewId="0">
      <selection activeCell="C2" sqref="C2"/>
    </sheetView>
  </sheetViews>
  <sheetFormatPr defaultRowHeight="14.25" x14ac:dyDescent="0.45"/>
  <cols>
    <col min="1" max="1" width="9.3984375" bestFit="1" customWidth="1"/>
  </cols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143.97999999999999</v>
      </c>
      <c r="C2">
        <v>140.41</v>
      </c>
      <c r="G2">
        <f t="shared" ref="G2" si="0">SUMPRODUCT($B2:$B6,P$2:P$6)</f>
        <v>71.045424005618742</v>
      </c>
      <c r="H2">
        <f t="shared" ref="H2" si="1">SUMPRODUCT($B2:$B6,Q$2:Q$6)</f>
        <v>89.916602884374271</v>
      </c>
      <c r="I2">
        <f t="shared" ref="I2" si="2">SUMPRODUCT($B2:$B6,R$2:R$6)</f>
        <v>86.70106074202188</v>
      </c>
      <c r="J2">
        <f t="shared" ref="J2" si="3">SUMPRODUCT($B2:$B6,S$2:S$6)</f>
        <v>77.254007270425817</v>
      </c>
      <c r="K2">
        <f t="shared" ref="K2" si="4">SUMPRODUCT($B2:$B6,T$2:T$6)</f>
        <v>65.515947872726485</v>
      </c>
      <c r="L2">
        <f t="shared" ref="L2" si="5">(G2+$P$7)*$U$2+(H2+$Q$7)*$U$3+(I2+$R$7)*$U$4+(J2+$S$7)*$U$5+(K2+$T$7)*$U$6+$U$7</f>
        <v>144.03780711859235</v>
      </c>
      <c r="P2">
        <v>0.48614297686161378</v>
      </c>
      <c r="Q2">
        <v>0.61467511184332169</v>
      </c>
      <c r="R2">
        <v>0.59221754128897741</v>
      </c>
      <c r="S2">
        <v>0.52813858160726146</v>
      </c>
      <c r="T2">
        <v>0.4481793419261626</v>
      </c>
      <c r="U2">
        <v>0.32045329048926363</v>
      </c>
      <c r="W2" t="s">
        <v>30</v>
      </c>
    </row>
    <row r="3" spans="1:23" x14ac:dyDescent="0.45">
      <c r="A3" s="22">
        <v>42871</v>
      </c>
      <c r="B3">
        <v>143.68</v>
      </c>
      <c r="C3">
        <v>145.37</v>
      </c>
      <c r="G3">
        <f t="shared" ref="G3:K3" si="6">SUMPRODUCT($B3:$B7,P$2:P$6)</f>
        <v>70.892228321086293</v>
      </c>
      <c r="H3">
        <f t="shared" si="6"/>
        <v>89.72229271191857</v>
      </c>
      <c r="I3">
        <f t="shared" si="6"/>
        <v>86.513363076602261</v>
      </c>
      <c r="J3">
        <f t="shared" si="6"/>
        <v>77.087077764497309</v>
      </c>
      <c r="K3">
        <f t="shared" si="6"/>
        <v>65.37458529233821</v>
      </c>
      <c r="L3">
        <f t="shared" ref="L3:L66" si="7">(G3+$P$7)*$U$2+(H3+$Q$7)*$U$3+(I3+$R$7)*$U$4+(J3+$S$7)*$U$5+(K3+$T$7)*$U$6+$U$7</f>
        <v>143.72696615349804</v>
      </c>
      <c r="M3">
        <f t="shared" ref="M3:M66" si="8">B2-L3</f>
        <v>0.25303384650194971</v>
      </c>
      <c r="N3">
        <f t="shared" ref="N3:N66" si="9">M3^2</f>
        <v>6.402612747557225E-2</v>
      </c>
      <c r="P3">
        <v>6.4176753574060581E-7</v>
      </c>
      <c r="Q3">
        <v>0</v>
      </c>
      <c r="R3">
        <v>0</v>
      </c>
      <c r="S3">
        <v>8.1948377179361105E-7</v>
      </c>
      <c r="T3">
        <v>2.7801213159143545E-7</v>
      </c>
      <c r="U3">
        <v>0.4190720471661753</v>
      </c>
      <c r="V3" t="s">
        <v>28</v>
      </c>
      <c r="W3">
        <f>SUM(N3:N252)</f>
        <v>613.53702636990363</v>
      </c>
    </row>
    <row r="4" spans="1:23" x14ac:dyDescent="0.45">
      <c r="A4" s="22">
        <v>42870</v>
      </c>
      <c r="B4">
        <v>140.32</v>
      </c>
      <c r="C4">
        <v>143.02000000000001</v>
      </c>
      <c r="G4">
        <f t="shared" ref="G4:K4" si="10">SUMPRODUCT($B4:$B8,P$2:P$6)</f>
        <v>69.254662839419169</v>
      </c>
      <c r="H4">
        <f t="shared" si="10"/>
        <v>87.651423926536737</v>
      </c>
      <c r="I4">
        <f t="shared" si="10"/>
        <v>84.517881456073241</v>
      </c>
      <c r="J4">
        <f t="shared" si="10"/>
        <v>75.307769236709873</v>
      </c>
      <c r="K4">
        <f t="shared" si="10"/>
        <v>63.864825771792439</v>
      </c>
      <c r="L4">
        <f t="shared" si="7"/>
        <v>140.41363700918927</v>
      </c>
      <c r="M4">
        <f t="shared" si="8"/>
        <v>3.2663629908107339</v>
      </c>
      <c r="N4">
        <f t="shared" si="9"/>
        <v>10.669127187738042</v>
      </c>
      <c r="P4">
        <v>9.5536757930930469E-7</v>
      </c>
      <c r="Q4">
        <v>0</v>
      </c>
      <c r="R4">
        <v>6.115371130331976E-7</v>
      </c>
      <c r="S4">
        <v>6.9288115911643369E-7</v>
      </c>
      <c r="T4">
        <v>0</v>
      </c>
      <c r="U4">
        <v>0.41875936858040819</v>
      </c>
      <c r="V4" t="s">
        <v>29</v>
      </c>
      <c r="W4">
        <f>MAX(N3:N252)</f>
        <v>42.743650807611616</v>
      </c>
    </row>
    <row r="5" spans="1:23" x14ac:dyDescent="0.45">
      <c r="A5" s="22">
        <v>42867</v>
      </c>
      <c r="B5">
        <v>140.03</v>
      </c>
      <c r="C5">
        <v>139.81</v>
      </c>
      <c r="G5">
        <f t="shared" ref="G5:K5" si="11">SUMPRODUCT($B5:$B9,P$2:P$6)</f>
        <v>69.121480856611029</v>
      </c>
      <c r="H5">
        <f t="shared" si="11"/>
        <v>87.483682373141804</v>
      </c>
      <c r="I5">
        <f t="shared" si="11"/>
        <v>84.356784527204027</v>
      </c>
      <c r="J5">
        <f t="shared" si="11"/>
        <v>75.163612329300918</v>
      </c>
      <c r="K5">
        <f t="shared" si="11"/>
        <v>63.742184263077149</v>
      </c>
      <c r="L5">
        <f t="shared" si="7"/>
        <v>140.14519412983205</v>
      </c>
      <c r="M5">
        <f t="shared" si="8"/>
        <v>0.17480587016794402</v>
      </c>
      <c r="N5">
        <f t="shared" si="9"/>
        <v>3.0557092245172102E-2</v>
      </c>
      <c r="P5">
        <v>7.4998477515274067E-3</v>
      </c>
      <c r="Q5">
        <v>1.0109835615031298E-2</v>
      </c>
      <c r="R5">
        <v>1.0236861682002352E-2</v>
      </c>
      <c r="S5">
        <v>8.6581398421748494E-3</v>
      </c>
      <c r="T5">
        <v>7.0488200915128094E-3</v>
      </c>
      <c r="U5">
        <v>0.36091227654302593</v>
      </c>
    </row>
    <row r="6" spans="1:23" x14ac:dyDescent="0.45">
      <c r="A6" s="22">
        <v>42866</v>
      </c>
      <c r="B6">
        <v>139.05000000000001</v>
      </c>
      <c r="C6">
        <v>139.86000000000001</v>
      </c>
      <c r="G6">
        <f t="shared" ref="G6:K6" si="12">SUMPRODUCT($B6:$B10,P$2:P$6)</f>
        <v>68.651511756245057</v>
      </c>
      <c r="H6">
        <f t="shared" si="12"/>
        <v>86.889995222164274</v>
      </c>
      <c r="I6">
        <f t="shared" si="12"/>
        <v>83.785215775024767</v>
      </c>
      <c r="J6">
        <f t="shared" si="12"/>
        <v>74.653482789470388</v>
      </c>
      <c r="K6">
        <f t="shared" si="12"/>
        <v>63.309030340361538</v>
      </c>
      <c r="L6">
        <f t="shared" si="7"/>
        <v>139.19525610993995</v>
      </c>
      <c r="M6">
        <f t="shared" si="8"/>
        <v>0.83474389006005367</v>
      </c>
      <c r="N6">
        <f t="shared" si="9"/>
        <v>0.69679736199259101</v>
      </c>
      <c r="P6">
        <v>9.2233080869082101E-7</v>
      </c>
      <c r="Q6">
        <v>0</v>
      </c>
      <c r="R6">
        <v>1.8407059651568776E-7</v>
      </c>
      <c r="S6">
        <v>0</v>
      </c>
      <c r="T6">
        <v>0</v>
      </c>
      <c r="U6">
        <v>0.29337239151274858</v>
      </c>
    </row>
    <row r="7" spans="1:23" x14ac:dyDescent="0.45">
      <c r="A7" s="22">
        <v>42865</v>
      </c>
      <c r="B7">
        <v>138.5</v>
      </c>
      <c r="C7">
        <v>139.83000000000001</v>
      </c>
      <c r="G7">
        <f t="shared" ref="G7:K7" si="13">SUMPRODUCT($B7:$B11,P$2:P$6)</f>
        <v>68.388258076229477</v>
      </c>
      <c r="H7">
        <f t="shared" si="13"/>
        <v>86.557484320238714</v>
      </c>
      <c r="I7">
        <f t="shared" si="13"/>
        <v>83.465126638172009</v>
      </c>
      <c r="J7">
        <f t="shared" si="13"/>
        <v>74.367769994640511</v>
      </c>
      <c r="K7">
        <f t="shared" si="13"/>
        <v>63.066408842485096</v>
      </c>
      <c r="L7">
        <f t="shared" si="7"/>
        <v>138.66321354844865</v>
      </c>
      <c r="M7">
        <f t="shared" si="8"/>
        <v>0.38678645155135882</v>
      </c>
      <c r="N7">
        <f t="shared" si="9"/>
        <v>0.14960375910369164</v>
      </c>
      <c r="O7" t="s">
        <v>27</v>
      </c>
      <c r="P7">
        <v>9.9999999999996925E-9</v>
      </c>
      <c r="Q7">
        <v>4.4885864217951694E-8</v>
      </c>
      <c r="R7">
        <v>4.4885864217951694E-8</v>
      </c>
      <c r="S7">
        <v>4.4885864217951694E-8</v>
      </c>
      <c r="T7">
        <v>4.4885864217951694E-8</v>
      </c>
      <c r="U7">
        <v>0.18016090935678794</v>
      </c>
    </row>
    <row r="8" spans="1:23" x14ac:dyDescent="0.45">
      <c r="A8" s="22">
        <v>42864</v>
      </c>
      <c r="B8">
        <v>139.54</v>
      </c>
      <c r="C8">
        <v>139.4</v>
      </c>
      <c r="G8">
        <f t="shared" ref="G8:K8" si="14">SUMPRODUCT($B8:$B12,P$2:P$6)</f>
        <v>68.8820731992476</v>
      </c>
      <c r="H8">
        <f t="shared" si="14"/>
        <v>87.180873994640166</v>
      </c>
      <c r="I8">
        <f t="shared" si="14"/>
        <v>84.064961366705674</v>
      </c>
      <c r="J8">
        <f t="shared" si="14"/>
        <v>74.903441925800536</v>
      </c>
      <c r="K8">
        <f t="shared" si="14"/>
        <v>63.521448949635051</v>
      </c>
      <c r="L8">
        <f t="shared" si="7"/>
        <v>139.66071660934418</v>
      </c>
      <c r="M8">
        <f t="shared" si="8"/>
        <v>-1.1607166093441776</v>
      </c>
      <c r="N8">
        <f t="shared" si="9"/>
        <v>1.3472630472074443</v>
      </c>
    </row>
    <row r="9" spans="1:23" x14ac:dyDescent="0.45">
      <c r="A9" s="22">
        <v>42863</v>
      </c>
      <c r="B9">
        <v>140.4</v>
      </c>
      <c r="C9">
        <v>139.57</v>
      </c>
      <c r="G9">
        <f t="shared" ref="G9:K9" si="15">SUMPRODUCT($B9:$B13,P$2:P$6)</f>
        <v>69.301052319364487</v>
      </c>
      <c r="H9">
        <f t="shared" si="15"/>
        <v>87.710707771099237</v>
      </c>
      <c r="I9">
        <f t="shared" si="15"/>
        <v>84.575495381698076</v>
      </c>
      <c r="J9">
        <f t="shared" si="15"/>
        <v>75.358679445656506</v>
      </c>
      <c r="K9">
        <f t="shared" si="15"/>
        <v>63.907729195009217</v>
      </c>
      <c r="L9">
        <f t="shared" si="7"/>
        <v>140.50843404318601</v>
      </c>
      <c r="M9">
        <f t="shared" si="8"/>
        <v>-0.96843404318602211</v>
      </c>
      <c r="N9">
        <f t="shared" si="9"/>
        <v>0.93786449600162614</v>
      </c>
    </row>
    <row r="10" spans="1:23" x14ac:dyDescent="0.45">
      <c r="A10" s="22">
        <v>42860</v>
      </c>
      <c r="B10">
        <v>140.94999999999999</v>
      </c>
      <c r="C10">
        <v>140.38</v>
      </c>
      <c r="G10">
        <f t="shared" ref="G10:K10" si="16">SUMPRODUCT($B10:$B14,P$2:P$6)</f>
        <v>69.546678107167907</v>
      </c>
      <c r="H10">
        <f t="shared" si="16"/>
        <v>88.01946055932946</v>
      </c>
      <c r="I10">
        <f t="shared" si="16"/>
        <v>84.871527725330083</v>
      </c>
      <c r="J10">
        <f t="shared" si="16"/>
        <v>75.624045856554389</v>
      </c>
      <c r="K10">
        <f t="shared" si="16"/>
        <v>64.133785818324156</v>
      </c>
      <c r="L10">
        <f t="shared" si="7"/>
        <v>141.00259438312168</v>
      </c>
      <c r="M10">
        <f t="shared" si="8"/>
        <v>-0.60259438312166935</v>
      </c>
      <c r="N10">
        <f t="shared" si="9"/>
        <v>0.36311999056978522</v>
      </c>
    </row>
    <row r="11" spans="1:23" x14ac:dyDescent="0.45">
      <c r="A11" s="22">
        <v>42859</v>
      </c>
      <c r="B11">
        <v>139.38</v>
      </c>
      <c r="C11">
        <v>141.1</v>
      </c>
      <c r="G11">
        <f t="shared" ref="G11:K11" si="17">SUMPRODUCT($B11:$B15,P$2:P$6)</f>
        <v>68.763931206661027</v>
      </c>
      <c r="H11">
        <f t="shared" si="17"/>
        <v>87.028135061136368</v>
      </c>
      <c r="I11">
        <f t="shared" si="17"/>
        <v>83.915128545905674</v>
      </c>
      <c r="J11">
        <f t="shared" si="17"/>
        <v>74.77235520882401</v>
      </c>
      <c r="K11">
        <f t="shared" si="17"/>
        <v>63.411817352623615</v>
      </c>
      <c r="L11">
        <f t="shared" si="7"/>
        <v>139.41663141484946</v>
      </c>
      <c r="M11">
        <f t="shared" si="8"/>
        <v>1.5333685851505265</v>
      </c>
      <c r="N11">
        <f t="shared" si="9"/>
        <v>2.3512192179265274</v>
      </c>
    </row>
    <row r="12" spans="1:23" x14ac:dyDescent="0.45">
      <c r="A12" s="22">
        <v>42858</v>
      </c>
      <c r="B12">
        <v>139.5</v>
      </c>
      <c r="C12">
        <v>139.13</v>
      </c>
      <c r="G12">
        <f t="shared" ref="G12:K12" si="18">SUMPRODUCT($B12:$B16,P$2:P$6)</f>
        <v>68.821216087692036</v>
      </c>
      <c r="H12">
        <f t="shared" si="18"/>
        <v>87.10048069757147</v>
      </c>
      <c r="I12">
        <f t="shared" si="18"/>
        <v>83.984760308865106</v>
      </c>
      <c r="J12">
        <f t="shared" si="18"/>
        <v>74.834515521045049</v>
      </c>
      <c r="K12">
        <f t="shared" si="18"/>
        <v>63.464611232606764</v>
      </c>
      <c r="L12">
        <f t="shared" si="7"/>
        <v>139.53238821714777</v>
      </c>
      <c r="M12">
        <f t="shared" si="8"/>
        <v>-0.15238821714777373</v>
      </c>
      <c r="N12">
        <f t="shared" si="9"/>
        <v>2.3222168725477041E-2</v>
      </c>
    </row>
    <row r="13" spans="1:23" x14ac:dyDescent="0.45">
      <c r="A13" s="22">
        <v>42857</v>
      </c>
      <c r="B13">
        <v>136.6</v>
      </c>
      <c r="C13">
        <v>138.99</v>
      </c>
      <c r="G13">
        <f t="shared" ref="G13:K13" si="19">SUMPRODUCT($B13:$B17,P$2:P$6)</f>
        <v>67.428048539696817</v>
      </c>
      <c r="H13">
        <f t="shared" si="19"/>
        <v>85.340366708291199</v>
      </c>
      <c r="I13">
        <f t="shared" si="19"/>
        <v>82.290055031826611</v>
      </c>
      <c r="J13">
        <f t="shared" si="19"/>
        <v>73.322132477172445</v>
      </c>
      <c r="K13">
        <f t="shared" si="19"/>
        <v>62.180538798792512</v>
      </c>
      <c r="L13">
        <f t="shared" si="7"/>
        <v>136.71610579956101</v>
      </c>
      <c r="M13">
        <f t="shared" si="8"/>
        <v>2.7838942004389935</v>
      </c>
      <c r="N13">
        <f t="shared" si="9"/>
        <v>7.7500669192378631</v>
      </c>
    </row>
    <row r="14" spans="1:23" x14ac:dyDescent="0.45">
      <c r="A14" s="22">
        <v>42856</v>
      </c>
      <c r="B14">
        <v>134</v>
      </c>
      <c r="C14">
        <v>136.6</v>
      </c>
      <c r="G14">
        <f t="shared" ref="G14:K14" si="20">SUMPRODUCT($B14:$B18,P$2:P$6)</f>
        <v>66.157778580658274</v>
      </c>
      <c r="H14">
        <f t="shared" si="20"/>
        <v>83.733719155581937</v>
      </c>
      <c r="I14">
        <f t="shared" si="20"/>
        <v>80.741691742805841</v>
      </c>
      <c r="J14">
        <f t="shared" si="20"/>
        <v>71.941700750994585</v>
      </c>
      <c r="K14">
        <f t="shared" si="20"/>
        <v>61.009351461985915</v>
      </c>
      <c r="L14">
        <f t="shared" si="7"/>
        <v>134.14554211233016</v>
      </c>
      <c r="M14">
        <f t="shared" si="8"/>
        <v>2.4544578876698324</v>
      </c>
      <c r="N14">
        <f t="shared" si="9"/>
        <v>6.0243635223446557</v>
      </c>
    </row>
    <row r="15" spans="1:23" x14ac:dyDescent="0.45">
      <c r="A15" s="22">
        <v>42853</v>
      </c>
      <c r="B15">
        <v>133.86000000000001</v>
      </c>
      <c r="C15">
        <v>133.72</v>
      </c>
      <c r="G15">
        <f t="shared" ref="G15:K15" si="21">SUMPRODUCT($B15:$B19,P$2:P$6)</f>
        <v>66.086642579115917</v>
      </c>
      <c r="H15">
        <f t="shared" si="21"/>
        <v>83.643519607321721</v>
      </c>
      <c r="I15">
        <f t="shared" si="21"/>
        <v>80.654583326876818</v>
      </c>
      <c r="J15">
        <f t="shared" si="21"/>
        <v>71.864212749468081</v>
      </c>
      <c r="K15">
        <f t="shared" si="21"/>
        <v>60.943716955065668</v>
      </c>
      <c r="L15">
        <f t="shared" si="7"/>
        <v>134.00124704867164</v>
      </c>
      <c r="M15">
        <f t="shared" si="8"/>
        <v>-1.2470486716438245E-3</v>
      </c>
      <c r="N15">
        <f t="shared" si="9"/>
        <v>1.5551303894486271E-6</v>
      </c>
    </row>
    <row r="16" spans="1:23" x14ac:dyDescent="0.45">
      <c r="A16" s="22">
        <v>42852</v>
      </c>
      <c r="B16">
        <v>136.08000000000001</v>
      </c>
      <c r="C16">
        <v>136.19999999999999</v>
      </c>
      <c r="G16">
        <f t="shared" ref="G16:K16" si="22">SUMPRODUCT($B16:$B20,P$2:P$6)</f>
        <v>67.152303428648821</v>
      </c>
      <c r="H16">
        <f t="shared" si="22"/>
        <v>84.989799553150689</v>
      </c>
      <c r="I16">
        <f t="shared" si="22"/>
        <v>81.950777117774521</v>
      </c>
      <c r="J16">
        <f t="shared" si="22"/>
        <v>73.021008195074216</v>
      </c>
      <c r="K16">
        <f t="shared" si="22"/>
        <v>61.925916496245918</v>
      </c>
      <c r="L16">
        <f t="shared" si="7"/>
        <v>136.15537506694864</v>
      </c>
      <c r="M16">
        <f t="shared" si="8"/>
        <v>-2.2953750669486226</v>
      </c>
      <c r="N16">
        <f t="shared" si="9"/>
        <v>5.2687466979693935</v>
      </c>
    </row>
    <row r="17" spans="1:14" x14ac:dyDescent="0.45">
      <c r="A17" s="22">
        <v>42851</v>
      </c>
      <c r="B17">
        <v>135.24</v>
      </c>
      <c r="C17">
        <v>135.75</v>
      </c>
      <c r="G17">
        <f t="shared" ref="G17:K17" si="23">SUMPRODUCT($B17:$B21,P$2:P$6)</f>
        <v>66.736591051453075</v>
      </c>
      <c r="H17">
        <f t="shared" si="23"/>
        <v>84.463564820299567</v>
      </c>
      <c r="I17">
        <f t="shared" si="23"/>
        <v>81.443281065248044</v>
      </c>
      <c r="J17">
        <f t="shared" si="23"/>
        <v>72.568885219375545</v>
      </c>
      <c r="K17">
        <f t="shared" si="23"/>
        <v>61.542537891353284</v>
      </c>
      <c r="L17">
        <f t="shared" si="7"/>
        <v>135.31346024387122</v>
      </c>
      <c r="M17">
        <f t="shared" si="8"/>
        <v>0.76653975612879321</v>
      </c>
      <c r="N17">
        <f t="shared" si="9"/>
        <v>0.58758319772598977</v>
      </c>
    </row>
    <row r="18" spans="1:14" x14ac:dyDescent="0.45">
      <c r="A18" s="22">
        <v>42850</v>
      </c>
      <c r="B18">
        <v>134.83000000000001</v>
      </c>
      <c r="C18">
        <v>135.43</v>
      </c>
      <c r="G18">
        <f t="shared" ref="G18:K18" si="24">SUMPRODUCT($B18:$B22,P$2:P$6)</f>
        <v>66.533744878908578</v>
      </c>
      <c r="H18">
        <f t="shared" si="24"/>
        <v>84.206796401704736</v>
      </c>
      <c r="I18">
        <f t="shared" si="24"/>
        <v>81.195659844102423</v>
      </c>
      <c r="J18">
        <f t="shared" si="24"/>
        <v>72.348276912901596</v>
      </c>
      <c r="K18">
        <f t="shared" si="24"/>
        <v>61.355470912518591</v>
      </c>
      <c r="L18">
        <f t="shared" si="7"/>
        <v>134.90265881430639</v>
      </c>
      <c r="M18">
        <f t="shared" si="8"/>
        <v>0.33734118569361726</v>
      </c>
      <c r="N18">
        <f t="shared" si="9"/>
        <v>0.11379907556517556</v>
      </c>
    </row>
    <row r="19" spans="1:14" x14ac:dyDescent="0.45">
      <c r="A19" s="22">
        <v>42849</v>
      </c>
      <c r="B19">
        <v>133.02000000000001</v>
      </c>
      <c r="C19">
        <v>134.13999999999999</v>
      </c>
      <c r="G19">
        <f t="shared" ref="G19:K19" si="25">SUMPRODUCT($B19:$B23,P$2:P$6)</f>
        <v>65.649549168061625</v>
      </c>
      <c r="H19">
        <f t="shared" si="25"/>
        <v>83.088471842967763</v>
      </c>
      <c r="I19">
        <f t="shared" si="25"/>
        <v>80.117910609876887</v>
      </c>
      <c r="J19">
        <f t="shared" si="25"/>
        <v>71.387409811734159</v>
      </c>
      <c r="K19">
        <f t="shared" si="25"/>
        <v>60.54024820372819</v>
      </c>
      <c r="L19">
        <f t="shared" si="7"/>
        <v>133.11338666965958</v>
      </c>
      <c r="M19">
        <f t="shared" si="8"/>
        <v>1.7166133303404365</v>
      </c>
      <c r="N19">
        <f t="shared" si="9"/>
        <v>2.9467613259024845</v>
      </c>
    </row>
    <row r="20" spans="1:14" x14ac:dyDescent="0.45">
      <c r="A20" s="22">
        <v>42846</v>
      </c>
      <c r="B20">
        <v>132.04</v>
      </c>
      <c r="C20">
        <v>131.97999999999999</v>
      </c>
      <c r="G20">
        <f t="shared" ref="G20:K20" si="26">SUMPRODUCT($B20:$B24,P$2:P$6)</f>
        <v>65.165552103948016</v>
      </c>
      <c r="H20">
        <f t="shared" si="26"/>
        <v>82.475879299390115</v>
      </c>
      <c r="I20">
        <f t="shared" si="26"/>
        <v>79.52719759020269</v>
      </c>
      <c r="J20">
        <f t="shared" si="26"/>
        <v>70.861088500418802</v>
      </c>
      <c r="K20">
        <f t="shared" si="26"/>
        <v>60.09391300968241</v>
      </c>
      <c r="L20">
        <f t="shared" si="7"/>
        <v>132.13330294947696</v>
      </c>
      <c r="M20">
        <f t="shared" si="8"/>
        <v>0.88669705052305403</v>
      </c>
      <c r="N20">
        <f t="shared" si="9"/>
        <v>0.78623165940628348</v>
      </c>
    </row>
    <row r="21" spans="1:14" x14ac:dyDescent="0.45">
      <c r="A21" s="22">
        <v>42845</v>
      </c>
      <c r="B21">
        <v>131.57</v>
      </c>
      <c r="C21">
        <v>131.93</v>
      </c>
      <c r="G21">
        <f t="shared" ref="G21:K21" si="27">SUMPRODUCT($B21:$B25,P$2:P$6)</f>
        <v>64.926864371443955</v>
      </c>
      <c r="H21">
        <f t="shared" si="27"/>
        <v>82.173232620387296</v>
      </c>
      <c r="I21">
        <f t="shared" si="27"/>
        <v>79.23493271406204</v>
      </c>
      <c r="J21">
        <f t="shared" si="27"/>
        <v>70.601087129962309</v>
      </c>
      <c r="K21">
        <f t="shared" si="27"/>
        <v>59.873682165185734</v>
      </c>
      <c r="L21">
        <f t="shared" si="7"/>
        <v>131.64914792581737</v>
      </c>
      <c r="M21">
        <f t="shared" si="8"/>
        <v>0.39085207418261803</v>
      </c>
      <c r="N21">
        <f t="shared" si="9"/>
        <v>0.15276534389285473</v>
      </c>
    </row>
    <row r="22" spans="1:14" x14ac:dyDescent="0.45">
      <c r="A22" s="22">
        <v>42844</v>
      </c>
      <c r="B22">
        <v>131</v>
      </c>
      <c r="C22">
        <v>130.94999999999999</v>
      </c>
      <c r="G22">
        <f t="shared" ref="G22:K22" si="28">SUMPRODUCT($B22:$B26,P$2:P$6)</f>
        <v>64.65456101417486</v>
      </c>
      <c r="H22">
        <f t="shared" si="28"/>
        <v>81.829338101430238</v>
      </c>
      <c r="I22">
        <f t="shared" si="28"/>
        <v>78.903919512127473</v>
      </c>
      <c r="J22">
        <f t="shared" si="28"/>
        <v>70.305587577948188</v>
      </c>
      <c r="K22">
        <f t="shared" si="28"/>
        <v>59.62273090435415</v>
      </c>
      <c r="L22">
        <f t="shared" si="7"/>
        <v>131.09888437188857</v>
      </c>
      <c r="M22">
        <f t="shared" si="8"/>
        <v>0.47111562811141994</v>
      </c>
      <c r="N22">
        <f t="shared" si="9"/>
        <v>0.22194993505081773</v>
      </c>
    </row>
    <row r="23" spans="1:14" x14ac:dyDescent="0.45">
      <c r="A23" s="22">
        <v>42843</v>
      </c>
      <c r="B23">
        <v>129.99</v>
      </c>
      <c r="C23">
        <v>130.47</v>
      </c>
      <c r="G23">
        <f t="shared" ref="G23:K23" si="29">SUMPRODUCT($B23:$B27,P$2:P$6)</f>
        <v>64.165055716211299</v>
      </c>
      <c r="H23">
        <f t="shared" si="29"/>
        <v>81.21053820559149</v>
      </c>
      <c r="I23">
        <f t="shared" si="29"/>
        <v>78.30782743949986</v>
      </c>
      <c r="J23">
        <f t="shared" si="29"/>
        <v>69.773898567439304</v>
      </c>
      <c r="K23">
        <f t="shared" si="29"/>
        <v>59.17147915493053</v>
      </c>
      <c r="L23">
        <f t="shared" si="7"/>
        <v>130.10880201326117</v>
      </c>
      <c r="M23">
        <f t="shared" si="8"/>
        <v>0.8911979867388311</v>
      </c>
      <c r="N23">
        <f t="shared" si="9"/>
        <v>0.79423385156734583</v>
      </c>
    </row>
    <row r="24" spans="1:14" x14ac:dyDescent="0.45">
      <c r="A24" s="22">
        <v>42842</v>
      </c>
      <c r="B24">
        <v>128.63</v>
      </c>
      <c r="C24">
        <v>130.34</v>
      </c>
      <c r="G24">
        <f t="shared" ref="G24:K24" si="30">SUMPRODUCT($B24:$B28,P$2:P$6)</f>
        <v>63.499025455823229</v>
      </c>
      <c r="H24">
        <f t="shared" si="30"/>
        <v>80.368008660334795</v>
      </c>
      <c r="I24">
        <f t="shared" si="30"/>
        <v>77.495757443685193</v>
      </c>
      <c r="J24">
        <f t="shared" si="30"/>
        <v>69.050002968601859</v>
      </c>
      <c r="K24">
        <f t="shared" si="30"/>
        <v>58.557373694779223</v>
      </c>
      <c r="L24">
        <f t="shared" si="7"/>
        <v>128.76080352869369</v>
      </c>
      <c r="M24">
        <f t="shared" si="8"/>
        <v>1.2291964713063237</v>
      </c>
      <c r="N24">
        <f t="shared" si="9"/>
        <v>1.510923965071918</v>
      </c>
    </row>
    <row r="25" spans="1:14" x14ac:dyDescent="0.45">
      <c r="A25" s="22">
        <v>42838</v>
      </c>
      <c r="B25">
        <v>129.27000000000001</v>
      </c>
      <c r="C25">
        <v>128.13</v>
      </c>
      <c r="G25">
        <f t="shared" ref="G25:K25" si="31">SUMPRODUCT($B25:$B29,P$2:P$6)</f>
        <v>63.797855583599841</v>
      </c>
      <c r="H25">
        <f t="shared" si="31"/>
        <v>80.744820601505893</v>
      </c>
      <c r="I25">
        <f t="shared" si="31"/>
        <v>77.857987593045706</v>
      </c>
      <c r="J25">
        <f t="shared" si="31"/>
        <v>69.373812025013351</v>
      </c>
      <c r="K25">
        <f t="shared" si="31"/>
        <v>58.832648464264324</v>
      </c>
      <c r="L25">
        <f t="shared" si="7"/>
        <v>129.36378792780897</v>
      </c>
      <c r="M25">
        <f t="shared" si="8"/>
        <v>-0.73378792780897584</v>
      </c>
      <c r="N25">
        <f t="shared" si="9"/>
        <v>0.53844472299819068</v>
      </c>
    </row>
    <row r="26" spans="1:14" x14ac:dyDescent="0.45">
      <c r="A26" s="22">
        <v>42837</v>
      </c>
      <c r="B26">
        <v>129.47</v>
      </c>
      <c r="C26">
        <v>129.28</v>
      </c>
      <c r="G26">
        <f t="shared" ref="G26:K26" si="32">SUMPRODUCT($B26:$B30,P$2:P$6)</f>
        <v>63.885857096363509</v>
      </c>
      <c r="H26">
        <f t="shared" si="32"/>
        <v>80.855320526068041</v>
      </c>
      <c r="I26">
        <f t="shared" si="32"/>
        <v>77.963838701451877</v>
      </c>
      <c r="J26">
        <f t="shared" si="32"/>
        <v>69.468788560339362</v>
      </c>
      <c r="K26">
        <f t="shared" si="32"/>
        <v>58.913614103229101</v>
      </c>
      <c r="L26">
        <f t="shared" si="7"/>
        <v>129.54065315577591</v>
      </c>
      <c r="M26">
        <f t="shared" si="8"/>
        <v>-0.27065315577590354</v>
      </c>
      <c r="N26">
        <f t="shared" si="9"/>
        <v>7.3253130731455507E-2</v>
      </c>
    </row>
    <row r="27" spans="1:14" x14ac:dyDescent="0.45">
      <c r="A27" s="22">
        <v>42836</v>
      </c>
      <c r="B27">
        <v>128.82</v>
      </c>
      <c r="C27">
        <v>129.12</v>
      </c>
      <c r="G27">
        <f t="shared" ref="G27:K27" si="33">SUMPRODUCT($B27:$B31,P$2:P$6)</f>
        <v>63.567536575174039</v>
      </c>
      <c r="H27">
        <f t="shared" si="33"/>
        <v>80.452647654329226</v>
      </c>
      <c r="I27">
        <f t="shared" si="33"/>
        <v>77.575723039310915</v>
      </c>
      <c r="J27">
        <f t="shared" si="33"/>
        <v>69.122812262746365</v>
      </c>
      <c r="K27">
        <f t="shared" si="33"/>
        <v>58.620111940808833</v>
      </c>
      <c r="L27">
        <f t="shared" si="7"/>
        <v>128.89639775852069</v>
      </c>
      <c r="M27">
        <f t="shared" si="8"/>
        <v>0.57360224147930694</v>
      </c>
      <c r="N27">
        <f t="shared" si="9"/>
        <v>0.32901953143008517</v>
      </c>
    </row>
    <row r="28" spans="1:14" x14ac:dyDescent="0.45">
      <c r="A28" s="22">
        <v>42835</v>
      </c>
      <c r="B28">
        <v>127.18</v>
      </c>
      <c r="C28">
        <v>128.46</v>
      </c>
      <c r="G28">
        <f t="shared" ref="G28:K28" si="34">SUMPRODUCT($B28:$B32,P$2:P$6)</f>
        <v>62.766961646417421</v>
      </c>
      <c r="H28">
        <f t="shared" si="34"/>
        <v>79.440132143235573</v>
      </c>
      <c r="I28">
        <f t="shared" si="34"/>
        <v>76.599981977004177</v>
      </c>
      <c r="J28">
        <f t="shared" si="34"/>
        <v>68.252854184621697</v>
      </c>
      <c r="K28">
        <f t="shared" si="34"/>
        <v>57.881995997254734</v>
      </c>
      <c r="L28">
        <f t="shared" si="7"/>
        <v>127.27641183909921</v>
      </c>
      <c r="M28">
        <f t="shared" si="8"/>
        <v>1.5435881609007822</v>
      </c>
      <c r="N28">
        <f t="shared" si="9"/>
        <v>2.3826644104730592</v>
      </c>
    </row>
    <row r="29" spans="1:14" x14ac:dyDescent="0.45">
      <c r="A29" s="22">
        <v>42832</v>
      </c>
      <c r="B29">
        <v>125.95</v>
      </c>
      <c r="C29">
        <v>126.49</v>
      </c>
      <c r="G29">
        <f t="shared" ref="G29:K29" si="35">SUMPRODUCT($B29:$B33,P$2:P$6)</f>
        <v>62.173655550785931</v>
      </c>
      <c r="H29">
        <f t="shared" si="35"/>
        <v>78.690349853749609</v>
      </c>
      <c r="I29">
        <f t="shared" si="35"/>
        <v>75.877901082101957</v>
      </c>
      <c r="J29">
        <f t="shared" si="35"/>
        <v>67.608611217039225</v>
      </c>
      <c r="K29">
        <f t="shared" si="35"/>
        <v>57.335105588958534</v>
      </c>
      <c r="L29">
        <f t="shared" si="7"/>
        <v>126.07673626683544</v>
      </c>
      <c r="M29">
        <f t="shared" si="8"/>
        <v>1.1032637331645674</v>
      </c>
      <c r="N29">
        <f t="shared" si="9"/>
        <v>1.2171908649162178</v>
      </c>
    </row>
    <row r="30" spans="1:14" x14ac:dyDescent="0.45">
      <c r="A30" s="22">
        <v>42831</v>
      </c>
      <c r="B30">
        <v>125.64</v>
      </c>
      <c r="C30">
        <v>125.67</v>
      </c>
      <c r="G30">
        <f t="shared" ref="G30:K30" si="36">SUMPRODUCT($B30:$B34,P$2:P$6)</f>
        <v>62.026852473303691</v>
      </c>
      <c r="H30">
        <f t="shared" si="36"/>
        <v>78.505057683597997</v>
      </c>
      <c r="I30">
        <f t="shared" si="36"/>
        <v>75.699637394007681</v>
      </c>
      <c r="J30">
        <f t="shared" si="36"/>
        <v>67.449390558472373</v>
      </c>
      <c r="K30">
        <f t="shared" si="36"/>
        <v>57.19983525708367</v>
      </c>
      <c r="L30">
        <f t="shared" si="7"/>
        <v>125.78024310794696</v>
      </c>
      <c r="M30">
        <f t="shared" si="8"/>
        <v>0.16975689205304434</v>
      </c>
      <c r="N30">
        <f t="shared" si="9"/>
        <v>2.8817402399508949E-2</v>
      </c>
    </row>
    <row r="31" spans="1:14" x14ac:dyDescent="0.45">
      <c r="A31" s="22">
        <v>42830</v>
      </c>
      <c r="B31">
        <v>125.2</v>
      </c>
      <c r="C31">
        <v>124.97</v>
      </c>
      <c r="G31">
        <f t="shared" ref="G31:K31" si="37">SUMPRODUCT($B31:$B35,P$2:P$6)</f>
        <v>61.821202135359897</v>
      </c>
      <c r="H31">
        <f t="shared" si="37"/>
        <v>78.245721453563462</v>
      </c>
      <c r="I31">
        <f t="shared" si="37"/>
        <v>75.450322909831229</v>
      </c>
      <c r="J31">
        <f t="shared" si="37"/>
        <v>67.226534404769708</v>
      </c>
      <c r="K31">
        <f t="shared" si="37"/>
        <v>57.010390221104345</v>
      </c>
      <c r="L31">
        <f t="shared" si="7"/>
        <v>125.36524897462608</v>
      </c>
      <c r="M31">
        <f t="shared" si="8"/>
        <v>0.27475102537391649</v>
      </c>
      <c r="N31">
        <f t="shared" si="9"/>
        <v>7.5488125944018505E-2</v>
      </c>
    </row>
    <row r="32" spans="1:14" x14ac:dyDescent="0.45">
      <c r="A32" s="22">
        <v>42829</v>
      </c>
      <c r="B32">
        <v>125.82</v>
      </c>
      <c r="C32">
        <v>125.02</v>
      </c>
      <c r="G32">
        <f t="shared" ref="G32:K32" si="38">SUMPRODUCT($B32:$B36,P$2:P$6)</f>
        <v>62.137611695121045</v>
      </c>
      <c r="H32">
        <f t="shared" si="38"/>
        <v>78.647039694136382</v>
      </c>
      <c r="I32">
        <f t="shared" si="38"/>
        <v>75.83797214835252</v>
      </c>
      <c r="J32">
        <f t="shared" si="38"/>
        <v>67.571297793351405</v>
      </c>
      <c r="K32">
        <f t="shared" si="38"/>
        <v>57.302359197847899</v>
      </c>
      <c r="L32">
        <f t="shared" si="7"/>
        <v>126.00724144258616</v>
      </c>
      <c r="M32">
        <f t="shared" si="8"/>
        <v>-0.80724144258616093</v>
      </c>
      <c r="N32">
        <f t="shared" si="9"/>
        <v>0.65163874662858612</v>
      </c>
    </row>
    <row r="33" spans="1:14" x14ac:dyDescent="0.45">
      <c r="A33" s="22">
        <v>42828</v>
      </c>
      <c r="B33">
        <v>126.34</v>
      </c>
      <c r="C33">
        <v>126.14</v>
      </c>
      <c r="G33">
        <f t="shared" ref="G33:K33" si="39">SUMPRODUCT($B33:$B37,P$2:P$6)</f>
        <v>62.38905717455075</v>
      </c>
      <c r="H33">
        <f t="shared" si="39"/>
        <v>78.964850981884211</v>
      </c>
      <c r="I33">
        <f t="shared" si="39"/>
        <v>76.144083555918471</v>
      </c>
      <c r="J33">
        <f t="shared" si="39"/>
        <v>67.84437367781004</v>
      </c>
      <c r="K33">
        <f t="shared" si="39"/>
        <v>57.534143973846383</v>
      </c>
      <c r="L33">
        <f t="shared" si="7"/>
        <v>126.51574651374455</v>
      </c>
      <c r="M33">
        <f t="shared" si="8"/>
        <v>-0.69574651374455243</v>
      </c>
      <c r="N33">
        <f t="shared" si="9"/>
        <v>0.4840632113876987</v>
      </c>
    </row>
    <row r="34" spans="1:14" x14ac:dyDescent="0.45">
      <c r="A34" s="22">
        <v>42825</v>
      </c>
      <c r="B34">
        <v>127.44</v>
      </c>
      <c r="C34">
        <v>126.17</v>
      </c>
      <c r="G34">
        <f t="shared" ref="G34:K34" si="40">SUMPRODUCT($B34:$B38,P$2:P$6)</f>
        <v>62.911515339966208</v>
      </c>
      <c r="H34">
        <f t="shared" si="40"/>
        <v>79.6244134745032</v>
      </c>
      <c r="I34">
        <f t="shared" si="40"/>
        <v>76.77873419422518</v>
      </c>
      <c r="J34">
        <f t="shared" si="40"/>
        <v>68.411128282485805</v>
      </c>
      <c r="K34">
        <f t="shared" si="40"/>
        <v>58.015581741039341</v>
      </c>
      <c r="L34">
        <f t="shared" si="7"/>
        <v>127.57112930031798</v>
      </c>
      <c r="M34">
        <f t="shared" si="8"/>
        <v>-1.2311293003179742</v>
      </c>
      <c r="N34">
        <f t="shared" si="9"/>
        <v>1.5156793541014246</v>
      </c>
    </row>
    <row r="35" spans="1:14" x14ac:dyDescent="0.45">
      <c r="A35" s="22">
        <v>42824</v>
      </c>
      <c r="B35">
        <v>129.44</v>
      </c>
      <c r="C35">
        <v>129.46</v>
      </c>
      <c r="G35">
        <f t="shared" ref="G35:K35" si="41">SUMPRODUCT($B35:$B39,P$2:P$6)</f>
        <v>63.879974965714418</v>
      </c>
      <c r="H35">
        <f t="shared" si="41"/>
        <v>80.848607682026184</v>
      </c>
      <c r="I35">
        <f t="shared" si="41"/>
        <v>77.957947529645608</v>
      </c>
      <c r="J35">
        <f t="shared" si="41"/>
        <v>69.462988510548641</v>
      </c>
      <c r="K35">
        <f t="shared" si="41"/>
        <v>58.908345476602811</v>
      </c>
      <c r="L35">
        <f t="shared" si="7"/>
        <v>129.52984908020622</v>
      </c>
      <c r="M35">
        <f t="shared" si="8"/>
        <v>-2.0898490802062213</v>
      </c>
      <c r="N35">
        <f t="shared" si="9"/>
        <v>4.3674691780387889</v>
      </c>
    </row>
    <row r="36" spans="1:14" x14ac:dyDescent="0.45">
      <c r="A36" s="22">
        <v>42823</v>
      </c>
      <c r="B36">
        <v>129.26</v>
      </c>
      <c r="C36">
        <v>129.66</v>
      </c>
      <c r="G36">
        <f t="shared" ref="G36:K36" si="42">SUMPRODUCT($B36:$B40,P$2:P$6)</f>
        <v>63.794717635245249</v>
      </c>
      <c r="H36">
        <f t="shared" si="42"/>
        <v>80.740999112578891</v>
      </c>
      <c r="I36">
        <f t="shared" si="42"/>
        <v>77.854419116993569</v>
      </c>
      <c r="J36">
        <f t="shared" si="42"/>
        <v>69.3705193104892</v>
      </c>
      <c r="K36">
        <f t="shared" si="42"/>
        <v>58.829787385143661</v>
      </c>
      <c r="L36">
        <f t="shared" si="7"/>
        <v>129.35765880724824</v>
      </c>
      <c r="M36">
        <f t="shared" si="8"/>
        <v>8.2341192751755443E-2</v>
      </c>
      <c r="N36">
        <f t="shared" si="9"/>
        <v>6.7800720237817429E-3</v>
      </c>
    </row>
    <row r="37" spans="1:14" x14ac:dyDescent="0.45">
      <c r="A37" s="22">
        <v>42822</v>
      </c>
      <c r="B37">
        <v>127.62</v>
      </c>
      <c r="C37">
        <v>129.03</v>
      </c>
      <c r="G37">
        <f t="shared" ref="G37:K37" si="43">SUMPRODUCT($B37:$B41,P$2:P$6)</f>
        <v>62.997367542178424</v>
      </c>
      <c r="H37">
        <f t="shared" si="43"/>
        <v>79.732830830799699</v>
      </c>
      <c r="I37">
        <f t="shared" si="43"/>
        <v>76.883080050000189</v>
      </c>
      <c r="J37">
        <f t="shared" si="43"/>
        <v>68.504285245182515</v>
      </c>
      <c r="K37">
        <f t="shared" si="43"/>
        <v>58.094702634397649</v>
      </c>
      <c r="L37">
        <f t="shared" si="7"/>
        <v>127.74460478632832</v>
      </c>
      <c r="M37">
        <f t="shared" si="8"/>
        <v>1.5153952136716669</v>
      </c>
      <c r="N37">
        <f t="shared" si="9"/>
        <v>2.2964226536189969</v>
      </c>
    </row>
    <row r="38" spans="1:14" x14ac:dyDescent="0.45">
      <c r="A38" s="22">
        <v>42821</v>
      </c>
      <c r="B38">
        <v>127.11</v>
      </c>
      <c r="C38">
        <v>127.8</v>
      </c>
      <c r="G38">
        <f t="shared" ref="G38:K38" si="44">SUMPRODUCT($B38:$B42,P$2:P$6)</f>
        <v>62.744787963487916</v>
      </c>
      <c r="H38">
        <f t="shared" si="44"/>
        <v>79.413078425678293</v>
      </c>
      <c r="I38">
        <f t="shared" si="44"/>
        <v>76.574702854698998</v>
      </c>
      <c r="J38">
        <f t="shared" si="44"/>
        <v>68.229566760776976</v>
      </c>
      <c r="K38">
        <f t="shared" si="44"/>
        <v>57.86176098496221</v>
      </c>
      <c r="L38">
        <f t="shared" si="7"/>
        <v>127.23304177224406</v>
      </c>
      <c r="M38">
        <f t="shared" si="8"/>
        <v>0.38695822775594024</v>
      </c>
      <c r="N38">
        <f t="shared" si="9"/>
        <v>0.14973667002801813</v>
      </c>
    </row>
    <row r="39" spans="1:14" x14ac:dyDescent="0.45">
      <c r="A39" s="22">
        <v>42818</v>
      </c>
      <c r="B39">
        <v>127.41</v>
      </c>
      <c r="C39">
        <v>127.76</v>
      </c>
      <c r="G39">
        <f t="shared" ref="G39:K39" si="45">SUMPRODUCT($B39:$B43,P$2:P$6)</f>
        <v>62.915530259617846</v>
      </c>
      <c r="H39">
        <f t="shared" si="45"/>
        <v>79.631045613473191</v>
      </c>
      <c r="I39">
        <f t="shared" si="45"/>
        <v>76.786354219955726</v>
      </c>
      <c r="J39">
        <f t="shared" si="45"/>
        <v>68.416752921753996</v>
      </c>
      <c r="K39">
        <f t="shared" si="45"/>
        <v>58.019616867463753</v>
      </c>
      <c r="L39">
        <f t="shared" si="7"/>
        <v>127.58159999180232</v>
      </c>
      <c r="M39">
        <f t="shared" si="8"/>
        <v>-0.47159999180232148</v>
      </c>
      <c r="N39">
        <f t="shared" si="9"/>
        <v>0.2224065522679497</v>
      </c>
    </row>
    <row r="40" spans="1:14" x14ac:dyDescent="0.45">
      <c r="A40" s="22">
        <v>42817</v>
      </c>
      <c r="B40">
        <v>127.4</v>
      </c>
      <c r="C40">
        <v>127.04</v>
      </c>
      <c r="G40">
        <f t="shared" ref="G40:K40" si="46">SUMPRODUCT($B40:$B44,P$2:P$6)</f>
        <v>62.914797571494184</v>
      </c>
      <c r="H40">
        <f t="shared" si="46"/>
        <v>79.630459271943025</v>
      </c>
      <c r="I40">
        <f t="shared" si="46"/>
        <v>76.786064558611656</v>
      </c>
      <c r="J40">
        <f t="shared" si="46"/>
        <v>68.416235305136652</v>
      </c>
      <c r="K40">
        <f t="shared" si="46"/>
        <v>58.019011752727302</v>
      </c>
      <c r="L40">
        <f t="shared" si="7"/>
        <v>127.58063384358617</v>
      </c>
      <c r="M40">
        <f t="shared" si="8"/>
        <v>-0.17063384358617384</v>
      </c>
      <c r="N40">
        <f t="shared" si="9"/>
        <v>2.911590857699084E-2</v>
      </c>
    </row>
    <row r="41" spans="1:14" x14ac:dyDescent="0.45">
      <c r="A41" s="22">
        <v>42816</v>
      </c>
      <c r="B41">
        <v>126.78</v>
      </c>
      <c r="C41">
        <v>127.68</v>
      </c>
      <c r="G41">
        <f t="shared" ref="G41:K41" si="47">SUMPRODUCT($B41:$B45,P$2:P$6)</f>
        <v>62.621939711308421</v>
      </c>
      <c r="H41">
        <f t="shared" si="47"/>
        <v>79.2608859152013</v>
      </c>
      <c r="I41">
        <f t="shared" si="47"/>
        <v>76.430559702985477</v>
      </c>
      <c r="J41">
        <f t="shared" si="47"/>
        <v>68.098662765730992</v>
      </c>
      <c r="K41">
        <f t="shared" si="47"/>
        <v>57.749177138637684</v>
      </c>
      <c r="L41">
        <f t="shared" si="7"/>
        <v>126.98925987237403</v>
      </c>
      <c r="M41">
        <f t="shared" si="8"/>
        <v>0.41074012762597079</v>
      </c>
      <c r="N41">
        <f t="shared" si="9"/>
        <v>0.16870745244219876</v>
      </c>
    </row>
    <row r="42" spans="1:14" x14ac:dyDescent="0.45">
      <c r="A42" s="22">
        <v>42815</v>
      </c>
      <c r="B42">
        <v>130.1</v>
      </c>
      <c r="C42">
        <v>127.6</v>
      </c>
      <c r="G42">
        <f t="shared" ref="G42:K42" si="48">SUMPRODUCT($B42:$B46,P$2:P$6)</f>
        <v>64.22213431817228</v>
      </c>
      <c r="H42">
        <f t="shared" si="48"/>
        <v>81.283005188989463</v>
      </c>
      <c r="I42">
        <f t="shared" si="48"/>
        <v>78.377886452784651</v>
      </c>
      <c r="J42">
        <f t="shared" si="48"/>
        <v>69.836153119958084</v>
      </c>
      <c r="K42">
        <f t="shared" si="48"/>
        <v>59.224162877770837</v>
      </c>
      <c r="L42">
        <f t="shared" si="7"/>
        <v>130.2247241763653</v>
      </c>
      <c r="M42">
        <f t="shared" si="8"/>
        <v>-3.4447241763652983</v>
      </c>
      <c r="N42">
        <f t="shared" si="9"/>
        <v>11.866124651235582</v>
      </c>
    </row>
    <row r="43" spans="1:14" x14ac:dyDescent="0.45">
      <c r="A43" s="22">
        <v>42814</v>
      </c>
      <c r="B43">
        <v>130.65</v>
      </c>
      <c r="C43">
        <v>129.87</v>
      </c>
      <c r="G43">
        <f t="shared" ref="G43:K43" si="49">SUMPRODUCT($B43:$B47,P$2:P$6)</f>
        <v>64.474886312961843</v>
      </c>
      <c r="H43">
        <f t="shared" si="49"/>
        <v>81.601362321053983</v>
      </c>
      <c r="I43">
        <f t="shared" si="49"/>
        <v>78.683642912755502</v>
      </c>
      <c r="J43">
        <f t="shared" si="49"/>
        <v>70.109745626460011</v>
      </c>
      <c r="K43">
        <f t="shared" si="49"/>
        <v>59.456916633585607</v>
      </c>
      <c r="L43">
        <f t="shared" si="7"/>
        <v>130.73419876229804</v>
      </c>
      <c r="M43">
        <f t="shared" si="8"/>
        <v>-0.63419876229804117</v>
      </c>
      <c r="N43">
        <f t="shared" si="9"/>
        <v>0.40220807010036735</v>
      </c>
    </row>
    <row r="44" spans="1:14" x14ac:dyDescent="0.45">
      <c r="A44" s="22">
        <v>42811</v>
      </c>
      <c r="B44">
        <v>131.79</v>
      </c>
      <c r="C44">
        <v>131.19999999999999</v>
      </c>
      <c r="G44">
        <f t="shared" ref="G44:K44" si="50">SUMPRODUCT($B44:$B48,P$2:P$6)</f>
        <v>65.021659993101551</v>
      </c>
      <c r="H44">
        <f t="shared" si="50"/>
        <v>82.292083211296486</v>
      </c>
      <c r="I44">
        <f t="shared" si="50"/>
        <v>79.348634940793659</v>
      </c>
      <c r="J44">
        <f t="shared" si="50"/>
        <v>70.703249192080122</v>
      </c>
      <c r="K44">
        <f t="shared" si="50"/>
        <v>59.960862239948504</v>
      </c>
      <c r="L44">
        <f t="shared" si="7"/>
        <v>131.83939409725375</v>
      </c>
      <c r="M44">
        <f t="shared" si="8"/>
        <v>-1.1893940972537393</v>
      </c>
      <c r="N44">
        <f t="shared" si="9"/>
        <v>1.4146583185820376</v>
      </c>
    </row>
    <row r="45" spans="1:14" x14ac:dyDescent="0.45">
      <c r="A45" s="22">
        <v>42810</v>
      </c>
      <c r="B45">
        <v>129.94999999999999</v>
      </c>
      <c r="C45">
        <v>130.72999999999999</v>
      </c>
      <c r="G45">
        <f t="shared" ref="G45:K45" si="51">SUMPRODUCT($B45:$B49,P$2:P$6)</f>
        <v>64.115604943654915</v>
      </c>
      <c r="H45">
        <f t="shared" si="51"/>
        <v>81.145511858657628</v>
      </c>
      <c r="I45">
        <f t="shared" si="51"/>
        <v>78.243189290569205</v>
      </c>
      <c r="J45">
        <f t="shared" si="51"/>
        <v>69.718138382620111</v>
      </c>
      <c r="K45">
        <f t="shared" si="51"/>
        <v>59.125356525739775</v>
      </c>
      <c r="L45">
        <f t="shared" si="7"/>
        <v>130.00498115444441</v>
      </c>
      <c r="M45">
        <f t="shared" si="8"/>
        <v>1.7850188455555838</v>
      </c>
      <c r="N45">
        <f t="shared" si="9"/>
        <v>3.186292278988589</v>
      </c>
    </row>
    <row r="46" spans="1:14" x14ac:dyDescent="0.45">
      <c r="A46" s="22">
        <v>42809</v>
      </c>
      <c r="B46">
        <v>128</v>
      </c>
      <c r="C46">
        <v>129.47999999999999</v>
      </c>
      <c r="G46">
        <f t="shared" ref="G46:K46" si="52">SUMPRODUCT($B46:$B50,P$2:P$6)</f>
        <v>63.167548129797154</v>
      </c>
      <c r="H46">
        <f t="shared" si="52"/>
        <v>79.946794292207002</v>
      </c>
      <c r="I46">
        <f t="shared" si="52"/>
        <v>77.088261594282542</v>
      </c>
      <c r="J46">
        <f t="shared" si="52"/>
        <v>68.688179688761608</v>
      </c>
      <c r="K46">
        <f t="shared" si="52"/>
        <v>58.251336045550843</v>
      </c>
      <c r="L46">
        <f t="shared" si="7"/>
        <v>128.08704919602349</v>
      </c>
      <c r="M46">
        <f t="shared" si="8"/>
        <v>1.8629508039765028</v>
      </c>
      <c r="N46">
        <f t="shared" si="9"/>
        <v>3.470585698036698</v>
      </c>
    </row>
    <row r="47" spans="1:14" x14ac:dyDescent="0.45">
      <c r="A47" s="22">
        <v>42808</v>
      </c>
      <c r="B47">
        <v>127.01</v>
      </c>
      <c r="C47">
        <v>127.66</v>
      </c>
      <c r="G47">
        <f t="shared" ref="G47:K47" si="53">SUMPRODUCT($B47:$B51,P$2:P$6)</f>
        <v>62.67891374179743</v>
      </c>
      <c r="H47">
        <f t="shared" si="53"/>
        <v>79.328358292579381</v>
      </c>
      <c r="I47">
        <f t="shared" si="53"/>
        <v>76.491933700250243</v>
      </c>
      <c r="J47">
        <f t="shared" si="53"/>
        <v>68.156836246991276</v>
      </c>
      <c r="K47">
        <f t="shared" si="53"/>
        <v>57.800730225215581</v>
      </c>
      <c r="L47">
        <f t="shared" si="7"/>
        <v>127.09761388742882</v>
      </c>
      <c r="M47">
        <f t="shared" si="8"/>
        <v>0.90238611257117896</v>
      </c>
      <c r="N47">
        <f t="shared" si="9"/>
        <v>0.8143006961613245</v>
      </c>
    </row>
    <row r="48" spans="1:14" x14ac:dyDescent="0.45">
      <c r="A48" s="22">
        <v>42807</v>
      </c>
      <c r="B48">
        <v>125.47</v>
      </c>
      <c r="C48">
        <v>127.35</v>
      </c>
      <c r="G48">
        <f t="shared" ref="G48:K48" si="54">SUMPRODUCT($B48:$B52,P$2:P$6)</f>
        <v>61.91405146788005</v>
      </c>
      <c r="H48">
        <f t="shared" si="54"/>
        <v>78.359921375412199</v>
      </c>
      <c r="I48">
        <f t="shared" si="54"/>
        <v>75.557806171612754</v>
      </c>
      <c r="J48">
        <f t="shared" si="54"/>
        <v>67.324800562038618</v>
      </c>
      <c r="K48">
        <f t="shared" si="54"/>
        <v>57.095308584471496</v>
      </c>
      <c r="L48">
        <f t="shared" si="7"/>
        <v>125.5482486324953</v>
      </c>
      <c r="M48">
        <f t="shared" si="8"/>
        <v>1.4617513675047036</v>
      </c>
      <c r="N48">
        <f t="shared" si="9"/>
        <v>2.136717060401871</v>
      </c>
    </row>
    <row r="49" spans="1:14" x14ac:dyDescent="0.45">
      <c r="A49" s="22">
        <v>42804</v>
      </c>
      <c r="B49">
        <v>125.46</v>
      </c>
      <c r="C49">
        <v>125.76</v>
      </c>
      <c r="G49">
        <f t="shared" ref="G49:K49" si="55">SUMPRODUCT($B49:$B53,P$2:P$6)</f>
        <v>61.897186611512161</v>
      </c>
      <c r="H49">
        <f t="shared" si="55"/>
        <v>78.33759888730971</v>
      </c>
      <c r="I49">
        <f t="shared" si="55"/>
        <v>75.535503501473656</v>
      </c>
      <c r="J49">
        <f t="shared" si="55"/>
        <v>67.305663852757647</v>
      </c>
      <c r="K49">
        <f t="shared" si="55"/>
        <v>57.079548406453924</v>
      </c>
      <c r="L49">
        <f t="shared" si="7"/>
        <v>125.51261977649871</v>
      </c>
      <c r="M49">
        <f t="shared" si="8"/>
        <v>-4.2619776498710849E-2</v>
      </c>
      <c r="N49">
        <f t="shared" si="9"/>
        <v>1.8164453488000655E-3</v>
      </c>
    </row>
    <row r="50" spans="1:14" x14ac:dyDescent="0.45">
      <c r="A50" s="22">
        <v>42803</v>
      </c>
      <c r="B50">
        <v>124.48</v>
      </c>
      <c r="C50">
        <v>124.71</v>
      </c>
      <c r="G50">
        <f t="shared" ref="G50:K50" si="56">SUMPRODUCT($B50:$B54,P$2:P$6)</f>
        <v>61.412813934454633</v>
      </c>
      <c r="H50">
        <f t="shared" si="56"/>
        <v>77.724500851951333</v>
      </c>
      <c r="I50">
        <f t="shared" si="56"/>
        <v>74.94427829782299</v>
      </c>
      <c r="J50">
        <f t="shared" si="56"/>
        <v>66.778907535855041</v>
      </c>
      <c r="K50">
        <f t="shared" si="56"/>
        <v>56.632860301563078</v>
      </c>
      <c r="L50">
        <f t="shared" si="7"/>
        <v>124.53172883744288</v>
      </c>
      <c r="M50">
        <f t="shared" si="8"/>
        <v>0.92827116255710962</v>
      </c>
      <c r="N50">
        <f t="shared" si="9"/>
        <v>0.86168735123512785</v>
      </c>
    </row>
    <row r="51" spans="1:14" x14ac:dyDescent="0.45">
      <c r="A51" s="22">
        <v>42802</v>
      </c>
      <c r="B51">
        <v>122.32</v>
      </c>
      <c r="C51">
        <v>124.53</v>
      </c>
      <c r="G51">
        <f t="shared" ref="G51:K51" si="57">SUMPRODUCT($B51:$B55,P$2:P$6)</f>
        <v>60.364318355759458</v>
      </c>
      <c r="H51">
        <f t="shared" si="57"/>
        <v>76.398925675848901</v>
      </c>
      <c r="I51">
        <f t="shared" si="57"/>
        <v>73.667237565787403</v>
      </c>
      <c r="J51">
        <f t="shared" si="57"/>
        <v>65.639944363322158</v>
      </c>
      <c r="K51">
        <f t="shared" si="57"/>
        <v>55.666272730402376</v>
      </c>
      <c r="L51">
        <f t="shared" si="7"/>
        <v>122.41081480701055</v>
      </c>
      <c r="M51">
        <f t="shared" si="8"/>
        <v>2.0691851929894511</v>
      </c>
      <c r="N51">
        <f t="shared" si="9"/>
        <v>4.2815273628867923</v>
      </c>
    </row>
    <row r="52" spans="1:14" x14ac:dyDescent="0.45">
      <c r="A52" s="22">
        <v>42801</v>
      </c>
      <c r="B52">
        <v>120.72</v>
      </c>
      <c r="C52">
        <v>122.39</v>
      </c>
      <c r="G52">
        <f t="shared" ref="G52:K52" si="58">SUMPRODUCT($B52:$B56,P$2:P$6)</f>
        <v>59.589113681691892</v>
      </c>
      <c r="H52">
        <f t="shared" si="58"/>
        <v>75.418983939364864</v>
      </c>
      <c r="I52">
        <f t="shared" si="58"/>
        <v>72.723272454267587</v>
      </c>
      <c r="J52">
        <f t="shared" si="58"/>
        <v>64.797952258547539</v>
      </c>
      <c r="K52">
        <f t="shared" si="58"/>
        <v>54.951652575659686</v>
      </c>
      <c r="L52">
        <f t="shared" si="7"/>
        <v>120.84290238354349</v>
      </c>
      <c r="M52">
        <f t="shared" si="8"/>
        <v>1.4770976164565042</v>
      </c>
      <c r="N52">
        <f t="shared" si="9"/>
        <v>2.1818173685414859</v>
      </c>
    </row>
    <row r="53" spans="1:14" x14ac:dyDescent="0.45">
      <c r="A53" s="22">
        <v>42800</v>
      </c>
      <c r="B53">
        <v>119.66</v>
      </c>
      <c r="C53">
        <v>121.49</v>
      </c>
      <c r="G53">
        <f t="shared" ref="G53:K53" si="59">SUMPRODUCT($B53:$B57,P$2:P$6)</f>
        <v>59.070726910702334</v>
      </c>
      <c r="H53">
        <f t="shared" si="59"/>
        <v>74.763283288208768</v>
      </c>
      <c r="I53">
        <f t="shared" si="59"/>
        <v>72.09132481215245</v>
      </c>
      <c r="J53">
        <f t="shared" si="59"/>
        <v>64.234575939308542</v>
      </c>
      <c r="K53">
        <f t="shared" si="59"/>
        <v>54.473692515362977</v>
      </c>
      <c r="L53">
        <f t="shared" si="7"/>
        <v>119.79381411137381</v>
      </c>
      <c r="M53">
        <f t="shared" si="8"/>
        <v>0.92618588862619333</v>
      </c>
      <c r="N53">
        <f t="shared" si="9"/>
        <v>0.85782030029029144</v>
      </c>
    </row>
    <row r="54" spans="1:14" x14ac:dyDescent="0.45">
      <c r="A54" s="22">
        <v>42797</v>
      </c>
      <c r="B54">
        <v>119.87</v>
      </c>
      <c r="C54">
        <v>120.12</v>
      </c>
      <c r="G54">
        <f t="shared" ref="G54:K54" si="60">SUMPRODUCT($B54:$B58,P$2:P$6)</f>
        <v>59.166741596936603</v>
      </c>
      <c r="H54">
        <f t="shared" si="60"/>
        <v>74.884176094847689</v>
      </c>
      <c r="I54">
        <f t="shared" si="60"/>
        <v>72.207398328227924</v>
      </c>
      <c r="J54">
        <f t="shared" si="60"/>
        <v>64.338471950911952</v>
      </c>
      <c r="K54">
        <f t="shared" si="60"/>
        <v>54.562100730197592</v>
      </c>
      <c r="L54">
        <f t="shared" si="7"/>
        <v>119.9872858772663</v>
      </c>
      <c r="M54">
        <f t="shared" si="8"/>
        <v>-0.32728587726630565</v>
      </c>
      <c r="N54">
        <f t="shared" si="9"/>
        <v>0.10711604545797529</v>
      </c>
    </row>
    <row r="55" spans="1:14" x14ac:dyDescent="0.45">
      <c r="A55" s="22">
        <v>42796</v>
      </c>
      <c r="B55">
        <v>120.22</v>
      </c>
      <c r="C55">
        <v>118.92</v>
      </c>
      <c r="G55">
        <f t="shared" ref="G55:K55" si="61">SUMPRODUCT($B55:$B59,P$2:P$6)</f>
        <v>59.334491259323592</v>
      </c>
      <c r="H55">
        <f t="shared" si="61"/>
        <v>75.096077236596045</v>
      </c>
      <c r="I55">
        <f t="shared" si="61"/>
        <v>72.411398298082347</v>
      </c>
      <c r="J55">
        <f t="shared" si="61"/>
        <v>64.520548952502907</v>
      </c>
      <c r="K55">
        <f t="shared" si="61"/>
        <v>54.716707763457492</v>
      </c>
      <c r="L55">
        <f t="shared" si="7"/>
        <v>120.32634181263514</v>
      </c>
      <c r="M55">
        <f t="shared" si="8"/>
        <v>-0.45634181263513085</v>
      </c>
      <c r="N55">
        <f t="shared" si="9"/>
        <v>0.20824784995911688</v>
      </c>
    </row>
    <row r="56" spans="1:14" x14ac:dyDescent="0.45">
      <c r="A56" s="22">
        <v>42795</v>
      </c>
      <c r="B56">
        <v>119.81</v>
      </c>
      <c r="C56">
        <v>120.45</v>
      </c>
      <c r="G56">
        <f t="shared" ref="G56:K56" si="62">SUMPRODUCT($B56:$B60,P$2:P$6)</f>
        <v>59.140123345302534</v>
      </c>
      <c r="H56">
        <f t="shared" si="62"/>
        <v>74.850732932246203</v>
      </c>
      <c r="I56">
        <f t="shared" si="62"/>
        <v>72.175345564977064</v>
      </c>
      <c r="J56">
        <f t="shared" si="62"/>
        <v>64.309725620835948</v>
      </c>
      <c r="K56">
        <f t="shared" si="62"/>
        <v>54.537606229338344</v>
      </c>
      <c r="L56">
        <f t="shared" si="7"/>
        <v>119.93375756770182</v>
      </c>
      <c r="M56">
        <f t="shared" si="8"/>
        <v>0.28624243229818092</v>
      </c>
      <c r="N56">
        <f t="shared" si="9"/>
        <v>8.1934730047978688E-2</v>
      </c>
    </row>
    <row r="57" spans="1:14" x14ac:dyDescent="0.45">
      <c r="A57" s="22">
        <v>42794</v>
      </c>
      <c r="B57">
        <v>119</v>
      </c>
      <c r="C57">
        <v>119.04</v>
      </c>
      <c r="G57">
        <f t="shared" ref="G57:K57" si="63">SUMPRODUCT($B57:$B61,P$2:P$6)</f>
        <v>58.759620946536593</v>
      </c>
      <c r="H57">
        <f t="shared" si="63"/>
        <v>74.370740500691724</v>
      </c>
      <c r="I57">
        <f t="shared" si="63"/>
        <v>71.713768657431203</v>
      </c>
      <c r="J57">
        <f t="shared" si="63"/>
        <v>63.897258472321475</v>
      </c>
      <c r="K57">
        <f t="shared" si="63"/>
        <v>54.187057284976241</v>
      </c>
      <c r="L57">
        <f t="shared" si="7"/>
        <v>119.16567741698785</v>
      </c>
      <c r="M57">
        <f t="shared" si="8"/>
        <v>0.64432258301215484</v>
      </c>
      <c r="N57">
        <f t="shared" si="9"/>
        <v>0.41515159097945514</v>
      </c>
    </row>
    <row r="58" spans="1:14" x14ac:dyDescent="0.45">
      <c r="A58" s="22">
        <v>42793</v>
      </c>
      <c r="B58">
        <v>118.68</v>
      </c>
      <c r="C58">
        <v>118.69</v>
      </c>
      <c r="G58">
        <f t="shared" ref="G58:K58" si="64">SUMPRODUCT($B58:$B62,P$2:P$6)</f>
        <v>58.589882227325354</v>
      </c>
      <c r="H58">
        <f t="shared" si="64"/>
        <v>74.154936875589442</v>
      </c>
      <c r="I58">
        <f t="shared" si="64"/>
        <v>71.504912384432203</v>
      </c>
      <c r="J58">
        <f t="shared" si="64"/>
        <v>63.711892009164387</v>
      </c>
      <c r="K58">
        <f t="shared" si="64"/>
        <v>54.030317809074923</v>
      </c>
      <c r="L58">
        <f t="shared" si="7"/>
        <v>118.82050223082818</v>
      </c>
      <c r="M58">
        <f t="shared" si="8"/>
        <v>0.17949776917181737</v>
      </c>
      <c r="N58">
        <f t="shared" si="9"/>
        <v>3.2219449137659027E-2</v>
      </c>
    </row>
    <row r="59" spans="1:14" x14ac:dyDescent="0.45">
      <c r="A59" s="22">
        <v>42790</v>
      </c>
      <c r="B59">
        <v>119.34</v>
      </c>
      <c r="C59">
        <v>119.16</v>
      </c>
      <c r="G59">
        <f t="shared" ref="G59:K59" si="65">SUMPRODUCT($B59:$B63,P$2:P$6)</f>
        <v>58.907736481295863</v>
      </c>
      <c r="H59">
        <f t="shared" si="65"/>
        <v>74.556578515160027</v>
      </c>
      <c r="I59">
        <f t="shared" si="65"/>
        <v>71.891680160603116</v>
      </c>
      <c r="J59">
        <f t="shared" si="65"/>
        <v>64.057000358029185</v>
      </c>
      <c r="K59">
        <f t="shared" si="65"/>
        <v>54.323297138791055</v>
      </c>
      <c r="L59">
        <f t="shared" si="7"/>
        <v>119.46314497273308</v>
      </c>
      <c r="M59">
        <f t="shared" si="8"/>
        <v>-0.78314497273306927</v>
      </c>
      <c r="N59">
        <f t="shared" si="9"/>
        <v>0.61331604831707975</v>
      </c>
    </row>
    <row r="60" spans="1:14" x14ac:dyDescent="0.45">
      <c r="A60" s="22">
        <v>42789</v>
      </c>
      <c r="B60">
        <v>121.11</v>
      </c>
      <c r="C60">
        <v>119.63</v>
      </c>
      <c r="G60">
        <f t="shared" ref="G60:K60" si="66">SUMPRODUCT($B60:$B64,P$2:P$6)</f>
        <v>59.772259155078892</v>
      </c>
      <c r="H60">
        <f t="shared" si="66"/>
        <v>75.650012774354835</v>
      </c>
      <c r="I60">
        <f t="shared" si="66"/>
        <v>72.94543312523615</v>
      </c>
      <c r="J60">
        <f t="shared" si="66"/>
        <v>64.996479217012023</v>
      </c>
      <c r="K60">
        <f t="shared" si="66"/>
        <v>55.120380411406849</v>
      </c>
      <c r="L60">
        <f t="shared" si="7"/>
        <v>121.21259244748295</v>
      </c>
      <c r="M60">
        <f t="shared" si="8"/>
        <v>-1.8725924474829441</v>
      </c>
      <c r="N60">
        <f t="shared" si="9"/>
        <v>3.5066024743701627</v>
      </c>
    </row>
    <row r="61" spans="1:14" x14ac:dyDescent="0.45">
      <c r="A61" s="22">
        <v>42788</v>
      </c>
      <c r="B61">
        <v>119.22</v>
      </c>
      <c r="C61">
        <v>120.56</v>
      </c>
      <c r="G61">
        <f t="shared" ref="G61:K61" si="67">SUMPRODUCT($B61:$B65,P$2:P$6)</f>
        <v>58.863872860356267</v>
      </c>
      <c r="H61">
        <f t="shared" si="67"/>
        <v>74.502329484475837</v>
      </c>
      <c r="I61">
        <f t="shared" si="67"/>
        <v>71.840371317442589</v>
      </c>
      <c r="J61">
        <f t="shared" si="67"/>
        <v>64.010332158517244</v>
      </c>
      <c r="K61">
        <f t="shared" si="67"/>
        <v>54.283119203888752</v>
      </c>
      <c r="L61">
        <f t="shared" si="7"/>
        <v>119.37623819698376</v>
      </c>
      <c r="M61">
        <f t="shared" si="8"/>
        <v>1.7337618030162361</v>
      </c>
      <c r="N61">
        <f t="shared" si="9"/>
        <v>3.0059299895981098</v>
      </c>
    </row>
    <row r="62" spans="1:14" x14ac:dyDescent="0.45">
      <c r="A62" s="22">
        <v>42787</v>
      </c>
      <c r="B62">
        <v>118.82</v>
      </c>
      <c r="C62">
        <v>119.4</v>
      </c>
      <c r="G62">
        <f t="shared" ref="G62:K62" si="68">SUMPRODUCT($B62:$B66,P$2:P$6)</f>
        <v>58.66034218708527</v>
      </c>
      <c r="H62">
        <f t="shared" si="68"/>
        <v>74.244226538644327</v>
      </c>
      <c r="I62">
        <f t="shared" si="68"/>
        <v>71.591098480222229</v>
      </c>
      <c r="J62">
        <f t="shared" si="68"/>
        <v>63.788601782291352</v>
      </c>
      <c r="K62">
        <f t="shared" si="68"/>
        <v>54.095318544934102</v>
      </c>
      <c r="L62">
        <f t="shared" si="7"/>
        <v>118.96334631390306</v>
      </c>
      <c r="M62">
        <f t="shared" si="8"/>
        <v>0.25665368609693928</v>
      </c>
      <c r="N62">
        <f t="shared" si="9"/>
        <v>6.5871114587146243E-2</v>
      </c>
    </row>
    <row r="63" spans="1:14" x14ac:dyDescent="0.45">
      <c r="A63" s="22">
        <v>42783</v>
      </c>
      <c r="B63">
        <v>119.36</v>
      </c>
      <c r="C63">
        <v>119.41</v>
      </c>
      <c r="G63">
        <f t="shared" ref="G63:K63" si="69">SUMPRODUCT($B63:$B67,P$2:P$6)</f>
        <v>58.920087774851432</v>
      </c>
      <c r="H63">
        <f t="shared" si="69"/>
        <v>74.572410459862155</v>
      </c>
      <c r="I63">
        <f t="shared" si="69"/>
        <v>71.907108289770662</v>
      </c>
      <c r="J63">
        <f t="shared" si="69"/>
        <v>64.070593405313915</v>
      </c>
      <c r="K63">
        <f t="shared" si="69"/>
        <v>54.334727712577241</v>
      </c>
      <c r="L63">
        <f t="shared" si="7"/>
        <v>119.48845769690898</v>
      </c>
      <c r="M63">
        <f t="shared" si="8"/>
        <v>-0.66845769690898749</v>
      </c>
      <c r="N63">
        <f t="shared" si="9"/>
        <v>0.44683569255686778</v>
      </c>
    </row>
    <row r="64" spans="1:14" x14ac:dyDescent="0.45">
      <c r="A64" s="22">
        <v>42782</v>
      </c>
      <c r="B64">
        <v>120.75</v>
      </c>
      <c r="C64">
        <v>119.85</v>
      </c>
      <c r="G64">
        <f t="shared" ref="G64:K64" si="70">SUMPRODUCT($B64:$B68,P$2:P$6)</f>
        <v>59.625001588962867</v>
      </c>
      <c r="H64">
        <f t="shared" si="70"/>
        <v>75.466136125866839</v>
      </c>
      <c r="I64">
        <f t="shared" si="70"/>
        <v>72.770112196774264</v>
      </c>
      <c r="J64">
        <f t="shared" si="70"/>
        <v>64.838384949792669</v>
      </c>
      <c r="K64">
        <f t="shared" si="70"/>
        <v>54.985116571615904</v>
      </c>
      <c r="L64">
        <f t="shared" si="7"/>
        <v>120.91818759300685</v>
      </c>
      <c r="M64">
        <f t="shared" si="8"/>
        <v>-1.5581875930068492</v>
      </c>
      <c r="N64">
        <f t="shared" si="9"/>
        <v>2.4279485750004781</v>
      </c>
    </row>
    <row r="65" spans="1:14" x14ac:dyDescent="0.45">
      <c r="A65" s="22">
        <v>42781</v>
      </c>
      <c r="B65">
        <v>119.54</v>
      </c>
      <c r="C65">
        <v>120.88</v>
      </c>
      <c r="G65">
        <f t="shared" ref="G65:K65" si="71">SUMPRODUCT($B65:$B69,P$2:P$6)</f>
        <v>59.051395053466386</v>
      </c>
      <c r="H65">
        <f t="shared" si="71"/>
        <v>74.742093419985736</v>
      </c>
      <c r="I65">
        <f t="shared" si="71"/>
        <v>72.073492888602559</v>
      </c>
      <c r="J65">
        <f t="shared" si="71"/>
        <v>64.216223030838847</v>
      </c>
      <c r="K65">
        <f t="shared" si="71"/>
        <v>54.45656466419922</v>
      </c>
      <c r="L65">
        <f t="shared" si="7"/>
        <v>119.75962315897517</v>
      </c>
      <c r="M65">
        <f t="shared" si="8"/>
        <v>0.99037684102482615</v>
      </c>
      <c r="N65">
        <f t="shared" si="9"/>
        <v>0.9808462872383138</v>
      </c>
    </row>
    <row r="66" spans="1:14" x14ac:dyDescent="0.45">
      <c r="A66" s="22">
        <v>42780</v>
      </c>
      <c r="B66">
        <v>119.17</v>
      </c>
      <c r="C66">
        <v>119.67</v>
      </c>
      <c r="G66">
        <f t="shared" ref="G66:K66" si="72">SUMPRODUCT($B66:$B70,P$2:P$6)</f>
        <v>58.857575733971814</v>
      </c>
      <c r="H66">
        <f t="shared" si="72"/>
        <v>74.49585933435975</v>
      </c>
      <c r="I66">
        <f t="shared" si="72"/>
        <v>71.835332816413299</v>
      </c>
      <c r="J66">
        <f t="shared" si="72"/>
        <v>64.00471215444783</v>
      </c>
      <c r="K66">
        <f t="shared" si="72"/>
        <v>54.277628583783518</v>
      </c>
      <c r="L66">
        <f t="shared" si="7"/>
        <v>119.36575975873497</v>
      </c>
      <c r="M66">
        <f t="shared" si="8"/>
        <v>0.17424024126503923</v>
      </c>
      <c r="N66">
        <f t="shared" si="9"/>
        <v>3.0359661676099079E-2</v>
      </c>
    </row>
    <row r="67" spans="1:14" x14ac:dyDescent="0.45">
      <c r="A67" s="22">
        <v>42779</v>
      </c>
      <c r="B67">
        <v>123.06</v>
      </c>
      <c r="C67">
        <v>119.5</v>
      </c>
      <c r="G67">
        <f t="shared" ref="G67:K67" si="73">SUMPRODUCT($B67:$B71,P$2:P$6)</f>
        <v>60.740047024677637</v>
      </c>
      <c r="H67">
        <f t="shared" si="73"/>
        <v>76.875319208472987</v>
      </c>
      <c r="I67">
        <f t="shared" si="73"/>
        <v>74.127285615669379</v>
      </c>
      <c r="J67">
        <f t="shared" si="73"/>
        <v>66.049214685315974</v>
      </c>
      <c r="K67">
        <f t="shared" si="73"/>
        <v>56.012940622894703</v>
      </c>
      <c r="L67">
        <f t="shared" ref="L67:L130" si="74">(G67+$P$7)*$U$2+(H67+$Q$7)*$U$3+(I67+$R$7)*$U$4+(J67+$S$7)*$U$5+(K67+$T$7)*$U$6+$U$7</f>
        <v>123.17292441146871</v>
      </c>
      <c r="M67">
        <f t="shared" ref="M67:M130" si="75">B66-L67</f>
        <v>-4.0029244114687117</v>
      </c>
      <c r="N67">
        <f t="shared" ref="N67:N130" si="76">M67^2</f>
        <v>16.023403843932133</v>
      </c>
    </row>
    <row r="68" spans="1:14" x14ac:dyDescent="0.45">
      <c r="A68" s="22">
        <v>42776</v>
      </c>
      <c r="B68">
        <v>125.01</v>
      </c>
      <c r="C68">
        <v>122.65</v>
      </c>
      <c r="G68">
        <f t="shared" ref="G68:K68" si="77">SUMPRODUCT($B68:$B72,P$2:P$6)</f>
        <v>61.691772188256706</v>
      </c>
      <c r="H68">
        <f t="shared" si="77"/>
        <v>78.078990594374986</v>
      </c>
      <c r="I68">
        <f t="shared" si="77"/>
        <v>75.287227294738798</v>
      </c>
      <c r="J68">
        <f t="shared" si="77"/>
        <v>67.083411668318092</v>
      </c>
      <c r="K68">
        <f t="shared" si="77"/>
        <v>56.890414232593919</v>
      </c>
      <c r="L68">
        <f t="shared" si="74"/>
        <v>125.09875026759757</v>
      </c>
      <c r="M68">
        <f t="shared" si="75"/>
        <v>-2.0387502675975639</v>
      </c>
      <c r="N68">
        <f t="shared" si="76"/>
        <v>4.156502653629139</v>
      </c>
    </row>
    <row r="69" spans="1:14" x14ac:dyDescent="0.45">
      <c r="A69" s="22">
        <v>42775</v>
      </c>
      <c r="B69">
        <v>123.15</v>
      </c>
      <c r="C69">
        <v>123.25</v>
      </c>
      <c r="G69">
        <f t="shared" ref="G69:K69" si="78">SUMPRODUCT($B69:$B73,P$2:P$6)</f>
        <v>60.777195822892487</v>
      </c>
      <c r="H69">
        <f t="shared" si="78"/>
        <v>76.921743313197666</v>
      </c>
      <c r="I69">
        <f t="shared" si="78"/>
        <v>74.171576029119748</v>
      </c>
      <c r="J69">
        <f t="shared" si="78"/>
        <v>66.089125077580618</v>
      </c>
      <c r="K69">
        <f t="shared" si="78"/>
        <v>56.047072965171012</v>
      </c>
      <c r="L69">
        <f t="shared" si="74"/>
        <v>123.24724857368135</v>
      </c>
      <c r="M69">
        <f t="shared" si="75"/>
        <v>1.7627514263186583</v>
      </c>
      <c r="N69">
        <f t="shared" si="76"/>
        <v>3.1072925909884646</v>
      </c>
    </row>
    <row r="70" spans="1:14" x14ac:dyDescent="0.45">
      <c r="A70" s="22">
        <v>42774</v>
      </c>
      <c r="B70">
        <v>122</v>
      </c>
      <c r="C70">
        <v>122.84</v>
      </c>
      <c r="G70">
        <f t="shared" ref="G70:K70" si="79">SUMPRODUCT($B70:$B74,P$2:P$6)</f>
        <v>60.215055224593996</v>
      </c>
      <c r="H70">
        <f t="shared" si="79"/>
        <v>76.210721901975674</v>
      </c>
      <c r="I70">
        <f t="shared" si="79"/>
        <v>73.486327851568234</v>
      </c>
      <c r="J70">
        <f t="shared" si="79"/>
        <v>65.478215324962861</v>
      </c>
      <c r="K70">
        <f t="shared" si="79"/>
        <v>55.528776844724469</v>
      </c>
      <c r="L70">
        <f t="shared" si="74"/>
        <v>122.10964687476006</v>
      </c>
      <c r="M70">
        <f t="shared" si="75"/>
        <v>1.0403531252399461</v>
      </c>
      <c r="N70">
        <f t="shared" si="76"/>
        <v>1.0823346251965229</v>
      </c>
    </row>
    <row r="71" spans="1:14" x14ac:dyDescent="0.45">
      <c r="A71" s="22">
        <v>42773</v>
      </c>
      <c r="B71">
        <v>122.5</v>
      </c>
      <c r="C71">
        <v>122.34</v>
      </c>
      <c r="G71">
        <f t="shared" ref="G71:K71" si="80">SUMPRODUCT($B71:$B75,P$2:P$6)</f>
        <v>60.456176701969476</v>
      </c>
      <c r="H71">
        <f t="shared" si="80"/>
        <v>76.515430900637426</v>
      </c>
      <c r="I71">
        <f t="shared" si="80"/>
        <v>73.779775032259082</v>
      </c>
      <c r="J71">
        <f t="shared" si="80"/>
        <v>65.740032084438653</v>
      </c>
      <c r="K71">
        <f t="shared" si="80"/>
        <v>55.751033438807021</v>
      </c>
      <c r="L71">
        <f t="shared" si="74"/>
        <v>122.5971906567846</v>
      </c>
      <c r="M71">
        <f t="shared" si="75"/>
        <v>-0.59719065678460481</v>
      </c>
      <c r="N71">
        <f t="shared" si="76"/>
        <v>0.35663668055082764</v>
      </c>
    </row>
    <row r="72" spans="1:14" x14ac:dyDescent="0.45">
      <c r="A72" s="22">
        <v>42772</v>
      </c>
      <c r="B72">
        <v>121.12</v>
      </c>
      <c r="C72">
        <v>122.05</v>
      </c>
      <c r="G72">
        <f t="shared" ref="G72:K72" si="81">SUMPRODUCT($B72:$B76,P$2:P$6)</f>
        <v>59.795273384743865</v>
      </c>
      <c r="H72">
        <f t="shared" si="81"/>
        <v>75.680625327661645</v>
      </c>
      <c r="I72">
        <f t="shared" si="81"/>
        <v>72.976129633415098</v>
      </c>
      <c r="J72">
        <f t="shared" si="81"/>
        <v>65.02271565167328</v>
      </c>
      <c r="K72">
        <f t="shared" si="81"/>
        <v>55.141920763685654</v>
      </c>
      <c r="L72">
        <f t="shared" si="74"/>
        <v>121.26143914489708</v>
      </c>
      <c r="M72">
        <f t="shared" si="75"/>
        <v>1.2385608551029179</v>
      </c>
      <c r="N72">
        <f t="shared" si="76"/>
        <v>1.5340329917932711</v>
      </c>
    </row>
    <row r="73" spans="1:14" x14ac:dyDescent="0.45">
      <c r="A73" s="22">
        <v>42769</v>
      </c>
      <c r="B73">
        <v>120.71</v>
      </c>
      <c r="C73">
        <v>121.53</v>
      </c>
      <c r="G73">
        <f t="shared" ref="G73:K73" si="82">SUMPRODUCT($B73:$B77,P$2:P$6)</f>
        <v>59.593555861389589</v>
      </c>
      <c r="H73">
        <f t="shared" si="82"/>
        <v>75.42537338440907</v>
      </c>
      <c r="I73">
        <f t="shared" si="82"/>
        <v>72.7300454480485</v>
      </c>
      <c r="J73">
        <f t="shared" si="82"/>
        <v>64.80340893693095</v>
      </c>
      <c r="K73">
        <f t="shared" si="82"/>
        <v>54.955911538783482</v>
      </c>
      <c r="L73">
        <f t="shared" si="74"/>
        <v>120.8530586314733</v>
      </c>
      <c r="M73">
        <f t="shared" si="75"/>
        <v>0.26694136852670169</v>
      </c>
      <c r="N73">
        <f t="shared" si="76"/>
        <v>7.1257694230908372E-2</v>
      </c>
    </row>
    <row r="74" spans="1:14" x14ac:dyDescent="0.45">
      <c r="A74" s="22">
        <v>42768</v>
      </c>
      <c r="B74">
        <v>120.45</v>
      </c>
      <c r="C74">
        <v>120.59</v>
      </c>
      <c r="G74">
        <f t="shared" ref="G74:K74" si="83">SUMPRODUCT($B74:$B78,P$2:P$6)</f>
        <v>59.466709253596981</v>
      </c>
      <c r="H74">
        <f t="shared" si="83"/>
        <v>75.264951265192892</v>
      </c>
      <c r="I74">
        <f t="shared" si="83"/>
        <v>72.575454481761312</v>
      </c>
      <c r="J74">
        <f t="shared" si="83"/>
        <v>64.665574285513983</v>
      </c>
      <c r="K74">
        <f t="shared" si="83"/>
        <v>54.838962350433334</v>
      </c>
      <c r="L74">
        <f t="shared" si="74"/>
        <v>120.59638949637628</v>
      </c>
      <c r="M74">
        <f t="shared" si="75"/>
        <v>0.11361050362371827</v>
      </c>
      <c r="N74">
        <f t="shared" si="76"/>
        <v>1.2907346533634902E-2</v>
      </c>
    </row>
    <row r="75" spans="1:14" x14ac:dyDescent="0.45">
      <c r="A75" s="22">
        <v>42767</v>
      </c>
      <c r="B75">
        <v>121.78</v>
      </c>
      <c r="C75">
        <v>120.77</v>
      </c>
      <c r="G75">
        <f t="shared" ref="G75:K75" si="84">SUMPRODUCT($B75:$B79,P$2:P$6)</f>
        <v>60.113354074826304</v>
      </c>
      <c r="H75">
        <f t="shared" si="84"/>
        <v>76.082570262300663</v>
      </c>
      <c r="I75">
        <f t="shared" si="84"/>
        <v>73.36320612887458</v>
      </c>
      <c r="J75">
        <f t="shared" si="84"/>
        <v>65.368084876642385</v>
      </c>
      <c r="K75">
        <f t="shared" si="84"/>
        <v>55.435111274432153</v>
      </c>
      <c r="L75">
        <f t="shared" si="74"/>
        <v>121.90456693865131</v>
      </c>
      <c r="M75">
        <f t="shared" si="75"/>
        <v>-1.4545669386513111</v>
      </c>
      <c r="N75">
        <f t="shared" si="76"/>
        <v>2.1157649790174471</v>
      </c>
    </row>
    <row r="76" spans="1:14" x14ac:dyDescent="0.45">
      <c r="A76" s="22">
        <v>42766</v>
      </c>
      <c r="B76">
        <v>121.46</v>
      </c>
      <c r="C76">
        <v>121.59</v>
      </c>
      <c r="G76">
        <f t="shared" ref="G76:K76" si="85">SUMPRODUCT($B76:$B80,P$2:P$6)</f>
        <v>59.957187973419003</v>
      </c>
      <c r="H76">
        <f t="shared" si="85"/>
        <v>75.885065439661588</v>
      </c>
      <c r="I76">
        <f t="shared" si="85"/>
        <v>73.172877506577493</v>
      </c>
      <c r="J76">
        <f t="shared" si="85"/>
        <v>65.198387837100469</v>
      </c>
      <c r="K76">
        <f t="shared" si="85"/>
        <v>55.29112996272773</v>
      </c>
      <c r="L76">
        <f t="shared" si="74"/>
        <v>121.58856646693646</v>
      </c>
      <c r="M76">
        <f t="shared" si="75"/>
        <v>0.19143353306354527</v>
      </c>
      <c r="N76">
        <f t="shared" si="76"/>
        <v>3.6646797581191479E-2</v>
      </c>
    </row>
    <row r="77" spans="1:14" x14ac:dyDescent="0.45">
      <c r="A77" s="22">
        <v>42765</v>
      </c>
      <c r="B77">
        <v>121.4</v>
      </c>
      <c r="C77">
        <v>121.53</v>
      </c>
      <c r="G77">
        <f t="shared" ref="G77:K77" si="86">SUMPRODUCT($B77:$B81,P$2:P$6)</f>
        <v>59.925318826206549</v>
      </c>
      <c r="H77">
        <f t="shared" si="86"/>
        <v>75.844545392129589</v>
      </c>
      <c r="I77">
        <f t="shared" si="86"/>
        <v>73.133659024529308</v>
      </c>
      <c r="J77">
        <f t="shared" si="86"/>
        <v>65.1635825446252</v>
      </c>
      <c r="K77">
        <f t="shared" si="86"/>
        <v>55.261701629759344</v>
      </c>
      <c r="L77">
        <f t="shared" si="74"/>
        <v>121.5237548500333</v>
      </c>
      <c r="M77">
        <f t="shared" si="75"/>
        <v>-6.3754850033305388E-2</v>
      </c>
      <c r="N77">
        <f t="shared" si="76"/>
        <v>4.0646809027692597E-3</v>
      </c>
    </row>
    <row r="78" spans="1:14" x14ac:dyDescent="0.45">
      <c r="A78" s="22">
        <v>42762</v>
      </c>
      <c r="B78">
        <v>121.41</v>
      </c>
      <c r="C78">
        <v>122</v>
      </c>
      <c r="G78">
        <f t="shared" ref="G78:K78" si="87">SUMPRODUCT($B78:$B82,P$2:P$6)</f>
        <v>59.925679610788116</v>
      </c>
      <c r="H78">
        <f t="shared" si="87"/>
        <v>75.844626241879013</v>
      </c>
      <c r="I78">
        <f t="shared" si="87"/>
        <v>73.133438794673509</v>
      </c>
      <c r="J78">
        <f t="shared" si="87"/>
        <v>65.163668731540042</v>
      </c>
      <c r="K78">
        <f t="shared" si="87"/>
        <v>55.261954108882726</v>
      </c>
      <c r="L78">
        <f t="shared" si="74"/>
        <v>121.52391729951414</v>
      </c>
      <c r="M78">
        <f t="shared" si="75"/>
        <v>-0.12391729951413311</v>
      </c>
      <c r="N78">
        <f t="shared" si="76"/>
        <v>1.5355497118875372E-2</v>
      </c>
    </row>
    <row r="79" spans="1:14" x14ac:dyDescent="0.45">
      <c r="A79" s="22">
        <v>42761</v>
      </c>
      <c r="B79">
        <v>121.33</v>
      </c>
      <c r="C79">
        <v>121.23</v>
      </c>
      <c r="G79">
        <f t="shared" ref="G79:K79" si="88">SUMPRODUCT($B79:$B83,P$2:P$6)</f>
        <v>59.88401219413155</v>
      </c>
      <c r="H79">
        <f t="shared" si="88"/>
        <v>75.791711593753973</v>
      </c>
      <c r="I79">
        <f t="shared" si="88"/>
        <v>73.08227333960815</v>
      </c>
      <c r="J79">
        <f t="shared" si="88"/>
        <v>65.118213422527006</v>
      </c>
      <c r="K79">
        <f t="shared" si="88"/>
        <v>55.223491598010398</v>
      </c>
      <c r="L79">
        <f t="shared" si="74"/>
        <v>121.43927455731415</v>
      </c>
      <c r="M79">
        <f t="shared" si="75"/>
        <v>-2.9274557314153071E-2</v>
      </c>
      <c r="N79">
        <f t="shared" si="76"/>
        <v>8.5699970593963303E-4</v>
      </c>
    </row>
    <row r="80" spans="1:14" x14ac:dyDescent="0.45">
      <c r="A80" s="22">
        <v>42760</v>
      </c>
      <c r="B80">
        <v>120.97</v>
      </c>
      <c r="C80">
        <v>120.86</v>
      </c>
      <c r="G80">
        <f t="shared" ref="G80:K80" si="89">SUMPRODUCT($B80:$B84,P$2:P$6)</f>
        <v>59.70712499430703</v>
      </c>
      <c r="H80">
        <f t="shared" si="89"/>
        <v>75.567901094586631</v>
      </c>
      <c r="I80">
        <f t="shared" si="89"/>
        <v>72.866515577532752</v>
      </c>
      <c r="J80">
        <f t="shared" si="89"/>
        <v>64.925918250131559</v>
      </c>
      <c r="K80">
        <f t="shared" si="89"/>
        <v>55.060384663086829</v>
      </c>
      <c r="L80">
        <f t="shared" si="74"/>
        <v>121.0811944038003</v>
      </c>
      <c r="M80">
        <f t="shared" si="75"/>
        <v>0.24880559619970199</v>
      </c>
      <c r="N80">
        <f t="shared" si="76"/>
        <v>6.1904224700289161E-2</v>
      </c>
    </row>
    <row r="81" spans="1:14" x14ac:dyDescent="0.45">
      <c r="A81" s="22">
        <v>42759</v>
      </c>
      <c r="B81">
        <v>120.37</v>
      </c>
      <c r="C81">
        <v>120.22</v>
      </c>
      <c r="G81">
        <f t="shared" ref="G81:K81" si="90">SUMPRODUCT($B81:$B85,P$2:P$6)</f>
        <v>59.415213026266919</v>
      </c>
      <c r="H81">
        <f t="shared" si="90"/>
        <v>75.198792732412187</v>
      </c>
      <c r="I81">
        <f t="shared" si="90"/>
        <v>72.510877652290262</v>
      </c>
      <c r="J81">
        <f t="shared" si="90"/>
        <v>64.608774880542654</v>
      </c>
      <c r="K81">
        <f t="shared" si="90"/>
        <v>54.7912654904639</v>
      </c>
      <c r="L81">
        <f t="shared" si="74"/>
        <v>120.49062747234505</v>
      </c>
      <c r="M81">
        <f t="shared" si="75"/>
        <v>0.4793725276549452</v>
      </c>
      <c r="N81">
        <f t="shared" si="76"/>
        <v>0.2297980202702912</v>
      </c>
    </row>
    <row r="82" spans="1:14" x14ac:dyDescent="0.45">
      <c r="A82" s="22">
        <v>42758</v>
      </c>
      <c r="B82">
        <v>120</v>
      </c>
      <c r="C82">
        <v>119.99</v>
      </c>
      <c r="G82">
        <f t="shared" ref="G82:K82" si="91">SUMPRODUCT($B82:$B86,P$2:P$6)</f>
        <v>59.229565366549011</v>
      </c>
      <c r="H82">
        <f t="shared" si="91"/>
        <v>74.963578367606573</v>
      </c>
      <c r="I82">
        <f t="shared" si="91"/>
        <v>72.28387482275609</v>
      </c>
      <c r="J82">
        <f t="shared" si="91"/>
        <v>64.406696612012112</v>
      </c>
      <c r="K82">
        <f t="shared" si="91"/>
        <v>54.620011472977723</v>
      </c>
      <c r="L82">
        <f t="shared" si="74"/>
        <v>120.11433101337182</v>
      </c>
      <c r="M82">
        <f t="shared" si="75"/>
        <v>0.25566898662818005</v>
      </c>
      <c r="N82">
        <f t="shared" si="76"/>
        <v>6.5366630723480507E-2</v>
      </c>
    </row>
    <row r="83" spans="1:14" x14ac:dyDescent="0.45">
      <c r="A83" s="22">
        <v>42755</v>
      </c>
      <c r="B83">
        <v>119.75</v>
      </c>
      <c r="C83">
        <v>119.92</v>
      </c>
      <c r="G83">
        <f t="shared" ref="G83:K83" si="92">SUMPRODUCT($B83:$B87,P$2:P$6)</f>
        <v>59.110577635099624</v>
      </c>
      <c r="H83">
        <f t="shared" si="92"/>
        <v>74.813346933754843</v>
      </c>
      <c r="I83">
        <f t="shared" si="92"/>
        <v>72.139300263911807</v>
      </c>
      <c r="J83">
        <f t="shared" si="92"/>
        <v>64.27760517605364</v>
      </c>
      <c r="K83">
        <f t="shared" si="92"/>
        <v>54.510363227986929</v>
      </c>
      <c r="L83">
        <f t="shared" si="74"/>
        <v>119.87394280590155</v>
      </c>
      <c r="M83">
        <f t="shared" si="75"/>
        <v>0.12605719409845051</v>
      </c>
      <c r="N83">
        <f t="shared" si="76"/>
        <v>1.5890416183974427E-2</v>
      </c>
    </row>
    <row r="84" spans="1:14" x14ac:dyDescent="0.45">
      <c r="A84" s="22">
        <v>42754</v>
      </c>
      <c r="B84">
        <v>119.72</v>
      </c>
      <c r="C84">
        <v>118.84</v>
      </c>
      <c r="G84">
        <f t="shared" ref="G84:K84" si="93">SUMPRODUCT($B84:$B88,P$2:P$6)</f>
        <v>59.08639244900499</v>
      </c>
      <c r="H84">
        <f t="shared" si="93"/>
        <v>74.781966090812318</v>
      </c>
      <c r="I84">
        <f t="shared" si="93"/>
        <v>72.108430578572168</v>
      </c>
      <c r="J84">
        <f t="shared" si="93"/>
        <v>64.250678204184524</v>
      </c>
      <c r="K84">
        <f t="shared" si="93"/>
        <v>54.487895143942666</v>
      </c>
      <c r="L84">
        <f t="shared" si="74"/>
        <v>119.82380498913513</v>
      </c>
      <c r="M84">
        <f t="shared" si="75"/>
        <v>-7.3804989135126675E-2</v>
      </c>
      <c r="N84">
        <f t="shared" si="76"/>
        <v>5.4471764212361664E-3</v>
      </c>
    </row>
    <row r="85" spans="1:14" x14ac:dyDescent="0.45">
      <c r="A85" s="22">
        <v>42753</v>
      </c>
      <c r="B85">
        <v>118.95</v>
      </c>
      <c r="C85">
        <v>119.34</v>
      </c>
      <c r="G85">
        <f t="shared" ref="G85:K85" si="94">SUMPRODUCT($B85:$B89,P$2:P$6)</f>
        <v>58.704562574304212</v>
      </c>
      <c r="H85">
        <f t="shared" si="94"/>
        <v>74.298556419077926</v>
      </c>
      <c r="I85">
        <f t="shared" si="94"/>
        <v>71.642185640852063</v>
      </c>
      <c r="J85">
        <f t="shared" si="94"/>
        <v>63.835352748241355</v>
      </c>
      <c r="K85">
        <f t="shared" si="94"/>
        <v>54.135748325092138</v>
      </c>
      <c r="L85">
        <f t="shared" si="74"/>
        <v>119.0504122226825</v>
      </c>
      <c r="M85">
        <f t="shared" si="75"/>
        <v>0.66958777731750274</v>
      </c>
      <c r="N85">
        <f t="shared" si="76"/>
        <v>0.44834779153299364</v>
      </c>
    </row>
    <row r="86" spans="1:14" x14ac:dyDescent="0.45">
      <c r="A86" s="22">
        <v>42752</v>
      </c>
      <c r="B86">
        <v>119.29</v>
      </c>
      <c r="C86">
        <v>118.58</v>
      </c>
      <c r="G86">
        <f t="shared" ref="G86:K86" si="95">SUMPRODUCT($B86:$B90,P$2:P$6)</f>
        <v>58.878547139307983</v>
      </c>
      <c r="H86">
        <f t="shared" si="95"/>
        <v>74.519273366418091</v>
      </c>
      <c r="I86">
        <f t="shared" si="95"/>
        <v>71.855413335064057</v>
      </c>
      <c r="J86">
        <f t="shared" si="95"/>
        <v>64.024961566384363</v>
      </c>
      <c r="K86">
        <f t="shared" si="95"/>
        <v>54.296305576797657</v>
      </c>
      <c r="L86">
        <f t="shared" si="74"/>
        <v>119.40348876170668</v>
      </c>
      <c r="M86">
        <f t="shared" si="75"/>
        <v>-0.45348876170668007</v>
      </c>
      <c r="N86">
        <f t="shared" si="76"/>
        <v>0.20565205699425806</v>
      </c>
    </row>
    <row r="87" spans="1:14" x14ac:dyDescent="0.45">
      <c r="A87" s="22">
        <v>42748</v>
      </c>
      <c r="B87">
        <v>118.01</v>
      </c>
      <c r="C87">
        <v>118.81</v>
      </c>
      <c r="G87">
        <f t="shared" ref="G87:K87" si="96">SUMPRODUCT($B87:$B91,P$2:P$6)</f>
        <v>58.239261776426318</v>
      </c>
      <c r="H87">
        <f t="shared" si="96"/>
        <v>73.709539896412522</v>
      </c>
      <c r="I87">
        <f t="shared" si="96"/>
        <v>71.07413828187957</v>
      </c>
      <c r="J87">
        <f t="shared" si="96"/>
        <v>63.329290188743705</v>
      </c>
      <c r="K87">
        <f t="shared" si="96"/>
        <v>53.706634919512304</v>
      </c>
      <c r="L87">
        <f t="shared" si="74"/>
        <v>118.10805532115346</v>
      </c>
      <c r="M87">
        <f t="shared" si="75"/>
        <v>1.1819446788465484</v>
      </c>
      <c r="N87">
        <f t="shared" si="76"/>
        <v>1.3969932238536704</v>
      </c>
    </row>
    <row r="88" spans="1:14" x14ac:dyDescent="0.45">
      <c r="A88" s="22">
        <v>42747</v>
      </c>
      <c r="B88">
        <v>117.01</v>
      </c>
      <c r="C88">
        <v>118.01</v>
      </c>
      <c r="G88">
        <f t="shared" ref="G88:K88" si="97">SUMPRODUCT($B88:$B92,P$2:P$6)</f>
        <v>57.768040716529889</v>
      </c>
      <c r="H88">
        <f t="shared" si="97"/>
        <v>73.114983357443109</v>
      </c>
      <c r="I88">
        <f t="shared" si="97"/>
        <v>70.502290436564763</v>
      </c>
      <c r="J88">
        <f t="shared" si="97"/>
        <v>62.818380683183307</v>
      </c>
      <c r="K88">
        <f t="shared" si="97"/>
        <v>53.272483052062327</v>
      </c>
      <c r="L88">
        <f t="shared" si="74"/>
        <v>117.15666062899895</v>
      </c>
      <c r="M88">
        <f t="shared" si="75"/>
        <v>0.85333937100105572</v>
      </c>
      <c r="N88">
        <f t="shared" si="76"/>
        <v>0.72818808210047747</v>
      </c>
    </row>
    <row r="89" spans="1:14" x14ac:dyDescent="0.45">
      <c r="A89" s="22">
        <v>42746</v>
      </c>
      <c r="B89">
        <v>118.17</v>
      </c>
      <c r="C89">
        <v>117.2</v>
      </c>
      <c r="G89">
        <f t="shared" ref="G89:K89" si="98">SUMPRODUCT($B89:$B93,P$2:P$6)</f>
        <v>58.320939766017212</v>
      </c>
      <c r="H89">
        <f t="shared" si="98"/>
        <v>73.813145028827279</v>
      </c>
      <c r="I89">
        <f t="shared" si="98"/>
        <v>71.174215321437075</v>
      </c>
      <c r="J89">
        <f t="shared" si="98"/>
        <v>63.418293490885084</v>
      </c>
      <c r="K89">
        <f t="shared" si="98"/>
        <v>53.782008692074605</v>
      </c>
      <c r="L89">
        <f t="shared" si="74"/>
        <v>118.2737904828205</v>
      </c>
      <c r="M89">
        <f t="shared" si="75"/>
        <v>-1.2637904828204967</v>
      </c>
      <c r="N89">
        <f t="shared" si="76"/>
        <v>1.597166384467664</v>
      </c>
    </row>
    <row r="90" spans="1:14" x14ac:dyDescent="0.45">
      <c r="A90" s="22">
        <v>42745</v>
      </c>
      <c r="B90">
        <v>115.9</v>
      </c>
      <c r="C90">
        <v>117.62</v>
      </c>
      <c r="G90">
        <f t="shared" ref="G90:K90" si="99">SUMPRODUCT($B90:$B94,P$2:P$6)</f>
        <v>57.197294779099593</v>
      </c>
      <c r="H90">
        <f t="shared" si="99"/>
        <v>72.390738165494653</v>
      </c>
      <c r="I90">
        <f t="shared" si="99"/>
        <v>69.802445672709425</v>
      </c>
      <c r="J90">
        <f t="shared" si="99"/>
        <v>62.196215708096972</v>
      </c>
      <c r="K90">
        <f t="shared" si="99"/>
        <v>52.745751301301105</v>
      </c>
      <c r="L90">
        <f t="shared" si="74"/>
        <v>115.99811021770932</v>
      </c>
      <c r="M90">
        <f t="shared" si="75"/>
        <v>2.1718897822906769</v>
      </c>
      <c r="N90">
        <f t="shared" si="76"/>
        <v>4.7171052264186439</v>
      </c>
    </row>
    <row r="91" spans="1:14" x14ac:dyDescent="0.45">
      <c r="A91" s="22">
        <v>42744</v>
      </c>
      <c r="B91">
        <v>117.89</v>
      </c>
      <c r="C91">
        <v>117.3</v>
      </c>
      <c r="G91">
        <f t="shared" ref="G91:K91" si="100">SUMPRODUCT($B91:$B95,P$2:P$6)</f>
        <v>58.158941903396105</v>
      </c>
      <c r="H91">
        <f t="shared" si="100"/>
        <v>73.606157064639277</v>
      </c>
      <c r="I91">
        <f t="shared" si="100"/>
        <v>70.973074754415407</v>
      </c>
      <c r="J91">
        <f t="shared" si="100"/>
        <v>63.240541656254294</v>
      </c>
      <c r="K91">
        <f t="shared" si="100"/>
        <v>53.632200191585873</v>
      </c>
      <c r="L91">
        <f t="shared" si="74"/>
        <v>117.94280287060479</v>
      </c>
      <c r="M91">
        <f t="shared" si="75"/>
        <v>-2.0428028706047883</v>
      </c>
      <c r="N91">
        <f t="shared" si="76"/>
        <v>4.1730435681511633</v>
      </c>
    </row>
    <row r="92" spans="1:14" x14ac:dyDescent="0.45">
      <c r="A92" s="22">
        <v>42741</v>
      </c>
      <c r="B92">
        <v>116.42</v>
      </c>
      <c r="C92">
        <v>116.45</v>
      </c>
      <c r="G92">
        <f t="shared" ref="G92:K92" si="101">SUMPRODUCT($B92:$B96,P$2:P$6)</f>
        <v>57.452333924467482</v>
      </c>
      <c r="H92">
        <f t="shared" si="101"/>
        <v>72.713402174337688</v>
      </c>
      <c r="I92">
        <f t="shared" si="101"/>
        <v>70.113467903022666</v>
      </c>
      <c r="J92">
        <f t="shared" si="101"/>
        <v>62.473439421187742</v>
      </c>
      <c r="K92">
        <f t="shared" si="101"/>
        <v>52.980918051379824</v>
      </c>
      <c r="L92">
        <f t="shared" si="74"/>
        <v>116.51434616383736</v>
      </c>
      <c r="M92">
        <f t="shared" si="75"/>
        <v>1.3756538361626411</v>
      </c>
      <c r="N92">
        <f t="shared" si="76"/>
        <v>1.8924234769489907</v>
      </c>
    </row>
    <row r="93" spans="1:14" x14ac:dyDescent="0.45">
      <c r="A93" s="22">
        <v>42740</v>
      </c>
      <c r="B93">
        <v>113.74</v>
      </c>
      <c r="C93">
        <v>114.69</v>
      </c>
      <c r="G93">
        <f t="shared" ref="G93:K93" si="102">SUMPRODUCT($B93:$B97,P$2:P$6)</f>
        <v>56.147970733165238</v>
      </c>
      <c r="H93">
        <f t="shared" si="102"/>
        <v>71.064050907474567</v>
      </c>
      <c r="I93">
        <f t="shared" si="102"/>
        <v>68.524278060252755</v>
      </c>
      <c r="J93">
        <f t="shared" si="102"/>
        <v>61.056296504892188</v>
      </c>
      <c r="K93">
        <f t="shared" si="102"/>
        <v>51.778387436930053</v>
      </c>
      <c r="L93">
        <f t="shared" si="74"/>
        <v>113.8754199818428</v>
      </c>
      <c r="M93">
        <f t="shared" si="75"/>
        <v>2.5445800181572054</v>
      </c>
      <c r="N93">
        <f t="shared" si="76"/>
        <v>6.4748874688049236</v>
      </c>
    </row>
    <row r="94" spans="1:14" x14ac:dyDescent="0.45">
      <c r="A94" s="22">
        <v>42739</v>
      </c>
      <c r="B94">
        <v>112.97</v>
      </c>
      <c r="C94">
        <v>113.74</v>
      </c>
      <c r="G94">
        <f t="shared" ref="G94:K94" si="103">SUMPRODUCT($B94:$B98,P$2:P$6)</f>
        <v>55.768992162547718</v>
      </c>
      <c r="H94">
        <f t="shared" si="103"/>
        <v>70.584482973273893</v>
      </c>
      <c r="I94">
        <f t="shared" si="103"/>
        <v>68.06192376282128</v>
      </c>
      <c r="J94">
        <f t="shared" si="103"/>
        <v>60.644262488623859</v>
      </c>
      <c r="K94">
        <f t="shared" si="103"/>
        <v>51.428919372663152</v>
      </c>
      <c r="L94">
        <f t="shared" si="74"/>
        <v>113.10815392567406</v>
      </c>
      <c r="M94">
        <f t="shared" si="75"/>
        <v>0.63184607432593509</v>
      </c>
      <c r="N94">
        <f t="shared" si="76"/>
        <v>0.39922946164109507</v>
      </c>
    </row>
    <row r="95" spans="1:14" x14ac:dyDescent="0.45">
      <c r="A95" s="22">
        <v>42738</v>
      </c>
      <c r="B95">
        <v>114.04</v>
      </c>
      <c r="C95">
        <v>112.44</v>
      </c>
      <c r="G95">
        <f t="shared" ref="G95:K95" si="104">SUMPRODUCT($B95:$B99,P$2:P$6)</f>
        <v>56.296739384016995</v>
      </c>
      <c r="H95">
        <f t="shared" si="104"/>
        <v>71.252396276917437</v>
      </c>
      <c r="I95">
        <f t="shared" si="104"/>
        <v>68.705935405234783</v>
      </c>
      <c r="J95">
        <f t="shared" si="104"/>
        <v>61.218114898701153</v>
      </c>
      <c r="K95">
        <f t="shared" si="104"/>
        <v>51.915590521214149</v>
      </c>
      <c r="L95">
        <f t="shared" si="74"/>
        <v>114.17674822201474</v>
      </c>
      <c r="M95">
        <f t="shared" si="75"/>
        <v>-1.2067482220147383</v>
      </c>
      <c r="N95">
        <f t="shared" si="76"/>
        <v>1.4562412713357322</v>
      </c>
    </row>
    <row r="96" spans="1:14" x14ac:dyDescent="0.45">
      <c r="A96" s="22">
        <v>42734</v>
      </c>
      <c r="B96">
        <v>113.84</v>
      </c>
      <c r="C96">
        <v>113.28</v>
      </c>
      <c r="G96">
        <f t="shared" ref="G96:K96" si="105">SUMPRODUCT($B96:$B100,P$2:P$6)</f>
        <v>56.200411291283679</v>
      </c>
      <c r="H96">
        <f t="shared" si="105"/>
        <v>71.130674434822566</v>
      </c>
      <c r="I96">
        <f t="shared" si="105"/>
        <v>68.588720928827769</v>
      </c>
      <c r="J96">
        <f t="shared" si="105"/>
        <v>61.113526350890794</v>
      </c>
      <c r="K96">
        <f t="shared" si="105"/>
        <v>51.826800338872381</v>
      </c>
      <c r="L96">
        <f t="shared" si="74"/>
        <v>113.98198880702455</v>
      </c>
      <c r="M96">
        <f t="shared" si="75"/>
        <v>5.8011192975456538E-2</v>
      </c>
      <c r="N96">
        <f t="shared" si="76"/>
        <v>3.3652985104356578E-3</v>
      </c>
    </row>
    <row r="97" spans="1:14" x14ac:dyDescent="0.45">
      <c r="A97" s="22">
        <v>42733</v>
      </c>
      <c r="B97">
        <v>113.22</v>
      </c>
      <c r="C97">
        <v>113.97</v>
      </c>
      <c r="G97">
        <f t="shared" ref="G97:K97" si="106">SUMPRODUCT($B97:$B101,P$2:P$6)</f>
        <v>55.898628969469719</v>
      </c>
      <c r="H97">
        <f t="shared" si="106"/>
        <v>70.749070373698956</v>
      </c>
      <c r="I97">
        <f t="shared" si="106"/>
        <v>68.221034393971308</v>
      </c>
      <c r="J97">
        <f t="shared" si="106"/>
        <v>60.785648434126522</v>
      </c>
      <c r="K97">
        <f t="shared" si="106"/>
        <v>51.548576986665836</v>
      </c>
      <c r="L97">
        <f t="shared" si="74"/>
        <v>113.37143167713467</v>
      </c>
      <c r="M97">
        <f t="shared" si="75"/>
        <v>0.46856832286533745</v>
      </c>
      <c r="N97">
        <f t="shared" si="76"/>
        <v>0.21955627319283511</v>
      </c>
    </row>
    <row r="98" spans="1:14" x14ac:dyDescent="0.45">
      <c r="A98" s="22">
        <v>42732</v>
      </c>
      <c r="B98">
        <v>114.23</v>
      </c>
      <c r="C98">
        <v>113.47</v>
      </c>
      <c r="G98">
        <f t="shared" ref="G98:K98" si="107">SUMPRODUCT($B98:$B102,P$2:P$6)</f>
        <v>56.394135213996059</v>
      </c>
      <c r="H98">
        <f t="shared" si="107"/>
        <v>71.375958138029745</v>
      </c>
      <c r="I98">
        <f t="shared" si="107"/>
        <v>68.825316576290945</v>
      </c>
      <c r="J98">
        <f t="shared" si="107"/>
        <v>61.324263349149156</v>
      </c>
      <c r="K98">
        <f t="shared" si="107"/>
        <v>52.00546744742762</v>
      </c>
      <c r="L98">
        <f t="shared" si="74"/>
        <v>114.37441002979908</v>
      </c>
      <c r="M98">
        <f t="shared" si="75"/>
        <v>-1.1544100297990809</v>
      </c>
      <c r="N98">
        <f t="shared" si="76"/>
        <v>1.3326625169007149</v>
      </c>
    </row>
    <row r="99" spans="1:14" x14ac:dyDescent="0.45">
      <c r="A99" s="22">
        <v>42731</v>
      </c>
      <c r="B99">
        <v>114.35</v>
      </c>
      <c r="C99">
        <v>113.63</v>
      </c>
      <c r="G99">
        <f t="shared" ref="G99:K99" si="108">SUMPRODUCT($B99:$B103,P$2:P$6)</f>
        <v>56.467921067650622</v>
      </c>
      <c r="H99">
        <f t="shared" si="108"/>
        <v>71.470545412817899</v>
      </c>
      <c r="I99">
        <f t="shared" si="108"/>
        <v>68.91747067767561</v>
      </c>
      <c r="J99">
        <f t="shared" si="108"/>
        <v>61.405476121771414</v>
      </c>
      <c r="K99">
        <f t="shared" si="108"/>
        <v>52.073769523946673</v>
      </c>
      <c r="L99">
        <f t="shared" si="74"/>
        <v>114.52563285576868</v>
      </c>
      <c r="M99">
        <f t="shared" si="75"/>
        <v>-0.29563285576867315</v>
      </c>
      <c r="N99">
        <f t="shared" si="76"/>
        <v>8.7398785409941102E-2</v>
      </c>
    </row>
    <row r="100" spans="1:14" x14ac:dyDescent="0.45">
      <c r="A100" s="22">
        <v>42727</v>
      </c>
      <c r="B100">
        <v>114.3</v>
      </c>
      <c r="C100">
        <v>113.86</v>
      </c>
      <c r="G100">
        <f t="shared" ref="G100:K100" si="109">SUMPRODUCT($B100:$B104,P$2:P$6)</f>
        <v>56.431167668347946</v>
      </c>
      <c r="H100">
        <f t="shared" si="109"/>
        <v>71.423029330104782</v>
      </c>
      <c r="I100">
        <f t="shared" si="109"/>
        <v>68.870868098233061</v>
      </c>
      <c r="J100">
        <f t="shared" si="109"/>
        <v>61.364698599578496</v>
      </c>
      <c r="K100">
        <f t="shared" si="109"/>
        <v>52.039659682305725</v>
      </c>
      <c r="L100">
        <f t="shared" si="74"/>
        <v>114.44970318504524</v>
      </c>
      <c r="M100">
        <f t="shared" si="75"/>
        <v>-9.9703185045243004E-2</v>
      </c>
      <c r="N100">
        <f t="shared" si="76"/>
        <v>9.9407251081659685E-3</v>
      </c>
    </row>
    <row r="101" spans="1:14" x14ac:dyDescent="0.45">
      <c r="A101" s="22">
        <v>42726</v>
      </c>
      <c r="B101">
        <v>114.9</v>
      </c>
      <c r="C101">
        <v>114.4</v>
      </c>
      <c r="G101">
        <f t="shared" ref="G101:K101" si="110">SUMPRODUCT($B101:$B105,P$2:P$6)</f>
        <v>56.732154154721258</v>
      </c>
      <c r="H101">
        <f t="shared" si="110"/>
        <v>71.804370593373406</v>
      </c>
      <c r="I101">
        <f t="shared" si="110"/>
        <v>69.238891546428761</v>
      </c>
      <c r="J101">
        <f t="shared" si="110"/>
        <v>61.692318379900996</v>
      </c>
      <c r="K101">
        <f t="shared" si="110"/>
        <v>52.317308397079898</v>
      </c>
      <c r="L101">
        <f t="shared" si="74"/>
        <v>115.05977449386296</v>
      </c>
      <c r="M101">
        <f t="shared" si="75"/>
        <v>-0.75977449386296314</v>
      </c>
      <c r="N101">
        <f t="shared" si="76"/>
        <v>0.57725728152472178</v>
      </c>
    </row>
    <row r="102" spans="1:14" x14ac:dyDescent="0.45">
      <c r="A102" s="22">
        <v>42725</v>
      </c>
      <c r="B102">
        <v>116.96</v>
      </c>
      <c r="C102">
        <v>114.86</v>
      </c>
      <c r="G102">
        <f t="shared" ref="G102:K102" si="111">SUMPRODUCT($B102:$B106,P$2:P$6)</f>
        <v>57.742982573833459</v>
      </c>
      <c r="H102">
        <f t="shared" si="111"/>
        <v>73.083238618289442</v>
      </c>
      <c r="I102">
        <f t="shared" si="111"/>
        <v>70.47165630889279</v>
      </c>
      <c r="J102">
        <f t="shared" si="111"/>
        <v>62.79110603164424</v>
      </c>
      <c r="K102">
        <f t="shared" si="111"/>
        <v>53.249368405062043</v>
      </c>
      <c r="L102">
        <f t="shared" si="74"/>
        <v>117.10587404808518</v>
      </c>
      <c r="M102">
        <f t="shared" si="75"/>
        <v>-2.2058740480851782</v>
      </c>
      <c r="N102">
        <f t="shared" si="76"/>
        <v>4.8658803160156907</v>
      </c>
    </row>
    <row r="103" spans="1:14" x14ac:dyDescent="0.45">
      <c r="A103" s="22">
        <v>42724</v>
      </c>
      <c r="B103">
        <v>115.3</v>
      </c>
      <c r="C103">
        <v>117.09</v>
      </c>
      <c r="G103">
        <f t="shared" ref="G103:K103" si="112">SUMPRODUCT($B103:$B107,P$2:P$6)</f>
        <v>56.927515668559543</v>
      </c>
      <c r="H103">
        <f t="shared" si="112"/>
        <v>72.051453818384545</v>
      </c>
      <c r="I103">
        <f t="shared" si="112"/>
        <v>69.47700895452445</v>
      </c>
      <c r="J103">
        <f t="shared" si="112"/>
        <v>61.904614170415861</v>
      </c>
      <c r="K103">
        <f t="shared" si="112"/>
        <v>52.497425875496248</v>
      </c>
      <c r="L103">
        <f t="shared" si="74"/>
        <v>115.45509995464687</v>
      </c>
      <c r="M103">
        <f t="shared" si="75"/>
        <v>1.5049000453531249</v>
      </c>
      <c r="N103">
        <f t="shared" si="76"/>
        <v>2.2647241465038377</v>
      </c>
    </row>
    <row r="104" spans="1:14" x14ac:dyDescent="0.45">
      <c r="A104" s="22">
        <v>42723</v>
      </c>
      <c r="B104">
        <v>116.54</v>
      </c>
      <c r="C104">
        <v>116.22</v>
      </c>
      <c r="G104">
        <f t="shared" ref="G104:K104" si="113">SUMPRODUCT($B104:$B108,P$2:P$6)</f>
        <v>57.55695706824347</v>
      </c>
      <c r="H104">
        <f t="shared" si="113"/>
        <v>72.849540873503628</v>
      </c>
      <c r="I104">
        <f t="shared" si="113"/>
        <v>70.247698858931301</v>
      </c>
      <c r="J104">
        <f t="shared" si="113"/>
        <v>62.590242649447596</v>
      </c>
      <c r="K104">
        <f t="shared" si="113"/>
        <v>53.078191918324727</v>
      </c>
      <c r="L104">
        <f t="shared" si="74"/>
        <v>116.7318285742161</v>
      </c>
      <c r="M104">
        <f t="shared" si="75"/>
        <v>-1.4318285742160981</v>
      </c>
      <c r="N104">
        <f t="shared" si="76"/>
        <v>2.0501330659417043</v>
      </c>
    </row>
    <row r="105" spans="1:14" x14ac:dyDescent="0.45">
      <c r="A105" s="22">
        <v>42720</v>
      </c>
      <c r="B105">
        <v>117.79</v>
      </c>
      <c r="C105">
        <v>116.66</v>
      </c>
      <c r="G105">
        <f t="shared" ref="G105:K105" si="114">SUMPRODUCT($B105:$B109,P$2:P$6)</f>
        <v>58.1640418251421</v>
      </c>
      <c r="H105">
        <f t="shared" si="114"/>
        <v>73.617075976458565</v>
      </c>
      <c r="I105">
        <f t="shared" si="114"/>
        <v>70.987154677581671</v>
      </c>
      <c r="J105">
        <f t="shared" si="114"/>
        <v>63.249724758980754</v>
      </c>
      <c r="K105">
        <f t="shared" si="114"/>
        <v>53.637851875971407</v>
      </c>
      <c r="L105">
        <f t="shared" si="74"/>
        <v>117.95988141044825</v>
      </c>
      <c r="M105">
        <f t="shared" si="75"/>
        <v>-1.4198814104482409</v>
      </c>
      <c r="N105">
        <f t="shared" si="76"/>
        <v>2.0160632197364858</v>
      </c>
    </row>
    <row r="106" spans="1:14" x14ac:dyDescent="0.45">
      <c r="A106" s="22">
        <v>42719</v>
      </c>
      <c r="B106">
        <v>116.66</v>
      </c>
      <c r="C106">
        <v>116.96</v>
      </c>
      <c r="G106">
        <f t="shared" ref="G106:K106" si="115">SUMPRODUCT($B106:$B110,P$2:P$6)</f>
        <v>57.642001420114042</v>
      </c>
      <c r="H106">
        <f t="shared" si="115"/>
        <v>72.959292901714335</v>
      </c>
      <c r="I106">
        <f t="shared" si="115"/>
        <v>70.355210885967224</v>
      </c>
      <c r="J106">
        <f t="shared" si="115"/>
        <v>62.684446644526957</v>
      </c>
      <c r="K106">
        <f t="shared" si="115"/>
        <v>53.157067911671007</v>
      </c>
      <c r="L106">
        <f t="shared" si="74"/>
        <v>116.90723640943429</v>
      </c>
      <c r="M106">
        <f t="shared" si="75"/>
        <v>0.88276359056571607</v>
      </c>
      <c r="N106">
        <f t="shared" si="76"/>
        <v>0.77927155682847515</v>
      </c>
    </row>
    <row r="107" spans="1:14" x14ac:dyDescent="0.45">
      <c r="A107" s="22">
        <v>42718</v>
      </c>
      <c r="B107">
        <v>120.21</v>
      </c>
      <c r="C107">
        <v>116.39</v>
      </c>
      <c r="G107">
        <f t="shared" ref="G107:K107" si="116">SUMPRODUCT($B107:$B111,P$2:P$6)</f>
        <v>59.363838398745244</v>
      </c>
      <c r="H107">
        <f t="shared" si="116"/>
        <v>75.136031335882151</v>
      </c>
      <c r="I107">
        <f t="shared" si="116"/>
        <v>72.452160027235919</v>
      </c>
      <c r="J107">
        <f t="shared" si="116"/>
        <v>64.554752251645084</v>
      </c>
      <c r="K107">
        <f t="shared" si="116"/>
        <v>54.744368678619409</v>
      </c>
      <c r="L107">
        <f t="shared" si="74"/>
        <v>120.39001854156353</v>
      </c>
      <c r="M107">
        <f t="shared" si="75"/>
        <v>-3.7300185415635383</v>
      </c>
      <c r="N107">
        <f t="shared" si="76"/>
        <v>13.913038320407786</v>
      </c>
    </row>
    <row r="108" spans="1:14" x14ac:dyDescent="0.45">
      <c r="A108" s="22">
        <v>42717</v>
      </c>
      <c r="B108">
        <v>120.13</v>
      </c>
      <c r="C108">
        <v>120.03</v>
      </c>
      <c r="G108">
        <f t="shared" ref="G108:K108" si="117">SUMPRODUCT($B108:$B112,P$2:P$6)</f>
        <v>59.332298475062274</v>
      </c>
      <c r="H108">
        <f t="shared" si="117"/>
        <v>75.096764965837409</v>
      </c>
      <c r="I108">
        <f t="shared" si="117"/>
        <v>72.414814391133802</v>
      </c>
      <c r="J108">
        <f t="shared" si="117"/>
        <v>64.520988757855761</v>
      </c>
      <c r="K108">
        <f t="shared" si="117"/>
        <v>54.715423186919161</v>
      </c>
      <c r="L108">
        <f t="shared" si="74"/>
        <v>120.32713972863358</v>
      </c>
      <c r="M108">
        <f t="shared" si="75"/>
        <v>-0.1171397286335889</v>
      </c>
      <c r="N108">
        <f t="shared" si="76"/>
        <v>1.3721716024350848E-2</v>
      </c>
    </row>
    <row r="109" spans="1:14" x14ac:dyDescent="0.45">
      <c r="A109" s="22">
        <v>42716</v>
      </c>
      <c r="B109">
        <v>123.77</v>
      </c>
      <c r="C109">
        <v>120.25</v>
      </c>
      <c r="G109">
        <f t="shared" ref="G109:K109" si="118">SUMPRODUCT($B109:$B113,P$2:P$6)</f>
        <v>61.100509534366715</v>
      </c>
      <c r="H109">
        <f t="shared" si="118"/>
        <v>77.332362602536406</v>
      </c>
      <c r="I109">
        <f t="shared" si="118"/>
        <v>74.568644205629283</v>
      </c>
      <c r="J109">
        <f t="shared" si="118"/>
        <v>66.441854974431749</v>
      </c>
      <c r="K109">
        <f t="shared" si="118"/>
        <v>56.345527056567491</v>
      </c>
      <c r="L109">
        <f t="shared" si="74"/>
        <v>123.90407334207823</v>
      </c>
      <c r="M109">
        <f t="shared" si="75"/>
        <v>-3.7740733420782391</v>
      </c>
      <c r="N109">
        <f t="shared" si="76"/>
        <v>14.243629591385609</v>
      </c>
    </row>
    <row r="110" spans="1:14" x14ac:dyDescent="0.45">
      <c r="A110" s="22">
        <v>42713</v>
      </c>
      <c r="B110">
        <v>123.24</v>
      </c>
      <c r="C110">
        <v>124.06</v>
      </c>
      <c r="G110">
        <f t="shared" ref="G110:K110" si="119">SUMPRODUCT($B110:$B114,P$2:P$6)</f>
        <v>60.84285165873974</v>
      </c>
      <c r="H110">
        <f t="shared" si="119"/>
        <v>77.006584793259435</v>
      </c>
      <c r="I110">
        <f t="shared" si="119"/>
        <v>74.254768288793883</v>
      </c>
      <c r="J110">
        <f t="shared" si="119"/>
        <v>66.161942204555373</v>
      </c>
      <c r="K110">
        <f t="shared" si="119"/>
        <v>56.107992277798516</v>
      </c>
      <c r="L110">
        <f t="shared" si="74"/>
        <v>123.38283307268705</v>
      </c>
      <c r="M110">
        <f t="shared" si="75"/>
        <v>0.387166927312947</v>
      </c>
      <c r="N110">
        <f t="shared" si="76"/>
        <v>0.14989822960494878</v>
      </c>
    </row>
    <row r="111" spans="1:14" x14ac:dyDescent="0.45">
      <c r="A111" s="22">
        <v>42712</v>
      </c>
      <c r="B111">
        <v>124.22</v>
      </c>
      <c r="C111">
        <v>123</v>
      </c>
      <c r="G111">
        <f t="shared" ref="G111:K111" si="120">SUMPRODUCT($B111:$B115,P$2:P$6)</f>
        <v>61.298498124508043</v>
      </c>
      <c r="H111">
        <f t="shared" si="120"/>
        <v>77.580962158212273</v>
      </c>
      <c r="I111">
        <f t="shared" si="120"/>
        <v>74.806785580397715</v>
      </c>
      <c r="J111">
        <f t="shared" si="120"/>
        <v>66.655534819660602</v>
      </c>
      <c r="K111">
        <f t="shared" si="120"/>
        <v>56.527682751190476</v>
      </c>
      <c r="L111">
        <f t="shared" si="74"/>
        <v>124.30198362487306</v>
      </c>
      <c r="M111">
        <f t="shared" si="75"/>
        <v>-1.061983624873065</v>
      </c>
      <c r="N111">
        <f t="shared" si="76"/>
        <v>1.1278092194985347</v>
      </c>
    </row>
    <row r="112" spans="1:14" x14ac:dyDescent="0.45">
      <c r="A112" s="22">
        <v>42711</v>
      </c>
      <c r="B112">
        <v>124.04</v>
      </c>
      <c r="C112">
        <v>123.55</v>
      </c>
      <c r="G112">
        <f t="shared" ref="G112:K112" si="121">SUMPRODUCT($B112:$B116,P$2:P$6)</f>
        <v>61.219465999876739</v>
      </c>
      <c r="H112">
        <f t="shared" si="121"/>
        <v>77.481744752325469</v>
      </c>
      <c r="I112">
        <f t="shared" si="121"/>
        <v>74.711752668017994</v>
      </c>
      <c r="J112">
        <f t="shared" si="121"/>
        <v>66.570251653712134</v>
      </c>
      <c r="K112">
        <f t="shared" si="121"/>
        <v>56.454975636347186</v>
      </c>
      <c r="L112">
        <f t="shared" si="74"/>
        <v>124.14317235496378</v>
      </c>
      <c r="M112">
        <f t="shared" si="75"/>
        <v>7.6827645036217973E-2</v>
      </c>
      <c r="N112">
        <f t="shared" si="76"/>
        <v>5.9024870418111081E-3</v>
      </c>
    </row>
    <row r="113" spans="1:14" x14ac:dyDescent="0.45">
      <c r="A113" s="22">
        <v>42710</v>
      </c>
      <c r="B113">
        <v>124.04</v>
      </c>
      <c r="C113">
        <v>123.77</v>
      </c>
      <c r="G113">
        <f t="shared" ref="G113:K113" si="122">SUMPRODUCT($B113:$B117,P$2:P$6)</f>
        <v>61.231091790519514</v>
      </c>
      <c r="H113">
        <f t="shared" si="122"/>
        <v>77.497414997528765</v>
      </c>
      <c r="I113">
        <f t="shared" si="122"/>
        <v>74.727620838874032</v>
      </c>
      <c r="J113">
        <f t="shared" si="122"/>
        <v>66.583670283453159</v>
      </c>
      <c r="K113">
        <f t="shared" si="122"/>
        <v>56.46590053739542</v>
      </c>
      <c r="L113">
        <f t="shared" si="74"/>
        <v>124.16815779733042</v>
      </c>
      <c r="M113">
        <f t="shared" si="75"/>
        <v>-0.12815779733041666</v>
      </c>
      <c r="N113">
        <f t="shared" si="76"/>
        <v>1.6424421016584152E-2</v>
      </c>
    </row>
    <row r="114" spans="1:14" x14ac:dyDescent="0.45">
      <c r="A114" s="22">
        <v>42709</v>
      </c>
      <c r="B114">
        <v>121.27</v>
      </c>
      <c r="C114">
        <v>123.69</v>
      </c>
      <c r="G114">
        <f t="shared" ref="G114:K114" si="123">SUMPRODUCT($B114:$B118,P$2:P$6)</f>
        <v>59.89850304408089</v>
      </c>
      <c r="H114">
        <f t="shared" si="123"/>
        <v>75.81367033032285</v>
      </c>
      <c r="I114">
        <f t="shared" si="123"/>
        <v>73.106322204200367</v>
      </c>
      <c r="J114">
        <f t="shared" si="123"/>
        <v>65.13691913388837</v>
      </c>
      <c r="K114">
        <f t="shared" si="123"/>
        <v>55.237625367984784</v>
      </c>
      <c r="L114">
        <f t="shared" si="74"/>
        <v>121.47408875667149</v>
      </c>
      <c r="M114">
        <f t="shared" si="75"/>
        <v>2.5659112433285145</v>
      </c>
      <c r="N114">
        <f t="shared" si="76"/>
        <v>6.5839005086396831</v>
      </c>
    </row>
    <row r="115" spans="1:14" x14ac:dyDescent="0.45">
      <c r="A115" s="22">
        <v>42706</v>
      </c>
      <c r="B115">
        <v>122.4</v>
      </c>
      <c r="C115">
        <v>121</v>
      </c>
      <c r="G115">
        <f t="shared" ref="G115:K115" si="124">SUMPRODUCT($B115:$B119,P$2:P$6)</f>
        <v>60.450923027761121</v>
      </c>
      <c r="H115">
        <f t="shared" si="124"/>
        <v>76.512398239307984</v>
      </c>
      <c r="I115">
        <f t="shared" si="124"/>
        <v>73.779726422614615</v>
      </c>
      <c r="J115">
        <f t="shared" si="124"/>
        <v>65.737268134327493</v>
      </c>
      <c r="K115">
        <f t="shared" si="124"/>
        <v>55.746958471517679</v>
      </c>
      <c r="L115">
        <f t="shared" si="74"/>
        <v>122.59202281383578</v>
      </c>
      <c r="M115">
        <f t="shared" si="75"/>
        <v>-1.3220228138357868</v>
      </c>
      <c r="N115">
        <f t="shared" si="76"/>
        <v>1.7477443203022913</v>
      </c>
    </row>
    <row r="116" spans="1:14" x14ac:dyDescent="0.45">
      <c r="A116" s="22">
        <v>42705</v>
      </c>
      <c r="B116">
        <v>123.95</v>
      </c>
      <c r="C116">
        <v>122.01</v>
      </c>
      <c r="G116">
        <f t="shared" ref="G116:K116" si="125">SUMPRODUCT($B116:$B120,P$2:P$6)</f>
        <v>61.210144955856954</v>
      </c>
      <c r="H116">
        <f t="shared" si="125"/>
        <v>77.472828137732549</v>
      </c>
      <c r="I116">
        <f t="shared" si="125"/>
        <v>74.705443645292107</v>
      </c>
      <c r="J116">
        <f t="shared" si="125"/>
        <v>66.562464938614738</v>
      </c>
      <c r="K116">
        <f t="shared" si="125"/>
        <v>56.446994074655457</v>
      </c>
      <c r="L116">
        <f t="shared" si="74"/>
        <v>124.12865483851846</v>
      </c>
      <c r="M116">
        <f t="shared" si="75"/>
        <v>-1.7286548385184517</v>
      </c>
      <c r="N116">
        <f t="shared" si="76"/>
        <v>2.9882475507332544</v>
      </c>
    </row>
    <row r="117" spans="1:14" x14ac:dyDescent="0.45">
      <c r="A117" s="22">
        <v>42704</v>
      </c>
      <c r="B117">
        <v>125.82</v>
      </c>
      <c r="C117">
        <v>124.05</v>
      </c>
      <c r="G117">
        <f t="shared" ref="G117:K117" si="126">SUMPRODUCT($B117:$B121,P$2:P$6)</f>
        <v>62.109785136150826</v>
      </c>
      <c r="H117">
        <f t="shared" si="126"/>
        <v>78.609532204004623</v>
      </c>
      <c r="I117">
        <f t="shared" si="126"/>
        <v>75.799992792356321</v>
      </c>
      <c r="J117">
        <f t="shared" si="126"/>
        <v>67.539175692597183</v>
      </c>
      <c r="K117">
        <f t="shared" si="126"/>
        <v>57.276208044727049</v>
      </c>
      <c r="L117">
        <f t="shared" si="74"/>
        <v>125.9474364915491</v>
      </c>
      <c r="M117">
        <f t="shared" si="75"/>
        <v>-1.9974364915490952</v>
      </c>
      <c r="N117">
        <f t="shared" si="76"/>
        <v>3.9897525377719587</v>
      </c>
    </row>
    <row r="118" spans="1:14" x14ac:dyDescent="0.45">
      <c r="A118" s="22">
        <v>42703</v>
      </c>
      <c r="B118">
        <v>126.23</v>
      </c>
      <c r="C118">
        <v>125.1</v>
      </c>
      <c r="G118">
        <f t="shared" ref="G118:K118" si="127">SUMPRODUCT($B118:$B122,P$2:P$6)</f>
        <v>62.322376885726896</v>
      </c>
      <c r="H118">
        <f t="shared" si="127"/>
        <v>78.879443408898993</v>
      </c>
      <c r="I118">
        <f t="shared" si="127"/>
        <v>76.060920282217424</v>
      </c>
      <c r="J118">
        <f t="shared" si="127"/>
        <v>67.771037168354212</v>
      </c>
      <c r="K118">
        <f t="shared" si="127"/>
        <v>57.472438197767985</v>
      </c>
      <c r="L118">
        <f t="shared" si="74"/>
        <v>126.37919045166194</v>
      </c>
      <c r="M118">
        <f t="shared" si="75"/>
        <v>-0.55919045166194792</v>
      </c>
      <c r="N118">
        <f t="shared" si="76"/>
        <v>0.31269396122989329</v>
      </c>
    </row>
    <row r="119" spans="1:14" x14ac:dyDescent="0.45">
      <c r="A119" s="22">
        <v>42702</v>
      </c>
      <c r="B119">
        <v>126.99</v>
      </c>
      <c r="C119">
        <v>125.92</v>
      </c>
      <c r="G119">
        <f t="shared" ref="G119:K119" si="128">SUMPRODUCT($B119:$B123,P$2:P$6)</f>
        <v>62.684645838809125</v>
      </c>
      <c r="H119">
        <f t="shared" si="128"/>
        <v>79.336891051709472</v>
      </c>
      <c r="I119">
        <f t="shared" si="128"/>
        <v>76.501179161546531</v>
      </c>
      <c r="J119">
        <f t="shared" si="128"/>
        <v>68.16411086997735</v>
      </c>
      <c r="K119">
        <f t="shared" si="128"/>
        <v>57.806287280048721</v>
      </c>
      <c r="L119">
        <f t="shared" si="74"/>
        <v>127.11115400835797</v>
      </c>
      <c r="M119">
        <f t="shared" si="75"/>
        <v>-0.8811540083579672</v>
      </c>
      <c r="N119">
        <f t="shared" si="76"/>
        <v>0.77643238644531254</v>
      </c>
    </row>
    <row r="120" spans="1:14" x14ac:dyDescent="0.45">
      <c r="A120" s="22">
        <v>42699</v>
      </c>
      <c r="B120">
        <v>125.73</v>
      </c>
      <c r="C120">
        <v>127.28</v>
      </c>
      <c r="G120">
        <f t="shared" ref="G120:K120" si="129">SUMPRODUCT($B120:$B124,P$2:P$6)</f>
        <v>62.06610679407251</v>
      </c>
      <c r="H120">
        <f t="shared" si="129"/>
        <v>78.554312542294866</v>
      </c>
      <c r="I120">
        <f t="shared" si="129"/>
        <v>75.746795135879808</v>
      </c>
      <c r="J120">
        <f t="shared" si="129"/>
        <v>67.491730530598844</v>
      </c>
      <c r="K120">
        <f t="shared" si="129"/>
        <v>57.23594274523002</v>
      </c>
      <c r="L120">
        <f t="shared" si="74"/>
        <v>125.85908532075821</v>
      </c>
      <c r="M120">
        <f t="shared" si="75"/>
        <v>1.1309146792417835</v>
      </c>
      <c r="N120">
        <f t="shared" si="76"/>
        <v>1.2789680117245459</v>
      </c>
    </row>
    <row r="121" spans="1:14" x14ac:dyDescent="0.45">
      <c r="A121" s="22">
        <v>42697</v>
      </c>
      <c r="B121">
        <v>127.5</v>
      </c>
      <c r="C121">
        <v>126.37</v>
      </c>
      <c r="G121">
        <f t="shared" ref="G121:K121" si="130">SUMPRODUCT($B121:$B125,P$2:P$6)</f>
        <v>62.932802277233392</v>
      </c>
      <c r="H121">
        <f t="shared" si="130"/>
        <v>79.650678653818019</v>
      </c>
      <c r="I121">
        <f t="shared" si="130"/>
        <v>76.803516074565053</v>
      </c>
      <c r="J121">
        <f t="shared" si="130"/>
        <v>68.433720735103336</v>
      </c>
      <c r="K121">
        <f t="shared" si="130"/>
        <v>58.035070434223634</v>
      </c>
      <c r="L121">
        <f t="shared" si="74"/>
        <v>127.61320675447152</v>
      </c>
      <c r="M121">
        <f t="shared" si="75"/>
        <v>-1.8832067544715159</v>
      </c>
      <c r="N121">
        <f t="shared" si="76"/>
        <v>3.5464676800871402</v>
      </c>
    </row>
    <row r="122" spans="1:14" x14ac:dyDescent="0.45">
      <c r="A122" s="22">
        <v>42696</v>
      </c>
      <c r="B122">
        <v>126.54</v>
      </c>
      <c r="C122">
        <v>127.57</v>
      </c>
      <c r="G122">
        <f t="shared" ref="G122:K122" si="131">SUMPRODUCT($B122:$B126,P$2:P$6)</f>
        <v>62.457328235854149</v>
      </c>
      <c r="H122">
        <f t="shared" si="131"/>
        <v>79.048762038778861</v>
      </c>
      <c r="I122">
        <f t="shared" si="131"/>
        <v>76.223010167043967</v>
      </c>
      <c r="J122">
        <f t="shared" si="131"/>
        <v>67.916577592649375</v>
      </c>
      <c r="K122">
        <f t="shared" si="131"/>
        <v>57.596570924057751</v>
      </c>
      <c r="L122">
        <f t="shared" si="74"/>
        <v>126.65021385917458</v>
      </c>
      <c r="M122">
        <f t="shared" si="75"/>
        <v>0.84978614082541526</v>
      </c>
      <c r="N122">
        <f t="shared" si="76"/>
        <v>0.72213648513895246</v>
      </c>
    </row>
    <row r="123" spans="1:14" x14ac:dyDescent="0.45">
      <c r="A123" s="22">
        <v>42695</v>
      </c>
      <c r="B123">
        <v>125.74</v>
      </c>
      <c r="C123">
        <v>126.46</v>
      </c>
      <c r="G123">
        <f t="shared" ref="G123:K123" si="132">SUMPRODUCT($B123:$B127,P$2:P$6)</f>
        <v>62.050187763001361</v>
      </c>
      <c r="H123">
        <f t="shared" si="132"/>
        <v>78.532455048759672</v>
      </c>
      <c r="I123">
        <f t="shared" si="132"/>
        <v>75.724359669760005</v>
      </c>
      <c r="J123">
        <f t="shared" si="132"/>
        <v>67.473027317047652</v>
      </c>
      <c r="K123">
        <f t="shared" si="132"/>
        <v>57.220899048444508</v>
      </c>
      <c r="L123">
        <f t="shared" si="74"/>
        <v>125.82426546399762</v>
      </c>
      <c r="M123">
        <f t="shared" si="75"/>
        <v>0.71573453600238679</v>
      </c>
      <c r="N123">
        <f t="shared" si="76"/>
        <v>0.51227592602655192</v>
      </c>
    </row>
    <row r="124" spans="1:14" x14ac:dyDescent="0.45">
      <c r="A124" s="22">
        <v>42692</v>
      </c>
      <c r="B124">
        <v>126.57</v>
      </c>
      <c r="C124">
        <v>125.67</v>
      </c>
      <c r="G124">
        <f t="shared" ref="G124:K124" si="133">SUMPRODUCT($B124:$B128,P$2:P$6)</f>
        <v>62.446557906506285</v>
      </c>
      <c r="H124">
        <f t="shared" si="133"/>
        <v>79.033031047755344</v>
      </c>
      <c r="I124">
        <f t="shared" si="133"/>
        <v>76.206173604750873</v>
      </c>
      <c r="J124">
        <f t="shared" si="133"/>
        <v>67.903154464434365</v>
      </c>
      <c r="K124">
        <f t="shared" si="133"/>
        <v>57.586191197882087</v>
      </c>
      <c r="L124">
        <f t="shared" si="74"/>
        <v>126.62522988803448</v>
      </c>
      <c r="M124">
        <f t="shared" si="75"/>
        <v>-0.88522988803448754</v>
      </c>
      <c r="N124">
        <f t="shared" si="76"/>
        <v>0.78363195466955138</v>
      </c>
    </row>
    <row r="125" spans="1:14" x14ac:dyDescent="0.45">
      <c r="A125" s="22">
        <v>42691</v>
      </c>
      <c r="B125">
        <v>125.4</v>
      </c>
      <c r="C125">
        <v>126.58</v>
      </c>
      <c r="G125">
        <f t="shared" ref="G125:K125" si="134">SUMPRODUCT($B125:$B129,P$2:P$6)</f>
        <v>61.872895220010022</v>
      </c>
      <c r="H125">
        <f t="shared" si="134"/>
        <v>78.307289773748892</v>
      </c>
      <c r="I125">
        <f t="shared" si="134"/>
        <v>75.506624932459601</v>
      </c>
      <c r="J125">
        <f t="shared" si="134"/>
        <v>67.279601883473802</v>
      </c>
      <c r="K125">
        <f t="shared" si="134"/>
        <v>57.057238959199516</v>
      </c>
      <c r="L125">
        <f t="shared" si="74"/>
        <v>125.46408958600794</v>
      </c>
      <c r="M125">
        <f t="shared" si="75"/>
        <v>1.1059104139920493</v>
      </c>
      <c r="N125">
        <f t="shared" si="76"/>
        <v>1.2230378437760658</v>
      </c>
    </row>
    <row r="126" spans="1:14" x14ac:dyDescent="0.45">
      <c r="A126" s="22">
        <v>42690</v>
      </c>
      <c r="B126">
        <v>122.97</v>
      </c>
      <c r="C126">
        <v>125.2</v>
      </c>
      <c r="G126">
        <f t="shared" ref="G126:K126" si="135">SUMPRODUCT($B126:$B130,P$2:P$6)</f>
        <v>60.707543214290205</v>
      </c>
      <c r="H126">
        <f t="shared" si="135"/>
        <v>76.83516320182963</v>
      </c>
      <c r="I126">
        <f t="shared" si="135"/>
        <v>74.0893408207627</v>
      </c>
      <c r="J126">
        <f t="shared" si="135"/>
        <v>66.014665739149649</v>
      </c>
      <c r="K126">
        <f t="shared" si="135"/>
        <v>55.98317688100235</v>
      </c>
      <c r="L126">
        <f t="shared" si="74"/>
        <v>123.10858946125815</v>
      </c>
      <c r="M126">
        <f t="shared" si="75"/>
        <v>2.2914105387418573</v>
      </c>
      <c r="N126">
        <f t="shared" si="76"/>
        <v>5.2505622570572488</v>
      </c>
    </row>
    <row r="127" spans="1:14" x14ac:dyDescent="0.45">
      <c r="A127" s="22">
        <v>42689</v>
      </c>
      <c r="B127">
        <v>122.02</v>
      </c>
      <c r="C127">
        <v>123.54</v>
      </c>
      <c r="G127">
        <f t="shared" ref="G127:K127" si="136">SUMPRODUCT($B127:$B131,P$2:P$6)</f>
        <v>60.261832136429049</v>
      </c>
      <c r="H127">
        <f t="shared" si="136"/>
        <v>76.272957992150793</v>
      </c>
      <c r="I127">
        <f t="shared" si="136"/>
        <v>73.548744404330634</v>
      </c>
      <c r="J127">
        <f t="shared" si="136"/>
        <v>65.531550030455847</v>
      </c>
      <c r="K127">
        <f t="shared" si="136"/>
        <v>55.572561288661355</v>
      </c>
      <c r="L127">
        <f t="shared" si="74"/>
        <v>122.20894990902461</v>
      </c>
      <c r="M127">
        <f t="shared" si="75"/>
        <v>0.76105009097538812</v>
      </c>
      <c r="N127">
        <f t="shared" si="76"/>
        <v>0.57919724097364655</v>
      </c>
    </row>
    <row r="128" spans="1:14" x14ac:dyDescent="0.45">
      <c r="A128" s="22">
        <v>42688</v>
      </c>
      <c r="B128">
        <v>121.37</v>
      </c>
      <c r="C128">
        <v>119.16</v>
      </c>
      <c r="G128">
        <f t="shared" ref="G128:K128" si="137">SUMPRODUCT($B128:$B132,P$2:P$6)</f>
        <v>59.933320569935063</v>
      </c>
      <c r="H128">
        <f t="shared" si="137"/>
        <v>75.856535743975542</v>
      </c>
      <c r="I128">
        <f t="shared" si="137"/>
        <v>73.146709295774798</v>
      </c>
      <c r="J128">
        <f t="shared" si="137"/>
        <v>65.173804094069624</v>
      </c>
      <c r="K128">
        <f t="shared" si="137"/>
        <v>55.26947377902237</v>
      </c>
      <c r="L128">
        <f t="shared" si="74"/>
        <v>121.54277799647791</v>
      </c>
      <c r="M128">
        <f t="shared" si="75"/>
        <v>0.47722200352208688</v>
      </c>
      <c r="N128">
        <f t="shared" si="76"/>
        <v>0.22774084064563471</v>
      </c>
    </row>
    <row r="129" spans="1:14" x14ac:dyDescent="0.45">
      <c r="A129" s="22">
        <v>42685</v>
      </c>
      <c r="B129">
        <v>123.5</v>
      </c>
      <c r="C129">
        <v>121.2</v>
      </c>
      <c r="G129">
        <f t="shared" ref="G129:K129" si="138">SUMPRODUCT($B129:$B133,P$2:P$6)</f>
        <v>60.990704348964712</v>
      </c>
      <c r="H129">
        <f t="shared" si="138"/>
        <v>77.195314452197692</v>
      </c>
      <c r="I129">
        <f t="shared" si="138"/>
        <v>74.438023253317027</v>
      </c>
      <c r="J129">
        <f t="shared" si="138"/>
        <v>66.324021646010792</v>
      </c>
      <c r="K129">
        <f t="shared" si="138"/>
        <v>56.24467892971839</v>
      </c>
      <c r="L129">
        <f t="shared" si="74"/>
        <v>123.68464056170059</v>
      </c>
      <c r="M129">
        <f t="shared" si="75"/>
        <v>-2.3146405617005854</v>
      </c>
      <c r="N129">
        <f t="shared" si="76"/>
        <v>5.3575609298696012</v>
      </c>
    </row>
    <row r="130" spans="1:14" x14ac:dyDescent="0.45">
      <c r="A130" s="22">
        <v>42684</v>
      </c>
      <c r="B130">
        <v>125.65</v>
      </c>
      <c r="C130">
        <v>123.63</v>
      </c>
      <c r="G130">
        <f t="shared" ref="G130:K130" si="139">SUMPRODUCT($B130:$B134,P$2:P$6)</f>
        <v>62.035086500874826</v>
      </c>
      <c r="H130">
        <f t="shared" si="139"/>
        <v>78.515753860743189</v>
      </c>
      <c r="I130">
        <f t="shared" si="139"/>
        <v>75.710166302239898</v>
      </c>
      <c r="J130">
        <f t="shared" si="139"/>
        <v>67.458567855758858</v>
      </c>
      <c r="K130">
        <f t="shared" si="139"/>
        <v>57.207488680369316</v>
      </c>
      <c r="L130">
        <f t="shared" si="74"/>
        <v>125.7973307793411</v>
      </c>
      <c r="M130">
        <f t="shared" si="75"/>
        <v>-2.2973307793410953</v>
      </c>
      <c r="N130">
        <f t="shared" si="76"/>
        <v>5.2777287097079641</v>
      </c>
    </row>
    <row r="131" spans="1:14" x14ac:dyDescent="0.45">
      <c r="A131" s="22">
        <v>42683</v>
      </c>
      <c r="B131">
        <v>123.98</v>
      </c>
      <c r="C131">
        <v>124.75</v>
      </c>
      <c r="G131">
        <f t="shared" ref="G131:K131" si="140">SUMPRODUCT($B131:$B135,P$2:P$6)</f>
        <v>61.207103792710406</v>
      </c>
      <c r="H131">
        <f t="shared" si="140"/>
        <v>77.467510277392535</v>
      </c>
      <c r="I131">
        <f t="shared" si="140"/>
        <v>74.699153482242835</v>
      </c>
      <c r="J131">
        <f t="shared" si="140"/>
        <v>66.557963740489754</v>
      </c>
      <c r="K131">
        <f t="shared" si="140"/>
        <v>56.443875027951293</v>
      </c>
      <c r="L131">
        <f t="shared" ref="L131:L194" si="141">(G131+$P$7)*$U$2+(H131+$Q$7)*$U$3+(I131+$R$7)*$U$4+(J131+$S$7)*$U$5+(K131+$T$7)*$U$6+$U$7</f>
        <v>124.12027807660191</v>
      </c>
      <c r="M131">
        <f t="shared" ref="M131:M194" si="142">B130-L131</f>
        <v>1.5297219233980996</v>
      </c>
      <c r="N131">
        <f t="shared" ref="N131:N194" si="143">M131^2</f>
        <v>2.3400491629247813</v>
      </c>
    </row>
    <row r="132" spans="1:14" x14ac:dyDescent="0.45">
      <c r="A132" s="22">
        <v>42682</v>
      </c>
      <c r="B132">
        <v>126.9</v>
      </c>
      <c r="C132">
        <v>127.01</v>
      </c>
      <c r="G132">
        <f t="shared" ref="G132:K132" si="144">SUMPRODUCT($B132:$B136,P$2:P$6)</f>
        <v>62.618241618410288</v>
      </c>
      <c r="H132">
        <f t="shared" si="144"/>
        <v>79.251038588086203</v>
      </c>
      <c r="I132">
        <f t="shared" si="144"/>
        <v>76.416962559413093</v>
      </c>
      <c r="J132">
        <f t="shared" si="144"/>
        <v>68.090429702322012</v>
      </c>
      <c r="K132">
        <f t="shared" si="144"/>
        <v>57.744663997291866</v>
      </c>
      <c r="L132">
        <f t="shared" si="141"/>
        <v>126.97395869081846</v>
      </c>
      <c r="M132">
        <f t="shared" si="142"/>
        <v>-2.9939586908184594</v>
      </c>
      <c r="N132">
        <f t="shared" si="143"/>
        <v>8.9637886423273834</v>
      </c>
    </row>
    <row r="133" spans="1:14" x14ac:dyDescent="0.45">
      <c r="A133" s="22">
        <v>42681</v>
      </c>
      <c r="B133">
        <v>126.79</v>
      </c>
      <c r="C133">
        <v>126.49</v>
      </c>
      <c r="G133">
        <f t="shared" ref="G133:K133" si="145">SUMPRODUCT($B133:$B137,P$2:P$6)</f>
        <v>62.583366559201181</v>
      </c>
      <c r="H133">
        <f t="shared" si="145"/>
        <v>79.208496718108705</v>
      </c>
      <c r="I133">
        <f t="shared" si="145"/>
        <v>76.377206059548669</v>
      </c>
      <c r="J133">
        <f t="shared" si="145"/>
        <v>68.053804107236815</v>
      </c>
      <c r="K133">
        <f t="shared" si="145"/>
        <v>57.712844745780856</v>
      </c>
      <c r="L133">
        <f t="shared" si="141"/>
        <v>126.90575283120309</v>
      </c>
      <c r="M133">
        <f t="shared" si="142"/>
        <v>-5.7528312030825646E-3</v>
      </c>
      <c r="N133">
        <f t="shared" si="143"/>
        <v>3.3095066851160384E-5</v>
      </c>
    </row>
    <row r="134" spans="1:14" x14ac:dyDescent="0.45">
      <c r="A134" s="22">
        <v>42678</v>
      </c>
      <c r="B134">
        <v>124.64</v>
      </c>
      <c r="C134">
        <v>125.21</v>
      </c>
      <c r="G134">
        <f t="shared" ref="G134:K134" si="146">SUMPRODUCT($B134:$B138,P$2:P$6)</f>
        <v>61.566586874207793</v>
      </c>
      <c r="H134">
        <f t="shared" si="146"/>
        <v>77.925261504626519</v>
      </c>
      <c r="I134">
        <f t="shared" si="146"/>
        <v>75.142737895809844</v>
      </c>
      <c r="J134">
        <f t="shared" si="146"/>
        <v>66.951121307306494</v>
      </c>
      <c r="K134">
        <f t="shared" si="146"/>
        <v>56.775973877412845</v>
      </c>
      <c r="L134">
        <f t="shared" si="141"/>
        <v>124.8523855119353</v>
      </c>
      <c r="M134">
        <f t="shared" si="142"/>
        <v>1.9376144880647104</v>
      </c>
      <c r="N134">
        <f t="shared" si="143"/>
        <v>3.7543499043582695</v>
      </c>
    </row>
    <row r="135" spans="1:14" x14ac:dyDescent="0.45">
      <c r="A135" s="22">
        <v>42677</v>
      </c>
      <c r="B135">
        <v>123.52</v>
      </c>
      <c r="C135">
        <v>125.29</v>
      </c>
      <c r="G135">
        <f t="shared" ref="G135:K135" si="147">SUMPRODUCT($B135:$B139,P$2:P$6)</f>
        <v>61.035459172807322</v>
      </c>
      <c r="H135">
        <f t="shared" si="147"/>
        <v>77.254820886756761</v>
      </c>
      <c r="I135">
        <f t="shared" si="147"/>
        <v>74.497677680413787</v>
      </c>
      <c r="J135">
        <f t="shared" si="147"/>
        <v>66.375022243164779</v>
      </c>
      <c r="K135">
        <f t="shared" si="147"/>
        <v>56.286560603688528</v>
      </c>
      <c r="L135">
        <f t="shared" si="141"/>
        <v>123.77959439431761</v>
      </c>
      <c r="M135">
        <f t="shared" si="142"/>
        <v>0.86040560568238789</v>
      </c>
      <c r="N135">
        <f t="shared" si="143"/>
        <v>0.74029780628967679</v>
      </c>
    </row>
    <row r="136" spans="1:14" x14ac:dyDescent="0.45">
      <c r="A136" s="22">
        <v>42676</v>
      </c>
      <c r="B136">
        <v>126</v>
      </c>
      <c r="C136">
        <v>123</v>
      </c>
      <c r="G136">
        <f t="shared" ref="G136:K136" si="148">SUMPRODUCT($B136:$B140,P$2:P$6)</f>
        <v>62.2206956553038</v>
      </c>
      <c r="H136">
        <f t="shared" si="148"/>
        <v>78.751716411255316</v>
      </c>
      <c r="I136">
        <f t="shared" si="148"/>
        <v>75.938533479288878</v>
      </c>
      <c r="J136">
        <f t="shared" si="148"/>
        <v>67.661260124352026</v>
      </c>
      <c r="K136">
        <f t="shared" si="148"/>
        <v>57.378873634682471</v>
      </c>
      <c r="L136">
        <f t="shared" si="141"/>
        <v>126.17475978959776</v>
      </c>
      <c r="M136">
        <f t="shared" si="142"/>
        <v>-2.6547597895977617</v>
      </c>
      <c r="N136">
        <f t="shared" si="143"/>
        <v>7.0477495404651522</v>
      </c>
    </row>
    <row r="137" spans="1:14" x14ac:dyDescent="0.45">
      <c r="A137" s="22">
        <v>42675</v>
      </c>
      <c r="B137">
        <v>129.79</v>
      </c>
      <c r="C137">
        <v>125.99</v>
      </c>
      <c r="G137">
        <f t="shared" ref="G137:K137" si="149">SUMPRODUCT($B137:$B141,P$2:P$6)</f>
        <v>64.041653160057663</v>
      </c>
      <c r="H137">
        <f t="shared" si="149"/>
        <v>81.05231985692636</v>
      </c>
      <c r="I137">
        <f t="shared" si="149"/>
        <v>78.153656832011464</v>
      </c>
      <c r="J137">
        <f t="shared" si="149"/>
        <v>69.638056061340848</v>
      </c>
      <c r="K137">
        <f t="shared" si="149"/>
        <v>59.057243721781582</v>
      </c>
      <c r="L137">
        <f t="shared" si="141"/>
        <v>129.85585123422138</v>
      </c>
      <c r="M137">
        <f t="shared" si="142"/>
        <v>-3.855851234221376</v>
      </c>
      <c r="N137">
        <f t="shared" si="143"/>
        <v>14.867588740446509</v>
      </c>
    </row>
    <row r="138" spans="1:14" x14ac:dyDescent="0.45">
      <c r="A138" s="22">
        <v>42674</v>
      </c>
      <c r="B138">
        <v>131.57</v>
      </c>
      <c r="C138">
        <v>129.22999999999999</v>
      </c>
      <c r="G138">
        <f t="shared" ref="G138:K138" si="150">SUMPRODUCT($B138:$B142,P$2:P$6)</f>
        <v>64.920332660550386</v>
      </c>
      <c r="H138">
        <f t="shared" si="150"/>
        <v>82.164437063402218</v>
      </c>
      <c r="I138">
        <f t="shared" si="150"/>
        <v>79.226023866329911</v>
      </c>
      <c r="J138">
        <f t="shared" si="150"/>
        <v>70.593550007956068</v>
      </c>
      <c r="K138">
        <f t="shared" si="150"/>
        <v>59.867549093980038</v>
      </c>
      <c r="L138">
        <f t="shared" si="141"/>
        <v>131.63511866841742</v>
      </c>
      <c r="M138">
        <f t="shared" si="142"/>
        <v>-1.8451186684174274</v>
      </c>
      <c r="N138">
        <f t="shared" si="143"/>
        <v>3.4044629005425007</v>
      </c>
    </row>
    <row r="139" spans="1:14" x14ac:dyDescent="0.45">
      <c r="A139" s="22">
        <v>42671</v>
      </c>
      <c r="B139">
        <v>128.85</v>
      </c>
      <c r="C139">
        <v>131.63999999999999</v>
      </c>
      <c r="G139">
        <f t="shared" ref="G139:K139" si="151">SUMPRODUCT($B139:$B143,P$2:P$6)</f>
        <v>63.596074224374668</v>
      </c>
      <c r="H139">
        <f t="shared" si="151"/>
        <v>80.489892201928498</v>
      </c>
      <c r="I139">
        <f t="shared" si="151"/>
        <v>77.612531770805731</v>
      </c>
      <c r="J139">
        <f t="shared" si="151"/>
        <v>69.154760831035389</v>
      </c>
      <c r="K139">
        <f t="shared" si="151"/>
        <v>58.646667792822271</v>
      </c>
      <c r="L139">
        <f t="shared" si="141"/>
        <v>128.95588627640441</v>
      </c>
      <c r="M139">
        <f t="shared" si="142"/>
        <v>2.6141137235955796</v>
      </c>
      <c r="N139">
        <f t="shared" si="143"/>
        <v>6.8335905598907463</v>
      </c>
    </row>
    <row r="140" spans="1:14" x14ac:dyDescent="0.45">
      <c r="A140" s="22">
        <v>42670</v>
      </c>
      <c r="B140">
        <v>125.98</v>
      </c>
      <c r="C140">
        <v>126.42</v>
      </c>
      <c r="G140">
        <f t="shared" ref="G140:K140" si="152">SUMPRODUCT($B140:$B144,P$2:P$6)</f>
        <v>62.205416416809854</v>
      </c>
      <c r="H140">
        <f t="shared" si="152"/>
        <v>78.731941630663329</v>
      </c>
      <c r="I140">
        <f t="shared" si="152"/>
        <v>75.919111102322802</v>
      </c>
      <c r="J140">
        <f t="shared" si="152"/>
        <v>67.644285845658302</v>
      </c>
      <c r="K140">
        <f t="shared" si="152"/>
        <v>57.364693356611603</v>
      </c>
      <c r="L140">
        <f t="shared" si="141"/>
        <v>126.14315681959062</v>
      </c>
      <c r="M140">
        <f t="shared" si="142"/>
        <v>2.7068431804093791</v>
      </c>
      <c r="N140">
        <f t="shared" si="143"/>
        <v>7.3270000033287621</v>
      </c>
    </row>
    <row r="141" spans="1:14" x14ac:dyDescent="0.45">
      <c r="A141" s="22">
        <v>42669</v>
      </c>
      <c r="B141">
        <v>127.76</v>
      </c>
      <c r="C141">
        <v>125.54</v>
      </c>
      <c r="G141">
        <f t="shared" ref="G141:K141" si="153">SUMPRODUCT($B141:$B145,P$2:P$6)</f>
        <v>63.044203945742098</v>
      </c>
      <c r="H141">
        <f t="shared" si="153"/>
        <v>79.790274511667235</v>
      </c>
      <c r="I141">
        <f t="shared" si="153"/>
        <v>76.937020622659404</v>
      </c>
      <c r="J141">
        <f t="shared" si="153"/>
        <v>68.553722915469649</v>
      </c>
      <c r="K141">
        <f t="shared" si="153"/>
        <v>58.137499689833064</v>
      </c>
      <c r="L141">
        <f t="shared" si="141"/>
        <v>127.83667296368365</v>
      </c>
      <c r="M141">
        <f t="shared" si="142"/>
        <v>-1.8566729636836499</v>
      </c>
      <c r="N141">
        <f t="shared" si="143"/>
        <v>3.447234494073828</v>
      </c>
    </row>
    <row r="142" spans="1:14" x14ac:dyDescent="0.45">
      <c r="A142" s="22">
        <v>42668</v>
      </c>
      <c r="B142">
        <v>127.5</v>
      </c>
      <c r="C142">
        <v>127.99</v>
      </c>
      <c r="G142">
        <f t="shared" ref="G142:K142" si="154">SUMPRODUCT($B142:$B146,P$2:P$6)</f>
        <v>62.93467544110085</v>
      </c>
      <c r="H142">
        <f t="shared" si="154"/>
        <v>79.653206112721776</v>
      </c>
      <c r="I142">
        <f t="shared" si="154"/>
        <v>76.80607423763793</v>
      </c>
      <c r="J142">
        <f t="shared" si="154"/>
        <v>68.435885745982446</v>
      </c>
      <c r="K142">
        <f t="shared" si="154"/>
        <v>58.036833075725561</v>
      </c>
      <c r="L142">
        <f t="shared" si="141"/>
        <v>127.61723594748443</v>
      </c>
      <c r="M142">
        <f t="shared" si="142"/>
        <v>0.14276405251557378</v>
      </c>
      <c r="N142">
        <f t="shared" si="143"/>
        <v>2.0381574690669507E-2</v>
      </c>
    </row>
    <row r="143" spans="1:14" x14ac:dyDescent="0.45">
      <c r="A143" s="22">
        <v>42667</v>
      </c>
      <c r="B143">
        <v>128.11000000000001</v>
      </c>
      <c r="C143">
        <v>127.69</v>
      </c>
      <c r="G143">
        <f t="shared" ref="G143:K143" si="155">SUMPRODUCT($B143:$B147,P$2:P$6)</f>
        <v>63.206847374659077</v>
      </c>
      <c r="H143">
        <f t="shared" si="155"/>
        <v>79.995300965197359</v>
      </c>
      <c r="I143">
        <f t="shared" si="155"/>
        <v>77.134058382626094</v>
      </c>
      <c r="J143">
        <f t="shared" si="155"/>
        <v>68.729909984285868</v>
      </c>
      <c r="K143">
        <f t="shared" si="155"/>
        <v>58.287312824840164</v>
      </c>
      <c r="L143">
        <f t="shared" si="141"/>
        <v>128.16476396301178</v>
      </c>
      <c r="M143">
        <f t="shared" si="142"/>
        <v>-0.66476396301177942</v>
      </c>
      <c r="N143">
        <f t="shared" si="143"/>
        <v>0.44191112651912645</v>
      </c>
    </row>
    <row r="144" spans="1:14" x14ac:dyDescent="0.45">
      <c r="A144" s="22">
        <v>42664</v>
      </c>
      <c r="B144">
        <v>124.57</v>
      </c>
      <c r="C144">
        <v>127.58</v>
      </c>
      <c r="G144">
        <f t="shared" ref="G144:K144" si="156">SUMPRODUCT($B144:$B148,P$2:P$6)</f>
        <v>61.480573051172165</v>
      </c>
      <c r="H144">
        <f t="shared" si="156"/>
        <v>77.812173085985322</v>
      </c>
      <c r="I144">
        <f t="shared" si="156"/>
        <v>75.030337801368319</v>
      </c>
      <c r="J144">
        <f t="shared" si="156"/>
        <v>66.854151718082932</v>
      </c>
      <c r="K144">
        <f t="shared" si="156"/>
        <v>56.695753917683867</v>
      </c>
      <c r="L144">
        <f t="shared" si="141"/>
        <v>124.67182947499364</v>
      </c>
      <c r="M144">
        <f t="shared" si="142"/>
        <v>3.4381705250063703</v>
      </c>
      <c r="N144">
        <f t="shared" si="143"/>
        <v>11.82101655902258</v>
      </c>
    </row>
    <row r="145" spans="1:14" x14ac:dyDescent="0.45">
      <c r="A145" s="22">
        <v>42663</v>
      </c>
      <c r="B145">
        <v>126.82</v>
      </c>
      <c r="C145">
        <v>124.66</v>
      </c>
      <c r="G145">
        <f t="shared" ref="G145:K145" si="157">SUMPRODUCT($B145:$B149,P$2:P$6)</f>
        <v>62.561115114727642</v>
      </c>
      <c r="H145">
        <f t="shared" si="157"/>
        <v>79.177297678594201</v>
      </c>
      <c r="I145">
        <f t="shared" si="157"/>
        <v>76.344707162856224</v>
      </c>
      <c r="J145">
        <f t="shared" si="157"/>
        <v>68.027135463910724</v>
      </c>
      <c r="K145">
        <f t="shared" si="157"/>
        <v>57.691680121916328</v>
      </c>
      <c r="L145">
        <f t="shared" si="141"/>
        <v>126.85610426269221</v>
      </c>
      <c r="M145">
        <f t="shared" si="142"/>
        <v>-2.2861042626922199</v>
      </c>
      <c r="N145">
        <f t="shared" si="143"/>
        <v>5.2262726998995381</v>
      </c>
    </row>
    <row r="146" spans="1:14" x14ac:dyDescent="0.45">
      <c r="A146" s="22">
        <v>42662</v>
      </c>
      <c r="B146">
        <v>123.57</v>
      </c>
      <c r="C146">
        <v>124.69</v>
      </c>
      <c r="G146">
        <f t="shared" ref="G146:K146" si="158">SUMPRODUCT($B146:$B150,P$2:P$6)</f>
        <v>60.963747410565013</v>
      </c>
      <c r="H146">
        <f t="shared" si="158"/>
        <v>77.156148746476532</v>
      </c>
      <c r="I146">
        <f t="shared" si="158"/>
        <v>74.396249305489519</v>
      </c>
      <c r="J146">
        <f t="shared" si="158"/>
        <v>66.290596381020165</v>
      </c>
      <c r="K146">
        <f t="shared" si="158"/>
        <v>56.218743800655368</v>
      </c>
      <c r="L146">
        <f t="shared" si="141"/>
        <v>123.62242339827903</v>
      </c>
      <c r="M146">
        <f t="shared" si="142"/>
        <v>3.1975766017209679</v>
      </c>
      <c r="N146">
        <f t="shared" si="143"/>
        <v>10.224496123873413</v>
      </c>
    </row>
    <row r="147" spans="1:14" x14ac:dyDescent="0.45">
      <c r="A147" s="22">
        <v>42661</v>
      </c>
      <c r="B147">
        <v>122.86</v>
      </c>
      <c r="C147">
        <v>122.83</v>
      </c>
      <c r="G147">
        <f t="shared" ref="G147:K147" si="159">SUMPRODUCT($B147:$B151,P$2:P$6)</f>
        <v>60.608533827751941</v>
      </c>
      <c r="H147">
        <f t="shared" si="159"/>
        <v>76.706182237343626</v>
      </c>
      <c r="I147">
        <f t="shared" si="159"/>
        <v>73.962056253116955</v>
      </c>
      <c r="J147">
        <f t="shared" si="159"/>
        <v>65.904013022719923</v>
      </c>
      <c r="K147">
        <f t="shared" si="159"/>
        <v>55.891090556883704</v>
      </c>
      <c r="L147">
        <f t="shared" si="141"/>
        <v>122.90255614661802</v>
      </c>
      <c r="M147">
        <f t="shared" si="142"/>
        <v>0.66744385338196821</v>
      </c>
      <c r="N147">
        <f t="shared" si="143"/>
        <v>0.4454812974173703</v>
      </c>
    </row>
    <row r="148" spans="1:14" x14ac:dyDescent="0.45">
      <c r="A148" s="22">
        <v>42660</v>
      </c>
      <c r="B148">
        <v>121.09</v>
      </c>
      <c r="C148">
        <v>121.78</v>
      </c>
      <c r="G148">
        <f t="shared" ref="G148:K148" si="160">SUMPRODUCT($B148:$B152,P$2:P$6)</f>
        <v>59.756832405657377</v>
      </c>
      <c r="H148">
        <f t="shared" si="160"/>
        <v>75.630035797050539</v>
      </c>
      <c r="I148">
        <f t="shared" si="160"/>
        <v>72.92580743275262</v>
      </c>
      <c r="J148">
        <f t="shared" si="160"/>
        <v>64.979334927227328</v>
      </c>
      <c r="K148">
        <f t="shared" si="160"/>
        <v>55.106059596193319</v>
      </c>
      <c r="L148">
        <f t="shared" si="141"/>
        <v>121.18066974303827</v>
      </c>
      <c r="M148">
        <f t="shared" si="142"/>
        <v>1.6793302569617339</v>
      </c>
      <c r="N148">
        <f t="shared" si="143"/>
        <v>2.820150111947163</v>
      </c>
    </row>
    <row r="149" spans="1:14" x14ac:dyDescent="0.45">
      <c r="A149" s="22">
        <v>42657</v>
      </c>
      <c r="B149">
        <v>118.77</v>
      </c>
      <c r="C149">
        <v>120.8</v>
      </c>
      <c r="G149">
        <f t="shared" ref="G149:K149" si="161">SUMPRODUCT($B149:$B153,P$2:P$6)</f>
        <v>58.625681190158865</v>
      </c>
      <c r="H149">
        <f t="shared" si="161"/>
        <v>74.199541209903416</v>
      </c>
      <c r="I149">
        <f t="shared" si="161"/>
        <v>71.547359266453228</v>
      </c>
      <c r="J149">
        <f t="shared" si="161"/>
        <v>63.750243548930612</v>
      </c>
      <c r="K149">
        <f t="shared" si="161"/>
        <v>54.063181669548101</v>
      </c>
      <c r="L149">
        <f t="shared" si="141"/>
        <v>118.89192447633837</v>
      </c>
      <c r="M149">
        <f t="shared" si="142"/>
        <v>2.1980755236616289</v>
      </c>
      <c r="N149">
        <f t="shared" si="143"/>
        <v>4.8315360077203442</v>
      </c>
    </row>
    <row r="150" spans="1:14" x14ac:dyDescent="0.45">
      <c r="A150" s="22">
        <v>42656</v>
      </c>
      <c r="B150">
        <v>117.43</v>
      </c>
      <c r="C150">
        <v>118.69</v>
      </c>
      <c r="G150">
        <f t="shared" ref="G150:K150" si="162">SUMPRODUCT($B150:$B154,P$2:P$6)</f>
        <v>57.97560031009143</v>
      </c>
      <c r="H150">
        <f t="shared" si="162"/>
        <v>73.377696330444081</v>
      </c>
      <c r="I150">
        <f t="shared" si="162"/>
        <v>70.755630208143515</v>
      </c>
      <c r="J150">
        <f t="shared" si="162"/>
        <v>63.044096968676783</v>
      </c>
      <c r="K150">
        <f t="shared" si="162"/>
        <v>53.463890464257716</v>
      </c>
      <c r="L150">
        <f t="shared" si="141"/>
        <v>117.57697527864293</v>
      </c>
      <c r="M150">
        <f t="shared" si="142"/>
        <v>1.1930247213570624</v>
      </c>
      <c r="N150">
        <f t="shared" si="143"/>
        <v>1.4233079857690965</v>
      </c>
    </row>
    <row r="151" spans="1:14" x14ac:dyDescent="0.45">
      <c r="A151" s="22">
        <v>42655</v>
      </c>
      <c r="B151">
        <v>118.6</v>
      </c>
      <c r="C151">
        <v>118.79</v>
      </c>
      <c r="G151">
        <f t="shared" ref="G151:K151" si="163">SUMPRODUCT($B151:$B155,P$2:P$6)</f>
        <v>58.547687655424646</v>
      </c>
      <c r="H151">
        <f t="shared" si="163"/>
        <v>74.101314538971366</v>
      </c>
      <c r="I151">
        <f t="shared" si="163"/>
        <v>71.453029108526721</v>
      </c>
      <c r="J151">
        <f t="shared" si="163"/>
        <v>63.66582845483358</v>
      </c>
      <c r="K151">
        <f t="shared" si="163"/>
        <v>53.991361652826242</v>
      </c>
      <c r="L151">
        <f t="shared" si="141"/>
        <v>118.73472904820137</v>
      </c>
      <c r="M151">
        <f t="shared" si="142"/>
        <v>-1.3047290482013665</v>
      </c>
      <c r="N151">
        <f t="shared" si="143"/>
        <v>1.7023178892204438</v>
      </c>
    </row>
    <row r="152" spans="1:14" x14ac:dyDescent="0.45">
      <c r="A152" s="22">
        <v>42654</v>
      </c>
      <c r="B152">
        <v>118.16</v>
      </c>
      <c r="C152">
        <v>117.72</v>
      </c>
      <c r="G152">
        <f t="shared" ref="G152:K152" si="164">SUMPRODUCT($B152:$B156,P$2:P$6)</f>
        <v>58.335735481706834</v>
      </c>
      <c r="H152">
        <f t="shared" si="164"/>
        <v>73.833486047020202</v>
      </c>
      <c r="I152">
        <f t="shared" si="164"/>
        <v>71.195115291331575</v>
      </c>
      <c r="J152">
        <f t="shared" si="164"/>
        <v>63.435699047660144</v>
      </c>
      <c r="K152">
        <f t="shared" si="164"/>
        <v>53.79599548564471</v>
      </c>
      <c r="L152">
        <f t="shared" si="141"/>
        <v>118.30619344712976</v>
      </c>
      <c r="M152">
        <f t="shared" si="142"/>
        <v>0.29380655287023671</v>
      </c>
      <c r="N152">
        <f t="shared" si="143"/>
        <v>8.6322290509491195E-2</v>
      </c>
    </row>
    <row r="153" spans="1:14" x14ac:dyDescent="0.45">
      <c r="A153" s="22">
        <v>42653</v>
      </c>
      <c r="B153">
        <v>118.34</v>
      </c>
      <c r="C153">
        <v>118.77</v>
      </c>
      <c r="G153">
        <f t="shared" ref="G153:K153" si="165">SUMPRODUCT($B153:$B157,P$2:P$6)</f>
        <v>58.425190555817096</v>
      </c>
      <c r="H153">
        <f t="shared" si="165"/>
        <v>73.94675612441192</v>
      </c>
      <c r="I153">
        <f t="shared" si="165"/>
        <v>71.304375961712324</v>
      </c>
      <c r="J153">
        <f t="shared" si="165"/>
        <v>63.533015649430382</v>
      </c>
      <c r="K153">
        <f t="shared" si="165"/>
        <v>53.87850058274055</v>
      </c>
      <c r="L153">
        <f t="shared" si="141"/>
        <v>118.48740934647121</v>
      </c>
      <c r="M153">
        <f t="shared" si="142"/>
        <v>-0.32740934647121378</v>
      </c>
      <c r="N153">
        <f t="shared" si="143"/>
        <v>0.10719688015670731</v>
      </c>
    </row>
    <row r="154" spans="1:14" x14ac:dyDescent="0.45">
      <c r="A154" s="22">
        <v>42650</v>
      </c>
      <c r="B154">
        <v>118.78</v>
      </c>
      <c r="C154">
        <v>117.77</v>
      </c>
      <c r="G154">
        <f t="shared" ref="G154:K154" si="166">SUMPRODUCT($B154:$B158,P$2:P$6)</f>
        <v>58.629717530909481</v>
      </c>
      <c r="H154">
        <f t="shared" si="166"/>
        <v>74.204575879104198</v>
      </c>
      <c r="I154">
        <f t="shared" si="166"/>
        <v>71.55215545437872</v>
      </c>
      <c r="J154">
        <f t="shared" si="166"/>
        <v>63.754574343749738</v>
      </c>
      <c r="K154">
        <f t="shared" si="166"/>
        <v>54.066888540356828</v>
      </c>
      <c r="L154">
        <f t="shared" si="141"/>
        <v>118.89998680334111</v>
      </c>
      <c r="M154">
        <f t="shared" si="142"/>
        <v>-0.55998680334110418</v>
      </c>
      <c r="N154">
        <f t="shared" si="143"/>
        <v>0.31358521991618848</v>
      </c>
    </row>
    <row r="155" spans="1:14" x14ac:dyDescent="0.45">
      <c r="A155" s="22">
        <v>42649</v>
      </c>
      <c r="B155">
        <v>119.04</v>
      </c>
      <c r="C155">
        <v>118.53</v>
      </c>
      <c r="G155">
        <f t="shared" ref="G155:K155" si="167">SUMPRODUCT($B155:$B159,P$2:P$6)</f>
        <v>58.743591007042852</v>
      </c>
      <c r="H155">
        <f t="shared" si="167"/>
        <v>74.347507982706361</v>
      </c>
      <c r="I155">
        <f t="shared" si="167"/>
        <v>71.689036105842362</v>
      </c>
      <c r="J155">
        <f t="shared" si="167"/>
        <v>63.877430628395523</v>
      </c>
      <c r="K155">
        <f t="shared" si="167"/>
        <v>54.171643711987961</v>
      </c>
      <c r="L155">
        <f t="shared" si="141"/>
        <v>119.12876945451148</v>
      </c>
      <c r="M155">
        <f t="shared" si="142"/>
        <v>-0.34876945451148345</v>
      </c>
      <c r="N155">
        <f t="shared" si="143"/>
        <v>0.12164013240023772</v>
      </c>
    </row>
    <row r="156" spans="1:14" x14ac:dyDescent="0.45">
      <c r="A156" s="22">
        <v>42648</v>
      </c>
      <c r="B156">
        <v>119.3</v>
      </c>
      <c r="C156">
        <v>119.14</v>
      </c>
      <c r="G156">
        <f t="shared" ref="G156:K156" si="168">SUMPRODUCT($B156:$B160,P$2:P$6)</f>
        <v>58.886858005841198</v>
      </c>
      <c r="H156">
        <f t="shared" si="168"/>
        <v>74.530070641919437</v>
      </c>
      <c r="I156">
        <f t="shared" si="168"/>
        <v>71.866044098148649</v>
      </c>
      <c r="J156">
        <f t="shared" si="168"/>
        <v>64.034225292792058</v>
      </c>
      <c r="K156">
        <f t="shared" si="168"/>
        <v>54.304029838579496</v>
      </c>
      <c r="L156">
        <f t="shared" si="141"/>
        <v>119.42073805195776</v>
      </c>
      <c r="M156">
        <f t="shared" si="142"/>
        <v>-0.38073805195774924</v>
      </c>
      <c r="N156">
        <f t="shared" si="143"/>
        <v>0.14496146420858175</v>
      </c>
    </row>
    <row r="157" spans="1:14" x14ac:dyDescent="0.45">
      <c r="A157" s="22">
        <v>42647</v>
      </c>
      <c r="B157">
        <v>118.05</v>
      </c>
      <c r="C157">
        <v>119.12</v>
      </c>
      <c r="G157">
        <f t="shared" ref="G157:K157" si="169">SUMPRODUCT($B157:$B161,P$2:P$6)</f>
        <v>58.25937848636832</v>
      </c>
      <c r="H157">
        <f t="shared" si="169"/>
        <v>73.735036786091612</v>
      </c>
      <c r="I157">
        <f t="shared" si="169"/>
        <v>71.098747778001069</v>
      </c>
      <c r="J157">
        <f t="shared" si="169"/>
        <v>63.351194767044333</v>
      </c>
      <c r="K157">
        <f t="shared" si="169"/>
        <v>53.725196311849942</v>
      </c>
      <c r="L157">
        <f t="shared" si="141"/>
        <v>118.14884330914037</v>
      </c>
      <c r="M157">
        <f t="shared" si="142"/>
        <v>1.1511566908596222</v>
      </c>
      <c r="N157">
        <f t="shared" si="143"/>
        <v>1.325161726910876</v>
      </c>
    </row>
    <row r="158" spans="1:14" x14ac:dyDescent="0.45">
      <c r="A158" s="22">
        <v>42646</v>
      </c>
      <c r="B158">
        <v>116.38</v>
      </c>
      <c r="C158">
        <v>117.02</v>
      </c>
      <c r="G158">
        <f t="shared" ref="G158:K158" si="170">SUMPRODUCT($B158:$B162,P$2:P$6)</f>
        <v>57.428990074517145</v>
      </c>
      <c r="H158">
        <f t="shared" si="170"/>
        <v>72.683558055344136</v>
      </c>
      <c r="I158">
        <f t="shared" si="170"/>
        <v>70.084457035254502</v>
      </c>
      <c r="J158">
        <f t="shared" si="170"/>
        <v>62.447817744982274</v>
      </c>
      <c r="K158">
        <f t="shared" si="170"/>
        <v>52.959326850734506</v>
      </c>
      <c r="L158">
        <f t="shared" si="141"/>
        <v>116.4666287019399</v>
      </c>
      <c r="M158">
        <f t="shared" si="142"/>
        <v>1.5833712980601007</v>
      </c>
      <c r="N158">
        <f t="shared" si="143"/>
        <v>2.5070646675205284</v>
      </c>
    </row>
    <row r="159" spans="1:14" x14ac:dyDescent="0.45">
      <c r="A159" s="22">
        <v>42643</v>
      </c>
      <c r="B159">
        <v>118.63</v>
      </c>
      <c r="C159">
        <v>116.72</v>
      </c>
      <c r="G159">
        <f t="shared" ref="G159:K159" si="171">SUMPRODUCT($B159:$B163,P$2:P$6)</f>
        <v>58.490783451542306</v>
      </c>
      <c r="H159">
        <f t="shared" si="171"/>
        <v>74.023408058915422</v>
      </c>
      <c r="I159">
        <f t="shared" si="171"/>
        <v>71.373233609842245</v>
      </c>
      <c r="J159">
        <f t="shared" si="171"/>
        <v>63.599155421618903</v>
      </c>
      <c r="K159">
        <f t="shared" si="171"/>
        <v>53.937631174325581</v>
      </c>
      <c r="L159">
        <f t="shared" si="141"/>
        <v>118.61060421291899</v>
      </c>
      <c r="M159">
        <f t="shared" si="142"/>
        <v>-2.2306042129189905</v>
      </c>
      <c r="N159">
        <f t="shared" si="143"/>
        <v>4.9755951546919492</v>
      </c>
    </row>
    <row r="160" spans="1:14" x14ac:dyDescent="0.45">
      <c r="A160" s="22">
        <v>42642</v>
      </c>
      <c r="B160">
        <v>115.99</v>
      </c>
      <c r="C160">
        <v>118.4</v>
      </c>
      <c r="G160">
        <f t="shared" ref="G160:K160" si="172">SUMPRODUCT($B160:$B164,P$2:P$6)</f>
        <v>57.208034973077503</v>
      </c>
      <c r="H160">
        <f t="shared" si="172"/>
        <v>72.40157564885439</v>
      </c>
      <c r="I160">
        <f t="shared" si="172"/>
        <v>69.810697939021125</v>
      </c>
      <c r="J160">
        <f t="shared" si="172"/>
        <v>62.205643816034055</v>
      </c>
      <c r="K160">
        <f t="shared" si="172"/>
        <v>52.755071418758789</v>
      </c>
      <c r="L160">
        <f t="shared" si="141"/>
        <v>116.01568633342457</v>
      </c>
      <c r="M160">
        <f t="shared" si="142"/>
        <v>2.614313666575427</v>
      </c>
      <c r="N160">
        <f t="shared" si="143"/>
        <v>6.8346359472430525</v>
      </c>
    </row>
    <row r="161" spans="1:14" x14ac:dyDescent="0.45">
      <c r="A161" s="22">
        <v>42641</v>
      </c>
      <c r="B161">
        <v>113.52</v>
      </c>
      <c r="C161">
        <v>115.99</v>
      </c>
      <c r="G161">
        <f t="shared" ref="G161:K161" si="173">SUMPRODUCT($B161:$B165,P$2:P$6)</f>
        <v>56.004484249866877</v>
      </c>
      <c r="H161">
        <f t="shared" si="173"/>
        <v>70.879587483423848</v>
      </c>
      <c r="I161">
        <f t="shared" si="173"/>
        <v>68.344133033775478</v>
      </c>
      <c r="J161">
        <f t="shared" si="173"/>
        <v>60.897934570886115</v>
      </c>
      <c r="K161">
        <f t="shared" si="173"/>
        <v>51.645459193655505</v>
      </c>
      <c r="L161">
        <f t="shared" si="141"/>
        <v>113.58054614109543</v>
      </c>
      <c r="M161">
        <f t="shared" si="142"/>
        <v>2.4094538589045698</v>
      </c>
      <c r="N161">
        <f t="shared" si="143"/>
        <v>5.8054678981901224</v>
      </c>
    </row>
    <row r="162" spans="1:14" x14ac:dyDescent="0.45">
      <c r="A162" s="22">
        <v>42640</v>
      </c>
      <c r="B162">
        <v>109.25</v>
      </c>
      <c r="C162">
        <v>113.1</v>
      </c>
      <c r="G162">
        <f t="shared" ref="G162:K162" si="174">SUMPRODUCT($B162:$B166,P$2:P$6)</f>
        <v>53.928877479149378</v>
      </c>
      <c r="H162">
        <f t="shared" si="174"/>
        <v>68.255228050921303</v>
      </c>
      <c r="I162">
        <f t="shared" si="174"/>
        <v>65.815670820619843</v>
      </c>
      <c r="J162">
        <f t="shared" si="174"/>
        <v>58.643042389005885</v>
      </c>
      <c r="K162">
        <f t="shared" si="174"/>
        <v>49.731944893254621</v>
      </c>
      <c r="L162">
        <f t="shared" si="141"/>
        <v>109.38160766469413</v>
      </c>
      <c r="M162">
        <f t="shared" si="142"/>
        <v>4.1383923353058663</v>
      </c>
      <c r="N162">
        <f t="shared" si="143"/>
        <v>17.126291120918342</v>
      </c>
    </row>
    <row r="163" spans="1:14" x14ac:dyDescent="0.45">
      <c r="A163" s="22">
        <v>42639</v>
      </c>
      <c r="B163">
        <v>109.34</v>
      </c>
      <c r="C163">
        <v>109.09</v>
      </c>
      <c r="G163">
        <f t="shared" ref="G163:K163" si="175">SUMPRODUCT($B163:$B167,P$2:P$6)</f>
        <v>53.964829401951491</v>
      </c>
      <c r="H163">
        <f t="shared" si="175"/>
        <v>68.300034581947571</v>
      </c>
      <c r="I163">
        <f t="shared" si="175"/>
        <v>65.85832390298421</v>
      </c>
      <c r="J163">
        <f t="shared" si="175"/>
        <v>58.681570113492121</v>
      </c>
      <c r="K163">
        <f t="shared" si="175"/>
        <v>49.76495015826832</v>
      </c>
      <c r="L163">
        <f t="shared" si="141"/>
        <v>109.45335508146191</v>
      </c>
      <c r="M163">
        <f t="shared" si="142"/>
        <v>-0.20335508146190762</v>
      </c>
      <c r="N163">
        <f t="shared" si="143"/>
        <v>4.1353289156379085E-2</v>
      </c>
    </row>
    <row r="164" spans="1:14" x14ac:dyDescent="0.45">
      <c r="A164" s="22">
        <v>42636</v>
      </c>
      <c r="B164">
        <v>108.97</v>
      </c>
      <c r="C164">
        <v>109.91</v>
      </c>
      <c r="G164">
        <f t="shared" ref="G164:K164" si="176">SUMPRODUCT($B164:$B168,P$2:P$6)</f>
        <v>53.777682121923817</v>
      </c>
      <c r="H164">
        <f t="shared" si="176"/>
        <v>68.062798250018957</v>
      </c>
      <c r="I164">
        <f t="shared" si="176"/>
        <v>65.629273309867983</v>
      </c>
      <c r="J164">
        <f t="shared" si="176"/>
        <v>58.477759746638633</v>
      </c>
      <c r="K164">
        <f t="shared" si="176"/>
        <v>49.592286454607233</v>
      </c>
      <c r="L164">
        <f t="shared" si="141"/>
        <v>109.07383449558644</v>
      </c>
      <c r="M164">
        <f t="shared" si="142"/>
        <v>0.26616550441356424</v>
      </c>
      <c r="N164">
        <f t="shared" si="143"/>
        <v>7.0844075739727078E-2</v>
      </c>
    </row>
    <row r="165" spans="1:14" x14ac:dyDescent="0.45">
      <c r="A165" s="22">
        <v>42635</v>
      </c>
      <c r="B165">
        <v>109</v>
      </c>
      <c r="C165">
        <v>108.79</v>
      </c>
      <c r="G165">
        <f t="shared" ref="G165:K165" si="177">SUMPRODUCT($B165:$B169,P$2:P$6)</f>
        <v>53.804041551842701</v>
      </c>
      <c r="H165">
        <f t="shared" si="177"/>
        <v>68.097110945289856</v>
      </c>
      <c r="I165">
        <f t="shared" si="177"/>
        <v>65.663111509667488</v>
      </c>
      <c r="J165">
        <f t="shared" si="177"/>
        <v>58.507195659281216</v>
      </c>
      <c r="K165">
        <f t="shared" si="177"/>
        <v>49.616798193276075</v>
      </c>
      <c r="L165">
        <f t="shared" si="141"/>
        <v>109.12864586590963</v>
      </c>
      <c r="M165">
        <f t="shared" si="142"/>
        <v>-0.1586458659096337</v>
      </c>
      <c r="N165">
        <f t="shared" si="143"/>
        <v>2.5168510770217475E-2</v>
      </c>
    </row>
    <row r="166" spans="1:14" x14ac:dyDescent="0.45">
      <c r="A166" s="22">
        <v>42634</v>
      </c>
      <c r="B166">
        <v>107.96</v>
      </c>
      <c r="C166">
        <v>108.02</v>
      </c>
      <c r="G166">
        <f t="shared" ref="G166:K166" si="178">SUMPRODUCT($B166:$B170,P$2:P$6)</f>
        <v>53.314503628866873</v>
      </c>
      <c r="H166">
        <f t="shared" si="178"/>
        <v>67.479483877188969</v>
      </c>
      <c r="I166">
        <f t="shared" si="178"/>
        <v>65.069113155016638</v>
      </c>
      <c r="J166">
        <f t="shared" si="178"/>
        <v>57.976460246596076</v>
      </c>
      <c r="K166">
        <f t="shared" si="178"/>
        <v>49.16577588299694</v>
      </c>
      <c r="L166">
        <f t="shared" si="141"/>
        <v>108.14033279210068</v>
      </c>
      <c r="M166">
        <f t="shared" si="142"/>
        <v>0.85966720789932083</v>
      </c>
      <c r="N166">
        <f t="shared" si="143"/>
        <v>0.73902770833741405</v>
      </c>
    </row>
    <row r="167" spans="1:14" x14ac:dyDescent="0.45">
      <c r="A167" s="22">
        <v>42633</v>
      </c>
      <c r="B167">
        <v>106.99</v>
      </c>
      <c r="C167">
        <v>107.65</v>
      </c>
      <c r="G167">
        <f t="shared" ref="G167:K167" si="179">SUMPRODUCT($B167:$B171,P$2:P$6)</f>
        <v>52.844748916057178</v>
      </c>
      <c r="H167">
        <f t="shared" si="179"/>
        <v>66.885675379248553</v>
      </c>
      <c r="I167">
        <f t="shared" si="179"/>
        <v>64.49712048689284</v>
      </c>
      <c r="J167">
        <f t="shared" si="179"/>
        <v>57.466246545354366</v>
      </c>
      <c r="K167">
        <f t="shared" si="179"/>
        <v>48.732734074629576</v>
      </c>
      <c r="L167">
        <f t="shared" si="141"/>
        <v>107.19023761788092</v>
      </c>
      <c r="M167">
        <f t="shared" si="142"/>
        <v>0.76976238211906889</v>
      </c>
      <c r="N167">
        <f t="shared" si="143"/>
        <v>0.59253412492562341</v>
      </c>
    </row>
    <row r="168" spans="1:14" x14ac:dyDescent="0.45">
      <c r="A168" s="22">
        <v>42632</v>
      </c>
      <c r="B168">
        <v>108.56</v>
      </c>
      <c r="C168">
        <v>106.12</v>
      </c>
      <c r="G168">
        <f t="shared" ref="G168:K168" si="180">SUMPRODUCT($B168:$B172,P$2:P$6)</f>
        <v>53.615795313674262</v>
      </c>
      <c r="H168">
        <f t="shared" si="180"/>
        <v>67.861229533882209</v>
      </c>
      <c r="I168">
        <f t="shared" si="180"/>
        <v>65.437548605351452</v>
      </c>
      <c r="J168">
        <f t="shared" si="180"/>
        <v>58.304430503900377</v>
      </c>
      <c r="K168">
        <f t="shared" si="180"/>
        <v>49.443707009294783</v>
      </c>
      <c r="L168">
        <f t="shared" si="141"/>
        <v>108.75105324568626</v>
      </c>
      <c r="M168">
        <f t="shared" si="142"/>
        <v>-1.76105324568627</v>
      </c>
      <c r="N168">
        <f t="shared" si="143"/>
        <v>3.101308534142146</v>
      </c>
    </row>
    <row r="169" spans="1:14" x14ac:dyDescent="0.45">
      <c r="A169" s="22">
        <v>42629</v>
      </c>
      <c r="B169">
        <v>110.7</v>
      </c>
      <c r="C169">
        <v>107.83</v>
      </c>
      <c r="G169">
        <f t="shared" ref="G169:K169" si="181">SUMPRODUCT($B169:$B173,P$2:P$6)</f>
        <v>54.660039862302227</v>
      </c>
      <c r="H169">
        <f t="shared" si="181"/>
        <v>69.181891387746731</v>
      </c>
      <c r="I169">
        <f t="shared" si="181"/>
        <v>66.710217450792484</v>
      </c>
      <c r="J169">
        <f t="shared" si="181"/>
        <v>59.439150218530351</v>
      </c>
      <c r="K169">
        <f t="shared" si="181"/>
        <v>50.406476254187275</v>
      </c>
      <c r="L169">
        <f t="shared" si="141"/>
        <v>110.86406350750609</v>
      </c>
      <c r="M169">
        <f t="shared" si="142"/>
        <v>-2.3040635075060862</v>
      </c>
      <c r="N169">
        <f t="shared" si="143"/>
        <v>5.3087086466212483</v>
      </c>
    </row>
    <row r="170" spans="1:14" x14ac:dyDescent="0.45">
      <c r="A170" s="22">
        <v>42628</v>
      </c>
      <c r="B170">
        <v>110.94</v>
      </c>
      <c r="C170">
        <v>111.9</v>
      </c>
      <c r="G170">
        <f t="shared" ref="G170:K170" si="182">SUMPRODUCT($B170:$B174,P$2:P$6)</f>
        <v>54.756468740401075</v>
      </c>
      <c r="H170">
        <f t="shared" si="182"/>
        <v>69.302116858428548</v>
      </c>
      <c r="I170">
        <f t="shared" si="182"/>
        <v>66.824711048548451</v>
      </c>
      <c r="J170">
        <f t="shared" si="182"/>
        <v>59.542527713103553</v>
      </c>
      <c r="K170">
        <f t="shared" si="182"/>
        <v>50.495007771135079</v>
      </c>
      <c r="L170">
        <f t="shared" si="141"/>
        <v>111.05657576937494</v>
      </c>
      <c r="M170">
        <f t="shared" si="142"/>
        <v>-0.35657576937494184</v>
      </c>
      <c r="N170">
        <f t="shared" si="143"/>
        <v>0.12714627930533171</v>
      </c>
    </row>
    <row r="171" spans="1:14" x14ac:dyDescent="0.45">
      <c r="A171" s="22">
        <v>42627</v>
      </c>
      <c r="B171">
        <v>111.98</v>
      </c>
      <c r="C171">
        <v>111.31</v>
      </c>
      <c r="G171">
        <f t="shared" ref="G171:K171" si="183">SUMPRODUCT($B171:$B175,P$2:P$6)</f>
        <v>55.286354734171994</v>
      </c>
      <c r="H171">
        <f t="shared" si="183"/>
        <v>69.974134842138298</v>
      </c>
      <c r="I171">
        <f t="shared" si="183"/>
        <v>67.473783079551296</v>
      </c>
      <c r="J171">
        <f t="shared" si="183"/>
        <v>60.119842766416184</v>
      </c>
      <c r="K171">
        <f t="shared" si="183"/>
        <v>50.983952608401104</v>
      </c>
      <c r="L171">
        <f t="shared" si="141"/>
        <v>112.13161143209487</v>
      </c>
      <c r="M171">
        <f t="shared" si="142"/>
        <v>-1.1916114320948736</v>
      </c>
      <c r="N171">
        <f t="shared" si="143"/>
        <v>1.4199378050991955</v>
      </c>
    </row>
    <row r="172" spans="1:14" x14ac:dyDescent="0.45">
      <c r="A172" s="22">
        <v>42626</v>
      </c>
      <c r="B172">
        <v>112.5</v>
      </c>
      <c r="C172">
        <v>111.56</v>
      </c>
      <c r="G172">
        <f t="shared" ref="G172:K172" si="184">SUMPRODUCT($B172:$B176,P$2:P$6)</f>
        <v>55.539450872164181</v>
      </c>
      <c r="H172">
        <f t="shared" si="184"/>
        <v>70.294170293721422</v>
      </c>
      <c r="I172">
        <f t="shared" si="184"/>
        <v>67.782147743382282</v>
      </c>
      <c r="J172">
        <f t="shared" si="184"/>
        <v>60.394821186774408</v>
      </c>
      <c r="K172">
        <f t="shared" si="184"/>
        <v>51.217287068373615</v>
      </c>
      <c r="L172">
        <f t="shared" si="141"/>
        <v>112.6436624023398</v>
      </c>
      <c r="M172">
        <f t="shared" si="142"/>
        <v>-0.66366240233979568</v>
      </c>
      <c r="N172">
        <f t="shared" si="143"/>
        <v>0.44044778427942882</v>
      </c>
    </row>
    <row r="173" spans="1:14" x14ac:dyDescent="0.45">
      <c r="A173" s="22">
        <v>42625</v>
      </c>
      <c r="B173">
        <v>109.8</v>
      </c>
      <c r="C173">
        <v>113.57</v>
      </c>
      <c r="G173">
        <f t="shared" ref="G173:K173" si="185">SUMPRODUCT($B173:$B177,P$2:P$6)</f>
        <v>54.230390543242891</v>
      </c>
      <c r="H173">
        <f t="shared" si="185"/>
        <v>68.639299114483521</v>
      </c>
      <c r="I173">
        <f t="shared" si="185"/>
        <v>66.187971464451692</v>
      </c>
      <c r="J173">
        <f t="shared" si="185"/>
        <v>58.972919025003293</v>
      </c>
      <c r="K173">
        <f t="shared" si="185"/>
        <v>50.010516691375287</v>
      </c>
      <c r="L173">
        <f t="shared" si="141"/>
        <v>109.99586814990467</v>
      </c>
      <c r="M173">
        <f t="shared" si="142"/>
        <v>2.5041318500953338</v>
      </c>
      <c r="N173">
        <f t="shared" si="143"/>
        <v>6.2706763226618794</v>
      </c>
    </row>
    <row r="174" spans="1:14" x14ac:dyDescent="0.45">
      <c r="A174" s="22">
        <v>42622</v>
      </c>
      <c r="B174">
        <v>113.04</v>
      </c>
      <c r="C174">
        <v>111.1</v>
      </c>
      <c r="G174">
        <f t="shared" ref="G174:K174" si="186">SUMPRODUCT($B174:$B178,P$2:P$6)</f>
        <v>55.794621236156814</v>
      </c>
      <c r="H174">
        <f t="shared" si="186"/>
        <v>70.616187215214097</v>
      </c>
      <c r="I174">
        <f t="shared" si="186"/>
        <v>68.091913485945668</v>
      </c>
      <c r="J174">
        <f t="shared" si="186"/>
        <v>60.671534085073169</v>
      </c>
      <c r="K174">
        <f t="shared" si="186"/>
        <v>51.452396981203847</v>
      </c>
      <c r="L174">
        <f t="shared" si="141"/>
        <v>113.15894202186153</v>
      </c>
      <c r="M174">
        <f t="shared" si="142"/>
        <v>-3.3589420218615373</v>
      </c>
      <c r="N174">
        <f t="shared" si="143"/>
        <v>11.282491506227272</v>
      </c>
    </row>
    <row r="175" spans="1:14" x14ac:dyDescent="0.45">
      <c r="A175" s="22">
        <v>42621</v>
      </c>
      <c r="B175">
        <v>113.08</v>
      </c>
      <c r="C175">
        <v>114.07</v>
      </c>
      <c r="G175">
        <f t="shared" ref="G175:K175" si="187">SUMPRODUCT($B175:$B179,P$2:P$6)</f>
        <v>55.828311763857378</v>
      </c>
      <c r="H175">
        <f t="shared" si="187"/>
        <v>70.659982907356394</v>
      </c>
      <c r="I175">
        <f t="shared" si="187"/>
        <v>68.135050576011949</v>
      </c>
      <c r="J175">
        <f t="shared" si="187"/>
        <v>60.709109474517284</v>
      </c>
      <c r="K175">
        <f t="shared" si="187"/>
        <v>51.483717043720468</v>
      </c>
      <c r="L175">
        <f t="shared" si="141"/>
        <v>113.22890573427229</v>
      </c>
      <c r="M175">
        <f t="shared" si="142"/>
        <v>-0.18890573427228219</v>
      </c>
      <c r="N175">
        <f t="shared" si="143"/>
        <v>3.5685376440950087E-2</v>
      </c>
    </row>
    <row r="176" spans="1:14" x14ac:dyDescent="0.45">
      <c r="A176" s="22">
        <v>42620</v>
      </c>
      <c r="B176">
        <v>113.55</v>
      </c>
      <c r="C176">
        <v>113.65</v>
      </c>
      <c r="G176">
        <f t="shared" ref="G176:K176" si="188">SUMPRODUCT($B176:$B180,P$2:P$6)</f>
        <v>56.025749426469368</v>
      </c>
      <c r="H176">
        <f t="shared" si="188"/>
        <v>70.907025490476514</v>
      </c>
      <c r="I176">
        <f t="shared" si="188"/>
        <v>68.371013165134286</v>
      </c>
      <c r="J176">
        <f t="shared" si="188"/>
        <v>60.921490037148821</v>
      </c>
      <c r="K176">
        <f t="shared" si="188"/>
        <v>51.665178816129313</v>
      </c>
      <c r="L176">
        <f t="shared" si="141"/>
        <v>113.62440209529022</v>
      </c>
      <c r="M176">
        <f t="shared" si="142"/>
        <v>-0.54440209529022354</v>
      </c>
      <c r="N176">
        <f t="shared" si="143"/>
        <v>0.29637364135638561</v>
      </c>
    </row>
    <row r="177" spans="1:14" x14ac:dyDescent="0.45">
      <c r="A177" s="22">
        <v>42619</v>
      </c>
      <c r="B177">
        <v>112.1</v>
      </c>
      <c r="C177">
        <v>113.91</v>
      </c>
      <c r="G177">
        <f t="shared" ref="G177:K177" si="189">SUMPRODUCT($B177:$B181,P$2:P$6)</f>
        <v>55.312290857429566</v>
      </c>
      <c r="H177">
        <f t="shared" si="189"/>
        <v>70.004221365702548</v>
      </c>
      <c r="I177">
        <f t="shared" si="189"/>
        <v>67.500625437564395</v>
      </c>
      <c r="J177">
        <f t="shared" si="189"/>
        <v>60.145817502889379</v>
      </c>
      <c r="K177">
        <f t="shared" si="189"/>
        <v>51.0072836436551</v>
      </c>
      <c r="L177">
        <f t="shared" si="141"/>
        <v>112.17999094093231</v>
      </c>
      <c r="M177">
        <f t="shared" si="142"/>
        <v>1.3700090590676837</v>
      </c>
      <c r="N177">
        <f t="shared" si="143"/>
        <v>1.8769248219275199</v>
      </c>
    </row>
    <row r="178" spans="1:14" x14ac:dyDescent="0.45">
      <c r="A178" s="22">
        <v>42615</v>
      </c>
      <c r="B178">
        <v>114</v>
      </c>
      <c r="C178">
        <v>112.05</v>
      </c>
      <c r="G178">
        <f t="shared" ref="G178:K178" si="190">SUMPRODUCT($B178:$B182,P$2:P$6)</f>
        <v>56.246609990073239</v>
      </c>
      <c r="H178">
        <f t="shared" si="190"/>
        <v>71.186460044778215</v>
      </c>
      <c r="I178">
        <f t="shared" si="190"/>
        <v>68.640374699599732</v>
      </c>
      <c r="J178">
        <f t="shared" si="190"/>
        <v>61.161571183971738</v>
      </c>
      <c r="K178">
        <f t="shared" si="190"/>
        <v>51.868832566874531</v>
      </c>
      <c r="L178">
        <f t="shared" si="141"/>
        <v>114.07147308760075</v>
      </c>
      <c r="M178">
        <f t="shared" si="142"/>
        <v>-1.9714730876007565</v>
      </c>
      <c r="N178">
        <f t="shared" si="143"/>
        <v>3.8867061351340602</v>
      </c>
    </row>
    <row r="179" spans="1:14" x14ac:dyDescent="0.45">
      <c r="A179" s="22">
        <v>42614</v>
      </c>
      <c r="B179">
        <v>109.86</v>
      </c>
      <c r="C179">
        <v>113.13</v>
      </c>
      <c r="G179">
        <f t="shared" ref="G179:K179" si="191">SUMPRODUCT($B179:$B183,P$2:P$6)</f>
        <v>54.245679292686532</v>
      </c>
      <c r="H179">
        <f t="shared" si="191"/>
        <v>68.657476425306314</v>
      </c>
      <c r="I179">
        <f t="shared" si="191"/>
        <v>66.204564618774228</v>
      </c>
      <c r="J179">
        <f t="shared" si="191"/>
        <v>58.988584203951206</v>
      </c>
      <c r="K179">
        <f t="shared" si="191"/>
        <v>50.024365933709149</v>
      </c>
      <c r="L179">
        <f t="shared" si="141"/>
        <v>110.02505036239734</v>
      </c>
      <c r="M179">
        <f t="shared" si="142"/>
        <v>3.9749496376026627</v>
      </c>
      <c r="N179">
        <f t="shared" si="143"/>
        <v>15.80022462147754</v>
      </c>
    </row>
    <row r="180" spans="1:14" x14ac:dyDescent="0.45">
      <c r="A180" s="22">
        <v>42613</v>
      </c>
      <c r="B180">
        <v>108.72</v>
      </c>
      <c r="C180">
        <v>109.12</v>
      </c>
      <c r="G180">
        <f t="shared" ref="G180:K180" si="192">SUMPRODUCT($B180:$B184,P$2:P$6)</f>
        <v>53.698302436957931</v>
      </c>
      <c r="H180">
        <f t="shared" si="192"/>
        <v>67.965946748214606</v>
      </c>
      <c r="I180">
        <f t="shared" si="192"/>
        <v>65.538752895267194</v>
      </c>
      <c r="J180">
        <f t="shared" si="192"/>
        <v>58.394387372736873</v>
      </c>
      <c r="K180">
        <f t="shared" si="192"/>
        <v>49.519856304973828</v>
      </c>
      <c r="L180">
        <f t="shared" si="141"/>
        <v>108.91856386606572</v>
      </c>
      <c r="M180">
        <f t="shared" si="142"/>
        <v>0.94143613393427472</v>
      </c>
      <c r="N180">
        <f t="shared" si="143"/>
        <v>0.88630199427711365</v>
      </c>
    </row>
    <row r="181" spans="1:14" x14ac:dyDescent="0.45">
      <c r="A181" s="22">
        <v>42612</v>
      </c>
      <c r="B181">
        <v>110.14</v>
      </c>
      <c r="C181">
        <v>109.09</v>
      </c>
      <c r="G181">
        <f t="shared" ref="G181:K181" si="193">SUMPRODUCT($B181:$B185,P$2:P$6)</f>
        <v>54.379479558737501</v>
      </c>
      <c r="H181">
        <f t="shared" si="193"/>
        <v>68.826451407581786</v>
      </c>
      <c r="I181">
        <f t="shared" si="193"/>
        <v>66.367213795940273</v>
      </c>
      <c r="J181">
        <f t="shared" si="193"/>
        <v>59.133783136928272</v>
      </c>
      <c r="K181">
        <f t="shared" si="193"/>
        <v>50.147671843696259</v>
      </c>
      <c r="L181">
        <f t="shared" si="141"/>
        <v>110.29542928354689</v>
      </c>
      <c r="M181">
        <f t="shared" si="142"/>
        <v>-1.5754292835468959</v>
      </c>
      <c r="N181">
        <f t="shared" si="143"/>
        <v>2.4819774274570858</v>
      </c>
    </row>
    <row r="182" spans="1:14" x14ac:dyDescent="0.45">
      <c r="A182" s="22">
        <v>42611</v>
      </c>
      <c r="B182">
        <v>111.7</v>
      </c>
      <c r="C182">
        <v>109.8</v>
      </c>
      <c r="G182">
        <f t="shared" ref="G182:K182" si="194">SUMPRODUCT($B182:$B186,P$2:P$6)</f>
        <v>55.154437053564827</v>
      </c>
      <c r="H182">
        <f t="shared" si="194"/>
        <v>69.807687318766597</v>
      </c>
      <c r="I182">
        <f t="shared" si="194"/>
        <v>67.313695952221281</v>
      </c>
      <c r="J182">
        <f t="shared" si="194"/>
        <v>59.976813713702022</v>
      </c>
      <c r="K182">
        <f t="shared" si="194"/>
        <v>50.862409762494366</v>
      </c>
      <c r="L182">
        <f t="shared" si="141"/>
        <v>111.86526823214511</v>
      </c>
      <c r="M182">
        <f t="shared" si="142"/>
        <v>-1.7252682321451118</v>
      </c>
      <c r="N182">
        <f t="shared" si="143"/>
        <v>2.9765504728491194</v>
      </c>
    </row>
    <row r="183" spans="1:14" x14ac:dyDescent="0.45">
      <c r="A183" s="22">
        <v>42608</v>
      </c>
      <c r="B183">
        <v>112.61</v>
      </c>
      <c r="C183">
        <v>111.36</v>
      </c>
      <c r="G183">
        <f t="shared" ref="G183:K183" si="195">SUMPRODUCT($B183:$B187,P$2:P$6)</f>
        <v>55.59982914021019</v>
      </c>
      <c r="H183">
        <f t="shared" si="195"/>
        <v>70.371085604790025</v>
      </c>
      <c r="I183">
        <f t="shared" si="195"/>
        <v>67.856710152698426</v>
      </c>
      <c r="J183">
        <f t="shared" si="195"/>
        <v>60.460883610398668</v>
      </c>
      <c r="K183">
        <f t="shared" si="195"/>
        <v>51.273072152508966</v>
      </c>
      <c r="L183">
        <f t="shared" si="141"/>
        <v>112.76667612456991</v>
      </c>
      <c r="M183">
        <f t="shared" si="142"/>
        <v>-1.0666761245699092</v>
      </c>
      <c r="N183">
        <f t="shared" si="143"/>
        <v>1.1377979547274806</v>
      </c>
    </row>
    <row r="184" spans="1:14" x14ac:dyDescent="0.45">
      <c r="A184" s="22">
        <v>42607</v>
      </c>
      <c r="B184">
        <v>111.39</v>
      </c>
      <c r="C184">
        <v>112.25</v>
      </c>
      <c r="G184">
        <f t="shared" ref="G184:K184" si="196">SUMPRODUCT($B184:$B188,P$2:P$6)</f>
        <v>55.012511585350452</v>
      </c>
      <c r="H184">
        <f t="shared" si="196"/>
        <v>69.62896654176474</v>
      </c>
      <c r="I184">
        <f t="shared" si="196"/>
        <v>67.142087419090672</v>
      </c>
      <c r="J184">
        <f t="shared" si="196"/>
        <v>59.823223396727876</v>
      </c>
      <c r="K184">
        <f t="shared" si="196"/>
        <v>50.731721561236327</v>
      </c>
      <c r="L184">
        <f t="shared" si="141"/>
        <v>111.57925524488583</v>
      </c>
      <c r="M184">
        <f t="shared" si="142"/>
        <v>1.0307447551141706</v>
      </c>
      <c r="N184">
        <f t="shared" si="143"/>
        <v>1.0624347501953715</v>
      </c>
    </row>
    <row r="185" spans="1:14" x14ac:dyDescent="0.45">
      <c r="A185" s="22">
        <v>42606</v>
      </c>
      <c r="B185">
        <v>113.6</v>
      </c>
      <c r="C185">
        <v>111.89</v>
      </c>
      <c r="G185">
        <f t="shared" ref="G185:K185" si="197">SUMPRODUCT($B185:$B189,P$2:P$6)</f>
        <v>56.088464133320812</v>
      </c>
      <c r="H185">
        <f t="shared" si="197"/>
        <v>70.989521604417646</v>
      </c>
      <c r="I185">
        <f t="shared" si="197"/>
        <v>68.453038518662694</v>
      </c>
      <c r="J185">
        <f t="shared" si="197"/>
        <v>60.992228732758775</v>
      </c>
      <c r="K185">
        <f t="shared" si="197"/>
        <v>51.723678270317215</v>
      </c>
      <c r="L185">
        <f t="shared" si="141"/>
        <v>113.7561125185161</v>
      </c>
      <c r="M185">
        <f t="shared" si="142"/>
        <v>-2.366112518516104</v>
      </c>
      <c r="N185">
        <f t="shared" si="143"/>
        <v>5.5984884502786212</v>
      </c>
    </row>
    <row r="186" spans="1:14" x14ac:dyDescent="0.45">
      <c r="A186" s="22">
        <v>42605</v>
      </c>
      <c r="B186">
        <v>114</v>
      </c>
      <c r="C186">
        <v>113.6</v>
      </c>
      <c r="G186">
        <f t="shared" ref="G186:K186" si="198">SUMPRODUCT($B186:$B190,P$2:P$6)</f>
        <v>56.287872314971906</v>
      </c>
      <c r="H186">
        <f t="shared" si="198"/>
        <v>71.242064140660887</v>
      </c>
      <c r="I186">
        <f t="shared" si="198"/>
        <v>68.696682071461566</v>
      </c>
      <c r="J186">
        <f t="shared" si="198"/>
        <v>61.209199314205065</v>
      </c>
      <c r="K186">
        <f t="shared" si="198"/>
        <v>51.907602442417428</v>
      </c>
      <c r="L186">
        <f t="shared" si="141"/>
        <v>114.16014068518409</v>
      </c>
      <c r="M186">
        <f t="shared" si="142"/>
        <v>-0.56014068518409488</v>
      </c>
      <c r="N186">
        <f t="shared" si="143"/>
        <v>0.31375758719850727</v>
      </c>
    </row>
    <row r="187" spans="1:14" x14ac:dyDescent="0.45">
      <c r="A187" s="22">
        <v>42604</v>
      </c>
      <c r="B187">
        <v>114.77</v>
      </c>
      <c r="C187">
        <v>113.99</v>
      </c>
      <c r="G187">
        <f t="shared" ref="G187:K187" si="199">SUMPRODUCT($B187:$B191,P$2:P$6)</f>
        <v>56.665428872536864</v>
      </c>
      <c r="H187">
        <f t="shared" si="199"/>
        <v>71.719711206094701</v>
      </c>
      <c r="I187">
        <f t="shared" si="199"/>
        <v>69.157091985170425</v>
      </c>
      <c r="J187">
        <f t="shared" si="199"/>
        <v>61.619589651567956</v>
      </c>
      <c r="K187">
        <f t="shared" si="199"/>
        <v>52.255731586722462</v>
      </c>
      <c r="L187">
        <f t="shared" si="141"/>
        <v>114.92434581523769</v>
      </c>
      <c r="M187">
        <f t="shared" si="142"/>
        <v>-0.924345815237686</v>
      </c>
      <c r="N187">
        <f t="shared" si="143"/>
        <v>0.85441518614742229</v>
      </c>
    </row>
    <row r="188" spans="1:14" x14ac:dyDescent="0.45">
      <c r="A188" s="22">
        <v>42601</v>
      </c>
      <c r="B188">
        <v>114.98</v>
      </c>
      <c r="C188">
        <v>115</v>
      </c>
      <c r="G188">
        <f t="shared" ref="G188:K188" si="200">SUMPRODUCT($B188:$B192,P$2:P$6)</f>
        <v>56.773744319763658</v>
      </c>
      <c r="H188">
        <f t="shared" si="200"/>
        <v>71.857184143142291</v>
      </c>
      <c r="I188">
        <f t="shared" si="200"/>
        <v>69.289954469936262</v>
      </c>
      <c r="J188">
        <f t="shared" si="200"/>
        <v>61.737685848572674</v>
      </c>
      <c r="K188">
        <f t="shared" si="200"/>
        <v>52.355699952690919</v>
      </c>
      <c r="L188">
        <f t="shared" si="141"/>
        <v>115.14425465801121</v>
      </c>
      <c r="M188">
        <f t="shared" si="142"/>
        <v>-0.37425465801121049</v>
      </c>
      <c r="N188">
        <f t="shared" si="143"/>
        <v>0.14006654904308813</v>
      </c>
    </row>
    <row r="189" spans="1:14" x14ac:dyDescent="0.45">
      <c r="A189" s="22">
        <v>42600</v>
      </c>
      <c r="B189">
        <v>115.64</v>
      </c>
      <c r="C189">
        <v>115.44</v>
      </c>
      <c r="G189">
        <f t="shared" ref="G189:K189" si="201">SUMPRODUCT($B189:$B193,P$2:P$6)</f>
        <v>57.092272891379707</v>
      </c>
      <c r="H189">
        <f t="shared" si="201"/>
        <v>72.259735667918221</v>
      </c>
      <c r="I189">
        <f t="shared" si="201"/>
        <v>69.677644746615229</v>
      </c>
      <c r="J189">
        <f t="shared" si="201"/>
        <v>62.083574216551781</v>
      </c>
      <c r="K189">
        <f t="shared" si="201"/>
        <v>52.64931330367903</v>
      </c>
      <c r="L189">
        <f t="shared" si="141"/>
        <v>115.78834862322154</v>
      </c>
      <c r="M189">
        <f t="shared" si="142"/>
        <v>-0.80834862322153356</v>
      </c>
      <c r="N189">
        <f t="shared" si="143"/>
        <v>0.65342749666414879</v>
      </c>
    </row>
    <row r="190" spans="1:14" x14ac:dyDescent="0.45">
      <c r="A190" s="22">
        <v>42599</v>
      </c>
      <c r="B190">
        <v>116.07</v>
      </c>
      <c r="C190">
        <v>115.42</v>
      </c>
      <c r="G190">
        <f t="shared" ref="G190:K190" si="202">SUMPRODUCT($B190:$B194,P$2:P$6)</f>
        <v>57.285790218233494</v>
      </c>
      <c r="H190">
        <f t="shared" si="202"/>
        <v>72.503118606287728</v>
      </c>
      <c r="I190">
        <f t="shared" si="202"/>
        <v>69.911107855013825</v>
      </c>
      <c r="J190">
        <f t="shared" si="202"/>
        <v>62.292751922547964</v>
      </c>
      <c r="K190">
        <f t="shared" si="202"/>
        <v>52.827439593867922</v>
      </c>
      <c r="L190">
        <f t="shared" si="141"/>
        <v>116.17787387528328</v>
      </c>
      <c r="M190">
        <f t="shared" si="142"/>
        <v>-0.53787387528328168</v>
      </c>
      <c r="N190">
        <f t="shared" si="143"/>
        <v>0.28930830571225524</v>
      </c>
    </row>
    <row r="191" spans="1:14" x14ac:dyDescent="0.45">
      <c r="A191" s="22">
        <v>42598</v>
      </c>
      <c r="B191">
        <v>116.9</v>
      </c>
      <c r="C191">
        <v>116.28</v>
      </c>
      <c r="G191">
        <f t="shared" ref="G191:K191" si="203">SUMPRODUCT($B191:$B195,P$2:P$6)</f>
        <v>57.691686322487897</v>
      </c>
      <c r="H191">
        <f t="shared" si="203"/>
        <v>73.016534096514491</v>
      </c>
      <c r="I191">
        <f t="shared" si="203"/>
        <v>70.405922876033998</v>
      </c>
      <c r="J191">
        <f t="shared" si="203"/>
        <v>62.733875861727519</v>
      </c>
      <c r="K191">
        <f t="shared" si="203"/>
        <v>53.201683983912169</v>
      </c>
      <c r="L191">
        <f t="shared" si="141"/>
        <v>116.99931114063547</v>
      </c>
      <c r="M191">
        <f t="shared" si="142"/>
        <v>-0.92931114063547682</v>
      </c>
      <c r="N191">
        <f t="shared" si="143"/>
        <v>0.86361919610921101</v>
      </c>
    </row>
    <row r="192" spans="1:14" x14ac:dyDescent="0.45">
      <c r="A192" s="22">
        <v>42597</v>
      </c>
      <c r="B192">
        <v>116.59</v>
      </c>
      <c r="C192">
        <v>116.9</v>
      </c>
      <c r="G192">
        <f t="shared" ref="G192:K192" si="204">SUMPRODUCT($B192:$B196,P$2:P$6)</f>
        <v>57.538205673542556</v>
      </c>
      <c r="H192">
        <f t="shared" si="204"/>
        <v>72.822244172665521</v>
      </c>
      <c r="I192">
        <f t="shared" si="204"/>
        <v>70.218547923316393</v>
      </c>
      <c r="J192">
        <f t="shared" si="204"/>
        <v>62.566947915078238</v>
      </c>
      <c r="K192">
        <f t="shared" si="204"/>
        <v>53.060139748996079</v>
      </c>
      <c r="L192">
        <f t="shared" si="141"/>
        <v>116.68846975268954</v>
      </c>
      <c r="M192">
        <f t="shared" si="142"/>
        <v>0.21153024731046344</v>
      </c>
      <c r="N192">
        <f t="shared" si="143"/>
        <v>4.4745045527225823E-2</v>
      </c>
    </row>
    <row r="193" spans="1:14" x14ac:dyDescent="0.45">
      <c r="A193" s="22">
        <v>42594</v>
      </c>
      <c r="B193">
        <v>114.52</v>
      </c>
      <c r="C193">
        <v>116.08</v>
      </c>
      <c r="G193">
        <f t="shared" ref="G193:K193" si="205">SUMPRODUCT($B193:$B197,P$2:P$6)</f>
        <v>56.528963967840646</v>
      </c>
      <c r="H193">
        <f t="shared" si="205"/>
        <v>71.545923855259957</v>
      </c>
      <c r="I193">
        <f t="shared" si="205"/>
        <v>68.988664879833365</v>
      </c>
      <c r="J193">
        <f t="shared" si="205"/>
        <v>61.470324382481529</v>
      </c>
      <c r="K193">
        <f t="shared" si="205"/>
        <v>52.129659560337117</v>
      </c>
      <c r="L193">
        <f t="shared" si="141"/>
        <v>114.64639761836449</v>
      </c>
      <c r="M193">
        <f t="shared" si="142"/>
        <v>1.9436023816355146</v>
      </c>
      <c r="N193">
        <f t="shared" si="143"/>
        <v>3.7775902178992444</v>
      </c>
    </row>
    <row r="194" spans="1:14" x14ac:dyDescent="0.45">
      <c r="A194" s="22">
        <v>42593</v>
      </c>
      <c r="B194">
        <v>114.84</v>
      </c>
      <c r="C194">
        <v>114.8</v>
      </c>
      <c r="G194">
        <f t="shared" ref="G194:K194" si="206">SUMPRODUCT($B194:$B198,P$2:P$6)</f>
        <v>56.67920515926285</v>
      </c>
      <c r="H194">
        <f t="shared" si="206"/>
        <v>71.73544190776316</v>
      </c>
      <c r="I194">
        <f t="shared" si="206"/>
        <v>69.170906270504162</v>
      </c>
      <c r="J194">
        <f t="shared" si="206"/>
        <v>61.633180875875254</v>
      </c>
      <c r="K194">
        <f t="shared" si="206"/>
        <v>52.268072184624032</v>
      </c>
      <c r="L194">
        <f t="shared" si="141"/>
        <v>114.94966326082988</v>
      </c>
      <c r="M194">
        <f t="shared" si="142"/>
        <v>-0.4296632608298836</v>
      </c>
      <c r="N194">
        <f t="shared" si="143"/>
        <v>0.1846105177069686</v>
      </c>
    </row>
    <row r="195" spans="1:14" x14ac:dyDescent="0.45">
      <c r="A195" s="22">
        <v>42592</v>
      </c>
      <c r="B195">
        <v>114.47</v>
      </c>
      <c r="C195">
        <v>114.38</v>
      </c>
      <c r="G195">
        <f t="shared" ref="G195:K195" si="207">SUMPRODUCT($B195:$B199,P$2:P$6)</f>
        <v>56.506978619073962</v>
      </c>
      <c r="H195">
        <f t="shared" si="207"/>
        <v>71.518324148708459</v>
      </c>
      <c r="I195">
        <f t="shared" si="207"/>
        <v>68.962226435075976</v>
      </c>
      <c r="J195">
        <f t="shared" si="207"/>
        <v>61.446600091775288</v>
      </c>
      <c r="K195">
        <f t="shared" si="207"/>
        <v>52.109435516179957</v>
      </c>
      <c r="L195">
        <f t="shared" ref="L195:L247" si="208">(G195+$P$7)*$U$2+(H195+$Q$7)*$U$3+(I195+$R$7)*$U$4+(J195+$S$7)*$U$5+(K195+$T$7)*$U$6+$U$7</f>
        <v>114.60221916508247</v>
      </c>
      <c r="M195">
        <f t="shared" ref="M195:M247" si="209">B194-L195</f>
        <v>0.23778083491752966</v>
      </c>
      <c r="N195">
        <f t="shared" ref="N195:N247" si="210">M195^2</f>
        <v>5.653972545407749E-2</v>
      </c>
    </row>
    <row r="196" spans="1:14" x14ac:dyDescent="0.45">
      <c r="A196" s="22">
        <v>42591</v>
      </c>
      <c r="B196">
        <v>114.08</v>
      </c>
      <c r="C196">
        <v>113.78</v>
      </c>
      <c r="G196">
        <f t="shared" ref="G196:K196" si="211">SUMPRODUCT($B196:$B200,P$2:P$6)</f>
        <v>56.296610348161941</v>
      </c>
      <c r="H196">
        <f t="shared" si="211"/>
        <v>71.25059661043592</v>
      </c>
      <c r="I196">
        <f t="shared" si="211"/>
        <v>68.702906420120584</v>
      </c>
      <c r="J196">
        <f t="shared" si="211"/>
        <v>61.216643122490943</v>
      </c>
      <c r="K196">
        <f t="shared" si="211"/>
        <v>51.915120143786645</v>
      </c>
      <c r="L196">
        <f t="shared" si="208"/>
        <v>114.17401508838651</v>
      </c>
      <c r="M196">
        <f t="shared" si="209"/>
        <v>0.29598491161348761</v>
      </c>
      <c r="N196">
        <f t="shared" si="210"/>
        <v>8.7607067902844074E-2</v>
      </c>
    </row>
    <row r="197" spans="1:14" x14ac:dyDescent="0.45">
      <c r="A197" s="22">
        <v>42590</v>
      </c>
      <c r="B197">
        <v>113.37</v>
      </c>
      <c r="C197">
        <v>114.09</v>
      </c>
      <c r="G197">
        <f t="shared" ref="G197:K197" si="212">SUMPRODUCT($B197:$B201,P$2:P$6)</f>
        <v>55.964049335593259</v>
      </c>
      <c r="H197">
        <f t="shared" si="212"/>
        <v>70.831161804860429</v>
      </c>
      <c r="I197">
        <f t="shared" si="212"/>
        <v>68.299628748003769</v>
      </c>
      <c r="J197">
        <f t="shared" si="212"/>
        <v>60.856209321077273</v>
      </c>
      <c r="K197">
        <f t="shared" si="212"/>
        <v>51.608755112345186</v>
      </c>
      <c r="L197">
        <f t="shared" si="208"/>
        <v>113.50283108589582</v>
      </c>
      <c r="M197">
        <f t="shared" si="209"/>
        <v>0.57716891410417759</v>
      </c>
      <c r="N197">
        <f t="shared" si="210"/>
        <v>0.3331239554081955</v>
      </c>
    </row>
    <row r="198" spans="1:14" x14ac:dyDescent="0.45">
      <c r="A198" s="22">
        <v>42587</v>
      </c>
      <c r="B198">
        <v>114.39</v>
      </c>
      <c r="C198">
        <v>113.23</v>
      </c>
      <c r="G198">
        <f t="shared" ref="G198:K198" si="213">SUMPRODUCT($B198:$B202,P$2:P$6)</f>
        <v>56.482265043671752</v>
      </c>
      <c r="H198">
        <f t="shared" si="213"/>
        <v>71.48825772907341</v>
      </c>
      <c r="I198">
        <f t="shared" si="213"/>
        <v>68.934197614711351</v>
      </c>
      <c r="J198">
        <f t="shared" si="213"/>
        <v>61.420710825116657</v>
      </c>
      <c r="K198">
        <f t="shared" si="213"/>
        <v>52.086902754888975</v>
      </c>
      <c r="L198">
        <f t="shared" si="208"/>
        <v>114.55400804714461</v>
      </c>
      <c r="M198">
        <f t="shared" si="209"/>
        <v>-1.1840080471446015</v>
      </c>
      <c r="N198">
        <f t="shared" si="210"/>
        <v>1.4018750557031729</v>
      </c>
    </row>
    <row r="199" spans="1:14" x14ac:dyDescent="0.45">
      <c r="A199" s="22">
        <v>42586</v>
      </c>
      <c r="B199">
        <v>111.62</v>
      </c>
      <c r="C199">
        <v>113.51</v>
      </c>
      <c r="G199">
        <f t="shared" ref="G199:K199" si="214">SUMPRODUCT($B199:$B203,P$2:P$6)</f>
        <v>55.139699999936859</v>
      </c>
      <c r="H199">
        <f t="shared" si="214"/>
        <v>69.791066980499536</v>
      </c>
      <c r="I199">
        <f t="shared" si="214"/>
        <v>67.299284186092322</v>
      </c>
      <c r="J199">
        <f t="shared" si="214"/>
        <v>59.962445791097913</v>
      </c>
      <c r="K199">
        <f t="shared" si="214"/>
        <v>50.849252807663305</v>
      </c>
      <c r="L199">
        <f t="shared" si="208"/>
        <v>111.83850006659139</v>
      </c>
      <c r="M199">
        <f t="shared" si="209"/>
        <v>2.551499933408607</v>
      </c>
      <c r="N199">
        <f t="shared" si="210"/>
        <v>6.5101519101841259</v>
      </c>
    </row>
    <row r="200" spans="1:14" x14ac:dyDescent="0.45">
      <c r="A200" s="22">
        <v>42585</v>
      </c>
      <c r="B200">
        <v>113.3</v>
      </c>
      <c r="C200">
        <v>112.56</v>
      </c>
      <c r="G200">
        <f t="shared" ref="G200:K200" si="215">SUMPRODUCT($B200:$B204,P$2:P$6)</f>
        <v>55.933326612435799</v>
      </c>
      <c r="H200">
        <f t="shared" si="215"/>
        <v>70.792582874702006</v>
      </c>
      <c r="I200">
        <f t="shared" si="215"/>
        <v>68.262681153016246</v>
      </c>
      <c r="J200">
        <f t="shared" si="215"/>
        <v>60.823054353701679</v>
      </c>
      <c r="K200">
        <f t="shared" si="215"/>
        <v>51.580484564693549</v>
      </c>
      <c r="L200">
        <f t="shared" si="208"/>
        <v>113.44108655245253</v>
      </c>
      <c r="M200">
        <f t="shared" si="209"/>
        <v>-1.8210865524525275</v>
      </c>
      <c r="N200">
        <f t="shared" si="210"/>
        <v>3.3163562315234323</v>
      </c>
    </row>
    <row r="201" spans="1:14" x14ac:dyDescent="0.45">
      <c r="A201" s="22">
        <v>42584</v>
      </c>
      <c r="B201">
        <v>116.28</v>
      </c>
      <c r="C201">
        <v>113.55</v>
      </c>
      <c r="G201">
        <f t="shared" ref="G201:K201" si="216">SUMPRODUCT($B201:$B205,P$2:P$6)</f>
        <v>57.410604701128527</v>
      </c>
      <c r="H201">
        <f t="shared" si="216"/>
        <v>72.662833181688384</v>
      </c>
      <c r="I201">
        <f t="shared" si="216"/>
        <v>70.066490024186351</v>
      </c>
      <c r="J201">
        <f t="shared" si="216"/>
        <v>62.429893148137282</v>
      </c>
      <c r="K201">
        <f t="shared" si="216"/>
        <v>52.942915158308729</v>
      </c>
      <c r="L201">
        <f t="shared" si="208"/>
        <v>116.43324403459111</v>
      </c>
      <c r="M201">
        <f t="shared" si="209"/>
        <v>-3.1332440345911152</v>
      </c>
      <c r="N201">
        <f t="shared" si="210"/>
        <v>9.8172181803008094</v>
      </c>
    </row>
    <row r="202" spans="1:14" x14ac:dyDescent="0.45">
      <c r="A202" s="22">
        <v>42583</v>
      </c>
      <c r="B202">
        <v>116.82</v>
      </c>
      <c r="C202">
        <v>117.37</v>
      </c>
      <c r="G202">
        <f t="shared" ref="G202:K202" si="217">SUMPRODUCT($B202:$B206,P$2:P$6)</f>
        <v>57.674698752104177</v>
      </c>
      <c r="H202">
        <f t="shared" si="217"/>
        <v>72.996880807562931</v>
      </c>
      <c r="I202">
        <f t="shared" si="217"/>
        <v>70.388439609728252</v>
      </c>
      <c r="J202">
        <f t="shared" si="217"/>
        <v>62.716906307439245</v>
      </c>
      <c r="K202">
        <f t="shared" si="217"/>
        <v>53.186411398890712</v>
      </c>
      <c r="L202">
        <f t="shared" si="208"/>
        <v>116.96770491695278</v>
      </c>
      <c r="M202">
        <f t="shared" si="209"/>
        <v>-0.68770491695278224</v>
      </c>
      <c r="N202">
        <f t="shared" si="210"/>
        <v>0.47293805280103313</v>
      </c>
    </row>
    <row r="203" spans="1:14" x14ac:dyDescent="0.45">
      <c r="A203" s="22">
        <v>42580</v>
      </c>
      <c r="B203">
        <v>113.74</v>
      </c>
      <c r="C203">
        <v>116.65</v>
      </c>
      <c r="G203">
        <f t="shared" ref="G203:K203" si="218">SUMPRODUCT($B203:$B207,P$2:P$6)</f>
        <v>56.179104942657624</v>
      </c>
      <c r="H203">
        <f t="shared" si="218"/>
        <v>71.106006725276941</v>
      </c>
      <c r="I203">
        <f t="shared" si="218"/>
        <v>68.566763979327376</v>
      </c>
      <c r="J203">
        <f t="shared" si="218"/>
        <v>61.092234115990799</v>
      </c>
      <c r="K203">
        <f t="shared" si="218"/>
        <v>51.807641313605401</v>
      </c>
      <c r="L203">
        <f t="shared" si="208"/>
        <v>113.94232353362003</v>
      </c>
      <c r="M203">
        <f t="shared" si="209"/>
        <v>2.8776764663799668</v>
      </c>
      <c r="N203">
        <f t="shared" si="210"/>
        <v>8.2810218451570918</v>
      </c>
    </row>
    <row r="204" spans="1:14" x14ac:dyDescent="0.45">
      <c r="A204" s="22">
        <v>42579</v>
      </c>
      <c r="B204">
        <v>117.55</v>
      </c>
      <c r="C204">
        <v>119.27</v>
      </c>
      <c r="G204">
        <f t="shared" ref="G204:K204" si="219">SUMPRODUCT($B204:$B208,P$2:P$6)</f>
        <v>58.02275975140396</v>
      </c>
      <c r="H204">
        <f t="shared" si="219"/>
        <v>73.436393688798873</v>
      </c>
      <c r="I204">
        <f t="shared" si="219"/>
        <v>70.81144283793914</v>
      </c>
      <c r="J204">
        <f t="shared" si="219"/>
        <v>63.094572163948648</v>
      </c>
      <c r="K204">
        <f t="shared" si="219"/>
        <v>53.507169009822306</v>
      </c>
      <c r="L204">
        <f t="shared" si="208"/>
        <v>117.67097200857818</v>
      </c>
      <c r="M204">
        <f t="shared" si="209"/>
        <v>-3.9309720085781805</v>
      </c>
      <c r="N204">
        <f t="shared" si="210"/>
        <v>15.452540932225174</v>
      </c>
    </row>
    <row r="205" spans="1:14" x14ac:dyDescent="0.45">
      <c r="A205" s="22">
        <v>42578</v>
      </c>
      <c r="B205">
        <v>117.76</v>
      </c>
      <c r="C205">
        <v>117.2</v>
      </c>
      <c r="G205">
        <f t="shared" ref="G205:K205" si="220">SUMPRODUCT($B205:$B209,P$2:P$6)</f>
        <v>58.121099575234808</v>
      </c>
      <c r="H205">
        <f t="shared" si="220"/>
        <v>73.560420544478461</v>
      </c>
      <c r="I205">
        <f t="shared" si="220"/>
        <v>70.930689526147361</v>
      </c>
      <c r="J205">
        <f t="shared" si="220"/>
        <v>63.201151594761825</v>
      </c>
      <c r="K205">
        <f t="shared" si="220"/>
        <v>53.597762325523831</v>
      </c>
      <c r="L205">
        <f t="shared" si="208"/>
        <v>117.86944058757339</v>
      </c>
      <c r="M205">
        <f t="shared" si="209"/>
        <v>-0.31944058757339633</v>
      </c>
      <c r="N205">
        <f t="shared" si="210"/>
        <v>0.10204228898923669</v>
      </c>
    </row>
    <row r="206" spans="1:14" x14ac:dyDescent="0.45">
      <c r="A206" s="22">
        <v>42577</v>
      </c>
      <c r="B206">
        <v>117.99</v>
      </c>
      <c r="C206">
        <v>117.64</v>
      </c>
      <c r="G206">
        <f t="shared" ref="G206:K206" si="221">SUMPRODUCT($B206:$B210,P$2:P$6)</f>
        <v>58.238310393907348</v>
      </c>
      <c r="H206">
        <f t="shared" si="221"/>
        <v>73.709074901845241</v>
      </c>
      <c r="I206">
        <f t="shared" si="221"/>
        <v>71.074269646189123</v>
      </c>
      <c r="J206">
        <f t="shared" si="221"/>
        <v>63.328856048565783</v>
      </c>
      <c r="K206">
        <f t="shared" si="221"/>
        <v>53.705918407698903</v>
      </c>
      <c r="L206">
        <f t="shared" si="208"/>
        <v>118.10724370000064</v>
      </c>
      <c r="M206">
        <f t="shared" si="209"/>
        <v>-0.34724370000063232</v>
      </c>
      <c r="N206">
        <f t="shared" si="210"/>
        <v>0.12057818719012914</v>
      </c>
    </row>
    <row r="207" spans="1:14" x14ac:dyDescent="0.45">
      <c r="A207" s="22">
        <v>42576</v>
      </c>
      <c r="B207">
        <v>116.85</v>
      </c>
      <c r="C207">
        <v>117.61</v>
      </c>
      <c r="G207">
        <f t="shared" ref="G207:K207" si="222">SUMPRODUCT($B207:$B211,P$2:P$6)</f>
        <v>57.678031442527889</v>
      </c>
      <c r="H207">
        <f t="shared" si="222"/>
        <v>73.000156307495672</v>
      </c>
      <c r="I207">
        <f t="shared" si="222"/>
        <v>70.390849942473125</v>
      </c>
      <c r="J207">
        <f t="shared" si="222"/>
        <v>62.719765061393886</v>
      </c>
      <c r="K207">
        <f t="shared" si="222"/>
        <v>53.189284274622885</v>
      </c>
      <c r="L207">
        <f t="shared" si="208"/>
        <v>116.97302949026776</v>
      </c>
      <c r="M207">
        <f t="shared" si="209"/>
        <v>1.0169705097322321</v>
      </c>
      <c r="N207">
        <f t="shared" si="210"/>
        <v>1.0342290176650359</v>
      </c>
    </row>
    <row r="208" spans="1:14" x14ac:dyDescent="0.45">
      <c r="A208" s="22">
        <v>42573</v>
      </c>
      <c r="B208">
        <v>116.35</v>
      </c>
      <c r="C208">
        <v>117.2</v>
      </c>
      <c r="G208">
        <f t="shared" ref="G208:K208" si="223">SUMPRODUCT($B208:$B212,P$2:P$6)</f>
        <v>57.423184881352071</v>
      </c>
      <c r="H208">
        <f t="shared" si="223"/>
        <v>72.676946309658419</v>
      </c>
      <c r="I208">
        <f t="shared" si="223"/>
        <v>70.078668803642827</v>
      </c>
      <c r="J208">
        <f t="shared" si="223"/>
        <v>62.442102519832623</v>
      </c>
      <c r="K208">
        <f t="shared" si="223"/>
        <v>52.954128156284867</v>
      </c>
      <c r="L208">
        <f t="shared" si="208"/>
        <v>116.4559858863303</v>
      </c>
      <c r="M208">
        <f t="shared" si="209"/>
        <v>0.39401411366969796</v>
      </c>
      <c r="N208">
        <f t="shared" si="210"/>
        <v>0.15524712177091768</v>
      </c>
    </row>
    <row r="209" spans="1:14" x14ac:dyDescent="0.45">
      <c r="A209" s="22">
        <v>42572</v>
      </c>
      <c r="B209">
        <v>117.07</v>
      </c>
      <c r="C209">
        <v>116.58</v>
      </c>
      <c r="G209">
        <f t="shared" ref="G209:K209" si="224">SUMPRODUCT($B209:$B213,P$2:P$6)</f>
        <v>57.773205519011078</v>
      </c>
      <c r="H209">
        <f t="shared" si="224"/>
        <v>73.119512390185605</v>
      </c>
      <c r="I209">
        <f t="shared" si="224"/>
        <v>70.505064416195765</v>
      </c>
      <c r="J209">
        <f t="shared" si="224"/>
        <v>62.822360546984569</v>
      </c>
      <c r="K209">
        <f t="shared" si="224"/>
        <v>53.276817057281875</v>
      </c>
      <c r="L209">
        <f t="shared" si="208"/>
        <v>117.16408318711153</v>
      </c>
      <c r="M209">
        <f t="shared" si="209"/>
        <v>-0.81408318711153527</v>
      </c>
      <c r="N209">
        <f t="shared" si="210"/>
        <v>0.662731435537675</v>
      </c>
    </row>
    <row r="210" spans="1:14" x14ac:dyDescent="0.45">
      <c r="A210" s="22">
        <v>42571</v>
      </c>
      <c r="B210">
        <v>116.26</v>
      </c>
      <c r="C210">
        <v>117.19</v>
      </c>
      <c r="G210">
        <f t="shared" ref="G210:K210" si="225">SUMPRODUCT($B210:$B214,P$2:P$6)</f>
        <v>57.377104549802972</v>
      </c>
      <c r="H210">
        <f t="shared" si="225"/>
        <v>72.618491500551855</v>
      </c>
      <c r="I210">
        <f t="shared" si="225"/>
        <v>70.022194940771698</v>
      </c>
      <c r="J210">
        <f t="shared" si="225"/>
        <v>62.391882985942104</v>
      </c>
      <c r="K210">
        <f t="shared" si="225"/>
        <v>52.911606219614271</v>
      </c>
      <c r="L210">
        <f t="shared" si="208"/>
        <v>116.36247394822618</v>
      </c>
      <c r="M210">
        <f t="shared" si="209"/>
        <v>0.70752605177381156</v>
      </c>
      <c r="N210">
        <f t="shared" si="210"/>
        <v>0.50059311393863826</v>
      </c>
    </row>
    <row r="211" spans="1:14" x14ac:dyDescent="0.45">
      <c r="A211" s="22">
        <v>42570</v>
      </c>
      <c r="B211">
        <v>114.69</v>
      </c>
      <c r="C211">
        <v>116.13</v>
      </c>
      <c r="G211">
        <f t="shared" ref="G211:K211" si="226">SUMPRODUCT($B211:$B215,P$2:P$6)</f>
        <v>56.620382987314656</v>
      </c>
      <c r="H211">
        <f t="shared" si="226"/>
        <v>71.66224713194292</v>
      </c>
      <c r="I211">
        <f t="shared" si="226"/>
        <v>69.10131894970776</v>
      </c>
      <c r="J211">
        <f t="shared" si="226"/>
        <v>61.570237779688242</v>
      </c>
      <c r="K211">
        <f t="shared" si="226"/>
        <v>52.214097126269813</v>
      </c>
      <c r="L211">
        <f t="shared" si="208"/>
        <v>114.83244754712366</v>
      </c>
      <c r="M211">
        <f t="shared" si="209"/>
        <v>1.4275524528763412</v>
      </c>
      <c r="N211">
        <f t="shared" si="210"/>
        <v>2.0379060057132583</v>
      </c>
    </row>
    <row r="212" spans="1:14" x14ac:dyDescent="0.45">
      <c r="A212" s="22">
        <v>42569</v>
      </c>
      <c r="B212">
        <v>114.69</v>
      </c>
      <c r="C212">
        <v>115.53</v>
      </c>
      <c r="G212">
        <f t="shared" ref="G212:K212" si="227">SUMPRODUCT($B212:$B216,P$2:P$6)</f>
        <v>56.606882583874018</v>
      </c>
      <c r="H212">
        <f t="shared" si="227"/>
        <v>71.644049427835867</v>
      </c>
      <c r="I212">
        <f t="shared" si="227"/>
        <v>69.082892869337186</v>
      </c>
      <c r="J212">
        <f t="shared" si="227"/>
        <v>61.554653476738963</v>
      </c>
      <c r="K212">
        <f t="shared" si="227"/>
        <v>52.201409163921326</v>
      </c>
      <c r="L212">
        <f t="shared" si="208"/>
        <v>114.80343219140957</v>
      </c>
      <c r="M212">
        <f t="shared" si="209"/>
        <v>-0.11343219140957217</v>
      </c>
      <c r="N212">
        <f t="shared" si="210"/>
        <v>1.2866862047977818E-2</v>
      </c>
    </row>
    <row r="213" spans="1:14" x14ac:dyDescent="0.45">
      <c r="A213" s="22">
        <v>42566</v>
      </c>
      <c r="B213">
        <v>114.38</v>
      </c>
      <c r="C213">
        <v>114.62</v>
      </c>
      <c r="G213">
        <f t="shared" ref="G213:K213" si="228">SUMPRODUCT($B213:$B217,P$2:P$6)</f>
        <v>56.445525545040709</v>
      </c>
      <c r="H213">
        <f t="shared" si="228"/>
        <v>71.439144176591086</v>
      </c>
      <c r="I213">
        <f t="shared" si="228"/>
        <v>68.884767633766813</v>
      </c>
      <c r="J213">
        <f t="shared" si="228"/>
        <v>61.378635423629618</v>
      </c>
      <c r="K213">
        <f t="shared" si="228"/>
        <v>52.052464485264828</v>
      </c>
      <c r="L213">
        <f t="shared" si="208"/>
        <v>114.47566460286936</v>
      </c>
      <c r="M213">
        <f t="shared" si="209"/>
        <v>0.21433539713063965</v>
      </c>
      <c r="N213">
        <f t="shared" si="210"/>
        <v>4.5939662463149011E-2</v>
      </c>
    </row>
    <row r="214" spans="1:14" x14ac:dyDescent="0.45">
      <c r="A214" s="22">
        <v>42565</v>
      </c>
      <c r="B214">
        <v>115.25</v>
      </c>
      <c r="C214">
        <v>115.13</v>
      </c>
      <c r="G214">
        <f t="shared" ref="G214:K214" si="229">SUMPRODUCT($B214:$B218,P$2:P$6)</f>
        <v>56.854066082898328</v>
      </c>
      <c r="H214">
        <f t="shared" si="229"/>
        <v>71.954500639513924</v>
      </c>
      <c r="I214">
        <f t="shared" si="229"/>
        <v>69.380340926071113</v>
      </c>
      <c r="J214">
        <f t="shared" si="229"/>
        <v>61.821489902168928</v>
      </c>
      <c r="K214">
        <f t="shared" si="229"/>
        <v>52.428846277743048</v>
      </c>
      <c r="L214">
        <f t="shared" si="208"/>
        <v>115.30033185404025</v>
      </c>
      <c r="M214">
        <f t="shared" si="209"/>
        <v>-0.9203318540402563</v>
      </c>
      <c r="N214">
        <f t="shared" si="210"/>
        <v>0.84701072156117563</v>
      </c>
    </row>
    <row r="215" spans="1:14" x14ac:dyDescent="0.45">
      <c r="A215" s="22">
        <v>42564</v>
      </c>
      <c r="B215">
        <v>113.45</v>
      </c>
      <c r="C215">
        <v>114.26</v>
      </c>
      <c r="G215">
        <f t="shared" ref="G215:K215" si="230">SUMPRODUCT($B215:$B219,P$2:P$6)</f>
        <v>55.965729136274014</v>
      </c>
      <c r="H215">
        <f t="shared" si="230"/>
        <v>70.830191029157334</v>
      </c>
      <c r="I215">
        <f t="shared" si="230"/>
        <v>68.296228510900903</v>
      </c>
      <c r="J215">
        <f t="shared" si="230"/>
        <v>60.855513053756418</v>
      </c>
      <c r="K215">
        <f t="shared" si="230"/>
        <v>51.60964665593675</v>
      </c>
      <c r="L215">
        <f t="shared" si="208"/>
        <v>113.50154894029963</v>
      </c>
      <c r="M215">
        <f t="shared" si="209"/>
        <v>1.748451059700372</v>
      </c>
      <c r="N215">
        <f t="shared" si="210"/>
        <v>3.0570811081673535</v>
      </c>
    </row>
    <row r="216" spans="1:14" x14ac:dyDescent="0.45">
      <c r="A216" s="22">
        <v>42563</v>
      </c>
      <c r="B216">
        <v>112.03</v>
      </c>
      <c r="C216">
        <v>113.4</v>
      </c>
      <c r="G216">
        <f t="shared" ref="G216:K216" si="231">SUMPRODUCT($B216:$B220,P$2:P$6)</f>
        <v>55.258227888953677</v>
      </c>
      <c r="H216">
        <f t="shared" si="231"/>
        <v>69.934200846781394</v>
      </c>
      <c r="I216">
        <f t="shared" si="231"/>
        <v>67.431835977748648</v>
      </c>
      <c r="J216">
        <f t="shared" si="231"/>
        <v>60.085726327827039</v>
      </c>
      <c r="K216">
        <f t="shared" si="231"/>
        <v>50.957089658608744</v>
      </c>
      <c r="L216">
        <f t="shared" si="208"/>
        <v>112.06810323960076</v>
      </c>
      <c r="M216">
        <f t="shared" si="209"/>
        <v>1.3818967603992434</v>
      </c>
      <c r="N216">
        <f t="shared" si="210"/>
        <v>1.9096386564019239</v>
      </c>
    </row>
    <row r="217" spans="1:14" x14ac:dyDescent="0.45">
      <c r="A217" s="22">
        <v>42562</v>
      </c>
      <c r="B217">
        <v>110.11</v>
      </c>
      <c r="C217">
        <v>111.28</v>
      </c>
      <c r="G217">
        <f t="shared" ref="G217:K217" si="232">SUMPRODUCT($B217:$B221,P$2:P$6)</f>
        <v>54.319581585845768</v>
      </c>
      <c r="H217">
        <f t="shared" si="232"/>
        <v>68.746947747111705</v>
      </c>
      <c r="I217">
        <f t="shared" si="232"/>
        <v>66.287611380185851</v>
      </c>
      <c r="J217">
        <f t="shared" si="232"/>
        <v>59.065636516067435</v>
      </c>
      <c r="K217">
        <f t="shared" si="232"/>
        <v>50.091650655964976</v>
      </c>
      <c r="L217">
        <f t="shared" si="208"/>
        <v>110.16855274003719</v>
      </c>
      <c r="M217">
        <f t="shared" si="209"/>
        <v>1.8614472599628158</v>
      </c>
      <c r="N217">
        <f t="shared" si="210"/>
        <v>3.4649859016230748</v>
      </c>
    </row>
    <row r="218" spans="1:14" x14ac:dyDescent="0.45">
      <c r="A218" s="22">
        <v>42559</v>
      </c>
      <c r="B218">
        <v>108.34</v>
      </c>
      <c r="C218">
        <v>109.43</v>
      </c>
      <c r="G218">
        <f t="shared" ref="G218:K218" si="233">SUMPRODUCT($B218:$B222,P$2:P$6)</f>
        <v>53.470730339982808</v>
      </c>
      <c r="H218">
        <f t="shared" si="233"/>
        <v>67.674643044352322</v>
      </c>
      <c r="I218">
        <f t="shared" si="233"/>
        <v>65.255252879494066</v>
      </c>
      <c r="J218">
        <f t="shared" si="233"/>
        <v>58.144248981743317</v>
      </c>
      <c r="K218">
        <f t="shared" si="233"/>
        <v>49.309298255249736</v>
      </c>
      <c r="L218">
        <f t="shared" si="208"/>
        <v>108.45279217690005</v>
      </c>
      <c r="M218">
        <f t="shared" si="209"/>
        <v>1.6572078230999523</v>
      </c>
      <c r="N218">
        <f t="shared" si="210"/>
        <v>2.746337768943683</v>
      </c>
    </row>
    <row r="219" spans="1:14" x14ac:dyDescent="0.45">
      <c r="A219" s="22">
        <v>42558</v>
      </c>
      <c r="B219">
        <v>106.05</v>
      </c>
      <c r="C219">
        <v>107.57</v>
      </c>
      <c r="G219">
        <f t="shared" ref="G219:K219" si="234">SUMPRODUCT($B219:$B223,P$2:P$6)</f>
        <v>52.350938635066257</v>
      </c>
      <c r="H219">
        <f t="shared" si="234"/>
        <v>66.258241481246031</v>
      </c>
      <c r="I219">
        <f t="shared" si="234"/>
        <v>63.890169497966902</v>
      </c>
      <c r="J219">
        <f t="shared" si="234"/>
        <v>56.927279548527139</v>
      </c>
      <c r="K219">
        <f t="shared" si="234"/>
        <v>48.27683489415071</v>
      </c>
      <c r="L219">
        <f t="shared" si="208"/>
        <v>106.18662002880846</v>
      </c>
      <c r="M219">
        <f t="shared" si="209"/>
        <v>2.1533799711915407</v>
      </c>
      <c r="N219">
        <f t="shared" si="210"/>
        <v>4.6370453003288805</v>
      </c>
    </row>
    <row r="220" spans="1:14" x14ac:dyDescent="0.45">
      <c r="A220" s="22">
        <v>42557</v>
      </c>
      <c r="B220">
        <v>105.35</v>
      </c>
      <c r="C220">
        <v>106.2</v>
      </c>
      <c r="G220">
        <f t="shared" ref="G220:K220" si="235">SUMPRODUCT($B220:$B224,P$2:P$6)</f>
        <v>52.00696095787918</v>
      </c>
      <c r="H220">
        <f t="shared" si="235"/>
        <v>65.82301508350433</v>
      </c>
      <c r="I220">
        <f t="shared" si="235"/>
        <v>63.470600059706413</v>
      </c>
      <c r="J220">
        <f t="shared" si="235"/>
        <v>56.553340720272629</v>
      </c>
      <c r="K220">
        <f t="shared" si="235"/>
        <v>47.959655863876357</v>
      </c>
      <c r="L220">
        <f t="shared" si="208"/>
        <v>105.49029071533259</v>
      </c>
      <c r="M220">
        <f t="shared" si="209"/>
        <v>0.55970928466740588</v>
      </c>
      <c r="N220">
        <f t="shared" si="210"/>
        <v>0.3132744833428992</v>
      </c>
    </row>
    <row r="221" spans="1:14" x14ac:dyDescent="0.45">
      <c r="A221" s="22">
        <v>42556</v>
      </c>
      <c r="B221">
        <v>106.9</v>
      </c>
      <c r="C221">
        <v>105.93</v>
      </c>
      <c r="G221">
        <f t="shared" ref="G221:K221" si="236">SUMPRODUCT($B221:$B225,P$2:P$6)</f>
        <v>52.737454577996303</v>
      </c>
      <c r="H221">
        <f t="shared" si="236"/>
        <v>66.744724311523342</v>
      </c>
      <c r="I221">
        <f t="shared" si="236"/>
        <v>64.357109297741033</v>
      </c>
      <c r="J221">
        <f t="shared" si="236"/>
        <v>57.345373979985766</v>
      </c>
      <c r="K221">
        <f t="shared" si="236"/>
        <v>48.632693724310414</v>
      </c>
      <c r="L221">
        <f t="shared" si="208"/>
        <v>106.96518167497354</v>
      </c>
      <c r="M221">
        <f t="shared" si="209"/>
        <v>-1.6151816749735417</v>
      </c>
      <c r="N221">
        <f t="shared" si="210"/>
        <v>2.6088118431703355</v>
      </c>
    </row>
    <row r="222" spans="1:14" x14ac:dyDescent="0.45">
      <c r="A222" s="22">
        <v>42552</v>
      </c>
      <c r="B222">
        <v>106.03</v>
      </c>
      <c r="C222">
        <v>107.71</v>
      </c>
      <c r="G222">
        <f t="shared" ref="G222:K222" si="237">SUMPRODUCT($B222:$B226,P$2:P$6)</f>
        <v>52.294707997472976</v>
      </c>
      <c r="H222">
        <f t="shared" si="237"/>
        <v>66.183266998195975</v>
      </c>
      <c r="I222">
        <f t="shared" si="237"/>
        <v>63.814852975250318</v>
      </c>
      <c r="J222">
        <f t="shared" si="237"/>
        <v>56.863033396111902</v>
      </c>
      <c r="K222">
        <f t="shared" si="237"/>
        <v>48.224168675567114</v>
      </c>
      <c r="L222">
        <f t="shared" si="208"/>
        <v>106.0670034867468</v>
      </c>
      <c r="M222">
        <f t="shared" si="209"/>
        <v>0.83299651325320667</v>
      </c>
      <c r="N222">
        <f t="shared" si="210"/>
        <v>0.6938831910919997</v>
      </c>
    </row>
    <row r="223" spans="1:14" x14ac:dyDescent="0.45">
      <c r="A223" s="22">
        <v>42551</v>
      </c>
      <c r="B223">
        <v>105.54</v>
      </c>
      <c r="C223">
        <v>106.3</v>
      </c>
      <c r="G223">
        <f t="shared" ref="G223:K223" si="238">SUMPRODUCT($B223:$B227,P$2:P$6)</f>
        <v>52.06182018297924</v>
      </c>
      <c r="H223">
        <f t="shared" si="238"/>
        <v>65.889254176679415</v>
      </c>
      <c r="I223">
        <f t="shared" si="238"/>
        <v>63.53193330549616</v>
      </c>
      <c r="J223">
        <f t="shared" si="238"/>
        <v>56.610388425390852</v>
      </c>
      <c r="K223">
        <f t="shared" si="238"/>
        <v>48.009564606791024</v>
      </c>
      <c r="L223">
        <f t="shared" si="208"/>
        <v>105.59654442258086</v>
      </c>
      <c r="M223">
        <f t="shared" si="209"/>
        <v>0.43345557741913865</v>
      </c>
      <c r="N223">
        <f t="shared" si="210"/>
        <v>0.18788373759575891</v>
      </c>
    </row>
    <row r="224" spans="1:14" x14ac:dyDescent="0.45">
      <c r="A224" s="22">
        <v>42550</v>
      </c>
      <c r="B224">
        <v>102.47</v>
      </c>
      <c r="C224">
        <v>104.18</v>
      </c>
      <c r="G224">
        <f t="shared" ref="G224:K224" si="239">SUMPRODUCT($B224:$B228,P$2:P$6)</f>
        <v>50.584365863372227</v>
      </c>
      <c r="H224">
        <f t="shared" si="239"/>
        <v>64.02242125455048</v>
      </c>
      <c r="I224">
        <f t="shared" si="239"/>
        <v>61.734300796708986</v>
      </c>
      <c r="J224">
        <f t="shared" si="239"/>
        <v>55.006317588049363</v>
      </c>
      <c r="K224">
        <f t="shared" si="239"/>
        <v>46.6477509333087</v>
      </c>
      <c r="L224">
        <f t="shared" si="208"/>
        <v>102.60952898377663</v>
      </c>
      <c r="M224">
        <f t="shared" si="209"/>
        <v>2.9304710162233789</v>
      </c>
      <c r="N224">
        <f t="shared" si="210"/>
        <v>8.5876603769252835</v>
      </c>
    </row>
    <row r="225" spans="1:14" x14ac:dyDescent="0.45">
      <c r="A225" s="22">
        <v>42549</v>
      </c>
      <c r="B225">
        <v>99.83</v>
      </c>
      <c r="C225">
        <v>101.19</v>
      </c>
      <c r="G225">
        <f t="shared" ref="G225:K225" si="240">SUMPRODUCT($B225:$B229,P$2:P$6)</f>
        <v>49.349248222405137</v>
      </c>
      <c r="H225">
        <f t="shared" si="240"/>
        <v>62.464786300644917</v>
      </c>
      <c r="I225">
        <f t="shared" si="240"/>
        <v>60.236772787092399</v>
      </c>
      <c r="J225">
        <f t="shared" si="240"/>
        <v>53.667792120785599</v>
      </c>
      <c r="K225">
        <f t="shared" si="240"/>
        <v>45.509952069401585</v>
      </c>
      <c r="L225">
        <f t="shared" si="208"/>
        <v>100.11697727161217</v>
      </c>
      <c r="M225">
        <f t="shared" si="209"/>
        <v>2.3530227283878276</v>
      </c>
      <c r="N225">
        <f t="shared" si="210"/>
        <v>5.5367159603096958</v>
      </c>
    </row>
    <row r="226" spans="1:14" x14ac:dyDescent="0.45">
      <c r="A226" s="22">
        <v>42548</v>
      </c>
      <c r="B226">
        <v>100.54</v>
      </c>
      <c r="C226">
        <v>98.44</v>
      </c>
      <c r="G226">
        <f t="shared" ref="G226:K226" si="241">SUMPRODUCT($B226:$B230,P$2:P$6)</f>
        <v>49.681667375561737</v>
      </c>
      <c r="H226">
        <f t="shared" si="241"/>
        <v>62.884018909508129</v>
      </c>
      <c r="I226">
        <f t="shared" si="241"/>
        <v>60.639848503802945</v>
      </c>
      <c r="J226">
        <f t="shared" si="241"/>
        <v>54.028057777117269</v>
      </c>
      <c r="K226">
        <f t="shared" si="241"/>
        <v>45.816176964037858</v>
      </c>
      <c r="L226">
        <f t="shared" si="208"/>
        <v>100.78784471118489</v>
      </c>
      <c r="M226">
        <f t="shared" si="209"/>
        <v>-0.95784471118489023</v>
      </c>
      <c r="N226">
        <f t="shared" si="210"/>
        <v>0.91746649074486575</v>
      </c>
    </row>
    <row r="227" spans="1:14" x14ac:dyDescent="0.45">
      <c r="A227" s="22">
        <v>42545</v>
      </c>
      <c r="B227">
        <v>102.54</v>
      </c>
      <c r="C227">
        <v>101.76</v>
      </c>
      <c r="G227">
        <f t="shared" ref="G227:K227" si="242">SUMPRODUCT($B227:$B231,P$2:P$6)</f>
        <v>50.653505303102733</v>
      </c>
      <c r="H227">
        <f t="shared" si="242"/>
        <v>64.112762543057869</v>
      </c>
      <c r="I227">
        <f t="shared" si="242"/>
        <v>61.823668226465237</v>
      </c>
      <c r="J227">
        <f t="shared" si="242"/>
        <v>55.083819551518779</v>
      </c>
      <c r="K227">
        <f t="shared" si="242"/>
        <v>46.712114509082824</v>
      </c>
      <c r="L227">
        <f t="shared" si="208"/>
        <v>102.75382180813912</v>
      </c>
      <c r="M227">
        <f t="shared" si="209"/>
        <v>-2.2138218081391159</v>
      </c>
      <c r="N227">
        <f t="shared" si="210"/>
        <v>4.9010069981923445</v>
      </c>
    </row>
    <row r="228" spans="1:14" x14ac:dyDescent="0.45">
      <c r="A228" s="22">
        <v>42544</v>
      </c>
      <c r="B228">
        <v>108.98</v>
      </c>
      <c r="C228">
        <v>109.9</v>
      </c>
      <c r="G228">
        <f t="shared" ref="G228:K228" si="243">SUMPRODUCT($B228:$B232,P$2:P$6)</f>
        <v>53.77983766364769</v>
      </c>
      <c r="H228">
        <f t="shared" si="243"/>
        <v>68.065305460315983</v>
      </c>
      <c r="I228">
        <f t="shared" si="243"/>
        <v>65.631508937901614</v>
      </c>
      <c r="J228">
        <f t="shared" si="243"/>
        <v>58.479922279867381</v>
      </c>
      <c r="K228">
        <f t="shared" si="243"/>
        <v>49.594230194612685</v>
      </c>
      <c r="L228">
        <f t="shared" si="208"/>
        <v>109.07786286240479</v>
      </c>
      <c r="M228">
        <f t="shared" si="209"/>
        <v>-6.5378628624047792</v>
      </c>
      <c r="N228">
        <f t="shared" si="210"/>
        <v>42.743650807611616</v>
      </c>
    </row>
    <row r="229" spans="1:14" x14ac:dyDescent="0.45">
      <c r="A229" s="22">
        <v>42543</v>
      </c>
      <c r="B229">
        <v>107.28</v>
      </c>
      <c r="C229">
        <v>107.98</v>
      </c>
      <c r="G229">
        <f t="shared" ref="G229:K229" si="244">SUMPRODUCT($B229:$B233,P$2:P$6)</f>
        <v>52.934269462830095</v>
      </c>
      <c r="H229">
        <f t="shared" si="244"/>
        <v>66.994577689364007</v>
      </c>
      <c r="I229">
        <f t="shared" si="244"/>
        <v>64.598634774339999</v>
      </c>
      <c r="J229">
        <f t="shared" si="244"/>
        <v>57.560007976568578</v>
      </c>
      <c r="K229">
        <f t="shared" si="244"/>
        <v>48.814350805424134</v>
      </c>
      <c r="L229">
        <f t="shared" si="208"/>
        <v>107.3648564917073</v>
      </c>
      <c r="M229">
        <f t="shared" si="209"/>
        <v>1.6151435082927037</v>
      </c>
      <c r="N229">
        <f t="shared" si="210"/>
        <v>2.6086885523800629</v>
      </c>
    </row>
    <row r="230" spans="1:14" x14ac:dyDescent="0.45">
      <c r="A230" s="22">
        <v>42542</v>
      </c>
      <c r="B230">
        <v>107.22</v>
      </c>
      <c r="C230">
        <v>107.37</v>
      </c>
      <c r="G230">
        <f t="shared" ref="G230:K230" si="245">SUMPRODUCT($B230:$B234,P$2:P$6)</f>
        <v>52.905699219345173</v>
      </c>
      <c r="H230">
        <f t="shared" si="245"/>
        <v>66.95850596950261</v>
      </c>
      <c r="I230">
        <f t="shared" si="245"/>
        <v>64.563919343306537</v>
      </c>
      <c r="J230">
        <f t="shared" si="245"/>
        <v>57.529010062517138</v>
      </c>
      <c r="K230">
        <f t="shared" si="245"/>
        <v>48.788023786488722</v>
      </c>
      <c r="L230">
        <f t="shared" si="208"/>
        <v>107.30713585347091</v>
      </c>
      <c r="M230">
        <f t="shared" si="209"/>
        <v>-2.713585347090941E-2</v>
      </c>
      <c r="N230">
        <f t="shared" si="210"/>
        <v>7.3635454359466629E-4</v>
      </c>
    </row>
    <row r="231" spans="1:14" x14ac:dyDescent="0.45">
      <c r="A231" s="22">
        <v>42541</v>
      </c>
      <c r="B231">
        <v>106.63</v>
      </c>
      <c r="C231">
        <v>107.19</v>
      </c>
      <c r="G231">
        <f t="shared" ref="G231:K231" si="246">SUMPRODUCT($B231:$B235,P$2:P$6)</f>
        <v>52.628322280988201</v>
      </c>
      <c r="H231">
        <f t="shared" si="246"/>
        <v>66.608586046389988</v>
      </c>
      <c r="I231">
        <f t="shared" si="246"/>
        <v>64.227409322924785</v>
      </c>
      <c r="J231">
        <f t="shared" si="246"/>
        <v>57.228315521316858</v>
      </c>
      <c r="K231">
        <f t="shared" si="246"/>
        <v>48.532478779136653</v>
      </c>
      <c r="L231">
        <f t="shared" si="208"/>
        <v>106.74719691733482</v>
      </c>
      <c r="M231">
        <f t="shared" si="209"/>
        <v>0.47280308266518034</v>
      </c>
      <c r="N231">
        <f t="shared" si="210"/>
        <v>0.22354275497769735</v>
      </c>
    </row>
    <row r="232" spans="1:14" x14ac:dyDescent="0.45">
      <c r="A232" s="22">
        <v>42538</v>
      </c>
      <c r="B232">
        <v>104.08</v>
      </c>
      <c r="C232">
        <v>104.14</v>
      </c>
      <c r="G232">
        <f t="shared" ref="G232:K232" si="247">SUMPRODUCT($B232:$B236,P$2:P$6)</f>
        <v>51.381910686974869</v>
      </c>
      <c r="H232">
        <f t="shared" si="247"/>
        <v>65.032065659135981</v>
      </c>
      <c r="I232">
        <f t="shared" si="247"/>
        <v>62.708042507943702</v>
      </c>
      <c r="J232">
        <f t="shared" si="247"/>
        <v>55.873770750949348</v>
      </c>
      <c r="K232">
        <f t="shared" si="247"/>
        <v>47.383277541383542</v>
      </c>
      <c r="L232">
        <f t="shared" si="208"/>
        <v>104.22483975435823</v>
      </c>
      <c r="M232">
        <f t="shared" si="209"/>
        <v>2.4051602456417669</v>
      </c>
      <c r="N232">
        <f t="shared" si="210"/>
        <v>5.7847958072155645</v>
      </c>
    </row>
    <row r="233" spans="1:14" x14ac:dyDescent="0.45">
      <c r="A233" s="22">
        <v>42537</v>
      </c>
      <c r="B233">
        <v>104.16</v>
      </c>
      <c r="C233">
        <v>104.35</v>
      </c>
      <c r="G233">
        <f t="shared" ref="G233:K233" si="248">SUMPRODUCT($B233:$B237,P$2:P$6)</f>
        <v>51.433853413863339</v>
      </c>
      <c r="H233">
        <f t="shared" si="248"/>
        <v>65.098830782053611</v>
      </c>
      <c r="I233">
        <f t="shared" si="248"/>
        <v>62.773231820472937</v>
      </c>
      <c r="J233">
        <f t="shared" si="248"/>
        <v>55.931087409759826</v>
      </c>
      <c r="K233">
        <f t="shared" si="248"/>
        <v>47.431397185992161</v>
      </c>
      <c r="L233">
        <f t="shared" si="208"/>
        <v>104.33156626523262</v>
      </c>
      <c r="M233">
        <f t="shared" si="209"/>
        <v>-0.2515662652326256</v>
      </c>
      <c r="N233">
        <f t="shared" si="210"/>
        <v>6.3285585803091723E-2</v>
      </c>
    </row>
    <row r="234" spans="1:14" x14ac:dyDescent="0.45">
      <c r="A234" s="22">
        <v>42536</v>
      </c>
      <c r="B234">
        <v>105.42</v>
      </c>
      <c r="C234">
        <v>104.34</v>
      </c>
      <c r="G234">
        <f t="shared" ref="G234:K234" si="249">SUMPRODUCT($B234:$B238,P$2:P$6)</f>
        <v>52.059445417555942</v>
      </c>
      <c r="H234">
        <f t="shared" si="249"/>
        <v>65.890912536946345</v>
      </c>
      <c r="I234">
        <f t="shared" si="249"/>
        <v>63.537239332057375</v>
      </c>
      <c r="J234">
        <f t="shared" si="249"/>
        <v>56.611607653988187</v>
      </c>
      <c r="K234">
        <f t="shared" si="249"/>
        <v>48.008367853567435</v>
      </c>
      <c r="L234">
        <f t="shared" si="208"/>
        <v>105.59878928216469</v>
      </c>
      <c r="M234">
        <f t="shared" si="209"/>
        <v>-1.4387892821646915</v>
      </c>
      <c r="N234">
        <f t="shared" si="210"/>
        <v>2.0701145984719882</v>
      </c>
    </row>
    <row r="235" spans="1:14" x14ac:dyDescent="0.45">
      <c r="A235" s="22">
        <v>42535</v>
      </c>
      <c r="B235">
        <v>104.52</v>
      </c>
      <c r="C235">
        <v>105</v>
      </c>
      <c r="G235">
        <f t="shared" ref="G235:K235" si="250">SUMPRODUCT($B235:$B239,P$2:P$6)</f>
        <v>51.630321173092305</v>
      </c>
      <c r="H235">
        <f t="shared" si="250"/>
        <v>65.349027952176186</v>
      </c>
      <c r="I235">
        <f t="shared" si="250"/>
        <v>63.01571025851549</v>
      </c>
      <c r="J235">
        <f t="shared" si="250"/>
        <v>56.145982678679864</v>
      </c>
      <c r="K235">
        <f t="shared" si="250"/>
        <v>47.612901608077493</v>
      </c>
      <c r="L235">
        <f t="shared" si="208"/>
        <v>104.73172249014169</v>
      </c>
      <c r="M235">
        <f t="shared" si="209"/>
        <v>0.6882775098583096</v>
      </c>
      <c r="N235">
        <f t="shared" si="210"/>
        <v>0.47372593057675549</v>
      </c>
    </row>
    <row r="236" spans="1:14" x14ac:dyDescent="0.45">
      <c r="A236" s="22">
        <v>42534</v>
      </c>
      <c r="B236">
        <v>106.26</v>
      </c>
      <c r="C236">
        <v>104.33</v>
      </c>
      <c r="G236">
        <f t="shared" ref="G236:K236" si="251">SUMPRODUCT($B236:$B240,P$2:P$6)</f>
        <v>52.491060823502849</v>
      </c>
      <c r="H236">
        <f t="shared" si="251"/>
        <v>66.438580121301342</v>
      </c>
      <c r="I236">
        <f t="shared" si="251"/>
        <v>64.066438248932599</v>
      </c>
      <c r="J236">
        <f t="shared" si="251"/>
        <v>57.082089129492665</v>
      </c>
      <c r="K236">
        <f t="shared" si="251"/>
        <v>48.406690810551318</v>
      </c>
      <c r="L236">
        <f t="shared" si="208"/>
        <v>106.47488053813299</v>
      </c>
      <c r="M236">
        <f t="shared" si="209"/>
        <v>-1.954880538132997</v>
      </c>
      <c r="N236">
        <f t="shared" si="210"/>
        <v>3.8215579183711559</v>
      </c>
    </row>
    <row r="237" spans="1:14" x14ac:dyDescent="0.45">
      <c r="A237" s="22">
        <v>42531</v>
      </c>
      <c r="B237">
        <v>108</v>
      </c>
      <c r="C237">
        <v>106.8</v>
      </c>
      <c r="G237">
        <f t="shared" ref="G237:K237" si="252">SUMPRODUCT($B237:$B241,P$2:P$6)</f>
        <v>53.328702224326584</v>
      </c>
      <c r="H237">
        <f t="shared" si="252"/>
        <v>67.496993996732186</v>
      </c>
      <c r="I237">
        <f t="shared" si="252"/>
        <v>65.085637402476692</v>
      </c>
      <c r="J237">
        <f t="shared" si="252"/>
        <v>57.991528597389426</v>
      </c>
      <c r="K237">
        <f t="shared" si="252"/>
        <v>49.178769474775763</v>
      </c>
      <c r="L237">
        <f t="shared" si="208"/>
        <v>108.16839077769487</v>
      </c>
      <c r="M237">
        <f t="shared" si="209"/>
        <v>-1.9083907776948621</v>
      </c>
      <c r="N237">
        <f t="shared" si="210"/>
        <v>3.6419553603908006</v>
      </c>
    </row>
    <row r="238" spans="1:14" x14ac:dyDescent="0.45">
      <c r="A238" s="22">
        <v>42530</v>
      </c>
      <c r="B238">
        <v>109.12</v>
      </c>
      <c r="C238">
        <v>109.11</v>
      </c>
      <c r="G238">
        <f t="shared" ref="G238:K238" si="253">SUMPRODUCT($B238:$B242,P$2:P$6)</f>
        <v>53.871908222050855</v>
      </c>
      <c r="H238">
        <f t="shared" si="253"/>
        <v>68.183711449942152</v>
      </c>
      <c r="I238">
        <f t="shared" si="253"/>
        <v>65.747180232870889</v>
      </c>
      <c r="J238">
        <f t="shared" si="253"/>
        <v>58.581572785424981</v>
      </c>
      <c r="K238">
        <f t="shared" si="253"/>
        <v>49.679532588781534</v>
      </c>
      <c r="L238">
        <f t="shared" si="208"/>
        <v>109.26713853746749</v>
      </c>
      <c r="M238">
        <f t="shared" si="209"/>
        <v>-1.2671385374674884</v>
      </c>
      <c r="N238">
        <f t="shared" si="210"/>
        <v>1.6056400731352454</v>
      </c>
    </row>
    <row r="239" spans="1:14" x14ac:dyDescent="0.45">
      <c r="A239" s="22">
        <v>42529</v>
      </c>
      <c r="B239">
        <v>111.1</v>
      </c>
      <c r="C239">
        <v>110.03</v>
      </c>
      <c r="G239">
        <f t="shared" ref="G239:K239" si="254">SUMPRODUCT($B239:$B243,P$2:P$6)</f>
        <v>54.839494995387895</v>
      </c>
      <c r="H239">
        <f t="shared" si="254"/>
        <v>69.407541761253995</v>
      </c>
      <c r="I239">
        <f t="shared" si="254"/>
        <v>66.926629488041854</v>
      </c>
      <c r="J239">
        <f t="shared" si="254"/>
        <v>59.633087111479675</v>
      </c>
      <c r="K239">
        <f t="shared" si="254"/>
        <v>50.57165008944331</v>
      </c>
      <c r="L239">
        <f t="shared" si="208"/>
        <v>111.22521047604424</v>
      </c>
      <c r="M239">
        <f t="shared" si="209"/>
        <v>-2.1052104760442347</v>
      </c>
      <c r="N239">
        <f t="shared" si="210"/>
        <v>4.4319111484463933</v>
      </c>
    </row>
    <row r="240" spans="1:14" x14ac:dyDescent="0.45">
      <c r="A240" s="22">
        <v>42528</v>
      </c>
      <c r="B240">
        <v>110</v>
      </c>
      <c r="C240">
        <v>110.66</v>
      </c>
      <c r="G240">
        <f t="shared" ref="G240:K240" si="255">SUMPRODUCT($B240:$B244,P$2:P$6)</f>
        <v>54.301888632506113</v>
      </c>
      <c r="H240">
        <f t="shared" si="255"/>
        <v>68.727557400692632</v>
      </c>
      <c r="I240">
        <f t="shared" si="255"/>
        <v>66.271300659339403</v>
      </c>
      <c r="J240">
        <f t="shared" si="255"/>
        <v>59.048844903489794</v>
      </c>
      <c r="K240">
        <f t="shared" si="255"/>
        <v>50.075974214427688</v>
      </c>
      <c r="L240">
        <f t="shared" si="208"/>
        <v>110.13726742132275</v>
      </c>
      <c r="M240">
        <f t="shared" si="209"/>
        <v>0.96273257867724737</v>
      </c>
      <c r="N240">
        <f t="shared" si="210"/>
        <v>0.92685401804654233</v>
      </c>
    </row>
    <row r="241" spans="1:14" x14ac:dyDescent="0.45">
      <c r="A241" s="22">
        <v>42527</v>
      </c>
      <c r="B241">
        <v>109.83</v>
      </c>
      <c r="C241">
        <v>109.76</v>
      </c>
      <c r="G241">
        <f t="shared" ref="G241:K241" si="256">SUMPRODUCT($B241:$B245,P$2:P$6)</f>
        <v>54.221871083302474</v>
      </c>
      <c r="H241">
        <f t="shared" si="256"/>
        <v>68.626601074144531</v>
      </c>
      <c r="I241">
        <f t="shared" si="256"/>
        <v>66.174206694418302</v>
      </c>
      <c r="J241">
        <f t="shared" si="256"/>
        <v>58.962091979320604</v>
      </c>
      <c r="K241">
        <f t="shared" si="256"/>
        <v>50.002250999600399</v>
      </c>
      <c r="L241">
        <f t="shared" si="208"/>
        <v>109.97572000129678</v>
      </c>
      <c r="M241">
        <f t="shared" si="209"/>
        <v>2.4279998703221395E-2</v>
      </c>
      <c r="N241">
        <f t="shared" si="210"/>
        <v>5.8951833702843264E-4</v>
      </c>
    </row>
    <row r="242" spans="1:14" x14ac:dyDescent="0.45">
      <c r="A242" s="22">
        <v>42524</v>
      </c>
      <c r="B242">
        <v>110.5</v>
      </c>
      <c r="C242">
        <v>109.99</v>
      </c>
      <c r="G242">
        <f t="shared" ref="G242:K242" si="257">SUMPRODUCT($B242:$B246,P$2:P$6)</f>
        <v>54.561761348518033</v>
      </c>
      <c r="H242">
        <f t="shared" si="257"/>
        <v>69.057540988391963</v>
      </c>
      <c r="I242">
        <f t="shared" si="257"/>
        <v>66.590340263433475</v>
      </c>
      <c r="J242">
        <f t="shared" si="257"/>
        <v>59.332308644403746</v>
      </c>
      <c r="K242">
        <f t="shared" si="257"/>
        <v>50.315853323019276</v>
      </c>
      <c r="L242">
        <f t="shared" si="208"/>
        <v>110.66511166088024</v>
      </c>
      <c r="M242">
        <f t="shared" si="209"/>
        <v>-0.83511166088024424</v>
      </c>
      <c r="N242">
        <f t="shared" si="210"/>
        <v>0.69741148613816006</v>
      </c>
    </row>
    <row r="243" spans="1:14" x14ac:dyDescent="0.45">
      <c r="A243" s="22">
        <v>42523</v>
      </c>
      <c r="B243">
        <v>110.12</v>
      </c>
      <c r="C243">
        <v>111.1</v>
      </c>
      <c r="G243">
        <f t="shared" ref="G243:K243" si="258">SUMPRODUCT($B243:$B247,P$2:P$6)</f>
        <v>54.374330163063874</v>
      </c>
      <c r="H243">
        <f t="shared" si="258"/>
        <v>68.820324905070095</v>
      </c>
      <c r="I243">
        <f t="shared" si="258"/>
        <v>66.361613695024488</v>
      </c>
      <c r="J243">
        <f t="shared" si="258"/>
        <v>59.128500649414519</v>
      </c>
      <c r="K243">
        <f t="shared" si="258"/>
        <v>50.143007695158637</v>
      </c>
      <c r="L243">
        <f t="shared" si="208"/>
        <v>110.28559175508099</v>
      </c>
      <c r="M243">
        <f t="shared" si="209"/>
        <v>0.21440824491901367</v>
      </c>
      <c r="N243">
        <f t="shared" si="210"/>
        <v>4.5970895489251748E-2</v>
      </c>
    </row>
    <row r="244" spans="1:14" x14ac:dyDescent="0.45">
      <c r="A244" s="22">
        <v>42522</v>
      </c>
      <c r="B244">
        <v>110.47</v>
      </c>
      <c r="C244">
        <v>110.6</v>
      </c>
      <c r="G244">
        <f t="shared" ref="G244:K244" si="259">SUMPRODUCT($B244:$B248,P$2:P$6)</f>
        <v>54.553105917334619</v>
      </c>
      <c r="H244">
        <f t="shared" si="259"/>
        <v>69.047087505172541</v>
      </c>
      <c r="I244">
        <f t="shared" si="259"/>
        <v>66.580662008937963</v>
      </c>
      <c r="J244">
        <f t="shared" si="259"/>
        <v>59.323307313182674</v>
      </c>
      <c r="K244">
        <f t="shared" si="259"/>
        <v>50.307977133380959</v>
      </c>
      <c r="L244">
        <f t="shared" si="208"/>
        <v>110.64834502958951</v>
      </c>
      <c r="M244">
        <f t="shared" si="209"/>
        <v>-0.52834502958950225</v>
      </c>
      <c r="N244">
        <f t="shared" si="210"/>
        <v>0.27914847029193202</v>
      </c>
    </row>
    <row r="245" spans="1:14" x14ac:dyDescent="0.45">
      <c r="A245" s="22">
        <v>42521</v>
      </c>
      <c r="B245">
        <v>112.36</v>
      </c>
      <c r="C245">
        <v>111.24</v>
      </c>
      <c r="G245">
        <f t="shared" ref="G245:K245" si="260">SUMPRODUCT($B245:$B249,P$2:P$6)</f>
        <v>55.472064794600563</v>
      </c>
      <c r="H245">
        <f t="shared" si="260"/>
        <v>70.209025663268719</v>
      </c>
      <c r="I245">
        <f t="shared" si="260"/>
        <v>67.700158160706039</v>
      </c>
      <c r="J245">
        <f t="shared" si="260"/>
        <v>60.321662897016424</v>
      </c>
      <c r="K245">
        <f t="shared" si="260"/>
        <v>51.155176965938871</v>
      </c>
      <c r="L245">
        <f t="shared" si="208"/>
        <v>112.50742755739776</v>
      </c>
      <c r="M245">
        <f t="shared" si="209"/>
        <v>-2.0374275573977627</v>
      </c>
      <c r="N245">
        <f t="shared" si="210"/>
        <v>4.1511110516438139</v>
      </c>
    </row>
    <row r="246" spans="1:14" x14ac:dyDescent="0.45">
      <c r="A246" s="22">
        <v>42517</v>
      </c>
      <c r="B246">
        <v>112</v>
      </c>
      <c r="C246">
        <v>112.29</v>
      </c>
      <c r="G246">
        <f t="shared" ref="G246:K246" si="261">SUMPRODUCT($B246:$B250,P$2:P$6)</f>
        <v>55.279054011971255</v>
      </c>
      <c r="H246">
        <f t="shared" si="261"/>
        <v>69.963479017529053</v>
      </c>
      <c r="I246">
        <f t="shared" si="261"/>
        <v>67.46239130352275</v>
      </c>
      <c r="J246">
        <f t="shared" si="261"/>
        <v>60.110754428280543</v>
      </c>
      <c r="K246">
        <f t="shared" si="261"/>
        <v>50.976915554339769</v>
      </c>
      <c r="L246">
        <f t="shared" si="208"/>
        <v>112.11469135028702</v>
      </c>
      <c r="M246">
        <f t="shared" si="209"/>
        <v>0.24530864971298172</v>
      </c>
      <c r="N246">
        <f t="shared" si="210"/>
        <v>6.0176333624006366E-2</v>
      </c>
    </row>
    <row r="247" spans="1:14" x14ac:dyDescent="0.45">
      <c r="A247" s="22">
        <v>42516</v>
      </c>
      <c r="B247">
        <v>113.15</v>
      </c>
      <c r="C247">
        <v>111.82</v>
      </c>
      <c r="G247">
        <f t="shared" ref="G247:K247" si="262">SUMPRODUCT($B247:$B251,P$2:P$6)</f>
        <v>55.834589778812685</v>
      </c>
      <c r="H247">
        <f t="shared" si="262"/>
        <v>70.665603773409813</v>
      </c>
      <c r="I247">
        <f t="shared" si="262"/>
        <v>68.138628394334631</v>
      </c>
      <c r="J247">
        <f t="shared" si="262"/>
        <v>60.714042824877971</v>
      </c>
      <c r="K247">
        <f t="shared" si="262"/>
        <v>51.489008857672097</v>
      </c>
      <c r="L247">
        <f t="shared" si="208"/>
        <v>113.2381043164321</v>
      </c>
      <c r="M247">
        <f t="shared" si="209"/>
        <v>-1.2381043164320999</v>
      </c>
      <c r="N247">
        <f t="shared" si="210"/>
        <v>1.5329022983677976</v>
      </c>
    </row>
    <row r="248" spans="1:14" x14ac:dyDescent="0.45">
      <c r="A248" s="22">
        <v>42515</v>
      </c>
      <c r="B248">
        <v>113.17</v>
      </c>
      <c r="C248">
        <v>113.01</v>
      </c>
      <c r="G248">
        <f>SUMPRODUCT($B248:$B252,P$2:P$6)</f>
        <v>55.832536589086587</v>
      </c>
      <c r="H248">
        <f>SUMPRODUCT($B248:$B252,Q$2:Q$6)</f>
        <v>70.662024833731067</v>
      </c>
      <c r="I248">
        <f>SUMPRODUCT($B248:$B252,R$2:R$6)</f>
        <v>68.134400724790865</v>
      </c>
      <c r="J248">
        <f>SUMPRODUCT($B248:$B252,S$2:S$6)</f>
        <v>60.711010024542709</v>
      </c>
      <c r="K248">
        <f>SUMPRODUCT($B248:$B252,T$2:T$6)</f>
        <v>51.486905129737821</v>
      </c>
      <c r="L248">
        <f>(G248+$P$7)*$U$2+(H248+$Q$7)*$U$3+(I248+$R$7)*$U$4+(J248+$S$7)*$U$5+(K248+$T$7)*$U$6+$U$7</f>
        <v>113.23246440465333</v>
      </c>
      <c r="M248">
        <f>B247-L248</f>
        <v>-8.2464404653322276E-2</v>
      </c>
      <c r="N248">
        <f>M248^2</f>
        <v>6.8003780348268811E-3</v>
      </c>
    </row>
    <row r="249" spans="1:14" x14ac:dyDescent="0.45">
      <c r="A249" s="22">
        <v>42514</v>
      </c>
      <c r="B249">
        <v>110.77</v>
      </c>
      <c r="C249">
        <v>113.17</v>
      </c>
    </row>
    <row r="250" spans="1:14" x14ac:dyDescent="0.45">
      <c r="A250" s="22">
        <v>42513</v>
      </c>
      <c r="B250">
        <v>110.3</v>
      </c>
      <c r="C250">
        <v>110.2</v>
      </c>
    </row>
    <row r="251" spans="1:14" x14ac:dyDescent="0.45">
      <c r="A251" s="22">
        <v>42510</v>
      </c>
      <c r="B251">
        <v>108.73</v>
      </c>
      <c r="C251">
        <v>110.49</v>
      </c>
    </row>
    <row r="252" spans="1:14" x14ac:dyDescent="0.45">
      <c r="A252" s="22">
        <v>42509</v>
      </c>
      <c r="B252">
        <v>109.49</v>
      </c>
      <c r="C252">
        <v>108.56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52"/>
  <sheetViews>
    <sheetView workbookViewId="0">
      <selection activeCell="C2" sqref="C2"/>
    </sheetView>
  </sheetViews>
  <sheetFormatPr defaultRowHeight="14.25" x14ac:dyDescent="0.45"/>
  <sheetData>
    <row r="1" spans="1:23" x14ac:dyDescent="0.45">
      <c r="A1" t="s">
        <v>3</v>
      </c>
      <c r="B1" t="s">
        <v>4</v>
      </c>
      <c r="C1" t="s">
        <v>5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</row>
    <row r="2" spans="1:23" x14ac:dyDescent="0.45">
      <c r="A2" s="22">
        <v>42872</v>
      </c>
      <c r="B2">
        <v>126.76</v>
      </c>
      <c r="C2">
        <v>125.35</v>
      </c>
      <c r="G2">
        <f t="shared" ref="G2" si="0">SUMPRODUCT($B2:$B6,P$2:P$6)</f>
        <v>7.6068127076556866</v>
      </c>
      <c r="H2">
        <f t="shared" ref="H2" si="1">SUMPRODUCT($B2:$B6,Q$2:Q$6)</f>
        <v>117.4015277260102</v>
      </c>
      <c r="I2">
        <f t="shared" ref="I2" si="2">SUMPRODUCT($B2:$B6,R$2:R$6)</f>
        <v>85.218763359031087</v>
      </c>
      <c r="J2">
        <f t="shared" ref="J2" si="3">SUMPRODUCT($B2:$B6,S$2:S$6)</f>
        <v>73.663709793532234</v>
      </c>
      <c r="K2">
        <f t="shared" ref="K2" si="4">SUMPRODUCT($B2:$B6,T$2:T$6)</f>
        <v>52.7819939311483</v>
      </c>
      <c r="L2">
        <f t="shared" ref="L2" si="5">(G2+$P$7)*$U$2+(H2+$Q$7)*$U$3+(I2+$R$7)*$U$4+(J2+$S$7)*$U$5+(K2+$T$7)*$U$6+$U$7</f>
        <v>126.74201336170103</v>
      </c>
      <c r="P2">
        <v>1.3140914052824247E-2</v>
      </c>
      <c r="Q2">
        <v>0.77972791684760445</v>
      </c>
      <c r="R2">
        <v>0.5699467600665451</v>
      </c>
      <c r="S2">
        <v>0.49842032107445594</v>
      </c>
      <c r="T2">
        <v>0.36075603529066613</v>
      </c>
      <c r="U2">
        <v>0</v>
      </c>
      <c r="W2" t="s">
        <v>30</v>
      </c>
    </row>
    <row r="3" spans="1:23" x14ac:dyDescent="0.45">
      <c r="A3" s="22">
        <v>42871</v>
      </c>
      <c r="B3">
        <v>127.58</v>
      </c>
      <c r="C3">
        <v>127.5</v>
      </c>
      <c r="G3">
        <f t="shared" ref="G3:K3" si="6">SUMPRODUCT($B3:$B7,P$2:P$6)</f>
        <v>7.6025962410332806</v>
      </c>
      <c r="H3">
        <f t="shared" si="6"/>
        <v>117.85902714326323</v>
      </c>
      <c r="I3">
        <f t="shared" si="6"/>
        <v>85.559020368870051</v>
      </c>
      <c r="J3">
        <f t="shared" si="6"/>
        <v>73.969695705045226</v>
      </c>
      <c r="K3">
        <f t="shared" si="6"/>
        <v>53.008715381408557</v>
      </c>
      <c r="L3">
        <f t="shared" ref="L3:L66" si="7">(G3+$P$7)*$U$2+(H3+$Q$7)*$U$3+(I3+$R$7)*$U$4+(J3+$S$7)*$U$5+(K3+$T$7)*$U$6+$U$7</f>
        <v>127.23933142916452</v>
      </c>
      <c r="M3">
        <f t="shared" ref="M3:M66" si="8">B2-L3</f>
        <v>-0.47933142916451743</v>
      </c>
      <c r="N3">
        <f t="shared" ref="N3:N66" si="9">M3^2</f>
        <v>0.2297586189848988</v>
      </c>
      <c r="P3">
        <v>1.9681049781887224E-2</v>
      </c>
      <c r="Q3">
        <v>0.14550202932007533</v>
      </c>
      <c r="R3">
        <v>0.10167927736086783</v>
      </c>
      <c r="S3">
        <v>8.2175151919432324E-2</v>
      </c>
      <c r="T3">
        <v>5.5278913626971786E-2</v>
      </c>
      <c r="U3">
        <v>0.51445241356838489</v>
      </c>
      <c r="V3" t="s">
        <v>28</v>
      </c>
      <c r="W3">
        <f>SUM(N3:N252)</f>
        <v>439.73226071337228</v>
      </c>
    </row>
    <row r="4" spans="1:23" x14ac:dyDescent="0.45">
      <c r="A4" s="22">
        <v>42870</v>
      </c>
      <c r="B4">
        <v>126.33</v>
      </c>
      <c r="C4">
        <v>127.63</v>
      </c>
      <c r="G4">
        <f t="shared" ref="G4:K4" si="10">SUMPRODUCT($B4:$B8,P$2:P$6)</f>
        <v>7.5928922327341883</v>
      </c>
      <c r="H4">
        <f t="shared" si="10"/>
        <v>116.96293829190645</v>
      </c>
      <c r="I4">
        <f t="shared" si="10"/>
        <v>84.90149360194701</v>
      </c>
      <c r="J4">
        <f t="shared" si="10"/>
        <v>73.391044889222556</v>
      </c>
      <c r="K4">
        <f t="shared" si="10"/>
        <v>52.587620809741651</v>
      </c>
      <c r="L4">
        <f t="shared" si="7"/>
        <v>126.27940722838241</v>
      </c>
      <c r="M4">
        <f t="shared" si="8"/>
        <v>1.3005927716175876</v>
      </c>
      <c r="N4">
        <f t="shared" si="9"/>
        <v>1.6915415575839183</v>
      </c>
      <c r="P4">
        <v>1.7619203568451786E-2</v>
      </c>
      <c r="Q4">
        <v>3.0247062162901695E-7</v>
      </c>
      <c r="R4">
        <v>0</v>
      </c>
      <c r="S4">
        <v>3.4839114248920322E-7</v>
      </c>
      <c r="T4">
        <v>2.5929315980593709E-7</v>
      </c>
      <c r="U4">
        <v>0.36358704227004474</v>
      </c>
      <c r="V4" t="s">
        <v>29</v>
      </c>
      <c r="W4">
        <f>MAX(N3:N252)</f>
        <v>48.433261064490743</v>
      </c>
    </row>
    <row r="5" spans="1:23" x14ac:dyDescent="0.45">
      <c r="A5" s="22">
        <v>42867</v>
      </c>
      <c r="B5">
        <v>126.87</v>
      </c>
      <c r="C5">
        <v>126.51</v>
      </c>
      <c r="G5">
        <f t="shared" ref="G5:K5" si="11">SUMPRODUCT($B5:$B9,P$2:P$6)</f>
        <v>7.590425577728606</v>
      </c>
      <c r="H5">
        <f t="shared" si="11"/>
        <v>117.38544624075308</v>
      </c>
      <c r="I5">
        <f t="shared" si="11"/>
        <v>85.210281606621649</v>
      </c>
      <c r="J5">
        <f t="shared" si="11"/>
        <v>73.661013464313768</v>
      </c>
      <c r="K5">
        <f t="shared" si="11"/>
        <v>52.782981669680296</v>
      </c>
      <c r="L5">
        <f t="shared" si="7"/>
        <v>126.7300507375344</v>
      </c>
      <c r="M5">
        <f t="shared" si="8"/>
        <v>-0.40005073753440001</v>
      </c>
      <c r="N5">
        <f t="shared" si="9"/>
        <v>0.16004059260181741</v>
      </c>
      <c r="P5">
        <v>9.4926154673602766E-3</v>
      </c>
      <c r="Q5">
        <v>0</v>
      </c>
      <c r="R5">
        <v>0</v>
      </c>
      <c r="S5">
        <v>0</v>
      </c>
      <c r="T5">
        <v>3.3373271470191498E-7</v>
      </c>
      <c r="U5">
        <v>0.29976808425871343</v>
      </c>
    </row>
    <row r="6" spans="1:23" x14ac:dyDescent="0.45">
      <c r="A6" s="22">
        <v>42866</v>
      </c>
      <c r="B6">
        <v>126.88</v>
      </c>
      <c r="C6">
        <v>126.88</v>
      </c>
      <c r="G6">
        <f t="shared" ref="G6:K6" si="12">SUMPRODUCT($B6:$B10,P$2:P$6)</f>
        <v>7.5773772355594629</v>
      </c>
      <c r="H6">
        <f t="shared" si="12"/>
        <v>117.3306776554461</v>
      </c>
      <c r="I6">
        <f t="shared" si="12"/>
        <v>85.172259166621743</v>
      </c>
      <c r="J6">
        <f t="shared" si="12"/>
        <v>73.630662272069188</v>
      </c>
      <c r="K6">
        <f t="shared" si="12"/>
        <v>52.76281921417489</v>
      </c>
      <c r="L6">
        <f t="shared" si="7"/>
        <v>126.67481520382935</v>
      </c>
      <c r="M6">
        <f t="shared" si="8"/>
        <v>0.19518479617065054</v>
      </c>
      <c r="N6">
        <f t="shared" si="9"/>
        <v>3.8097104656178396E-2</v>
      </c>
      <c r="P6">
        <v>0</v>
      </c>
      <c r="Q6">
        <v>2.3545585596528485E-7</v>
      </c>
      <c r="R6">
        <v>5.5049886754924018E-7</v>
      </c>
      <c r="S6">
        <v>0</v>
      </c>
      <c r="T6">
        <v>0</v>
      </c>
      <c r="U6">
        <v>0.20517925266774395</v>
      </c>
    </row>
    <row r="7" spans="1:23" x14ac:dyDescent="0.45">
      <c r="A7" s="22">
        <v>42865</v>
      </c>
      <c r="B7">
        <v>126.45</v>
      </c>
      <c r="C7">
        <v>127.09</v>
      </c>
      <c r="G7">
        <f t="shared" ref="G7:K7" si="13">SUMPRODUCT($B7:$B11,P$2:P$6)</f>
        <v>7.5690992199213518</v>
      </c>
      <c r="H7">
        <f t="shared" si="13"/>
        <v>116.96192903378436</v>
      </c>
      <c r="I7">
        <f t="shared" si="13"/>
        <v>84.903795523225767</v>
      </c>
      <c r="J7">
        <f t="shared" si="13"/>
        <v>73.397441224678332</v>
      </c>
      <c r="K7">
        <f t="shared" si="13"/>
        <v>52.594980060846979</v>
      </c>
      <c r="L7">
        <f t="shared" si="7"/>
        <v>126.28315234472271</v>
      </c>
      <c r="M7">
        <f t="shared" si="8"/>
        <v>0.596847655277287</v>
      </c>
      <c r="N7">
        <f t="shared" si="9"/>
        <v>0.3562271236099952</v>
      </c>
      <c r="O7" t="s">
        <v>27</v>
      </c>
      <c r="P7">
        <v>9.9999999999996925E-9</v>
      </c>
      <c r="Q7">
        <v>2.7222680143198901E-7</v>
      </c>
      <c r="R7">
        <v>9.8763463667545408E-7</v>
      </c>
      <c r="S7">
        <v>8.102347175411426E-7</v>
      </c>
      <c r="T7">
        <v>5.6129251701585105E-7</v>
      </c>
      <c r="U7">
        <v>2.448275860328061</v>
      </c>
    </row>
    <row r="8" spans="1:23" x14ac:dyDescent="0.45">
      <c r="A8" s="22">
        <v>42864</v>
      </c>
      <c r="B8">
        <v>126.22</v>
      </c>
      <c r="C8">
        <v>126.73</v>
      </c>
      <c r="G8">
        <f t="shared" ref="G8:K8" si="14">SUMPRODUCT($B8:$B12,P$2:P$6)</f>
        <v>7.5652925348750113</v>
      </c>
      <c r="H8">
        <f t="shared" si="14"/>
        <v>116.77240658715421</v>
      </c>
      <c r="I8">
        <f t="shared" si="14"/>
        <v>84.765590257530121</v>
      </c>
      <c r="J8">
        <f t="shared" si="14"/>
        <v>73.277052405165918</v>
      </c>
      <c r="K8">
        <f t="shared" si="14"/>
        <v>52.508136550789985</v>
      </c>
      <c r="L8">
        <f t="shared" si="7"/>
        <v>126.08149520856408</v>
      </c>
      <c r="M8">
        <f t="shared" si="8"/>
        <v>0.36850479143592452</v>
      </c>
      <c r="N8">
        <f t="shared" si="9"/>
        <v>0.13579578131123424</v>
      </c>
    </row>
    <row r="9" spans="1:23" x14ac:dyDescent="0.45">
      <c r="A9" s="22">
        <v>42863</v>
      </c>
      <c r="B9">
        <v>126.15</v>
      </c>
      <c r="C9">
        <v>126.17</v>
      </c>
      <c r="G9">
        <f t="shared" ref="G9:K9" si="15">SUMPRODUCT($B9:$B13,P$2:P$6)</f>
        <v>7.561841338439403</v>
      </c>
      <c r="H9">
        <f t="shared" si="15"/>
        <v>116.76584107742769</v>
      </c>
      <c r="I9">
        <f t="shared" si="15"/>
        <v>84.759248008229832</v>
      </c>
      <c r="J9">
        <f t="shared" si="15"/>
        <v>73.269280591208982</v>
      </c>
      <c r="K9">
        <f t="shared" si="15"/>
        <v>52.501125550566599</v>
      </c>
      <c r="L9">
        <f t="shared" si="7"/>
        <v>126.07204335300715</v>
      </c>
      <c r="M9">
        <f t="shared" si="8"/>
        <v>0.14795664699285282</v>
      </c>
      <c r="N9">
        <f t="shared" si="9"/>
        <v>2.1891169389367665E-2</v>
      </c>
    </row>
    <row r="10" spans="1:23" x14ac:dyDescent="0.45">
      <c r="A10" s="22">
        <v>42860</v>
      </c>
      <c r="B10">
        <v>126.48</v>
      </c>
      <c r="C10">
        <v>126.14</v>
      </c>
      <c r="G10">
        <f t="shared" ref="G10:K10" si="16">SUMPRODUCT($B10:$B14,P$2:P$6)</f>
        <v>7.5542134530797496</v>
      </c>
      <c r="H10">
        <f t="shared" si="16"/>
        <v>116.94312514794315</v>
      </c>
      <c r="I10">
        <f t="shared" si="16"/>
        <v>84.891406726403531</v>
      </c>
      <c r="J10">
        <f t="shared" si="16"/>
        <v>73.388562987995257</v>
      </c>
      <c r="K10">
        <f t="shared" si="16"/>
        <v>52.589771574435019</v>
      </c>
      <c r="L10">
        <f t="shared" si="7"/>
        <v>126.26524414892174</v>
      </c>
      <c r="M10">
        <f t="shared" si="8"/>
        <v>-0.1152441489217324</v>
      </c>
      <c r="N10">
        <f t="shared" si="9"/>
        <v>1.3281213860694436E-2</v>
      </c>
    </row>
    <row r="11" spans="1:23" x14ac:dyDescent="0.45">
      <c r="A11" s="22">
        <v>42859</v>
      </c>
      <c r="B11">
        <v>125.93</v>
      </c>
      <c r="C11">
        <v>125.95</v>
      </c>
      <c r="G11">
        <f t="shared" ref="G11:K11" si="17">SUMPRODUCT($B11:$B15,P$2:P$6)</f>
        <v>7.5420602998498421</v>
      </c>
      <c r="H11">
        <f t="shared" si="17"/>
        <v>116.52445998490332</v>
      </c>
      <c r="I11">
        <f t="shared" si="17"/>
        <v>84.585053849546597</v>
      </c>
      <c r="J11">
        <f t="shared" si="17"/>
        <v>73.12018398494088</v>
      </c>
      <c r="K11">
        <f t="shared" si="17"/>
        <v>52.395225147409207</v>
      </c>
      <c r="L11">
        <f t="shared" si="7"/>
        <v>125.81810655882434</v>
      </c>
      <c r="M11">
        <f t="shared" si="8"/>
        <v>0.66189344117566407</v>
      </c>
      <c r="N11">
        <f t="shared" si="9"/>
        <v>0.43810292747136226</v>
      </c>
    </row>
    <row r="12" spans="1:23" x14ac:dyDescent="0.45">
      <c r="A12" s="22">
        <v>42858</v>
      </c>
      <c r="B12">
        <v>126</v>
      </c>
      <c r="C12">
        <v>125.6</v>
      </c>
      <c r="G12">
        <f t="shared" ref="G12:K12" si="18">SUMPRODUCT($B12:$B16,P$2:P$6)</f>
        <v>7.5395671468720797</v>
      </c>
      <c r="H12">
        <f t="shared" si="18"/>
        <v>116.54266472610945</v>
      </c>
      <c r="I12">
        <f t="shared" si="18"/>
        <v>84.599528795044137</v>
      </c>
      <c r="J12">
        <f t="shared" si="18"/>
        <v>73.134529549758</v>
      </c>
      <c r="K12">
        <f t="shared" si="18"/>
        <v>52.406658466492523</v>
      </c>
      <c r="L12">
        <f t="shared" si="7"/>
        <v>125.83938115684457</v>
      </c>
      <c r="M12">
        <f t="shared" si="8"/>
        <v>9.0618843155439777E-2</v>
      </c>
      <c r="N12">
        <f t="shared" si="9"/>
        <v>8.2117747348301948E-3</v>
      </c>
    </row>
    <row r="13" spans="1:23" x14ac:dyDescent="0.45">
      <c r="A13" s="22">
        <v>42857</v>
      </c>
      <c r="B13">
        <v>125.75</v>
      </c>
      <c r="C13">
        <v>125.91</v>
      </c>
      <c r="G13">
        <f t="shared" ref="G13:K13" si="19">SUMPRODUCT($B13:$B17,P$2:P$6)</f>
        <v>7.5156741199132071</v>
      </c>
      <c r="H13">
        <f t="shared" si="19"/>
        <v>116.31863145591896</v>
      </c>
      <c r="I13">
        <f t="shared" si="19"/>
        <v>84.436703805340358</v>
      </c>
      <c r="J13">
        <f t="shared" si="19"/>
        <v>72.993489623752794</v>
      </c>
      <c r="K13">
        <f t="shared" si="19"/>
        <v>52.305412897942198</v>
      </c>
      <c r="L13">
        <f t="shared" si="7"/>
        <v>125.60187288534775</v>
      </c>
      <c r="M13">
        <f t="shared" si="8"/>
        <v>0.39812711465225448</v>
      </c>
      <c r="N13">
        <f t="shared" si="9"/>
        <v>0.15850519942132937</v>
      </c>
    </row>
    <row r="14" spans="1:23" x14ac:dyDescent="0.45">
      <c r="A14" s="22">
        <v>42856</v>
      </c>
      <c r="B14">
        <v>125.55</v>
      </c>
      <c r="C14">
        <v>125.52</v>
      </c>
      <c r="G14">
        <f t="shared" ref="G14:K14" si="20">SUMPRODUCT($B14:$B18,P$2:P$6)</f>
        <v>7.4330530630344063</v>
      </c>
      <c r="H14">
        <f t="shared" si="20"/>
        <v>116.2398011240287</v>
      </c>
      <c r="I14">
        <f t="shared" si="20"/>
        <v>84.37660448133829</v>
      </c>
      <c r="J14">
        <f t="shared" si="20"/>
        <v>72.937357435463483</v>
      </c>
      <c r="K14">
        <f t="shared" si="20"/>
        <v>52.262557322869839</v>
      </c>
      <c r="L14">
        <f t="shared" si="7"/>
        <v>125.51384738197335</v>
      </c>
      <c r="M14">
        <f t="shared" si="8"/>
        <v>0.23615261802665088</v>
      </c>
      <c r="N14">
        <f t="shared" si="9"/>
        <v>5.5768059000841273E-2</v>
      </c>
    </row>
    <row r="15" spans="1:23" x14ac:dyDescent="0.45">
      <c r="A15" s="22">
        <v>42853</v>
      </c>
      <c r="B15">
        <v>126.08</v>
      </c>
      <c r="C15">
        <v>125.21</v>
      </c>
      <c r="G15">
        <f t="shared" ref="G15:K15" si="21">SUMPRODUCT($B15:$B19,P$2:P$6)</f>
        <v>7.3080522595454527</v>
      </c>
      <c r="H15">
        <f t="shared" si="21"/>
        <v>116.25438013437929</v>
      </c>
      <c r="I15">
        <f t="shared" si="21"/>
        <v>84.400075319454217</v>
      </c>
      <c r="J15">
        <f t="shared" si="21"/>
        <v>72.976358742517036</v>
      </c>
      <c r="K15">
        <f t="shared" si="21"/>
        <v>52.302292653649019</v>
      </c>
      <c r="L15">
        <f t="shared" si="7"/>
        <v>125.54972549421862</v>
      </c>
      <c r="M15">
        <f t="shared" si="8"/>
        <v>2.7450578137688808E-4</v>
      </c>
      <c r="N15">
        <f t="shared" si="9"/>
        <v>7.5353424009335881E-8</v>
      </c>
    </row>
    <row r="16" spans="1:23" x14ac:dyDescent="0.45">
      <c r="A16" s="22">
        <v>42852</v>
      </c>
      <c r="B16">
        <v>123.34</v>
      </c>
      <c r="C16">
        <v>125.61</v>
      </c>
      <c r="G16">
        <f t="shared" ref="G16:K16" si="22">SUMPRODUCT($B16:$B20,P$2:P$6)</f>
        <v>7.1897609858141838</v>
      </c>
      <c r="H16">
        <f t="shared" si="22"/>
        <v>113.47189641675662</v>
      </c>
      <c r="I16">
        <f t="shared" si="22"/>
        <v>82.386964687920681</v>
      </c>
      <c r="J16">
        <f t="shared" si="22"/>
        <v>71.245829395218564</v>
      </c>
      <c r="K16">
        <f t="shared" si="22"/>
        <v>51.068382912501072</v>
      </c>
      <c r="L16">
        <f t="shared" si="7"/>
        <v>122.61439894394991</v>
      </c>
      <c r="M16">
        <f t="shared" si="8"/>
        <v>3.4656010560500903</v>
      </c>
      <c r="N16">
        <f t="shared" si="9"/>
        <v>12.010390679695501</v>
      </c>
    </row>
    <row r="17" spans="1:14" x14ac:dyDescent="0.45">
      <c r="A17" s="22">
        <v>42851</v>
      </c>
      <c r="B17">
        <v>118.9</v>
      </c>
      <c r="C17">
        <v>115.81</v>
      </c>
      <c r="G17">
        <f t="shared" ref="G17:K17" si="23">SUMPRODUCT($B17:$B21,P$2:P$6)</f>
        <v>7.1316954916601905</v>
      </c>
      <c r="H17">
        <f t="shared" si="23"/>
        <v>110.01281480611217</v>
      </c>
      <c r="I17">
        <f t="shared" si="23"/>
        <v>79.858435005586728</v>
      </c>
      <c r="J17">
        <f t="shared" si="23"/>
        <v>69.034486846881933</v>
      </c>
      <c r="K17">
        <f t="shared" si="23"/>
        <v>49.467731510020876</v>
      </c>
      <c r="L17">
        <f t="shared" si="7"/>
        <v>118.92421505423491</v>
      </c>
      <c r="M17">
        <f t="shared" si="8"/>
        <v>4.4157849457650968</v>
      </c>
      <c r="N17">
        <f t="shared" si="9"/>
        <v>19.499156687245659</v>
      </c>
    </row>
    <row r="18" spans="1:14" x14ac:dyDescent="0.45">
      <c r="A18" s="22">
        <v>42850</v>
      </c>
      <c r="B18">
        <v>118.92</v>
      </c>
      <c r="C18">
        <v>119.08</v>
      </c>
      <c r="G18">
        <f t="shared" ref="G18:K18" si="24">SUMPRODUCT($B18:$B22,P$2:P$6)</f>
        <v>7.1312171312222823</v>
      </c>
      <c r="H18">
        <f t="shared" si="24"/>
        <v>110.1011602242875</v>
      </c>
      <c r="I18">
        <f t="shared" si="24"/>
        <v>79.92067388224288</v>
      </c>
      <c r="J18">
        <f t="shared" si="24"/>
        <v>69.085542501775478</v>
      </c>
      <c r="K18">
        <f t="shared" si="24"/>
        <v>49.502586054056216</v>
      </c>
      <c r="L18">
        <f t="shared" si="7"/>
        <v>119.01475010207581</v>
      </c>
      <c r="M18">
        <f t="shared" si="8"/>
        <v>-0.11475010207580283</v>
      </c>
      <c r="N18">
        <f t="shared" si="9"/>
        <v>1.3167585926407169E-2</v>
      </c>
    </row>
    <row r="19" spans="1:14" x14ac:dyDescent="0.45">
      <c r="A19" s="22">
        <v>42849</v>
      </c>
      <c r="B19">
        <v>119.42</v>
      </c>
      <c r="C19">
        <v>118.76</v>
      </c>
      <c r="G19">
        <f t="shared" ref="G19:K19" si="25">SUMPRODUCT($B19:$B23,P$2:P$6)</f>
        <v>7.1356084382088927</v>
      </c>
      <c r="H19">
        <f t="shared" si="25"/>
        <v>110.35425217609622</v>
      </c>
      <c r="I19">
        <f t="shared" si="25"/>
        <v>80.110068064443325</v>
      </c>
      <c r="J19">
        <f t="shared" si="25"/>
        <v>69.257508238994859</v>
      </c>
      <c r="K19">
        <f t="shared" si="25"/>
        <v>49.631002239799876</v>
      </c>
      <c r="L19">
        <f t="shared" si="7"/>
        <v>119.29171331469367</v>
      </c>
      <c r="M19">
        <f t="shared" si="8"/>
        <v>-0.37171331469366464</v>
      </c>
      <c r="N19">
        <f t="shared" si="9"/>
        <v>0.13817078832055135</v>
      </c>
    </row>
    <row r="20" spans="1:14" x14ac:dyDescent="0.45">
      <c r="A20" s="22">
        <v>42846</v>
      </c>
      <c r="B20">
        <v>118.48</v>
      </c>
      <c r="C20">
        <v>118.36</v>
      </c>
      <c r="G20">
        <f t="shared" ref="G20:K20" si="26">SUMPRODUCT($B20:$B24,P$2:P$6)</f>
        <v>7.1336696852996226</v>
      </c>
      <c r="H20">
        <f t="shared" si="26"/>
        <v>109.71297434612613</v>
      </c>
      <c r="I20">
        <f t="shared" si="26"/>
        <v>79.63837597764828</v>
      </c>
      <c r="J20">
        <f t="shared" si="26"/>
        <v>68.840763674509247</v>
      </c>
      <c r="K20">
        <f t="shared" si="26"/>
        <v>49.326717014331649</v>
      </c>
      <c r="L20">
        <f t="shared" si="7"/>
        <v>118.60294552171719</v>
      </c>
      <c r="M20">
        <f t="shared" si="8"/>
        <v>0.81705447828281308</v>
      </c>
      <c r="N20">
        <f t="shared" si="9"/>
        <v>0.66757802048199988</v>
      </c>
    </row>
    <row r="21" spans="1:14" x14ac:dyDescent="0.45">
      <c r="A21" s="22">
        <v>42845</v>
      </c>
      <c r="B21">
        <v>119.11</v>
      </c>
      <c r="C21">
        <v>118.27</v>
      </c>
      <c r="G21">
        <f t="shared" ref="G21:K21" si="27">SUMPRODUCT($B21:$B25,P$2:P$6)</f>
        <v>7.1297724519783126</v>
      </c>
      <c r="H21">
        <f t="shared" si="27"/>
        <v>110.28422862131789</v>
      </c>
      <c r="I21">
        <f t="shared" si="27"/>
        <v>80.053365906918941</v>
      </c>
      <c r="J21">
        <f t="shared" si="27"/>
        <v>69.19996438182072</v>
      </c>
      <c r="K21">
        <f t="shared" si="27"/>
        <v>49.584396353406426</v>
      </c>
      <c r="L21">
        <f t="shared" si="7"/>
        <v>119.20826098542062</v>
      </c>
      <c r="M21">
        <f t="shared" si="8"/>
        <v>-0.72826098542061857</v>
      </c>
      <c r="N21">
        <f t="shared" si="9"/>
        <v>0.53036406288581039</v>
      </c>
    </row>
    <row r="22" spans="1:14" x14ac:dyDescent="0.45">
      <c r="A22" s="22">
        <v>42844</v>
      </c>
      <c r="B22">
        <v>119.66</v>
      </c>
      <c r="C22">
        <v>118.97</v>
      </c>
      <c r="G22">
        <f t="shared" ref="G22:K22" si="28">SUMPRODUCT($B22:$B26,P$2:P$6)</f>
        <v>7.108047347263895</v>
      </c>
      <c r="H22">
        <f t="shared" si="28"/>
        <v>110.53411147955654</v>
      </c>
      <c r="I22">
        <f t="shared" si="28"/>
        <v>80.241771212891479</v>
      </c>
      <c r="J22">
        <f t="shared" si="28"/>
        <v>69.373020072776015</v>
      </c>
      <c r="K22">
        <f t="shared" si="28"/>
        <v>49.714818992658223</v>
      </c>
      <c r="L22">
        <f t="shared" si="7"/>
        <v>119.48395214549778</v>
      </c>
      <c r="M22">
        <f t="shared" si="8"/>
        <v>-0.37395214549778188</v>
      </c>
      <c r="N22">
        <f t="shared" si="9"/>
        <v>0.13984020712239423</v>
      </c>
    </row>
    <row r="23" spans="1:14" x14ac:dyDescent="0.45">
      <c r="A23" s="22">
        <v>42843</v>
      </c>
      <c r="B23">
        <v>118.43</v>
      </c>
      <c r="C23">
        <v>119.35</v>
      </c>
      <c r="G23">
        <f t="shared" ref="G23:K23" si="29">SUMPRODUCT($B23:$B27,P$2:P$6)</f>
        <v>7.086608737937155</v>
      </c>
      <c r="H23">
        <f t="shared" si="29"/>
        <v>109.55467581574551</v>
      </c>
      <c r="I23">
        <f t="shared" si="29"/>
        <v>79.526501670743968</v>
      </c>
      <c r="J23">
        <f t="shared" si="29"/>
        <v>68.748458472971848</v>
      </c>
      <c r="K23">
        <f t="shared" si="29"/>
        <v>49.263350019184458</v>
      </c>
      <c r="L23">
        <f t="shared" si="7"/>
        <v>118.4401606662051</v>
      </c>
      <c r="M23">
        <f t="shared" si="8"/>
        <v>1.2198393337948943</v>
      </c>
      <c r="N23">
        <f t="shared" si="9"/>
        <v>1.4880080002731715</v>
      </c>
    </row>
    <row r="24" spans="1:14" x14ac:dyDescent="0.45">
      <c r="A24" s="22">
        <v>42842</v>
      </c>
      <c r="B24">
        <v>118.29</v>
      </c>
      <c r="C24">
        <v>118.64</v>
      </c>
      <c r="G24">
        <f t="shared" ref="G24:K24" si="30">SUMPRODUCT($B24:$B28,P$2:P$6)</f>
        <v>7.084451054675184</v>
      </c>
      <c r="H24">
        <f t="shared" si="30"/>
        <v>109.41059351953136</v>
      </c>
      <c r="I24">
        <f t="shared" si="30"/>
        <v>79.422306202362819</v>
      </c>
      <c r="J24">
        <f t="shared" si="30"/>
        <v>68.658957654271148</v>
      </c>
      <c r="K24">
        <f t="shared" si="30"/>
        <v>49.199577325031314</v>
      </c>
      <c r="L24">
        <f t="shared" si="7"/>
        <v>118.28823873631018</v>
      </c>
      <c r="M24">
        <f t="shared" si="8"/>
        <v>0.14176126368982978</v>
      </c>
      <c r="N24">
        <f t="shared" si="9"/>
        <v>2.0096255882937449E-2</v>
      </c>
    </row>
    <row r="25" spans="1:14" x14ac:dyDescent="0.45">
      <c r="A25" s="22">
        <v>42838</v>
      </c>
      <c r="B25">
        <v>118.05</v>
      </c>
      <c r="C25">
        <v>117.89</v>
      </c>
      <c r="G25">
        <f t="shared" ref="G25:K25" si="31">SUMPRODUCT($B25:$B29,P$2:P$6)</f>
        <v>7.0889339176659423</v>
      </c>
      <c r="H25">
        <f t="shared" si="31"/>
        <v>109.24964909223144</v>
      </c>
      <c r="I25">
        <f t="shared" si="31"/>
        <v>79.303820941592434</v>
      </c>
      <c r="J25">
        <f t="shared" si="31"/>
        <v>68.554128349849634</v>
      </c>
      <c r="K25">
        <f t="shared" si="31"/>
        <v>49.122946178131727</v>
      </c>
      <c r="L25">
        <f t="shared" si="7"/>
        <v>118.1152131805067</v>
      </c>
      <c r="M25">
        <f t="shared" si="8"/>
        <v>0.17478681949330621</v>
      </c>
      <c r="N25">
        <f t="shared" si="9"/>
        <v>3.0550432268585608E-2</v>
      </c>
    </row>
    <row r="26" spans="1:14" x14ac:dyDescent="0.45">
      <c r="A26" s="22">
        <v>42837</v>
      </c>
      <c r="B26">
        <v>118.23</v>
      </c>
      <c r="C26">
        <v>117.83</v>
      </c>
      <c r="G26">
        <f t="shared" ref="G26:K26" si="32">SUMPRODUCT($B26:$B30,P$2:P$6)</f>
        <v>7.0918896026833815</v>
      </c>
      <c r="H26">
        <f t="shared" si="32"/>
        <v>109.40891497940612</v>
      </c>
      <c r="I26">
        <f t="shared" si="32"/>
        <v>79.419628590988538</v>
      </c>
      <c r="J26">
        <f t="shared" si="32"/>
        <v>68.654526843586879</v>
      </c>
      <c r="K26">
        <f t="shared" si="32"/>
        <v>49.19506838563094</v>
      </c>
      <c r="L26">
        <f t="shared" si="7"/>
        <v>118.28414830604451</v>
      </c>
      <c r="M26">
        <f t="shared" si="8"/>
        <v>-0.23414830604451708</v>
      </c>
      <c r="N26">
        <f t="shared" si="9"/>
        <v>5.4825429223516839E-2</v>
      </c>
    </row>
    <row r="27" spans="1:14" x14ac:dyDescent="0.45">
      <c r="A27" s="22">
        <v>42836</v>
      </c>
      <c r="B27">
        <v>118.36</v>
      </c>
      <c r="C27">
        <v>118.68</v>
      </c>
      <c r="G27">
        <f t="shared" ref="G27:K27" si="33">SUMPRODUCT($B27:$B31,P$2:P$6)</f>
        <v>7.0689599668091212</v>
      </c>
      <c r="H27">
        <f t="shared" si="33"/>
        <v>109.53792494957517</v>
      </c>
      <c r="I27">
        <f t="shared" si="33"/>
        <v>79.513041024260147</v>
      </c>
      <c r="J27">
        <f t="shared" si="33"/>
        <v>68.734934569092218</v>
      </c>
      <c r="K27">
        <f t="shared" si="33"/>
        <v>49.252468867824888</v>
      </c>
      <c r="L27">
        <f t="shared" si="7"/>
        <v>118.4203624047705</v>
      </c>
      <c r="M27">
        <f t="shared" si="8"/>
        <v>-0.1903624047704966</v>
      </c>
      <c r="N27">
        <f t="shared" si="9"/>
        <v>3.6237845150006387E-2</v>
      </c>
    </row>
    <row r="28" spans="1:14" x14ac:dyDescent="0.45">
      <c r="A28" s="22">
        <v>42835</v>
      </c>
      <c r="B28">
        <v>118.55</v>
      </c>
      <c r="C28">
        <v>118.62</v>
      </c>
      <c r="G28">
        <f t="shared" ref="G28:K28" si="34">SUMPRODUCT($B28:$B32,P$2:P$6)</f>
        <v>7.0311089918405205</v>
      </c>
      <c r="H28">
        <f t="shared" si="34"/>
        <v>109.60459132033809</v>
      </c>
      <c r="I28">
        <f t="shared" si="34"/>
        <v>79.564390028911689</v>
      </c>
      <c r="J28">
        <f t="shared" si="34"/>
        <v>68.783615665658743</v>
      </c>
      <c r="K28">
        <f t="shared" si="34"/>
        <v>49.290055994155693</v>
      </c>
      <c r="L28">
        <f t="shared" si="7"/>
        <v>118.49563405038593</v>
      </c>
      <c r="M28">
        <f t="shared" si="8"/>
        <v>-0.13563405038593146</v>
      </c>
      <c r="N28">
        <f t="shared" si="9"/>
        <v>1.8396595624093393E-2</v>
      </c>
    </row>
    <row r="29" spans="1:14" x14ac:dyDescent="0.45">
      <c r="A29" s="22">
        <v>42832</v>
      </c>
      <c r="B29">
        <v>117.99</v>
      </c>
      <c r="C29">
        <v>118.46</v>
      </c>
      <c r="G29">
        <f t="shared" ref="G29:K29" si="35">SUMPRODUCT($B29:$B33,P$2:P$6)</f>
        <v>6.9863567091762606</v>
      </c>
      <c r="H29">
        <f t="shared" si="35"/>
        <v>108.88421497480284</v>
      </c>
      <c r="I29">
        <f t="shared" si="35"/>
        <v>79.046945450600333</v>
      </c>
      <c r="J29">
        <f t="shared" si="35"/>
        <v>68.344258924261467</v>
      </c>
      <c r="K29">
        <f t="shared" si="35"/>
        <v>48.9802385765609</v>
      </c>
      <c r="L29">
        <f t="shared" si="7"/>
        <v>117.7416253221005</v>
      </c>
      <c r="M29">
        <f t="shared" si="8"/>
        <v>0.80837467789949358</v>
      </c>
      <c r="N29">
        <f t="shared" si="9"/>
        <v>0.65346961986911001</v>
      </c>
    </row>
    <row r="30" spans="1:14" x14ac:dyDescent="0.45">
      <c r="A30" s="22">
        <v>42831</v>
      </c>
      <c r="B30">
        <v>116.04</v>
      </c>
      <c r="C30">
        <v>117.81</v>
      </c>
      <c r="G30">
        <f t="shared" ref="G30:K30" si="36">SUMPRODUCT($B30:$B34,P$2:P$6)</f>
        <v>6.9590753255856663</v>
      </c>
      <c r="H30">
        <f t="shared" si="36"/>
        <v>107.44086121681478</v>
      </c>
      <c r="I30">
        <f t="shared" si="36"/>
        <v>77.989438982697465</v>
      </c>
      <c r="J30">
        <f t="shared" si="36"/>
        <v>67.415891822099368</v>
      </c>
      <c r="K30">
        <f t="shared" si="36"/>
        <v>48.306062023932206</v>
      </c>
      <c r="L30">
        <f t="shared" si="7"/>
        <v>116.19797097988588</v>
      </c>
      <c r="M30">
        <f t="shared" si="8"/>
        <v>1.7920290201141142</v>
      </c>
      <c r="N30">
        <f t="shared" si="9"/>
        <v>3.2113680089311525</v>
      </c>
    </row>
    <row r="31" spans="1:14" x14ac:dyDescent="0.45">
      <c r="A31" s="22">
        <v>42830</v>
      </c>
      <c r="B31">
        <v>116.57</v>
      </c>
      <c r="C31">
        <v>116.55</v>
      </c>
      <c r="G31">
        <f t="shared" ref="G31:K31" si="37">SUMPRODUCT($B31:$B35,P$2:P$6)</f>
        <v>6.9498426610031974</v>
      </c>
      <c r="H31">
        <f t="shared" si="37"/>
        <v>107.72607581851626</v>
      </c>
      <c r="I31">
        <f t="shared" si="37"/>
        <v>78.202034129977832</v>
      </c>
      <c r="J31">
        <f t="shared" si="37"/>
        <v>67.607740584000524</v>
      </c>
      <c r="K31">
        <f t="shared" si="37"/>
        <v>48.448617188437055</v>
      </c>
      <c r="L31">
        <f t="shared" si="7"/>
        <v>116.50875665885634</v>
      </c>
      <c r="M31">
        <f t="shared" si="8"/>
        <v>-0.46875665885633566</v>
      </c>
      <c r="N31">
        <f t="shared" si="9"/>
        <v>0.21973280522215505</v>
      </c>
    </row>
    <row r="32" spans="1:14" x14ac:dyDescent="0.45">
      <c r="A32" s="22">
        <v>42829</v>
      </c>
      <c r="B32">
        <v>115.69</v>
      </c>
      <c r="C32">
        <v>116.03</v>
      </c>
      <c r="G32">
        <f t="shared" ref="G32:K32" si="38">SUMPRODUCT($B32:$B36,P$2:P$6)</f>
        <v>6.9551331343036313</v>
      </c>
      <c r="H32">
        <f t="shared" si="38"/>
        <v>107.09229588181441</v>
      </c>
      <c r="I32">
        <f t="shared" si="38"/>
        <v>77.737085675108872</v>
      </c>
      <c r="J32">
        <f t="shared" si="38"/>
        <v>67.198713564530891</v>
      </c>
      <c r="K32">
        <f t="shared" si="38"/>
        <v>48.151052827827812</v>
      </c>
      <c r="L32">
        <f t="shared" si="7"/>
        <v>115.82999052806818</v>
      </c>
      <c r="M32">
        <f t="shared" si="8"/>
        <v>0.74000947193181332</v>
      </c>
      <c r="N32">
        <f t="shared" si="9"/>
        <v>0.54761401854880121</v>
      </c>
    </row>
    <row r="33" spans="1:14" x14ac:dyDescent="0.45">
      <c r="A33" s="22">
        <v>42828</v>
      </c>
      <c r="B33">
        <v>116.05</v>
      </c>
      <c r="C33">
        <v>116.17</v>
      </c>
      <c r="G33">
        <f t="shared" ref="G33:K33" si="39">SUMPRODUCT($B33:$B37,P$2:P$6)</f>
        <v>6.9878165856287975</v>
      </c>
      <c r="H33">
        <f t="shared" si="39"/>
        <v>107.29297265243767</v>
      </c>
      <c r="I33">
        <f t="shared" si="39"/>
        <v>77.886343412643313</v>
      </c>
      <c r="J33">
        <f t="shared" si="39"/>
        <v>67.332949260763854</v>
      </c>
      <c r="K33">
        <f t="shared" si="39"/>
        <v>48.250522223033755</v>
      </c>
      <c r="L33">
        <f t="shared" si="7"/>
        <v>116.04814599005906</v>
      </c>
      <c r="M33">
        <f t="shared" si="8"/>
        <v>-0.35814599005905734</v>
      </c>
      <c r="N33">
        <f t="shared" si="9"/>
        <v>0.12826855019538239</v>
      </c>
    </row>
    <row r="34" spans="1:14" x14ac:dyDescent="0.45">
      <c r="A34" s="22">
        <v>42825</v>
      </c>
      <c r="B34">
        <v>115.5</v>
      </c>
      <c r="C34">
        <v>115.99</v>
      </c>
      <c r="G34">
        <f t="shared" ref="G34:K34" si="40">SUMPRODUCT($B34:$B38,P$2:P$6)</f>
        <v>7.0346018181817502</v>
      </c>
      <c r="H34">
        <f t="shared" si="40"/>
        <v>107.162401566515</v>
      </c>
      <c r="I34">
        <f t="shared" si="40"/>
        <v>77.781315268246388</v>
      </c>
      <c r="J34">
        <f t="shared" si="40"/>
        <v>67.227277243157246</v>
      </c>
      <c r="K34">
        <f t="shared" si="40"/>
        <v>48.165428556195366</v>
      </c>
      <c r="L34">
        <f t="shared" si="7"/>
        <v>115.89364995414115</v>
      </c>
      <c r="M34">
        <f t="shared" si="8"/>
        <v>0.1563500458588436</v>
      </c>
      <c r="N34">
        <f t="shared" si="9"/>
        <v>2.4445336840062497E-2</v>
      </c>
    </row>
    <row r="35" spans="1:14" x14ac:dyDescent="0.45">
      <c r="A35" s="22">
        <v>42824</v>
      </c>
      <c r="B35">
        <v>117.55</v>
      </c>
      <c r="C35">
        <v>115.62</v>
      </c>
      <c r="G35">
        <f t="shared" ref="G35:K35" si="41">SUMPRODUCT($B35:$B39,P$2:P$6)</f>
        <v>7.0842103147586801</v>
      </c>
      <c r="H35">
        <f t="shared" si="41"/>
        <v>108.80158501455543</v>
      </c>
      <c r="I35">
        <f t="shared" si="41"/>
        <v>78.978177193832053</v>
      </c>
      <c r="J35">
        <f t="shared" si="41"/>
        <v>68.27204826441718</v>
      </c>
      <c r="K35">
        <f t="shared" si="41"/>
        <v>48.920456796279751</v>
      </c>
      <c r="L35">
        <f t="shared" si="7"/>
        <v>117.64020046037189</v>
      </c>
      <c r="M35">
        <f t="shared" si="8"/>
        <v>-2.1402004603718865</v>
      </c>
      <c r="N35">
        <f t="shared" si="9"/>
        <v>4.5804580105760353</v>
      </c>
    </row>
    <row r="36" spans="1:14" x14ac:dyDescent="0.45">
      <c r="A36" s="22">
        <v>42823</v>
      </c>
      <c r="B36">
        <v>117.83</v>
      </c>
      <c r="C36">
        <v>117.88</v>
      </c>
      <c r="G36">
        <f t="shared" ref="G36:K36" si="42">SUMPRODUCT($B36:$B40,P$2:P$6)</f>
        <v>7.1227565892880822</v>
      </c>
      <c r="H36">
        <f t="shared" si="42"/>
        <v>109.15377093334089</v>
      </c>
      <c r="I36">
        <f t="shared" si="42"/>
        <v>79.231307700756687</v>
      </c>
      <c r="J36">
        <f t="shared" si="42"/>
        <v>68.487207128923004</v>
      </c>
      <c r="K36">
        <f t="shared" si="42"/>
        <v>49.072325639924969</v>
      </c>
      <c r="L36">
        <f t="shared" si="7"/>
        <v>118.00907642510376</v>
      </c>
      <c r="M36">
        <f t="shared" si="8"/>
        <v>-0.45907642510375979</v>
      </c>
      <c r="N36">
        <f t="shared" si="9"/>
        <v>0.21075116408604797</v>
      </c>
    </row>
    <row r="37" spans="1:14" x14ac:dyDescent="0.45">
      <c r="A37" s="22">
        <v>42822</v>
      </c>
      <c r="B37">
        <v>118.75</v>
      </c>
      <c r="C37">
        <v>118</v>
      </c>
      <c r="G37">
        <f t="shared" ref="G37:K37" si="43">SUMPRODUCT($B37:$B41,P$2:P$6)</f>
        <v>7.1729112522896257</v>
      </c>
      <c r="H37">
        <f t="shared" si="43"/>
        <v>109.88567128825805</v>
      </c>
      <c r="I37">
        <f t="shared" si="43"/>
        <v>79.76582662573405</v>
      </c>
      <c r="J37">
        <f t="shared" si="43"/>
        <v>68.953971889961466</v>
      </c>
      <c r="K37">
        <f t="shared" si="43"/>
        <v>49.409749783785728</v>
      </c>
      <c r="L37">
        <f t="shared" si="7"/>
        <v>118.78910209603771</v>
      </c>
      <c r="M37">
        <f t="shared" si="8"/>
        <v>-0.95910209603771079</v>
      </c>
      <c r="N37">
        <f t="shared" si="9"/>
        <v>0.91987683062393022</v>
      </c>
    </row>
    <row r="38" spans="1:14" x14ac:dyDescent="0.45">
      <c r="A38" s="22">
        <v>42821</v>
      </c>
      <c r="B38">
        <v>118.85</v>
      </c>
      <c r="C38">
        <v>118.45</v>
      </c>
      <c r="G38">
        <f t="shared" ref="G38:K38" si="44">SUMPRODUCT($B38:$B42,P$2:P$6)</f>
        <v>7.2202704048361488</v>
      </c>
      <c r="H38">
        <f t="shared" si="44"/>
        <v>110.19353808390272</v>
      </c>
      <c r="I38">
        <f t="shared" si="44"/>
        <v>79.983475809603306</v>
      </c>
      <c r="J38">
        <f t="shared" si="44"/>
        <v>69.133650965201909</v>
      </c>
      <c r="K38">
        <f t="shared" si="44"/>
        <v>49.533166283081151</v>
      </c>
      <c r="L38">
        <f t="shared" si="7"/>
        <v>119.10580389238869</v>
      </c>
      <c r="M38">
        <f t="shared" si="8"/>
        <v>-0.35580389238869259</v>
      </c>
      <c r="N38">
        <f t="shared" si="9"/>
        <v>0.12659640983894432</v>
      </c>
    </row>
    <row r="39" spans="1:14" x14ac:dyDescent="0.45">
      <c r="A39" s="22">
        <v>42818</v>
      </c>
      <c r="B39">
        <v>120.43</v>
      </c>
      <c r="C39">
        <v>119.72</v>
      </c>
      <c r="G39">
        <f t="shared" ref="G39:K39" si="45">SUMPRODUCT($B39:$B43,P$2:P$6)</f>
        <v>7.2789990313180226</v>
      </c>
      <c r="H39">
        <f t="shared" si="45"/>
        <v>111.55209495534986</v>
      </c>
      <c r="I39">
        <f t="shared" si="45"/>
        <v>80.972452683832373</v>
      </c>
      <c r="J39">
        <f t="shared" si="45"/>
        <v>69.992647440733805</v>
      </c>
      <c r="K39">
        <f t="shared" si="45"/>
        <v>50.151254220897407</v>
      </c>
      <c r="L39">
        <f t="shared" si="7"/>
        <v>120.54861447946828</v>
      </c>
      <c r="M39">
        <f t="shared" si="8"/>
        <v>-1.69861447946829</v>
      </c>
      <c r="N39">
        <f t="shared" si="9"/>
        <v>2.8852911498593299</v>
      </c>
    </row>
    <row r="40" spans="1:14" x14ac:dyDescent="0.45">
      <c r="A40" s="22">
        <v>42817</v>
      </c>
      <c r="B40">
        <v>121.3</v>
      </c>
      <c r="C40">
        <v>119.99</v>
      </c>
      <c r="G40">
        <f t="shared" ref="G40:K40" si="46">SUMPRODUCT($B40:$B44,P$2:P$6)</f>
        <v>7.3300196812717839</v>
      </c>
      <c r="H40">
        <f t="shared" si="46"/>
        <v>112.2246390674167</v>
      </c>
      <c r="I40">
        <f t="shared" si="46"/>
        <v>81.46423970595977</v>
      </c>
      <c r="J40">
        <f t="shared" si="46"/>
        <v>70.422986904839703</v>
      </c>
      <c r="K40">
        <f t="shared" si="46"/>
        <v>50.462901416999983</v>
      </c>
      <c r="L40">
        <f t="shared" si="7"/>
        <v>121.26635938548263</v>
      </c>
      <c r="M40">
        <f t="shared" si="8"/>
        <v>-0.83635938548262345</v>
      </c>
      <c r="N40">
        <f t="shared" si="9"/>
        <v>0.69949702168487149</v>
      </c>
    </row>
    <row r="41" spans="1:14" x14ac:dyDescent="0.45">
      <c r="A41" s="22">
        <v>42816</v>
      </c>
      <c r="B41">
        <v>121.26</v>
      </c>
      <c r="C41">
        <v>121.12</v>
      </c>
      <c r="G41">
        <f t="shared" ref="G41:K41" si="47">SUMPRODUCT($B41:$B45,P$2:P$6)</f>
        <v>7.383702928241938</v>
      </c>
      <c r="H41">
        <f t="shared" si="47"/>
        <v>112.52373960236203</v>
      </c>
      <c r="I41">
        <f t="shared" si="47"/>
        <v>81.672253872236126</v>
      </c>
      <c r="J41">
        <f t="shared" si="47"/>
        <v>70.58958770078948</v>
      </c>
      <c r="K41">
        <f t="shared" si="47"/>
        <v>50.573954630264737</v>
      </c>
      <c r="L41">
        <f t="shared" si="7"/>
        <v>121.56859104979338</v>
      </c>
      <c r="M41">
        <f t="shared" si="8"/>
        <v>-0.26859104979338611</v>
      </c>
      <c r="N41">
        <f t="shared" si="9"/>
        <v>7.2141152029113212E-2</v>
      </c>
    </row>
    <row r="42" spans="1:14" x14ac:dyDescent="0.45">
      <c r="A42" s="22">
        <v>42815</v>
      </c>
      <c r="B42">
        <v>123.53</v>
      </c>
      <c r="C42">
        <v>121.05</v>
      </c>
      <c r="G42">
        <f t="shared" ref="G42:K42" si="48">SUMPRODUCT($B42:$B46,P$2:P$6)</f>
        <v>7.4320348706172155</v>
      </c>
      <c r="H42">
        <f t="shared" si="48"/>
        <v>114.29954240435875</v>
      </c>
      <c r="I42">
        <f t="shared" si="48"/>
        <v>82.970100348326284</v>
      </c>
      <c r="J42">
        <f t="shared" si="48"/>
        <v>71.724289159709031</v>
      </c>
      <c r="K42">
        <f t="shared" si="48"/>
        <v>51.395082274784848</v>
      </c>
      <c r="L42">
        <f t="shared" si="7"/>
        <v>123.46266288785768</v>
      </c>
      <c r="M42">
        <f t="shared" si="8"/>
        <v>-2.2026628878576702</v>
      </c>
      <c r="N42">
        <f t="shared" si="9"/>
        <v>4.8517237975454917</v>
      </c>
    </row>
    <row r="43" spans="1:14" x14ac:dyDescent="0.45">
      <c r="A43" s="22">
        <v>42814</v>
      </c>
      <c r="B43">
        <v>123.57</v>
      </c>
      <c r="C43">
        <v>123.4</v>
      </c>
      <c r="G43">
        <f t="shared" ref="G43:K43" si="49">SUMPRODUCT($B43:$B47,P$2:P$6)</f>
        <v>7.4560834304616019</v>
      </c>
      <c r="H43">
        <f t="shared" si="49"/>
        <v>114.46604843887343</v>
      </c>
      <c r="I43">
        <f t="shared" si="49"/>
        <v>83.087459919149595</v>
      </c>
      <c r="J43">
        <f t="shared" si="49"/>
        <v>71.82064891261183</v>
      </c>
      <c r="K43">
        <f t="shared" si="49"/>
        <v>51.460922038953086</v>
      </c>
      <c r="L43">
        <f t="shared" si="7"/>
        <v>123.63338727056035</v>
      </c>
      <c r="M43">
        <f t="shared" si="8"/>
        <v>-0.10338727056034713</v>
      </c>
      <c r="N43">
        <f t="shared" si="9"/>
        <v>1.0688927713918422E-2</v>
      </c>
    </row>
    <row r="44" spans="1:14" x14ac:dyDescent="0.45">
      <c r="A44" s="22">
        <v>42811</v>
      </c>
      <c r="B44">
        <v>124.5</v>
      </c>
      <c r="C44">
        <v>123.92</v>
      </c>
      <c r="G44">
        <f t="shared" ref="G44:K44" si="50">SUMPRODUCT($B44:$B48,P$2:P$6)</f>
        <v>7.4756947657616752</v>
      </c>
      <c r="H44">
        <f t="shared" si="50"/>
        <v>115.21156574746286</v>
      </c>
      <c r="I44">
        <f t="shared" si="50"/>
        <v>83.631745444287134</v>
      </c>
      <c r="J44">
        <f t="shared" si="50"/>
        <v>72.29568443351323</v>
      </c>
      <c r="K44">
        <f t="shared" si="50"/>
        <v>51.804164258189573</v>
      </c>
      <c r="L44">
        <f t="shared" si="7"/>
        <v>124.42764228363876</v>
      </c>
      <c r="M44">
        <f t="shared" si="8"/>
        <v>-0.85764228363876782</v>
      </c>
      <c r="N44">
        <f t="shared" si="9"/>
        <v>0.73555028668512068</v>
      </c>
    </row>
    <row r="45" spans="1:14" x14ac:dyDescent="0.45">
      <c r="A45" s="22">
        <v>42810</v>
      </c>
      <c r="B45">
        <v>124.64</v>
      </c>
      <c r="C45">
        <v>124.35</v>
      </c>
      <c r="G45">
        <f t="shared" ref="G45:K45" si="51">SUMPRODUCT($B45:$B49,P$2:P$6)</f>
        <v>7.4813168502859861</v>
      </c>
      <c r="H45">
        <f t="shared" si="51"/>
        <v>115.3629234458202</v>
      </c>
      <c r="I45">
        <f t="shared" si="51"/>
        <v>83.741025487590065</v>
      </c>
      <c r="J45">
        <f t="shared" si="51"/>
        <v>72.389294055100748</v>
      </c>
      <c r="K45">
        <f t="shared" si="51"/>
        <v>51.87070093840682</v>
      </c>
      <c r="L45">
        <f t="shared" si="7"/>
        <v>124.58695454784795</v>
      </c>
      <c r="M45">
        <f t="shared" si="8"/>
        <v>-8.6954547847952313E-2</v>
      </c>
      <c r="N45">
        <f t="shared" si="9"/>
        <v>7.5610933914418282E-3</v>
      </c>
    </row>
    <row r="46" spans="1:14" x14ac:dyDescent="0.45">
      <c r="A46" s="22">
        <v>42809</v>
      </c>
      <c r="B46">
        <v>124.93</v>
      </c>
      <c r="C46">
        <v>124.67</v>
      </c>
      <c r="G46">
        <f t="shared" ref="G46:K46" si="52">SUMPRODUCT($B46:$B50,P$2:P$6)</f>
        <v>7.4909387567096521</v>
      </c>
      <c r="H46">
        <f t="shared" si="52"/>
        <v>115.58176946347763</v>
      </c>
      <c r="I46">
        <f t="shared" si="52"/>
        <v>83.901226216261051</v>
      </c>
      <c r="J46">
        <f t="shared" si="52"/>
        <v>72.529727152293347</v>
      </c>
      <c r="K46">
        <f t="shared" si="52"/>
        <v>51.972556521471624</v>
      </c>
      <c r="L46">
        <f t="shared" si="7"/>
        <v>124.82078333186385</v>
      </c>
      <c r="M46">
        <f t="shared" si="8"/>
        <v>-0.18078333186385009</v>
      </c>
      <c r="N46">
        <f t="shared" si="9"/>
        <v>3.2682613079794955E-2</v>
      </c>
    </row>
    <row r="47" spans="1:14" x14ac:dyDescent="0.45">
      <c r="A47" s="22">
        <v>42808</v>
      </c>
      <c r="B47">
        <v>124.88</v>
      </c>
      <c r="C47">
        <v>124.31</v>
      </c>
      <c r="G47">
        <f t="shared" ref="G47:K47" si="53">SUMPRODUCT($B47:$B51,P$2:P$6)</f>
        <v>7.5066046905261459</v>
      </c>
      <c r="H47">
        <f t="shared" si="53"/>
        <v>115.52677791548186</v>
      </c>
      <c r="I47">
        <f t="shared" si="53"/>
        <v>83.861543673309015</v>
      </c>
      <c r="J47">
        <f t="shared" si="53"/>
        <v>72.495767190048326</v>
      </c>
      <c r="K47">
        <f t="shared" si="53"/>
        <v>51.948438357853668</v>
      </c>
      <c r="L47">
        <f t="shared" si="7"/>
        <v>124.76293607923934</v>
      </c>
      <c r="M47">
        <f t="shared" si="8"/>
        <v>0.16706392076066834</v>
      </c>
      <c r="N47">
        <f t="shared" si="9"/>
        <v>2.7910353619926869E-2</v>
      </c>
    </row>
    <row r="48" spans="1:14" x14ac:dyDescent="0.45">
      <c r="A48" s="22">
        <v>42807</v>
      </c>
      <c r="B48">
        <v>124.77</v>
      </c>
      <c r="C48">
        <v>124.95</v>
      </c>
      <c r="G48">
        <f t="shared" ref="G48:K48" si="54">SUMPRODUCT($B48:$B52,P$2:P$6)</f>
        <v>7.5191408630248224</v>
      </c>
      <c r="H48">
        <f t="shared" si="54"/>
        <v>115.5748701114797</v>
      </c>
      <c r="I48">
        <f t="shared" si="54"/>
        <v>83.892395230067123</v>
      </c>
      <c r="J48">
        <f t="shared" si="54"/>
        <v>72.516542178109887</v>
      </c>
      <c r="K48">
        <f t="shared" si="54"/>
        <v>51.959611563054082</v>
      </c>
      <c r="L48">
        <f t="shared" si="7"/>
        <v>124.80741464007997</v>
      </c>
      <c r="M48">
        <f t="shared" si="8"/>
        <v>7.2585359920026349E-2</v>
      </c>
      <c r="N48">
        <f t="shared" si="9"/>
        <v>5.2686344747197673E-3</v>
      </c>
    </row>
    <row r="49" spans="1:14" x14ac:dyDescent="0.45">
      <c r="A49" s="22">
        <v>42804</v>
      </c>
      <c r="B49">
        <v>125.69</v>
      </c>
      <c r="C49">
        <v>124.94</v>
      </c>
      <c r="G49">
        <f t="shared" ref="G49:K49" si="55">SUMPRODUCT($B49:$B53,P$2:P$6)</f>
        <v>7.5336437922604667</v>
      </c>
      <c r="H49">
        <f t="shared" si="55"/>
        <v>116.32713985102305</v>
      </c>
      <c r="I49">
        <f t="shared" si="55"/>
        <v>84.441148890545747</v>
      </c>
      <c r="J49">
        <f t="shared" si="55"/>
        <v>72.994810603374845</v>
      </c>
      <c r="K49">
        <f t="shared" si="55"/>
        <v>52.304774290502465</v>
      </c>
      <c r="L49">
        <f t="shared" si="7"/>
        <v>125.60813118366053</v>
      </c>
      <c r="M49">
        <f t="shared" si="8"/>
        <v>-0.83813118366053629</v>
      </c>
      <c r="N49">
        <f t="shared" si="9"/>
        <v>0.70246388102421164</v>
      </c>
    </row>
    <row r="50" spans="1:14" x14ac:dyDescent="0.45">
      <c r="A50" s="22">
        <v>42803</v>
      </c>
      <c r="B50">
        <v>125.93</v>
      </c>
      <c r="C50">
        <v>124.76</v>
      </c>
      <c r="G50">
        <f t="shared" ref="G50:K50" si="56">SUMPRODUCT($B50:$B54,P$2:P$6)</f>
        <v>7.5373241499580805</v>
      </c>
      <c r="H50">
        <f t="shared" si="56"/>
        <v>116.38623310093486</v>
      </c>
      <c r="I50">
        <f t="shared" si="56"/>
        <v>84.48845815070456</v>
      </c>
      <c r="J50">
        <f t="shared" si="56"/>
        <v>73.042117831007303</v>
      </c>
      <c r="K50">
        <f t="shared" si="56"/>
        <v>52.342710421785078</v>
      </c>
      <c r="L50">
        <f t="shared" si="7"/>
        <v>125.67769778674102</v>
      </c>
      <c r="M50">
        <f t="shared" si="8"/>
        <v>1.2302213258976735E-2</v>
      </c>
      <c r="N50">
        <f t="shared" si="9"/>
        <v>1.5134445106934299E-4</v>
      </c>
    </row>
    <row r="51" spans="1:14" x14ac:dyDescent="0.45">
      <c r="A51" s="22">
        <v>42802</v>
      </c>
      <c r="B51">
        <v>125.05</v>
      </c>
      <c r="C51">
        <v>125.6</v>
      </c>
      <c r="G51">
        <f t="shared" ref="G51:K51" si="57">SUMPRODUCT($B51:$B55,P$2:P$6)</f>
        <v>7.5373660207222519</v>
      </c>
      <c r="H51">
        <f t="shared" si="57"/>
        <v>115.90231980407802</v>
      </c>
      <c r="I51">
        <f t="shared" si="57"/>
        <v>84.128238404659243</v>
      </c>
      <c r="J51">
        <f t="shared" si="57"/>
        <v>72.717731165755993</v>
      </c>
      <c r="K51">
        <f t="shared" si="57"/>
        <v>52.102082499021797</v>
      </c>
      <c r="L51">
        <f t="shared" si="7"/>
        <v>125.15116356461829</v>
      </c>
      <c r="M51">
        <f t="shared" si="8"/>
        <v>0.77883643538172009</v>
      </c>
      <c r="N51">
        <f t="shared" si="9"/>
        <v>0.60658619307810424</v>
      </c>
    </row>
    <row r="52" spans="1:14" x14ac:dyDescent="0.45">
      <c r="A52" s="22">
        <v>42801</v>
      </c>
      <c r="B52">
        <v>126.44</v>
      </c>
      <c r="C52">
        <v>125.4</v>
      </c>
      <c r="G52">
        <f t="shared" ref="G52:K52" si="58">SUMPRODUCT($B52:$B56,P$2:P$6)</f>
        <v>7.5218428768507151</v>
      </c>
      <c r="H52">
        <f t="shared" si="58"/>
        <v>116.88429053822162</v>
      </c>
      <c r="I52">
        <f t="shared" si="58"/>
        <v>84.849289980471923</v>
      </c>
      <c r="J52">
        <f t="shared" si="58"/>
        <v>73.353012680285076</v>
      </c>
      <c r="K52">
        <f t="shared" si="58"/>
        <v>52.564837574616291</v>
      </c>
      <c r="L52">
        <f t="shared" si="7"/>
        <v>126.20389065177991</v>
      </c>
      <c r="M52">
        <f t="shared" si="8"/>
        <v>-1.1538906517799177</v>
      </c>
      <c r="N52">
        <f t="shared" si="9"/>
        <v>1.3314636362650831</v>
      </c>
    </row>
    <row r="53" spans="1:14" x14ac:dyDescent="0.45">
      <c r="A53" s="22">
        <v>42800</v>
      </c>
      <c r="B53">
        <v>125.74</v>
      </c>
      <c r="C53">
        <v>126.1</v>
      </c>
      <c r="G53">
        <f t="shared" ref="G53:K53" si="59">SUMPRODUCT($B53:$B57,P$2:P$6)</f>
        <v>7.4986980061150401</v>
      </c>
      <c r="H53">
        <f t="shared" si="59"/>
        <v>116.28609979028788</v>
      </c>
      <c r="I53">
        <f t="shared" si="59"/>
        <v>84.413722614990633</v>
      </c>
      <c r="J53">
        <f t="shared" si="59"/>
        <v>72.974534899158712</v>
      </c>
      <c r="K53">
        <f t="shared" si="59"/>
        <v>52.292408218403764</v>
      </c>
      <c r="L53">
        <f t="shared" si="7"/>
        <v>125.56843091651126</v>
      </c>
      <c r="M53">
        <f t="shared" si="8"/>
        <v>0.87156908348873685</v>
      </c>
      <c r="N53">
        <f t="shared" si="9"/>
        <v>0.75963266729339673</v>
      </c>
    </row>
    <row r="54" spans="1:14" x14ac:dyDescent="0.45">
      <c r="A54" s="22">
        <v>42797</v>
      </c>
      <c r="B54">
        <v>125.38</v>
      </c>
      <c r="C54">
        <v>126.45</v>
      </c>
      <c r="G54">
        <f t="shared" ref="G54:K54" si="60">SUMPRODUCT($B54:$B58,P$2:P$6)</f>
        <v>7.4983702676991362</v>
      </c>
      <c r="H54">
        <f t="shared" si="60"/>
        <v>115.79587569743026</v>
      </c>
      <c r="I54">
        <f t="shared" si="60"/>
        <v>84.062124299080622</v>
      </c>
      <c r="J54">
        <f t="shared" si="60"/>
        <v>72.676772044170647</v>
      </c>
      <c r="K54">
        <f t="shared" si="60"/>
        <v>52.082934858963384</v>
      </c>
      <c r="L54">
        <f t="shared" si="7"/>
        <v>125.05615796905545</v>
      </c>
      <c r="M54">
        <f t="shared" si="8"/>
        <v>0.68384203094454676</v>
      </c>
      <c r="N54">
        <f t="shared" si="9"/>
        <v>0.46763992328636245</v>
      </c>
    </row>
    <row r="55" spans="1:14" x14ac:dyDescent="0.45">
      <c r="A55" s="22">
        <v>42796</v>
      </c>
      <c r="B55">
        <v>123.94</v>
      </c>
      <c r="C55">
        <v>125.17</v>
      </c>
      <c r="G55">
        <f t="shared" ref="G55:K55" si="61">SUMPRODUCT($B55:$B59,P$2:P$6)</f>
        <v>7.5265060509559651</v>
      </c>
      <c r="H55">
        <f t="shared" si="61"/>
        <v>114.9567962969687</v>
      </c>
      <c r="I55">
        <f t="shared" si="61"/>
        <v>83.439675307714012</v>
      </c>
      <c r="J55">
        <f t="shared" si="61"/>
        <v>72.119288268839838</v>
      </c>
      <c r="K55">
        <f t="shared" si="61"/>
        <v>51.671240416128818</v>
      </c>
      <c r="L55">
        <f t="shared" si="7"/>
        <v>124.14659015713305</v>
      </c>
      <c r="M55">
        <f t="shared" si="8"/>
        <v>1.2334098428669478</v>
      </c>
      <c r="N55">
        <f t="shared" si="9"/>
        <v>1.5212998404810687</v>
      </c>
    </row>
    <row r="56" spans="1:14" x14ac:dyDescent="0.45">
      <c r="A56" s="22">
        <v>42795</v>
      </c>
      <c r="B56">
        <v>125.89</v>
      </c>
      <c r="C56">
        <v>124.53</v>
      </c>
      <c r="G56">
        <f t="shared" ref="G56:K56" si="62">SUMPRODUCT($B56:$B60,P$2:P$6)</f>
        <v>7.5661849983249354</v>
      </c>
      <c r="H56">
        <f t="shared" si="62"/>
        <v>116.45252911133043</v>
      </c>
      <c r="I56">
        <f t="shared" si="62"/>
        <v>84.533782153695356</v>
      </c>
      <c r="J56">
        <f t="shared" si="62"/>
        <v>73.077238547629818</v>
      </c>
      <c r="K56">
        <f t="shared" si="62"/>
        <v>52.365317438379897</v>
      </c>
      <c r="L56">
        <f t="shared" si="7"/>
        <v>125.74344971019995</v>
      </c>
      <c r="M56">
        <f t="shared" si="8"/>
        <v>-1.8034497101999563</v>
      </c>
      <c r="N56">
        <f t="shared" si="9"/>
        <v>3.2524308572203062</v>
      </c>
    </row>
    <row r="57" spans="1:14" x14ac:dyDescent="0.45">
      <c r="A57" s="22">
        <v>42794</v>
      </c>
      <c r="B57">
        <v>125.72</v>
      </c>
      <c r="C57">
        <v>125.44</v>
      </c>
      <c r="G57">
        <f t="shared" ref="G57:K57" si="63">SUMPRODUCT($B57:$B61,P$2:P$6)</f>
        <v>7.5136868581356779</v>
      </c>
      <c r="H57">
        <f t="shared" si="63"/>
        <v>116.49894279134591</v>
      </c>
      <c r="I57">
        <f t="shared" si="63"/>
        <v>84.561956869777589</v>
      </c>
      <c r="J57">
        <f t="shared" si="63"/>
        <v>73.093582373132051</v>
      </c>
      <c r="K57">
        <f t="shared" si="63"/>
        <v>52.371979519993403</v>
      </c>
      <c r="L57">
        <f t="shared" si="7"/>
        <v>125.78383757978057</v>
      </c>
      <c r="M57">
        <f t="shared" si="8"/>
        <v>0.10616242021943378</v>
      </c>
      <c r="N57">
        <f t="shared" si="9"/>
        <v>1.1270459466847644E-2</v>
      </c>
    </row>
    <row r="58" spans="1:14" x14ac:dyDescent="0.45">
      <c r="A58" s="22">
        <v>42793</v>
      </c>
      <c r="B58">
        <v>126.95</v>
      </c>
      <c r="C58">
        <v>125.85</v>
      </c>
      <c r="G58">
        <f t="shared" ref="G58:K58" si="64">SUMPRODUCT($B58:$B62,P$2:P$6)</f>
        <v>7.4001410253348157</v>
      </c>
      <c r="H58">
        <f t="shared" si="64"/>
        <v>117.39253001314583</v>
      </c>
      <c r="I58">
        <f t="shared" si="64"/>
        <v>85.21723551717244</v>
      </c>
      <c r="J58">
        <f t="shared" si="64"/>
        <v>73.669658107467981</v>
      </c>
      <c r="K58">
        <f t="shared" si="64"/>
        <v>52.790832208068899</v>
      </c>
      <c r="L58">
        <f t="shared" si="7"/>
        <v>126.74042550882544</v>
      </c>
      <c r="M58">
        <f t="shared" si="8"/>
        <v>-1.0204255088254399</v>
      </c>
      <c r="N58">
        <f t="shared" si="9"/>
        <v>1.041268219061658</v>
      </c>
    </row>
    <row r="59" spans="1:14" x14ac:dyDescent="0.45">
      <c r="A59" s="22">
        <v>42790</v>
      </c>
      <c r="B59">
        <v>126.5</v>
      </c>
      <c r="C59">
        <v>128.01</v>
      </c>
      <c r="G59">
        <f t="shared" ref="G59:K59" si="65">SUMPRODUCT($B59:$B63,P$2:P$6)</f>
        <v>7.2578744166256062</v>
      </c>
      <c r="H59">
        <f t="shared" si="65"/>
        <v>116.02168326734038</v>
      </c>
      <c r="I59">
        <f t="shared" si="65"/>
        <v>84.247987641753014</v>
      </c>
      <c r="J59">
        <f t="shared" si="65"/>
        <v>72.869321245578774</v>
      </c>
      <c r="K59">
        <f t="shared" si="65"/>
        <v>52.240986763458665</v>
      </c>
      <c r="L59">
        <f t="shared" si="7"/>
        <v>125.33005179830513</v>
      </c>
      <c r="M59">
        <f t="shared" si="8"/>
        <v>1.6199482016948679</v>
      </c>
      <c r="N59">
        <f t="shared" si="9"/>
        <v>2.6242321761744365</v>
      </c>
    </row>
    <row r="60" spans="1:14" x14ac:dyDescent="0.45">
      <c r="A60" s="22">
        <v>42789</v>
      </c>
      <c r="B60">
        <v>119.49</v>
      </c>
      <c r="C60">
        <v>120.7</v>
      </c>
      <c r="G60">
        <f t="shared" ref="G60:K60" si="66">SUMPRODUCT($B60:$B64,P$2:P$6)</f>
        <v>7.1633919110211535</v>
      </c>
      <c r="H60">
        <f t="shared" si="66"/>
        <v>110.59653097607416</v>
      </c>
      <c r="I60">
        <f t="shared" si="66"/>
        <v>80.281130919227849</v>
      </c>
      <c r="J60">
        <f t="shared" si="66"/>
        <v>69.398403715447387</v>
      </c>
      <c r="K60">
        <f t="shared" si="66"/>
        <v>49.727564901062159</v>
      </c>
      <c r="L60">
        <f t="shared" si="7"/>
        <v>119.54059908724244</v>
      </c>
      <c r="M60">
        <f t="shared" si="8"/>
        <v>6.9594009127575589</v>
      </c>
      <c r="N60">
        <f t="shared" si="9"/>
        <v>48.433261064490743</v>
      </c>
    </row>
    <row r="61" spans="1:14" x14ac:dyDescent="0.45">
      <c r="A61" s="22">
        <v>42788</v>
      </c>
      <c r="B61">
        <v>119.77</v>
      </c>
      <c r="C61">
        <v>119.43</v>
      </c>
      <c r="G61">
        <f t="shared" ref="G61:K61" si="67">SUMPRODUCT($B61:$B65,P$2:P$6)</f>
        <v>7.1547333151777961</v>
      </c>
      <c r="H61">
        <f t="shared" si="67"/>
        <v>110.76392891977507</v>
      </c>
      <c r="I61">
        <f t="shared" si="67"/>
        <v>80.4051280117407</v>
      </c>
      <c r="J61">
        <f t="shared" si="67"/>
        <v>69.509200039466037</v>
      </c>
      <c r="K61">
        <f t="shared" si="67"/>
        <v>49.809228844405482</v>
      </c>
      <c r="L61">
        <f t="shared" si="7"/>
        <v>119.72177004818165</v>
      </c>
      <c r="M61">
        <f t="shared" si="8"/>
        <v>-0.23177004818165869</v>
      </c>
      <c r="N61">
        <f t="shared" si="9"/>
        <v>5.3717355234128392E-2</v>
      </c>
    </row>
    <row r="62" spans="1:14" x14ac:dyDescent="0.45">
      <c r="A62" s="22">
        <v>42787</v>
      </c>
      <c r="B62">
        <v>119.42</v>
      </c>
      <c r="C62">
        <v>119.87</v>
      </c>
      <c r="G62">
        <f t="shared" ref="G62:K62" si="68">SUMPRODUCT($B62:$B66,P$2:P$6)</f>
        <v>7.1379961943271528</v>
      </c>
      <c r="H62">
        <f t="shared" si="68"/>
        <v>110.46483362153462</v>
      </c>
      <c r="I62">
        <f t="shared" si="68"/>
        <v>80.187344166602884</v>
      </c>
      <c r="J62">
        <f t="shared" si="68"/>
        <v>69.319961316130588</v>
      </c>
      <c r="K62">
        <f t="shared" si="68"/>
        <v>49.673013811853487</v>
      </c>
      <c r="L62">
        <f t="shared" si="7"/>
        <v>119.40404013786409</v>
      </c>
      <c r="M62">
        <f t="shared" si="8"/>
        <v>0.36595986213590948</v>
      </c>
      <c r="N62">
        <f t="shared" si="9"/>
        <v>0.13392662069453387</v>
      </c>
    </row>
    <row r="63" spans="1:14" x14ac:dyDescent="0.45">
      <c r="A63" s="22">
        <v>42783</v>
      </c>
      <c r="B63">
        <v>119.24</v>
      </c>
      <c r="C63">
        <v>119.86</v>
      </c>
      <c r="G63">
        <f t="shared" ref="G63:K63" si="69">SUMPRODUCT($B63:$B67,P$2:P$6)</f>
        <v>7.1191953503309078</v>
      </c>
      <c r="H63">
        <f t="shared" si="69"/>
        <v>110.28956197739242</v>
      </c>
      <c r="I63">
        <f t="shared" si="69"/>
        <v>80.060350739739263</v>
      </c>
      <c r="J63">
        <f t="shared" si="69"/>
        <v>69.210523461616603</v>
      </c>
      <c r="K63">
        <f t="shared" si="69"/>
        <v>49.594810540137402</v>
      </c>
      <c r="L63">
        <f t="shared" si="7"/>
        <v>119.21884638820401</v>
      </c>
      <c r="M63">
        <f t="shared" si="8"/>
        <v>0.20115361179598779</v>
      </c>
      <c r="N63">
        <f t="shared" si="9"/>
        <v>4.0462775538570958E-2</v>
      </c>
    </row>
    <row r="64" spans="1:14" x14ac:dyDescent="0.45">
      <c r="A64" s="22">
        <v>42782</v>
      </c>
      <c r="B64">
        <v>119</v>
      </c>
      <c r="C64">
        <v>119.24</v>
      </c>
      <c r="G64">
        <f t="shared" ref="G64:K64" si="70">SUMPRODUCT($B64:$B68,P$2:P$6)</f>
        <v>7.1005777291665719</v>
      </c>
      <c r="H64">
        <f t="shared" si="70"/>
        <v>110.03549584512987</v>
      </c>
      <c r="I64">
        <f t="shared" si="70"/>
        <v>79.876790152424149</v>
      </c>
      <c r="J64">
        <f t="shared" si="70"/>
        <v>69.053101882287166</v>
      </c>
      <c r="K64">
        <f t="shared" si="70"/>
        <v>49.482800702879821</v>
      </c>
      <c r="L64">
        <f t="shared" si="7"/>
        <v>118.95122914227981</v>
      </c>
      <c r="M64">
        <f t="shared" si="8"/>
        <v>0.28877085772018063</v>
      </c>
      <c r="N64">
        <f t="shared" si="9"/>
        <v>8.3388608268448808E-2</v>
      </c>
    </row>
    <row r="65" spans="1:14" x14ac:dyDescent="0.45">
      <c r="A65" s="22">
        <v>42781</v>
      </c>
      <c r="B65">
        <v>118.54</v>
      </c>
      <c r="C65">
        <v>118.95</v>
      </c>
      <c r="G65">
        <f t="shared" ref="G65:K65" si="71">SUMPRODUCT($B65:$B69,P$2:P$6)</f>
        <v>7.0721097226804108</v>
      </c>
      <c r="H65">
        <f t="shared" si="71"/>
        <v>109.62153026014896</v>
      </c>
      <c r="I65">
        <f t="shared" si="71"/>
        <v>79.57597656143632</v>
      </c>
      <c r="J65">
        <f t="shared" si="71"/>
        <v>68.792601987315265</v>
      </c>
      <c r="K65">
        <f t="shared" si="71"/>
        <v>49.295846403262338</v>
      </c>
      <c r="L65">
        <f t="shared" si="7"/>
        <v>118.51244292618638</v>
      </c>
      <c r="M65">
        <f t="shared" si="8"/>
        <v>0.48755707381361901</v>
      </c>
      <c r="N65">
        <f t="shared" si="9"/>
        <v>0.23771190022569874</v>
      </c>
    </row>
    <row r="66" spans="1:14" x14ac:dyDescent="0.45">
      <c r="A66" s="22">
        <v>42780</v>
      </c>
      <c r="B66">
        <v>118.16</v>
      </c>
      <c r="C66">
        <v>118.84</v>
      </c>
      <c r="G66">
        <f t="shared" ref="G66:K66" si="72">SUMPRODUCT($B66:$B70,P$2:P$6)</f>
        <v>7.0397467142546057</v>
      </c>
      <c r="H66">
        <f t="shared" si="72"/>
        <v>109.32959710353857</v>
      </c>
      <c r="I66">
        <f t="shared" si="72"/>
        <v>79.362444561567202</v>
      </c>
      <c r="J66">
        <f t="shared" si="72"/>
        <v>68.60566695198699</v>
      </c>
      <c r="K66">
        <f t="shared" si="72"/>
        <v>49.160417081311451</v>
      </c>
      <c r="L66">
        <f t="shared" si="7"/>
        <v>118.20079529641673</v>
      </c>
      <c r="M66">
        <f t="shared" si="8"/>
        <v>0.33920470358327748</v>
      </c>
      <c r="N66">
        <f t="shared" si="9"/>
        <v>0.11505983093301914</v>
      </c>
    </row>
    <row r="67" spans="1:14" x14ac:dyDescent="0.45">
      <c r="A67" s="22">
        <v>42779</v>
      </c>
      <c r="B67">
        <v>118.19</v>
      </c>
      <c r="C67">
        <v>118.4</v>
      </c>
      <c r="G67">
        <f t="shared" ref="G67:K67" si="73">SUMPRODUCT($B67:$B71,P$2:P$6)</f>
        <v>6.9644753695019039</v>
      </c>
      <c r="H67">
        <f t="shared" si="73"/>
        <v>109.11582215024005</v>
      </c>
      <c r="I67">
        <f t="shared" si="73"/>
        <v>79.213809232433803</v>
      </c>
      <c r="J67">
        <f t="shared" si="73"/>
        <v>68.486674091861843</v>
      </c>
      <c r="K67">
        <f t="shared" si="73"/>
        <v>49.081133572008589</v>
      </c>
      <c r="L67">
        <f t="shared" ref="L67:L130" si="74">(G67+$P$7)*$U$2+(H67+$Q$7)*$U$3+(I67+$R$7)*$U$4+(J67+$S$7)*$U$5+(K67+$T$7)*$U$6+$U$7</f>
        <v>117.98483878312757</v>
      </c>
      <c r="M67">
        <f t="shared" ref="M67:M130" si="75">B66-L67</f>
        <v>0.17516121687242503</v>
      </c>
      <c r="N67">
        <f t="shared" ref="N67:N130" si="76">M67^2</f>
        <v>3.0681451896228715E-2</v>
      </c>
    </row>
    <row r="68" spans="1:14" x14ac:dyDescent="0.45">
      <c r="A68" s="22">
        <v>42776</v>
      </c>
      <c r="B68">
        <v>116.56</v>
      </c>
      <c r="C68">
        <v>117.53</v>
      </c>
      <c r="G68">
        <f t="shared" ref="G68:K68" si="77">SUMPRODUCT($B68:$B72,P$2:P$6)</f>
        <v>6.9212983207269536</v>
      </c>
      <c r="H68">
        <f t="shared" si="77"/>
        <v>107.85650433909495</v>
      </c>
      <c r="I68">
        <f t="shared" si="77"/>
        <v>78.29293027313939</v>
      </c>
      <c r="J68">
        <f t="shared" si="77"/>
        <v>67.680821329290012</v>
      </c>
      <c r="K68">
        <f t="shared" si="77"/>
        <v>48.497524434390805</v>
      </c>
      <c r="L68">
        <f t="shared" si="74"/>
        <v>116.6408466130985</v>
      </c>
      <c r="M68">
        <f t="shared" si="75"/>
        <v>1.5491533869014944</v>
      </c>
      <c r="N68">
        <f t="shared" si="76"/>
        <v>2.3998762161483711</v>
      </c>
    </row>
    <row r="69" spans="1:14" x14ac:dyDescent="0.45">
      <c r="A69" s="22">
        <v>42775</v>
      </c>
      <c r="B69">
        <v>116.64</v>
      </c>
      <c r="C69">
        <v>116.09</v>
      </c>
      <c r="G69">
        <f t="shared" ref="G69:K69" si="78">SUMPRODUCT($B69:$B73,P$2:P$6)</f>
        <v>6.9393432761889144</v>
      </c>
      <c r="H69">
        <f t="shared" si="78"/>
        <v>107.22920497708448</v>
      </c>
      <c r="I69">
        <f t="shared" si="78"/>
        <v>77.856566486978679</v>
      </c>
      <c r="J69">
        <f t="shared" si="78"/>
        <v>67.331186943677707</v>
      </c>
      <c r="K69">
        <f t="shared" si="78"/>
        <v>48.264364460480934</v>
      </c>
      <c r="L69">
        <f t="shared" si="74"/>
        <v>116.00682590475355</v>
      </c>
      <c r="M69">
        <f t="shared" si="75"/>
        <v>0.55317409524644745</v>
      </c>
      <c r="N69">
        <f t="shared" si="76"/>
        <v>0.3060015796517257</v>
      </c>
    </row>
    <row r="70" spans="1:14" x14ac:dyDescent="0.45">
      <c r="A70" s="22">
        <v>42774</v>
      </c>
      <c r="B70">
        <v>111.9</v>
      </c>
      <c r="C70">
        <v>116.55</v>
      </c>
      <c r="G70">
        <f t="shared" ref="G70:K70" si="79">SUMPRODUCT($B70:$B74,P$2:P$6)</f>
        <v>7.0034619956207376</v>
      </c>
      <c r="H70">
        <f t="shared" si="79"/>
        <v>104.45577715858923</v>
      </c>
      <c r="I70">
        <f t="shared" si="79"/>
        <v>75.799664730567685</v>
      </c>
      <c r="J70">
        <f t="shared" si="79"/>
        <v>65.489665032695314</v>
      </c>
      <c r="K70">
        <f t="shared" si="79"/>
        <v>46.90484927688393</v>
      </c>
      <c r="L70">
        <f t="shared" si="74"/>
        <v>113.00119263908093</v>
      </c>
      <c r="M70">
        <f t="shared" si="75"/>
        <v>3.6388073609190741</v>
      </c>
      <c r="N70">
        <f t="shared" si="76"/>
        <v>13.240919009878837</v>
      </c>
    </row>
    <row r="71" spans="1:14" x14ac:dyDescent="0.45">
      <c r="A71" s="22">
        <v>42773</v>
      </c>
      <c r="B71">
        <v>118.24</v>
      </c>
      <c r="C71">
        <v>117.48</v>
      </c>
      <c r="G71">
        <f t="shared" ref="G71:K71" si="80">SUMPRODUCT($B71:$B75,P$2:P$6)</f>
        <v>7.0791266962825734</v>
      </c>
      <c r="H71">
        <f t="shared" si="80"/>
        <v>109.37742728450031</v>
      </c>
      <c r="I71">
        <f t="shared" si="80"/>
        <v>79.397876002423999</v>
      </c>
      <c r="J71">
        <f t="shared" si="80"/>
        <v>68.637323752295472</v>
      </c>
      <c r="K71">
        <f t="shared" si="80"/>
        <v>49.18375037640012</v>
      </c>
      <c r="L71">
        <f t="shared" si="74"/>
        <v>118.25256126766919</v>
      </c>
      <c r="M71">
        <f t="shared" si="75"/>
        <v>-6.3525612676691878</v>
      </c>
      <c r="N71">
        <f t="shared" si="76"/>
        <v>40.355034659490755</v>
      </c>
    </row>
    <row r="72" spans="1:14" x14ac:dyDescent="0.45">
      <c r="A72" s="22">
        <v>42772</v>
      </c>
      <c r="B72">
        <v>118.09</v>
      </c>
      <c r="C72">
        <v>117.89</v>
      </c>
      <c r="G72">
        <f t="shared" ref="G72:K72" si="81">SUMPRODUCT($B72:$B76,P$2:P$6)</f>
        <v>7.0747290386286803</v>
      </c>
      <c r="H72">
        <f t="shared" si="81"/>
        <v>109.32594359139937</v>
      </c>
      <c r="I72">
        <f t="shared" si="81"/>
        <v>79.358139624691489</v>
      </c>
      <c r="J72">
        <f t="shared" si="81"/>
        <v>68.599539059137825</v>
      </c>
      <c r="K72">
        <f t="shared" si="81"/>
        <v>49.154512564556626</v>
      </c>
      <c r="L72">
        <f t="shared" si="74"/>
        <v>118.19430208797786</v>
      </c>
      <c r="M72">
        <f t="shared" si="75"/>
        <v>4.5697912022134801E-2</v>
      </c>
      <c r="N72">
        <f t="shared" si="76"/>
        <v>2.0882991631827725E-3</v>
      </c>
    </row>
    <row r="73" spans="1:14" x14ac:dyDescent="0.45">
      <c r="A73" s="22">
        <v>42769</v>
      </c>
      <c r="B73">
        <v>118.54</v>
      </c>
      <c r="C73">
        <v>118.37</v>
      </c>
      <c r="G73">
        <f t="shared" ref="G73:K73" si="82">SUMPRODUCT($B73:$B77,P$2:P$6)</f>
        <v>7.0763547512274432</v>
      </c>
      <c r="H73">
        <f t="shared" si="82"/>
        <v>109.4833038586294</v>
      </c>
      <c r="I73">
        <f t="shared" si="82"/>
        <v>79.4793822663664</v>
      </c>
      <c r="J73">
        <f t="shared" si="82"/>
        <v>68.714535697509135</v>
      </c>
      <c r="K73">
        <f t="shared" si="82"/>
        <v>49.24333213384751</v>
      </c>
      <c r="L73">
        <f t="shared" si="74"/>
        <v>118.37203496556783</v>
      </c>
      <c r="M73">
        <f t="shared" si="75"/>
        <v>-0.28203496556783136</v>
      </c>
      <c r="N73">
        <f t="shared" si="76"/>
        <v>7.9543721802847828E-2</v>
      </c>
    </row>
    <row r="74" spans="1:14" x14ac:dyDescent="0.45">
      <c r="A74" s="22">
        <v>42768</v>
      </c>
      <c r="B74">
        <v>117.21</v>
      </c>
      <c r="C74">
        <v>117.83</v>
      </c>
      <c r="G74">
        <f t="shared" ref="G74:K74" si="83">SUMPRODUCT($B74:$B78,P$2:P$6)</f>
        <v>7.0835002180909266</v>
      </c>
      <c r="H74">
        <f t="shared" si="83"/>
        <v>108.632508453916</v>
      </c>
      <c r="I74">
        <f t="shared" si="83"/>
        <v>78.851502897314063</v>
      </c>
      <c r="J74">
        <f t="shared" si="83"/>
        <v>68.156820840549599</v>
      </c>
      <c r="K74">
        <f t="shared" si="83"/>
        <v>48.834283621564218</v>
      </c>
      <c r="L74">
        <f t="shared" si="74"/>
        <v>117.45493903117551</v>
      </c>
      <c r="M74">
        <f t="shared" si="75"/>
        <v>1.085060968824493</v>
      </c>
      <c r="N74">
        <f t="shared" si="76"/>
        <v>1.1773573060663474</v>
      </c>
    </row>
    <row r="75" spans="1:14" x14ac:dyDescent="0.45">
      <c r="A75" s="22">
        <v>42767</v>
      </c>
      <c r="B75">
        <v>118.49</v>
      </c>
      <c r="C75">
        <v>117.71</v>
      </c>
      <c r="G75">
        <f t="shared" ref="G75:K75" si="84">SUMPRODUCT($B75:$B79,P$2:P$6)</f>
        <v>7.1061566065880388</v>
      </c>
      <c r="H75">
        <f t="shared" si="84"/>
        <v>109.62037527380264</v>
      </c>
      <c r="I75">
        <f t="shared" si="84"/>
        <v>79.573917685223009</v>
      </c>
      <c r="J75">
        <f t="shared" si="84"/>
        <v>68.789046615277925</v>
      </c>
      <c r="K75">
        <f t="shared" si="84"/>
        <v>49.292182051184497</v>
      </c>
      <c r="L75">
        <f t="shared" si="74"/>
        <v>118.50928252387477</v>
      </c>
      <c r="M75">
        <f t="shared" si="75"/>
        <v>-1.2992825238747798</v>
      </c>
      <c r="N75">
        <f t="shared" si="76"/>
        <v>1.6881350768464178</v>
      </c>
    </row>
    <row r="76" spans="1:14" x14ac:dyDescent="0.45">
      <c r="A76" s="22">
        <v>42766</v>
      </c>
      <c r="B76">
        <v>118.42</v>
      </c>
      <c r="C76">
        <v>118.58</v>
      </c>
      <c r="G76">
        <f t="shared" ref="G76:K76" si="85">SUMPRODUCT($B76:$B80,P$2:P$6)</f>
        <v>7.1260680159484746</v>
      </c>
      <c r="H76">
        <f t="shared" si="85"/>
        <v>109.5759795674681</v>
      </c>
      <c r="I76">
        <f t="shared" si="85"/>
        <v>79.541138763254011</v>
      </c>
      <c r="J76">
        <f t="shared" si="85"/>
        <v>68.759909672923499</v>
      </c>
      <c r="K76">
        <f t="shared" si="85"/>
        <v>49.270799109707532</v>
      </c>
      <c r="L76">
        <f t="shared" si="74"/>
        <v>118.46140339296856</v>
      </c>
      <c r="M76">
        <f t="shared" si="75"/>
        <v>2.8596607031431631E-2</v>
      </c>
      <c r="N76">
        <f t="shared" si="76"/>
        <v>8.1776593371012498E-4</v>
      </c>
    </row>
    <row r="77" spans="1:14" x14ac:dyDescent="0.45">
      <c r="A77" s="22">
        <v>42765</v>
      </c>
      <c r="B77">
        <v>118.49</v>
      </c>
      <c r="C77">
        <v>118.53</v>
      </c>
      <c r="G77">
        <f t="shared" ref="G77:K77" si="86">SUMPRODUCT($B77:$B81,P$2:P$6)</f>
        <v>7.1514744988667491</v>
      </c>
      <c r="H77">
        <f t="shared" si="86"/>
        <v>109.72222661421797</v>
      </c>
      <c r="I77">
        <f t="shared" si="86"/>
        <v>79.645091924238201</v>
      </c>
      <c r="J77">
        <f t="shared" si="86"/>
        <v>68.846569747692172</v>
      </c>
      <c r="K77">
        <f t="shared" si="86"/>
        <v>49.330877855797063</v>
      </c>
      <c r="L77">
        <f t="shared" si="74"/>
        <v>118.61274139830213</v>
      </c>
      <c r="M77">
        <f t="shared" si="75"/>
        <v>-0.19274139830213244</v>
      </c>
      <c r="N77">
        <f t="shared" si="76"/>
        <v>3.7149246619461264E-2</v>
      </c>
    </row>
    <row r="78" spans="1:14" x14ac:dyDescent="0.45">
      <c r="A78" s="22">
        <v>42762</v>
      </c>
      <c r="B78">
        <v>119.12</v>
      </c>
      <c r="C78">
        <v>118.59</v>
      </c>
      <c r="G78">
        <f t="shared" ref="G78:K78" si="87">SUMPRODUCT($B78:$B82,P$2:P$6)</f>
        <v>7.152503863546114</v>
      </c>
      <c r="H78">
        <f t="shared" si="87"/>
        <v>110.3414967209888</v>
      </c>
      <c r="I78">
        <f t="shared" si="87"/>
        <v>80.093635778323431</v>
      </c>
      <c r="J78">
        <f t="shared" si="87"/>
        <v>69.232888558237377</v>
      </c>
      <c r="K78">
        <f t="shared" si="87"/>
        <v>49.606798867909589</v>
      </c>
      <c r="L78">
        <f t="shared" si="74"/>
        <v>119.2668304494272</v>
      </c>
      <c r="M78">
        <f t="shared" si="75"/>
        <v>-0.77683044942720869</v>
      </c>
      <c r="N78">
        <f t="shared" si="76"/>
        <v>0.60346554715727907</v>
      </c>
    </row>
    <row r="79" spans="1:14" x14ac:dyDescent="0.45">
      <c r="A79" s="22">
        <v>42761</v>
      </c>
      <c r="B79">
        <v>120</v>
      </c>
      <c r="C79">
        <v>118.46</v>
      </c>
      <c r="G79">
        <f t="shared" ref="G79:K79" si="88">SUMPRODUCT($B79:$B83,P$2:P$6)</f>
        <v>7.1167937667765617</v>
      </c>
      <c r="H79">
        <f t="shared" si="88"/>
        <v>110.97527584230602</v>
      </c>
      <c r="I79">
        <f t="shared" si="88"/>
        <v>80.558584073547735</v>
      </c>
      <c r="J79">
        <f t="shared" si="88"/>
        <v>69.641914717180896</v>
      </c>
      <c r="K79">
        <f t="shared" si="88"/>
        <v>49.90436304861587</v>
      </c>
      <c r="L79">
        <f t="shared" si="74"/>
        <v>119.94559580782341</v>
      </c>
      <c r="M79">
        <f t="shared" si="75"/>
        <v>-0.82559580782340447</v>
      </c>
      <c r="N79">
        <f t="shared" si="76"/>
        <v>0.68160843789557979</v>
      </c>
    </row>
    <row r="80" spans="1:14" x14ac:dyDescent="0.45">
      <c r="A80" s="22">
        <v>42760</v>
      </c>
      <c r="B80">
        <v>119.64</v>
      </c>
      <c r="C80">
        <v>120.01</v>
      </c>
      <c r="G80">
        <f t="shared" ref="G80:K80" si="89">SUMPRODUCT($B80:$B84,P$2:P$6)</f>
        <v>7.057059764929063</v>
      </c>
      <c r="H80">
        <f t="shared" si="89"/>
        <v>110.41520959675414</v>
      </c>
      <c r="I80">
        <f t="shared" si="89"/>
        <v>80.158178801686375</v>
      </c>
      <c r="J80">
        <f t="shared" si="89"/>
        <v>69.304706876486705</v>
      </c>
      <c r="K80">
        <f t="shared" si="89"/>
        <v>49.668354997793379</v>
      </c>
      <c r="L80">
        <f t="shared" si="74"/>
        <v>119.3623781036424</v>
      </c>
      <c r="M80">
        <f t="shared" si="75"/>
        <v>0.6376218963576008</v>
      </c>
      <c r="N80">
        <f t="shared" si="76"/>
        <v>0.40656168271466303</v>
      </c>
    </row>
    <row r="81" spans="1:14" x14ac:dyDescent="0.45">
      <c r="A81" s="22">
        <v>42759</v>
      </c>
      <c r="B81">
        <v>117.72</v>
      </c>
      <c r="C81">
        <v>118.75</v>
      </c>
      <c r="G81">
        <f t="shared" ref="G81:K81" si="90">SUMPRODUCT($B81:$B85,P$2:P$6)</f>
        <v>7.0047079882181409</v>
      </c>
      <c r="H81">
        <f t="shared" si="90"/>
        <v>108.82064558914563</v>
      </c>
      <c r="I81">
        <f t="shared" si="90"/>
        <v>78.995756198291218</v>
      </c>
      <c r="J81">
        <f t="shared" si="90"/>
        <v>68.292682309654779</v>
      </c>
      <c r="K81">
        <f t="shared" si="90"/>
        <v>48.938666253277709</v>
      </c>
      <c r="L81">
        <f t="shared" si="74"/>
        <v>117.66631934820089</v>
      </c>
      <c r="M81">
        <f t="shared" si="75"/>
        <v>1.9736806517991141</v>
      </c>
      <c r="N81">
        <f t="shared" si="76"/>
        <v>3.8954153152861761</v>
      </c>
    </row>
    <row r="82" spans="1:14" x14ac:dyDescent="0.45">
      <c r="A82" s="22">
        <v>42758</v>
      </c>
      <c r="B82">
        <v>117.05</v>
      </c>
      <c r="C82">
        <v>117.1</v>
      </c>
      <c r="G82">
        <f t="shared" ref="G82:K82" si="91">SUMPRODUCT($B82:$B86,P$2:P$6)</f>
        <v>6.9824925901617085</v>
      </c>
      <c r="H82">
        <f t="shared" si="91"/>
        <v>108.21529168889644</v>
      </c>
      <c r="I82">
        <f t="shared" si="91"/>
        <v>78.555934879130533</v>
      </c>
      <c r="J82">
        <f t="shared" si="91"/>
        <v>67.911900715100458</v>
      </c>
      <c r="K82">
        <f t="shared" si="91"/>
        <v>48.665450799433742</v>
      </c>
      <c r="L82">
        <f t="shared" si="74"/>
        <v>117.02477592883621</v>
      </c>
      <c r="M82">
        <f t="shared" si="75"/>
        <v>0.6952240711637927</v>
      </c>
      <c r="N82">
        <f t="shared" si="76"/>
        <v>0.48333650912555831</v>
      </c>
    </row>
    <row r="83" spans="1:14" x14ac:dyDescent="0.45">
      <c r="A83" s="22">
        <v>42755</v>
      </c>
      <c r="B83">
        <v>116.48</v>
      </c>
      <c r="C83">
        <v>117.1</v>
      </c>
      <c r="G83">
        <f t="shared" ref="G83:K83" si="92">SUMPRODUCT($B83:$B87,P$2:P$6)</f>
        <v>6.9796885582005546</v>
      </c>
      <c r="H83">
        <f t="shared" si="92"/>
        <v>107.71119112106342</v>
      </c>
      <c r="I83">
        <f t="shared" si="92"/>
        <v>78.189376760709578</v>
      </c>
      <c r="J83">
        <f t="shared" si="92"/>
        <v>67.594109504448355</v>
      </c>
      <c r="K83">
        <f t="shared" si="92"/>
        <v>48.437155762300158</v>
      </c>
      <c r="L83">
        <f t="shared" si="74"/>
        <v>116.49005932541831</v>
      </c>
      <c r="M83">
        <f t="shared" si="75"/>
        <v>0.55994067458168217</v>
      </c>
      <c r="N83">
        <f t="shared" si="76"/>
        <v>0.31353355905098929</v>
      </c>
    </row>
    <row r="84" spans="1:14" x14ac:dyDescent="0.45">
      <c r="A84" s="22">
        <v>42754</v>
      </c>
      <c r="B84">
        <v>116.07</v>
      </c>
      <c r="C84">
        <v>115.95</v>
      </c>
      <c r="G84">
        <f t="shared" ref="G84:K84" si="93">SUMPRODUCT($B84:$B88,P$2:P$6)</f>
        <v>6.9917391361906551</v>
      </c>
      <c r="H84">
        <f t="shared" si="93"/>
        <v>107.46861867357485</v>
      </c>
      <c r="I84">
        <f t="shared" si="93"/>
        <v>78.009588171189435</v>
      </c>
      <c r="J84">
        <f t="shared" si="93"/>
        <v>67.43331012874593</v>
      </c>
      <c r="K84">
        <f t="shared" si="93"/>
        <v>48.318543728760098</v>
      </c>
      <c r="L84">
        <f t="shared" si="74"/>
        <v>116.22735929364163</v>
      </c>
      <c r="M84">
        <f t="shared" si="75"/>
        <v>0.25264070635837754</v>
      </c>
      <c r="N84">
        <f t="shared" si="76"/>
        <v>6.3827326509259943E-2</v>
      </c>
    </row>
    <row r="85" spans="1:14" x14ac:dyDescent="0.45">
      <c r="A85" s="22">
        <v>42753</v>
      </c>
      <c r="B85">
        <v>116.6</v>
      </c>
      <c r="C85">
        <v>115.79</v>
      </c>
      <c r="G85">
        <f t="shared" ref="G85:K85" si="94">SUMPRODUCT($B85:$B89,P$2:P$6)</f>
        <v>6.9995231765907082</v>
      </c>
      <c r="H85">
        <f t="shared" si="94"/>
        <v>107.93425518826841</v>
      </c>
      <c r="I85">
        <f t="shared" si="94"/>
        <v>78.348264416804781</v>
      </c>
      <c r="J85">
        <f t="shared" si="94"/>
        <v>67.727055977993771</v>
      </c>
      <c r="K85">
        <f t="shared" si="94"/>
        <v>48.529644590871541</v>
      </c>
      <c r="L85">
        <f t="shared" si="74"/>
        <v>116.72141456451523</v>
      </c>
      <c r="M85">
        <f t="shared" si="75"/>
        <v>-0.65141456451523538</v>
      </c>
      <c r="N85">
        <f t="shared" si="76"/>
        <v>0.42434093486257374</v>
      </c>
    </row>
    <row r="86" spans="1:14" x14ac:dyDescent="0.45">
      <c r="A86" s="22">
        <v>42752</v>
      </c>
      <c r="B86">
        <v>116.96</v>
      </c>
      <c r="C86">
        <v>116.09</v>
      </c>
      <c r="G86">
        <f t="shared" ref="G86:K86" si="95">SUMPRODUCT($B86:$B90,P$2:P$6)</f>
        <v>6.9903834421499482</v>
      </c>
      <c r="H86">
        <f t="shared" si="95"/>
        <v>108.22514222148915</v>
      </c>
      <c r="I86">
        <f t="shared" si="95"/>
        <v>78.560562987013611</v>
      </c>
      <c r="J86">
        <f t="shared" si="95"/>
        <v>67.912239278985936</v>
      </c>
      <c r="K86">
        <f t="shared" si="95"/>
        <v>48.663386035965893</v>
      </c>
      <c r="L86">
        <f t="shared" si="74"/>
        <v>117.03120412318206</v>
      </c>
      <c r="M86">
        <f t="shared" si="75"/>
        <v>-0.43120412318207002</v>
      </c>
      <c r="N86">
        <f t="shared" si="76"/>
        <v>0.18593699584921783</v>
      </c>
    </row>
    <row r="87" spans="1:14" x14ac:dyDescent="0.45">
      <c r="A87" s="22">
        <v>42748</v>
      </c>
      <c r="B87">
        <v>117.03</v>
      </c>
      <c r="C87">
        <v>117.1</v>
      </c>
      <c r="G87">
        <f t="shared" ref="G87:K87" si="96">SUMPRODUCT($B87:$B91,P$2:P$6)</f>
        <v>6.9765160775652753</v>
      </c>
      <c r="H87">
        <f t="shared" si="96"/>
        <v>108.16477663611488</v>
      </c>
      <c r="I87">
        <f t="shared" si="96"/>
        <v>78.520132878827681</v>
      </c>
      <c r="J87">
        <f t="shared" si="96"/>
        <v>67.882210282670044</v>
      </c>
      <c r="K87">
        <f t="shared" si="96"/>
        <v>48.644968693839004</v>
      </c>
      <c r="L87">
        <f t="shared" si="74"/>
        <v>116.97266844744426</v>
      </c>
      <c r="M87">
        <f t="shared" si="75"/>
        <v>-1.2668447444269759E-2</v>
      </c>
      <c r="N87">
        <f t="shared" si="76"/>
        <v>1.6048956064822499E-4</v>
      </c>
    </row>
    <row r="88" spans="1:14" x14ac:dyDescent="0.45">
      <c r="A88" s="22">
        <v>42747</v>
      </c>
      <c r="B88">
        <v>116.24</v>
      </c>
      <c r="C88">
        <v>117.04</v>
      </c>
      <c r="G88">
        <f t="shared" ref="G88:K88" si="97">SUMPRODUCT($B88:$B92,P$2:P$6)</f>
        <v>6.973641614667665</v>
      </c>
      <c r="H88">
        <f t="shared" si="97"/>
        <v>107.5284210968024</v>
      </c>
      <c r="I88">
        <f t="shared" si="97"/>
        <v>78.055639129401044</v>
      </c>
      <c r="J88">
        <f t="shared" si="97"/>
        <v>67.476953826205488</v>
      </c>
      <c r="K88">
        <f t="shared" si="97"/>
        <v>48.352232616390999</v>
      </c>
      <c r="L88">
        <f t="shared" si="74"/>
        <v>116.29486357466288</v>
      </c>
      <c r="M88">
        <f t="shared" si="75"/>
        <v>0.73513642533711732</v>
      </c>
      <c r="N88">
        <f t="shared" si="76"/>
        <v>0.54042556385743501</v>
      </c>
    </row>
    <row r="89" spans="1:14" x14ac:dyDescent="0.45">
      <c r="A89" s="22">
        <v>42746</v>
      </c>
      <c r="B89">
        <v>116.1</v>
      </c>
      <c r="C89">
        <v>116.38</v>
      </c>
      <c r="G89">
        <f t="shared" ref="G89:K89" si="98">SUMPRODUCT($B89:$B93,P$2:P$6)</f>
        <v>6.9741766112790202</v>
      </c>
      <c r="H89">
        <f t="shared" si="98"/>
        <v>107.46872982145057</v>
      </c>
      <c r="I89">
        <f t="shared" si="98"/>
        <v>78.010417085885351</v>
      </c>
      <c r="J89">
        <f t="shared" si="98"/>
        <v>67.435114689683687</v>
      </c>
      <c r="K89">
        <f t="shared" si="98"/>
        <v>48.320521288250198</v>
      </c>
      <c r="L89">
        <f t="shared" si="74"/>
        <v>116.22866456053065</v>
      </c>
      <c r="M89">
        <f t="shared" si="75"/>
        <v>1.1335439469348785E-2</v>
      </c>
      <c r="N89">
        <f t="shared" si="76"/>
        <v>1.2849218796327026E-4</v>
      </c>
    </row>
    <row r="90" spans="1:14" x14ac:dyDescent="0.45">
      <c r="A90" s="22">
        <v>42745</v>
      </c>
      <c r="B90">
        <v>116.44</v>
      </c>
      <c r="C90">
        <v>116.11</v>
      </c>
      <c r="G90">
        <f t="shared" ref="G90:K90" si="99">SUMPRODUCT($B90:$B94,P$2:P$6)</f>
        <v>6.9569882771722922</v>
      </c>
      <c r="H90">
        <f t="shared" si="99"/>
        <v>107.79931281970376</v>
      </c>
      <c r="I90">
        <f t="shared" si="99"/>
        <v>78.249954620585456</v>
      </c>
      <c r="J90">
        <f t="shared" si="99"/>
        <v>67.641555967788165</v>
      </c>
      <c r="K90">
        <f t="shared" si="99"/>
        <v>48.46805324323217</v>
      </c>
      <c r="L90">
        <f t="shared" si="74"/>
        <v>116.57798152833807</v>
      </c>
      <c r="M90">
        <f t="shared" si="75"/>
        <v>-0.47798152833807706</v>
      </c>
      <c r="N90">
        <f t="shared" si="76"/>
        <v>0.22846634143240396</v>
      </c>
    </row>
    <row r="91" spans="1:14" x14ac:dyDescent="0.45">
      <c r="A91" s="22">
        <v>42744</v>
      </c>
      <c r="B91">
        <v>116.89</v>
      </c>
      <c r="C91">
        <v>116.51</v>
      </c>
      <c r="G91">
        <f t="shared" ref="G91:K91" si="100">SUMPRODUCT($B91:$B95,P$2:P$6)</f>
        <v>6.9224009042685823</v>
      </c>
      <c r="H91">
        <f t="shared" si="100"/>
        <v>107.96249242931771</v>
      </c>
      <c r="I91">
        <f t="shared" si="100"/>
        <v>78.375264191135301</v>
      </c>
      <c r="J91">
        <f t="shared" si="100"/>
        <v>67.759838880614865</v>
      </c>
      <c r="K91">
        <f t="shared" si="100"/>
        <v>48.55908342455249</v>
      </c>
      <c r="L91">
        <f t="shared" si="74"/>
        <v>116.76162555522556</v>
      </c>
      <c r="M91">
        <f t="shared" si="75"/>
        <v>-0.32162555522556602</v>
      </c>
      <c r="N91">
        <f t="shared" si="76"/>
        <v>0.10344299777415361</v>
      </c>
    </row>
    <row r="92" spans="1:14" x14ac:dyDescent="0.45">
      <c r="A92" s="22">
        <v>42741</v>
      </c>
      <c r="B92">
        <v>115.6</v>
      </c>
      <c r="C92">
        <v>116.86</v>
      </c>
      <c r="G92">
        <f t="shared" ref="G92:K92" si="101">SUMPRODUCT($B92:$B96,P$2:P$6)</f>
        <v>6.8845650523465771</v>
      </c>
      <c r="H92">
        <f t="shared" si="101"/>
        <v>106.83733196447021</v>
      </c>
      <c r="I92">
        <f t="shared" si="101"/>
        <v>77.556656408207402</v>
      </c>
      <c r="J92">
        <f t="shared" si="101"/>
        <v>67.049493017467512</v>
      </c>
      <c r="K92">
        <f t="shared" si="101"/>
        <v>48.048379288221788</v>
      </c>
      <c r="L92">
        <f t="shared" si="74"/>
        <v>115.56742394427562</v>
      </c>
      <c r="M92">
        <f t="shared" si="75"/>
        <v>1.3225760557243831</v>
      </c>
      <c r="N92">
        <f t="shared" si="76"/>
        <v>1.7492074231754664</v>
      </c>
    </row>
    <row r="93" spans="1:14" x14ac:dyDescent="0.45">
      <c r="A93" s="22">
        <v>42740</v>
      </c>
      <c r="B93">
        <v>114.78</v>
      </c>
      <c r="C93">
        <v>115.69</v>
      </c>
      <c r="G93">
        <f t="shared" ref="G93:K93" si="102">SUMPRODUCT($B93:$B97,P$2:P$6)</f>
        <v>6.8752904133308892</v>
      </c>
      <c r="H93">
        <f t="shared" si="102"/>
        <v>106.1877698375251</v>
      </c>
      <c r="I93">
        <f t="shared" si="102"/>
        <v>77.082182559577518</v>
      </c>
      <c r="J93">
        <f t="shared" si="102"/>
        <v>66.635035964647372</v>
      </c>
      <c r="K93">
        <f t="shared" si="102"/>
        <v>47.748690049786475</v>
      </c>
      <c r="L93">
        <f t="shared" si="74"/>
        <v>114.87501158634213</v>
      </c>
      <c r="M93">
        <f t="shared" si="75"/>
        <v>0.72498841365786859</v>
      </c>
      <c r="N93">
        <f t="shared" si="76"/>
        <v>0.52560819993815278</v>
      </c>
    </row>
    <row r="94" spans="1:14" x14ac:dyDescent="0.45">
      <c r="A94" s="22">
        <v>42739</v>
      </c>
      <c r="B94">
        <v>114.71</v>
      </c>
      <c r="C94">
        <v>114.98</v>
      </c>
      <c r="G94">
        <f t="shared" ref="G94:K94" si="103">SUMPRODUCT($B94:$B98,P$2:P$6)</f>
        <v>6.8852909816980485</v>
      </c>
      <c r="H94">
        <f t="shared" si="103"/>
        <v>106.07935377806335</v>
      </c>
      <c r="I94">
        <f t="shared" si="103"/>
        <v>77.00466576298264</v>
      </c>
      <c r="J94">
        <f t="shared" si="103"/>
        <v>66.56974208086919</v>
      </c>
      <c r="K94">
        <f t="shared" si="103"/>
        <v>47.70298421267298</v>
      </c>
      <c r="L94">
        <f t="shared" si="74"/>
        <v>114.76210166812679</v>
      </c>
      <c r="M94">
        <f t="shared" si="75"/>
        <v>1.7898331873212214E-2</v>
      </c>
      <c r="N94">
        <f t="shared" si="76"/>
        <v>3.2035028384364423E-4</v>
      </c>
    </row>
    <row r="95" spans="1:14" x14ac:dyDescent="0.45">
      <c r="A95" s="22">
        <v>42738</v>
      </c>
      <c r="B95">
        <v>114.34</v>
      </c>
      <c r="C95">
        <v>114.75</v>
      </c>
      <c r="G95">
        <f t="shared" ref="G95:K95" si="104">SUMPRODUCT($B95:$B99,P$2:P$6)</f>
        <v>6.9152767638050676</v>
      </c>
      <c r="H95">
        <f t="shared" si="104"/>
        <v>105.93490159507307</v>
      </c>
      <c r="I95">
        <f t="shared" si="104"/>
        <v>76.894448210584756</v>
      </c>
      <c r="J95">
        <f t="shared" si="104"/>
        <v>66.466679990343181</v>
      </c>
      <c r="K95">
        <f t="shared" si="104"/>
        <v>47.624231115436693</v>
      </c>
      <c r="L95">
        <f t="shared" si="74"/>
        <v>114.60066099298673</v>
      </c>
      <c r="M95">
        <f t="shared" si="75"/>
        <v>0.10933900701326138</v>
      </c>
      <c r="N95">
        <f t="shared" si="76"/>
        <v>1.1955018454646022E-2</v>
      </c>
    </row>
    <row r="96" spans="1:14" x14ac:dyDescent="0.45">
      <c r="A96" s="22">
        <v>42734</v>
      </c>
      <c r="B96">
        <v>115.33</v>
      </c>
      <c r="C96">
        <v>114.61</v>
      </c>
      <c r="G96">
        <f t="shared" ref="G96:K96" si="105">SUMPRODUCT($B96:$B100,P$2:P$6)</f>
        <v>6.9603174373698717</v>
      </c>
      <c r="H96">
        <f t="shared" si="105"/>
        <v>106.71847275261096</v>
      </c>
      <c r="I96">
        <f t="shared" si="105"/>
        <v>77.466829641554924</v>
      </c>
      <c r="J96">
        <f t="shared" si="105"/>
        <v>66.966690632495414</v>
      </c>
      <c r="K96">
        <f t="shared" si="105"/>
        <v>47.985802444817253</v>
      </c>
      <c r="L96">
        <f t="shared" si="74"/>
        <v>115.43595570517675</v>
      </c>
      <c r="M96">
        <f t="shared" si="75"/>
        <v>-1.095955705176749</v>
      </c>
      <c r="N96">
        <f t="shared" si="76"/>
        <v>1.2011189077094653</v>
      </c>
    </row>
    <row r="97" spans="1:14" x14ac:dyDescent="0.45">
      <c r="A97" s="22">
        <v>42733</v>
      </c>
      <c r="B97">
        <v>115.41</v>
      </c>
      <c r="C97">
        <v>114.92</v>
      </c>
      <c r="G97">
        <f t="shared" ref="G97:K97" si="106">SUMPRODUCT($B97:$B101,P$2:P$6)</f>
        <v>6.9952448036634056</v>
      </c>
      <c r="H97">
        <f t="shared" si="106"/>
        <v>106.99473918252738</v>
      </c>
      <c r="I97">
        <f t="shared" si="106"/>
        <v>77.661894079725386</v>
      </c>
      <c r="J97">
        <f t="shared" si="106"/>
        <v>67.127361898730683</v>
      </c>
      <c r="K97">
        <f t="shared" si="106"/>
        <v>48.095922931651764</v>
      </c>
      <c r="L97">
        <f t="shared" si="74"/>
        <v>115.71976309582851</v>
      </c>
      <c r="M97">
        <f t="shared" si="75"/>
        <v>-0.38976309582851343</v>
      </c>
      <c r="N97">
        <f t="shared" si="76"/>
        <v>0.15191527086982695</v>
      </c>
    </row>
    <row r="98" spans="1:14" x14ac:dyDescent="0.45">
      <c r="A98" s="22">
        <v>42732</v>
      </c>
      <c r="B98">
        <v>116.88</v>
      </c>
      <c r="C98">
        <v>115.46</v>
      </c>
      <c r="G98">
        <f t="shared" ref="G98:K98" si="107">SUMPRODUCT($B98:$B102,P$2:P$6)</f>
        <v>7.0202426043815693</v>
      </c>
      <c r="H98">
        <f t="shared" si="107"/>
        <v>108.21078031790873</v>
      </c>
      <c r="I98">
        <f t="shared" si="107"/>
        <v>78.548522420655303</v>
      </c>
      <c r="J98">
        <f t="shared" si="107"/>
        <v>67.899483714726756</v>
      </c>
      <c r="K98">
        <f t="shared" si="107"/>
        <v>48.652768182914009</v>
      </c>
      <c r="L98">
        <f t="shared" si="74"/>
        <v>117.01343553909648</v>
      </c>
      <c r="M98">
        <f t="shared" si="75"/>
        <v>-1.6034355390964805</v>
      </c>
      <c r="N98">
        <f t="shared" si="76"/>
        <v>2.5710055280376212</v>
      </c>
    </row>
    <row r="99" spans="1:14" x14ac:dyDescent="0.45">
      <c r="A99" s="22">
        <v>42731</v>
      </c>
      <c r="B99">
        <v>117.36</v>
      </c>
      <c r="C99">
        <v>116.9</v>
      </c>
      <c r="G99">
        <f t="shared" ref="G99:K99" si="108">SUMPRODUCT($B99:$B103,P$2:P$6)</f>
        <v>7.0338704392098386</v>
      </c>
      <c r="H99">
        <f t="shared" si="108"/>
        <v>108.53121413727317</v>
      </c>
      <c r="I99">
        <f t="shared" si="108"/>
        <v>78.784475725538314</v>
      </c>
      <c r="J99">
        <f t="shared" si="108"/>
        <v>68.108320763665731</v>
      </c>
      <c r="K99">
        <f t="shared" si="108"/>
        <v>48.805478290739288</v>
      </c>
      <c r="L99">
        <f t="shared" si="74"/>
        <v>117.35800868297477</v>
      </c>
      <c r="M99">
        <f t="shared" si="75"/>
        <v>-0.4780086829747745</v>
      </c>
      <c r="N99">
        <f t="shared" si="76"/>
        <v>0.22849230099927847</v>
      </c>
    </row>
    <row r="100" spans="1:14" x14ac:dyDescent="0.45">
      <c r="A100" s="22">
        <v>42727</v>
      </c>
      <c r="B100">
        <v>116.99</v>
      </c>
      <c r="C100">
        <v>116.92</v>
      </c>
      <c r="G100">
        <f t="shared" ref="G100:K100" si="109">SUMPRODUCT($B100:$B104,P$2:P$6)</f>
        <v>7.0556574244290688</v>
      </c>
      <c r="H100">
        <f t="shared" si="109"/>
        <v>108.28491035289289</v>
      </c>
      <c r="I100">
        <f t="shared" si="109"/>
        <v>78.603081605515015</v>
      </c>
      <c r="J100">
        <f t="shared" si="109"/>
        <v>67.947736387315956</v>
      </c>
      <c r="K100">
        <f t="shared" si="109"/>
        <v>48.688029818733163</v>
      </c>
      <c r="L100">
        <f t="shared" si="74"/>
        <v>117.09310849447144</v>
      </c>
      <c r="M100">
        <f t="shared" si="75"/>
        <v>0.26689150552856233</v>
      </c>
      <c r="N100">
        <f t="shared" si="76"/>
        <v>7.1231075723302617E-2</v>
      </c>
    </row>
    <row r="101" spans="1:14" x14ac:dyDescent="0.45">
      <c r="A101" s="22">
        <v>42726</v>
      </c>
      <c r="B101">
        <v>117.28</v>
      </c>
      <c r="C101">
        <v>116.91</v>
      </c>
      <c r="G101">
        <f t="shared" ref="G101:K101" si="110">SUMPRODUCT($B101:$B105,P$2:P$6)</f>
        <v>7.0713619157982137</v>
      </c>
      <c r="H101">
        <f t="shared" si="110"/>
        <v>108.65653384767407</v>
      </c>
      <c r="I101">
        <f t="shared" si="110"/>
        <v>78.870046059853905</v>
      </c>
      <c r="J101">
        <f t="shared" si="110"/>
        <v>68.174453554283886</v>
      </c>
      <c r="K101">
        <f t="shared" si="110"/>
        <v>48.847927582759951</v>
      </c>
      <c r="L101">
        <f t="shared" si="74"/>
        <v>117.48212618918144</v>
      </c>
      <c r="M101">
        <f t="shared" si="75"/>
        <v>-0.49212618918144813</v>
      </c>
      <c r="N101">
        <f t="shared" si="76"/>
        <v>0.24218818607825446</v>
      </c>
    </row>
    <row r="102" spans="1:14" x14ac:dyDescent="0.45">
      <c r="A102" s="22">
        <v>42725</v>
      </c>
      <c r="B102">
        <v>118.28</v>
      </c>
      <c r="C102">
        <v>117.69</v>
      </c>
      <c r="G102">
        <f t="shared" ref="G102:K102" si="111">SUMPRODUCT($B102:$B106,P$2:P$6)</f>
        <v>7.0761226973525178</v>
      </c>
      <c r="H102">
        <f t="shared" si="111"/>
        <v>109.48718689594203</v>
      </c>
      <c r="I102">
        <f t="shared" si="111"/>
        <v>79.475580253212414</v>
      </c>
      <c r="J102">
        <f t="shared" si="111"/>
        <v>68.701634666395165</v>
      </c>
      <c r="K102">
        <f t="shared" si="111"/>
        <v>49.228031230439747</v>
      </c>
      <c r="L102">
        <f t="shared" si="74"/>
        <v>118.36564349545962</v>
      </c>
      <c r="M102">
        <f t="shared" si="75"/>
        <v>-1.085643495459621</v>
      </c>
      <c r="N102">
        <f t="shared" si="76"/>
        <v>1.1786217992337842</v>
      </c>
    </row>
    <row r="103" spans="1:14" x14ac:dyDescent="0.45">
      <c r="A103" s="22">
        <v>42724</v>
      </c>
      <c r="B103">
        <v>118.63</v>
      </c>
      <c r="C103">
        <v>118.39</v>
      </c>
      <c r="G103">
        <f t="shared" ref="G103:K103" si="112">SUMPRODUCT($B103:$B107,P$2:P$6)</f>
        <v>7.0661135912719022</v>
      </c>
      <c r="H103">
        <f t="shared" si="112"/>
        <v>109.54620410020571</v>
      </c>
      <c r="I103">
        <f t="shared" si="112"/>
        <v>79.525593263179843</v>
      </c>
      <c r="J103">
        <f t="shared" si="112"/>
        <v>68.755284695647731</v>
      </c>
      <c r="K103">
        <f t="shared" si="112"/>
        <v>49.273035939940527</v>
      </c>
      <c r="L103">
        <f t="shared" si="74"/>
        <v>118.43950572015558</v>
      </c>
      <c r="M103">
        <f t="shared" si="75"/>
        <v>-0.15950572015557896</v>
      </c>
      <c r="N103">
        <f t="shared" si="76"/>
        <v>2.5442074762349866E-2</v>
      </c>
    </row>
    <row r="104" spans="1:14" x14ac:dyDescent="0.45">
      <c r="A104" s="22">
        <v>42723</v>
      </c>
      <c r="B104">
        <v>117.16</v>
      </c>
      <c r="C104">
        <v>118.15</v>
      </c>
      <c r="G104">
        <f t="shared" ref="G104:K104" si="113">SUMPRODUCT($B104:$B108,P$2:P$6)</f>
        <v>7.0619288404401761</v>
      </c>
      <c r="H104">
        <f t="shared" si="113"/>
        <v>108.56296572492208</v>
      </c>
      <c r="I104">
        <f t="shared" si="113"/>
        <v>78.801651292598294</v>
      </c>
      <c r="J104">
        <f t="shared" si="113"/>
        <v>68.114642795235099</v>
      </c>
      <c r="K104">
        <f t="shared" si="113"/>
        <v>48.804636913660154</v>
      </c>
      <c r="L104">
        <f t="shared" si="74"/>
        <v>117.38231068767389</v>
      </c>
      <c r="M104">
        <f t="shared" si="75"/>
        <v>1.2476893123261021</v>
      </c>
      <c r="N104">
        <f t="shared" si="76"/>
        <v>1.5567286200927817</v>
      </c>
    </row>
    <row r="105" spans="1:14" x14ac:dyDescent="0.45">
      <c r="A105" s="22">
        <v>42720</v>
      </c>
      <c r="B105">
        <v>118.28</v>
      </c>
      <c r="C105">
        <v>117.31</v>
      </c>
      <c r="G105">
        <f t="shared" ref="G105:K105" si="114">SUMPRODUCT($B105:$B109,P$2:P$6)</f>
        <v>7.0535865382119631</v>
      </c>
      <c r="H105">
        <f t="shared" si="114"/>
        <v>109.35332504084938</v>
      </c>
      <c r="I105">
        <f t="shared" si="114"/>
        <v>79.382034723501647</v>
      </c>
      <c r="J105">
        <f t="shared" si="114"/>
        <v>68.626033833213484</v>
      </c>
      <c r="K105">
        <f t="shared" si="114"/>
        <v>49.177174157242213</v>
      </c>
      <c r="L105">
        <f t="shared" si="74"/>
        <v>118.22966846535459</v>
      </c>
      <c r="M105">
        <f t="shared" si="75"/>
        <v>-1.0696684653545958</v>
      </c>
      <c r="N105">
        <f t="shared" si="76"/>
        <v>1.1441906257740562</v>
      </c>
    </row>
    <row r="106" spans="1:14" x14ac:dyDescent="0.45">
      <c r="A106" s="22">
        <v>42719</v>
      </c>
      <c r="B106">
        <v>117.71</v>
      </c>
      <c r="C106">
        <v>117.78</v>
      </c>
      <c r="G106">
        <f t="shared" ref="G106:K106" si="115">SUMPRODUCT($B106:$B110,P$2:P$6)</f>
        <v>7.0240909219528671</v>
      </c>
      <c r="H106">
        <f t="shared" si="115"/>
        <v>108.95689545900957</v>
      </c>
      <c r="I106">
        <f t="shared" si="115"/>
        <v>79.09071975476671</v>
      </c>
      <c r="J106">
        <f t="shared" si="115"/>
        <v>68.369051402326932</v>
      </c>
      <c r="K106">
        <f t="shared" si="115"/>
        <v>48.989784926517871</v>
      </c>
      <c r="L106">
        <f t="shared" si="74"/>
        <v>117.80432244900283</v>
      </c>
      <c r="M106">
        <f t="shared" si="75"/>
        <v>0.47567755099717601</v>
      </c>
      <c r="N106">
        <f t="shared" si="76"/>
        <v>0.22626913252267097</v>
      </c>
    </row>
    <row r="107" spans="1:14" x14ac:dyDescent="0.45">
      <c r="A107" s="22">
        <v>42718</v>
      </c>
      <c r="B107">
        <v>118.04</v>
      </c>
      <c r="C107">
        <v>117.67</v>
      </c>
      <c r="G107">
        <f t="shared" ref="G107:K107" si="116">SUMPRODUCT($B107:$B111,P$2:P$6)</f>
        <v>7.0087672972957851</v>
      </c>
      <c r="H107">
        <f t="shared" si="116"/>
        <v>108.94357176237149</v>
      </c>
      <c r="I107">
        <f t="shared" si="116"/>
        <v>79.089678096623757</v>
      </c>
      <c r="J107">
        <f t="shared" si="116"/>
        <v>68.380684482487382</v>
      </c>
      <c r="K107">
        <f t="shared" si="116"/>
        <v>49.006016072545634</v>
      </c>
      <c r="L107">
        <f t="shared" si="74"/>
        <v>117.80390682827212</v>
      </c>
      <c r="M107">
        <f t="shared" si="75"/>
        <v>-9.3906828272125153E-2</v>
      </c>
      <c r="N107">
        <f t="shared" si="76"/>
        <v>8.8184923961304035E-3</v>
      </c>
    </row>
    <row r="108" spans="1:14" x14ac:dyDescent="0.45">
      <c r="A108" s="22">
        <v>42717</v>
      </c>
      <c r="B108">
        <v>116.18</v>
      </c>
      <c r="C108">
        <v>117.79</v>
      </c>
      <c r="G108">
        <f t="shared" ref="G108:K108" si="117">SUMPRODUCT($B108:$B112,P$2:P$6)</f>
        <v>6.9990034051619459</v>
      </c>
      <c r="H108">
        <f t="shared" si="117"/>
        <v>107.55875354076422</v>
      </c>
      <c r="I108">
        <f t="shared" si="117"/>
        <v>78.07533163615976</v>
      </c>
      <c r="J108">
        <f t="shared" si="117"/>
        <v>67.490601834624215</v>
      </c>
      <c r="K108">
        <f t="shared" si="117"/>
        <v>48.359885220573005</v>
      </c>
      <c r="L108">
        <f t="shared" si="74"/>
        <v>116.32328950690041</v>
      </c>
      <c r="M108">
        <f t="shared" si="75"/>
        <v>1.7167104930995976</v>
      </c>
      <c r="N108">
        <f t="shared" si="76"/>
        <v>2.9470949171182634</v>
      </c>
    </row>
    <row r="109" spans="1:14" x14ac:dyDescent="0.45">
      <c r="A109" s="22">
        <v>42716</v>
      </c>
      <c r="B109">
        <v>116.63</v>
      </c>
      <c r="C109">
        <v>116.03</v>
      </c>
      <c r="G109">
        <f t="shared" ref="G109:K109" si="118">SUMPRODUCT($B109:$B113,P$2:P$6)</f>
        <v>6.9833223110386609</v>
      </c>
      <c r="H109">
        <f t="shared" si="118"/>
        <v>108.04785779402276</v>
      </c>
      <c r="I109">
        <f t="shared" si="118"/>
        <v>78.428403250417006</v>
      </c>
      <c r="J109">
        <f t="shared" si="118"/>
        <v>67.792956972781369</v>
      </c>
      <c r="K109">
        <f t="shared" si="118"/>
        <v>48.574739402036272</v>
      </c>
      <c r="L109">
        <f t="shared" si="74"/>
        <v>116.83800267532945</v>
      </c>
      <c r="M109">
        <f t="shared" si="75"/>
        <v>-0.6580026753294419</v>
      </c>
      <c r="N109">
        <f t="shared" si="76"/>
        <v>0.43296752074070294</v>
      </c>
    </row>
    <row r="110" spans="1:14" x14ac:dyDescent="0.45">
      <c r="A110" s="22">
        <v>42713</v>
      </c>
      <c r="B110">
        <v>117.58</v>
      </c>
      <c r="C110">
        <v>116.98</v>
      </c>
      <c r="G110">
        <f t="shared" ref="G110:K110" si="119">SUMPRODUCT($B110:$B114,P$2:P$6)</f>
        <v>6.9404579818798986</v>
      </c>
      <c r="H110">
        <f t="shared" si="119"/>
        <v>108.62127113825026</v>
      </c>
      <c r="I110">
        <f t="shared" si="119"/>
        <v>78.852921024581221</v>
      </c>
      <c r="J110">
        <f t="shared" si="119"/>
        <v>68.171954117989443</v>
      </c>
      <c r="K110">
        <f t="shared" si="119"/>
        <v>48.853886494637194</v>
      </c>
      <c r="L110">
        <f t="shared" si="74"/>
        <v>117.4582321561418</v>
      </c>
      <c r="M110">
        <f t="shared" si="75"/>
        <v>-0.82823215614180867</v>
      </c>
      <c r="N110">
        <f t="shared" si="76"/>
        <v>0.68596850446730939</v>
      </c>
    </row>
    <row r="111" spans="1:14" x14ac:dyDescent="0.45">
      <c r="A111" s="22">
        <v>42712</v>
      </c>
      <c r="B111">
        <v>116.43</v>
      </c>
      <c r="C111">
        <v>117.67</v>
      </c>
      <c r="G111">
        <f t="shared" ref="G111:K111" si="120">SUMPRODUCT($B111:$B115,P$2:P$6)</f>
        <v>6.8838413658999373</v>
      </c>
      <c r="H111">
        <f t="shared" si="120"/>
        <v>107.41757473641594</v>
      </c>
      <c r="I111">
        <f t="shared" si="120"/>
        <v>77.982938606439006</v>
      </c>
      <c r="J111">
        <f t="shared" si="120"/>
        <v>67.425381341947656</v>
      </c>
      <c r="K111">
        <f t="shared" si="120"/>
        <v>48.322378377820343</v>
      </c>
      <c r="L111">
        <f t="shared" si="74"/>
        <v>116.18982017374621</v>
      </c>
      <c r="M111">
        <f t="shared" si="75"/>
        <v>1.3901798262537852</v>
      </c>
      <c r="N111">
        <f t="shared" si="76"/>
        <v>1.9325999493230044</v>
      </c>
    </row>
    <row r="112" spans="1:14" x14ac:dyDescent="0.45">
      <c r="A112" s="22">
        <v>42711</v>
      </c>
      <c r="B112">
        <v>114.32</v>
      </c>
      <c r="C112">
        <v>116.61</v>
      </c>
      <c r="G112">
        <f t="shared" ref="G112:K112" si="121">SUMPRODUCT($B112:$B116,P$2:P$6)</f>
        <v>6.8436753711782821</v>
      </c>
      <c r="H112">
        <f t="shared" si="121"/>
        <v>105.84073464964465</v>
      </c>
      <c r="I112">
        <f t="shared" si="121"/>
        <v>76.828140500327592</v>
      </c>
      <c r="J112">
        <f t="shared" si="121"/>
        <v>66.412336482782393</v>
      </c>
      <c r="K112">
        <f t="shared" si="121"/>
        <v>47.587163783575747</v>
      </c>
      <c r="L112">
        <f t="shared" si="74"/>
        <v>114.5042120597776</v>
      </c>
      <c r="M112">
        <f t="shared" si="75"/>
        <v>1.9257879402224063</v>
      </c>
      <c r="N112">
        <f t="shared" si="76"/>
        <v>3.7086591907060584</v>
      </c>
    </row>
    <row r="113" spans="1:14" x14ac:dyDescent="0.45">
      <c r="A113" s="22">
        <v>42710</v>
      </c>
      <c r="B113">
        <v>114.79</v>
      </c>
      <c r="C113">
        <v>114.53</v>
      </c>
      <c r="G113">
        <f t="shared" ref="G113:K113" si="122">SUMPRODUCT($B113:$B117,P$2:P$6)</f>
        <v>6.8260502334343789</v>
      </c>
      <c r="H113">
        <f t="shared" si="122"/>
        <v>106.08062036042962</v>
      </c>
      <c r="I113">
        <f t="shared" si="122"/>
        <v>77.007555810937234</v>
      </c>
      <c r="J113">
        <f t="shared" si="122"/>
        <v>66.575101418095414</v>
      </c>
      <c r="K113">
        <f t="shared" si="122"/>
        <v>47.708626471796151</v>
      </c>
      <c r="L113">
        <f t="shared" si="74"/>
        <v>114.76656828123338</v>
      </c>
      <c r="M113">
        <f t="shared" si="75"/>
        <v>-0.44656828123338244</v>
      </c>
      <c r="N113">
        <f t="shared" si="76"/>
        <v>0.19942322980373733</v>
      </c>
    </row>
    <row r="114" spans="1:14" x14ac:dyDescent="0.45">
      <c r="A114" s="22">
        <v>42709</v>
      </c>
      <c r="B114">
        <v>113.92</v>
      </c>
      <c r="C114">
        <v>114.89</v>
      </c>
      <c r="G114">
        <f t="shared" ref="G114:K114" si="123">SUMPRODUCT($B114:$B118,P$2:P$6)</f>
        <v>6.833443203439165</v>
      </c>
      <c r="H114">
        <f t="shared" si="123"/>
        <v>105.30477073047926</v>
      </c>
      <c r="I114">
        <f t="shared" si="123"/>
        <v>76.443576672538256</v>
      </c>
      <c r="J114">
        <f t="shared" si="123"/>
        <v>66.086418575105839</v>
      </c>
      <c r="K114">
        <f t="shared" si="123"/>
        <v>47.357732779928028</v>
      </c>
      <c r="L114">
        <f t="shared" si="74"/>
        <v>113.94388743459038</v>
      </c>
      <c r="M114">
        <f t="shared" si="75"/>
        <v>0.84611256540962643</v>
      </c>
      <c r="N114">
        <f t="shared" si="76"/>
        <v>0.71590647334405932</v>
      </c>
    </row>
    <row r="115" spans="1:14" x14ac:dyDescent="0.45">
      <c r="A115" s="22">
        <v>42706</v>
      </c>
      <c r="B115">
        <v>113.25</v>
      </c>
      <c r="C115">
        <v>113.26</v>
      </c>
      <c r="G115">
        <f t="shared" ref="G115:K115" si="124">SUMPRODUCT($B115:$B119,P$2:P$6)</f>
        <v>6.8711386487734583</v>
      </c>
      <c r="H115">
        <f t="shared" si="124"/>
        <v>104.86092492364369</v>
      </c>
      <c r="I115">
        <f t="shared" si="124"/>
        <v>76.116619351248119</v>
      </c>
      <c r="J115">
        <f t="shared" si="124"/>
        <v>65.796852367709448</v>
      </c>
      <c r="K115">
        <f t="shared" si="124"/>
        <v>47.145877257252359</v>
      </c>
      <c r="L115">
        <f t="shared" si="74"/>
        <v>113.46640137754179</v>
      </c>
      <c r="M115">
        <f t="shared" si="75"/>
        <v>0.45359862245821603</v>
      </c>
      <c r="N115">
        <f t="shared" si="76"/>
        <v>0.20575171029599121</v>
      </c>
    </row>
    <row r="116" spans="1:14" x14ac:dyDescent="0.45">
      <c r="A116" s="22">
        <v>42705</v>
      </c>
      <c r="B116">
        <v>113.79</v>
      </c>
      <c r="C116">
        <v>113.37</v>
      </c>
      <c r="G116">
        <f t="shared" ref="G116:K116" si="125">SUMPRODUCT($B116:$B120,P$2:P$6)</f>
        <v>6.9173722657008661</v>
      </c>
      <c r="H116">
        <f t="shared" si="125"/>
        <v>105.62681762069818</v>
      </c>
      <c r="I116">
        <f t="shared" si="125"/>
        <v>76.665370489029328</v>
      </c>
      <c r="J116">
        <f t="shared" si="125"/>
        <v>66.260754235136204</v>
      </c>
      <c r="K116">
        <f t="shared" si="125"/>
        <v>47.471696500987264</v>
      </c>
      <c r="L116">
        <f t="shared" si="74"/>
        <v>114.2658498502209</v>
      </c>
      <c r="M116">
        <f t="shared" si="75"/>
        <v>-1.0158498502209028</v>
      </c>
      <c r="N116">
        <f t="shared" si="76"/>
        <v>1.0319509181938307</v>
      </c>
    </row>
    <row r="117" spans="1:14" x14ac:dyDescent="0.45">
      <c r="A117" s="22">
        <v>42704</v>
      </c>
      <c r="B117">
        <v>116.16</v>
      </c>
      <c r="C117">
        <v>113.68</v>
      </c>
      <c r="G117">
        <f t="shared" ref="G117:K117" si="126">SUMPRODUCT($B117:$B121,P$2:P$6)</f>
        <v>6.9426568944259328</v>
      </c>
      <c r="H117">
        <f t="shared" si="126"/>
        <v>107.38456173322945</v>
      </c>
      <c r="I117">
        <f t="shared" si="126"/>
        <v>77.953103389632815</v>
      </c>
      <c r="J117">
        <f t="shared" si="126"/>
        <v>67.39106192731343</v>
      </c>
      <c r="K117">
        <f t="shared" si="126"/>
        <v>48.292415471522951</v>
      </c>
      <c r="L117">
        <f t="shared" si="74"/>
        <v>116.1455532244441</v>
      </c>
      <c r="M117">
        <f t="shared" si="75"/>
        <v>-2.355553224444094</v>
      </c>
      <c r="N117">
        <f t="shared" si="76"/>
        <v>5.5486309931889686</v>
      </c>
    </row>
    <row r="118" spans="1:14" x14ac:dyDescent="0.45">
      <c r="A118" s="22">
        <v>42703</v>
      </c>
      <c r="B118">
        <v>115.54</v>
      </c>
      <c r="C118">
        <v>116.16</v>
      </c>
      <c r="G118">
        <f t="shared" ref="G118:K118" si="127">SUMPRODUCT($B118:$B122,P$2:P$6)</f>
        <v>6.9455816041309522</v>
      </c>
      <c r="H118">
        <f t="shared" si="127"/>
        <v>106.9535111365027</v>
      </c>
      <c r="I118">
        <f t="shared" si="127"/>
        <v>77.636340894201567</v>
      </c>
      <c r="J118">
        <f t="shared" si="127"/>
        <v>67.11162438293826</v>
      </c>
      <c r="K118">
        <f t="shared" si="127"/>
        <v>48.088647278716188</v>
      </c>
      <c r="L118">
        <f t="shared" si="74"/>
        <v>115.68305200290715</v>
      </c>
      <c r="M118">
        <f t="shared" si="75"/>
        <v>0.47694799709285007</v>
      </c>
      <c r="N118">
        <f t="shared" si="76"/>
        <v>0.22747939193088132</v>
      </c>
    </row>
    <row r="119" spans="1:14" x14ac:dyDescent="0.45">
      <c r="A119" s="22">
        <v>42702</v>
      </c>
      <c r="B119">
        <v>115.9</v>
      </c>
      <c r="C119">
        <v>115.71</v>
      </c>
      <c r="G119">
        <f t="shared" ref="G119:K119" si="128">SUMPRODUCT($B119:$B123,P$2:P$6)</f>
        <v>6.9569529894513309</v>
      </c>
      <c r="H119">
        <f t="shared" si="128"/>
        <v>107.2342130805042</v>
      </c>
      <c r="I119">
        <f t="shared" si="128"/>
        <v>77.841521182831642</v>
      </c>
      <c r="J119">
        <f t="shared" si="128"/>
        <v>67.291055844849353</v>
      </c>
      <c r="K119">
        <f t="shared" si="128"/>
        <v>48.218519533625347</v>
      </c>
      <c r="L119">
        <f t="shared" si="74"/>
        <v>115.98249560756454</v>
      </c>
      <c r="M119">
        <f t="shared" si="75"/>
        <v>-0.44249560756453832</v>
      </c>
      <c r="N119">
        <f t="shared" si="76"/>
        <v>0.19580236271390991</v>
      </c>
    </row>
    <row r="120" spans="1:14" x14ac:dyDescent="0.45">
      <c r="A120" s="22">
        <v>42699</v>
      </c>
      <c r="B120">
        <v>115.9</v>
      </c>
      <c r="C120">
        <v>116.07</v>
      </c>
      <c r="G120">
        <f t="shared" ref="G120:K120" si="129">SUMPRODUCT($B120:$B124,P$2:P$6)</f>
        <v>6.9544118047615591</v>
      </c>
      <c r="H120">
        <f t="shared" si="129"/>
        <v>107.29532355308264</v>
      </c>
      <c r="I120">
        <f t="shared" si="129"/>
        <v>77.884225648069915</v>
      </c>
      <c r="J120">
        <f t="shared" si="129"/>
        <v>67.325569380784216</v>
      </c>
      <c r="K120">
        <f t="shared" si="129"/>
        <v>48.241736326209832</v>
      </c>
      <c r="L120">
        <f t="shared" si="74"/>
        <v>116.04457048858454</v>
      </c>
      <c r="M120">
        <f t="shared" si="75"/>
        <v>-0.14457048858453447</v>
      </c>
      <c r="N120">
        <f t="shared" si="76"/>
        <v>2.0900626169571012E-2</v>
      </c>
    </row>
    <row r="121" spans="1:14" x14ac:dyDescent="0.45">
      <c r="A121" s="22">
        <v>42697</v>
      </c>
      <c r="B121">
        <v>116.32</v>
      </c>
      <c r="C121">
        <v>115.82</v>
      </c>
      <c r="G121">
        <f t="shared" ref="G121:K121" si="130">SUMPRODUCT($B121:$B125,P$2:P$6)</f>
        <v>6.9265796437927127</v>
      </c>
      <c r="H121">
        <f t="shared" si="130"/>
        <v>107.61116812648146</v>
      </c>
      <c r="I121">
        <f t="shared" si="130"/>
        <v>78.115467332147304</v>
      </c>
      <c r="J121">
        <f t="shared" si="130"/>
        <v>67.528331558574692</v>
      </c>
      <c r="K121">
        <f t="shared" si="130"/>
        <v>48.388830787305125</v>
      </c>
      <c r="L121">
        <f t="shared" si="74"/>
        <v>116.38209633284077</v>
      </c>
      <c r="M121">
        <f t="shared" si="75"/>
        <v>-0.48209633284076858</v>
      </c>
      <c r="N121">
        <f t="shared" si="76"/>
        <v>0.23241687413851711</v>
      </c>
    </row>
    <row r="122" spans="1:14" x14ac:dyDescent="0.45">
      <c r="A122" s="22">
        <v>42696</v>
      </c>
      <c r="B122">
        <v>116.24</v>
      </c>
      <c r="C122">
        <v>116.43</v>
      </c>
      <c r="G122">
        <f t="shared" ref="G122:K122" si="131">SUMPRODUCT($B122:$B126,P$2:P$6)</f>
        <v>6.8516257706766908</v>
      </c>
      <c r="H122">
        <f t="shared" si="131"/>
        <v>107.40474243208524</v>
      </c>
      <c r="I122">
        <f t="shared" si="131"/>
        <v>77.969209117764706</v>
      </c>
      <c r="J122">
        <f t="shared" si="131"/>
        <v>67.407104006417882</v>
      </c>
      <c r="K122">
        <f t="shared" si="131"/>
        <v>48.305242810621642</v>
      </c>
      <c r="L122">
        <f t="shared" si="74"/>
        <v>116.1692318749037</v>
      </c>
      <c r="M122">
        <f t="shared" si="75"/>
        <v>0.15076812509629178</v>
      </c>
      <c r="N122">
        <f t="shared" si="76"/>
        <v>2.2731027545051088E-2</v>
      </c>
    </row>
    <row r="123" spans="1:14" x14ac:dyDescent="0.45">
      <c r="A123" s="22">
        <v>42695</v>
      </c>
      <c r="B123">
        <v>115.25</v>
      </c>
      <c r="C123">
        <v>115.67</v>
      </c>
      <c r="G123">
        <f t="shared" ref="G123:K123" si="132">SUMPRODUCT($B123:$B127,P$2:P$6)</f>
        <v>6.757463466447529</v>
      </c>
      <c r="H123">
        <f t="shared" si="132"/>
        <v>106.4131027567752</v>
      </c>
      <c r="I123">
        <f t="shared" si="132"/>
        <v>77.251425912799334</v>
      </c>
      <c r="J123">
        <f t="shared" si="132"/>
        <v>66.78958238836978</v>
      </c>
      <c r="K123">
        <f t="shared" si="132"/>
        <v>47.864622423052857</v>
      </c>
      <c r="L123">
        <f t="shared" si="74"/>
        <v>115.12258434380365</v>
      </c>
      <c r="M123">
        <f t="shared" si="75"/>
        <v>1.1174156561963429</v>
      </c>
      <c r="N123">
        <f t="shared" si="76"/>
        <v>1.2486177487127035</v>
      </c>
    </row>
    <row r="124" spans="1:14" x14ac:dyDescent="0.45">
      <c r="A124" s="22">
        <v>42692</v>
      </c>
      <c r="B124">
        <v>113.74</v>
      </c>
      <c r="C124">
        <v>115.98</v>
      </c>
      <c r="G124">
        <f t="shared" ref="G124:K124" si="133">SUMPRODUCT($B124:$B128,P$2:P$6)</f>
        <v>6.6767953267152809</v>
      </c>
      <c r="H124">
        <f t="shared" si="133"/>
        <v>104.80939290735101</v>
      </c>
      <c r="I124">
        <f t="shared" si="133"/>
        <v>76.092886594950343</v>
      </c>
      <c r="J124">
        <f t="shared" si="133"/>
        <v>65.796194515391235</v>
      </c>
      <c r="K124">
        <f t="shared" si="133"/>
        <v>47.157913474541672</v>
      </c>
      <c r="L124">
        <f t="shared" si="74"/>
        <v>113.43353406365596</v>
      </c>
      <c r="M124">
        <f t="shared" si="75"/>
        <v>1.816465936344045</v>
      </c>
      <c r="N124">
        <f t="shared" si="76"/>
        <v>3.2995484978982481</v>
      </c>
    </row>
    <row r="125" spans="1:14" x14ac:dyDescent="0.45">
      <c r="A125" s="22">
        <v>42691</v>
      </c>
      <c r="B125">
        <v>110.81</v>
      </c>
      <c r="C125">
        <v>113.8</v>
      </c>
      <c r="G125">
        <f t="shared" ref="G125:K125" si="134">SUMPRODUCT($B125:$B129,P$2:P$6)</f>
        <v>6.6420392843018705</v>
      </c>
      <c r="H125">
        <f t="shared" si="134"/>
        <v>102.52769945102015</v>
      </c>
      <c r="I125">
        <f t="shared" si="134"/>
        <v>74.424974797255416</v>
      </c>
      <c r="J125">
        <f t="shared" si="134"/>
        <v>64.337466348776744</v>
      </c>
      <c r="K125">
        <f t="shared" si="134"/>
        <v>46.102004120556117</v>
      </c>
      <c r="L125">
        <f t="shared" si="74"/>
        <v>110.99934940063626</v>
      </c>
      <c r="M125">
        <f t="shared" si="75"/>
        <v>2.7406505993637325</v>
      </c>
      <c r="N125">
        <f t="shared" si="76"/>
        <v>7.5111657077927863</v>
      </c>
    </row>
    <row r="126" spans="1:14" x14ac:dyDescent="0.45">
      <c r="A126" s="22">
        <v>42690</v>
      </c>
      <c r="B126">
        <v>110.83</v>
      </c>
      <c r="C126">
        <v>110.86</v>
      </c>
      <c r="G126">
        <f t="shared" ref="G126:K126" si="135">SUMPRODUCT($B126:$B130,P$2:P$6)</f>
        <v>6.6296125472064187</v>
      </c>
      <c r="H126">
        <f t="shared" si="135"/>
        <v>102.48945871435164</v>
      </c>
      <c r="I126">
        <f t="shared" si="135"/>
        <v>74.398752730132529</v>
      </c>
      <c r="J126">
        <f t="shared" si="135"/>
        <v>64.317030311314838</v>
      </c>
      <c r="K126">
        <f t="shared" si="135"/>
        <v>46.08876547855305</v>
      </c>
      <c r="L126">
        <f t="shared" si="74"/>
        <v>110.96129999106077</v>
      </c>
      <c r="M126">
        <f t="shared" si="75"/>
        <v>-0.15129999106076752</v>
      </c>
      <c r="N126">
        <f t="shared" si="76"/>
        <v>2.2891687294988333E-2</v>
      </c>
    </row>
    <row r="127" spans="1:14" x14ac:dyDescent="0.45">
      <c r="A127" s="22">
        <v>42689</v>
      </c>
      <c r="B127">
        <v>110.46</v>
      </c>
      <c r="C127">
        <v>110.9</v>
      </c>
      <c r="G127">
        <f t="shared" ref="G127:K127" si="136">SUMPRODUCT($B127:$B131,P$2:P$6)</f>
        <v>6.6068662611393227</v>
      </c>
      <c r="H127">
        <f t="shared" si="136"/>
        <v>102.35227948445464</v>
      </c>
      <c r="I127">
        <f t="shared" si="136"/>
        <v>74.293615943204259</v>
      </c>
      <c r="J127">
        <f t="shared" si="136"/>
        <v>64.218076079535649</v>
      </c>
      <c r="K127">
        <f t="shared" si="136"/>
        <v>46.01277536767428</v>
      </c>
      <c r="L127">
        <f t="shared" si="74"/>
        <v>110.8072465171058</v>
      </c>
      <c r="M127">
        <f t="shared" si="75"/>
        <v>2.2753482894202648E-2</v>
      </c>
      <c r="N127">
        <f t="shared" si="76"/>
        <v>5.1772098381677246E-4</v>
      </c>
    </row>
    <row r="128" spans="1:14" x14ac:dyDescent="0.45">
      <c r="A128" s="22">
        <v>42688</v>
      </c>
      <c r="B128">
        <v>111.5</v>
      </c>
      <c r="C128">
        <v>110.01</v>
      </c>
      <c r="G128">
        <f t="shared" ref="G128:K128" si="137">SUMPRODUCT($B128:$B132,P$2:P$6)</f>
        <v>6.5313060689995828</v>
      </c>
      <c r="H128">
        <f t="shared" si="137"/>
        <v>102.79944249263589</v>
      </c>
      <c r="I128">
        <f t="shared" si="137"/>
        <v>74.632164406107123</v>
      </c>
      <c r="J128">
        <f t="shared" si="137"/>
        <v>64.530995542689183</v>
      </c>
      <c r="K128">
        <f t="shared" si="137"/>
        <v>46.249762737089668</v>
      </c>
      <c r="L128">
        <f t="shared" si="74"/>
        <v>111.3028105995602</v>
      </c>
      <c r="M128">
        <f t="shared" si="75"/>
        <v>-0.84281059956020954</v>
      </c>
      <c r="N128">
        <f t="shared" si="76"/>
        <v>0.7103297067310399</v>
      </c>
    </row>
    <row r="129" spans="1:14" x14ac:dyDescent="0.45">
      <c r="A129" s="22">
        <v>42685</v>
      </c>
      <c r="B129">
        <v>109</v>
      </c>
      <c r="C129">
        <v>111.38</v>
      </c>
      <c r="G129">
        <f t="shared" ref="G129:K129" si="138">SUMPRODUCT($B129:$B133,P$2:P$6)</f>
        <v>6.4512848836366921</v>
      </c>
      <c r="H129">
        <f t="shared" si="138"/>
        <v>100.9374219880751</v>
      </c>
      <c r="I129">
        <f t="shared" si="138"/>
        <v>73.268304329183806</v>
      </c>
      <c r="J129">
        <f t="shared" si="138"/>
        <v>63.334247974229903</v>
      </c>
      <c r="K129">
        <f t="shared" si="138"/>
        <v>45.381039843143036</v>
      </c>
      <c r="L129">
        <f t="shared" si="74"/>
        <v>109.31201716534271</v>
      </c>
      <c r="M129">
        <f t="shared" si="75"/>
        <v>2.1879828346572907</v>
      </c>
      <c r="N129">
        <f t="shared" si="76"/>
        <v>4.7872688847549529</v>
      </c>
    </row>
    <row r="130" spans="1:14" x14ac:dyDescent="0.45">
      <c r="A130" s="22">
        <v>42684</v>
      </c>
      <c r="B130">
        <v>109.6</v>
      </c>
      <c r="C130">
        <v>109.23</v>
      </c>
      <c r="G130">
        <f t="shared" ref="G130:K130" si="139">SUMPRODUCT($B130:$B134,P$2:P$6)</f>
        <v>6.4062930749818943</v>
      </c>
      <c r="H130">
        <f t="shared" si="139"/>
        <v>100.6297335664424</v>
      </c>
      <c r="I130">
        <f t="shared" si="139"/>
        <v>73.068320741397571</v>
      </c>
      <c r="J130">
        <f t="shared" si="139"/>
        <v>63.195307889223407</v>
      </c>
      <c r="K130">
        <f t="shared" si="139"/>
        <v>45.302857358345342</v>
      </c>
      <c r="L130">
        <f t="shared" si="74"/>
        <v>109.02332344610933</v>
      </c>
      <c r="M130">
        <f t="shared" si="75"/>
        <v>-2.3323446109330348E-2</v>
      </c>
      <c r="N130">
        <f t="shared" si="76"/>
        <v>5.4398313841483694E-4</v>
      </c>
    </row>
    <row r="131" spans="1:14" x14ac:dyDescent="0.45">
      <c r="A131" s="22">
        <v>42683</v>
      </c>
      <c r="B131">
        <v>104.27</v>
      </c>
      <c r="C131">
        <v>109.36</v>
      </c>
      <c r="G131">
        <f t="shared" ref="G131:K131" si="140">SUMPRODUCT($B131:$B135,P$2:P$6)</f>
        <v>6.3660020366802286</v>
      </c>
      <c r="H131">
        <f t="shared" si="140"/>
        <v>97.009231721584911</v>
      </c>
      <c r="I131">
        <f t="shared" si="140"/>
        <v>70.404686337321579</v>
      </c>
      <c r="J131">
        <f t="shared" si="140"/>
        <v>60.84113166663203</v>
      </c>
      <c r="K131">
        <f t="shared" si="140"/>
        <v>43.583453078219485</v>
      </c>
      <c r="L131">
        <f t="shared" ref="L131:L194" si="141">(G131+$P$7)*$U$2+(H131+$Q$7)*$U$3+(I131+$R$7)*$U$4+(J131+$S$7)*$U$5+(K131+$T$7)*$U$6+$U$7</f>
        <v>105.13379159754331</v>
      </c>
      <c r="M131">
        <f t="shared" ref="M131:M194" si="142">B130-L131</f>
        <v>4.4662084024566866</v>
      </c>
      <c r="N131">
        <f t="shared" ref="N131:N194" si="143">M131^2</f>
        <v>19.947017494174709</v>
      </c>
    </row>
    <row r="132" spans="1:14" x14ac:dyDescent="0.45">
      <c r="A132" s="22">
        <v>42682</v>
      </c>
      <c r="B132">
        <v>107.95</v>
      </c>
      <c r="C132">
        <v>108.35</v>
      </c>
      <c r="G132">
        <f t="shared" ref="G132:K132" si="144">SUMPRODUCT($B132:$B136,P$2:P$6)</f>
        <v>6.3887059807091511</v>
      </c>
      <c r="H132">
        <f t="shared" si="144"/>
        <v>99.682201880984152</v>
      </c>
      <c r="I132">
        <f t="shared" si="144"/>
        <v>72.364822844935432</v>
      </c>
      <c r="J132">
        <f t="shared" si="144"/>
        <v>62.564381299796423</v>
      </c>
      <c r="K132">
        <f t="shared" si="144"/>
        <v>44.836409503546328</v>
      </c>
      <c r="L132">
        <f t="shared" si="141"/>
        <v>107.99524368689839</v>
      </c>
      <c r="M132">
        <f t="shared" si="142"/>
        <v>-3.7252436868983949</v>
      </c>
      <c r="N132">
        <f t="shared" si="143"/>
        <v>13.877440526776347</v>
      </c>
    </row>
    <row r="133" spans="1:14" x14ac:dyDescent="0.45">
      <c r="A133" s="22">
        <v>42681</v>
      </c>
      <c r="B133">
        <v>106.6</v>
      </c>
      <c r="C133">
        <v>107.9</v>
      </c>
      <c r="G133">
        <f t="shared" ref="G133:K133" si="145">SUMPRODUCT($B133:$B137,P$2:P$6)</f>
        <v>6.3891795498836288</v>
      </c>
      <c r="H133">
        <f t="shared" si="145"/>
        <v>98.340021682695067</v>
      </c>
      <c r="I133">
        <f t="shared" si="145"/>
        <v>71.393053848705605</v>
      </c>
      <c r="J133">
        <f t="shared" si="145"/>
        <v>61.727986634428667</v>
      </c>
      <c r="K133">
        <f t="shared" si="145"/>
        <v>44.239384470111936</v>
      </c>
      <c r="L133">
        <f t="shared" si="141"/>
        <v>106.57821165263044</v>
      </c>
      <c r="M133">
        <f t="shared" si="142"/>
        <v>1.3717883473695593</v>
      </c>
      <c r="N133">
        <f t="shared" si="143"/>
        <v>1.8818032699789069</v>
      </c>
    </row>
    <row r="134" spans="1:14" x14ac:dyDescent="0.45">
      <c r="A134" s="22">
        <v>42678</v>
      </c>
      <c r="B134">
        <v>104.61</v>
      </c>
      <c r="C134">
        <v>105.28</v>
      </c>
      <c r="G134">
        <f t="shared" ref="G134:K134" si="146">SUMPRODUCT($B134:$B138,P$2:P$6)</f>
        <v>6.4355553351162165</v>
      </c>
      <c r="H134">
        <f t="shared" si="146"/>
        <v>97.339815446854203</v>
      </c>
      <c r="I134">
        <f t="shared" si="146"/>
        <v>70.644224086716235</v>
      </c>
      <c r="J134">
        <f t="shared" si="146"/>
        <v>61.047573676357914</v>
      </c>
      <c r="K134">
        <f t="shared" si="146"/>
        <v>43.730987326476502</v>
      </c>
      <c r="L134">
        <f t="shared" si="141"/>
        <v>105.48310970727526</v>
      </c>
      <c r="M134">
        <f t="shared" si="142"/>
        <v>1.1168902927247331</v>
      </c>
      <c r="N134">
        <f t="shared" si="143"/>
        <v>1.2474439259827399</v>
      </c>
    </row>
    <row r="135" spans="1:14" x14ac:dyDescent="0.45">
      <c r="A135" s="22">
        <v>42677</v>
      </c>
      <c r="B135">
        <v>108.4</v>
      </c>
      <c r="C135">
        <v>105.6</v>
      </c>
      <c r="G135">
        <f t="shared" ref="G135:K135" si="147">SUMPRODUCT($B135:$B139,P$2:P$6)</f>
        <v>6.4914755590783617</v>
      </c>
      <c r="H135">
        <f t="shared" si="147"/>
        <v>100.15093744542601</v>
      </c>
      <c r="I135">
        <f t="shared" si="147"/>
        <v>72.703659151172573</v>
      </c>
      <c r="J135">
        <f t="shared" si="147"/>
        <v>62.855233857223524</v>
      </c>
      <c r="K135">
        <f t="shared" si="147"/>
        <v>45.043526892335201</v>
      </c>
      <c r="L135">
        <f t="shared" si="141"/>
        <v>108.48926682473719</v>
      </c>
      <c r="M135">
        <f t="shared" si="142"/>
        <v>-3.8792668247371864</v>
      </c>
      <c r="N135">
        <f t="shared" si="143"/>
        <v>15.048711097506533</v>
      </c>
    </row>
    <row r="136" spans="1:14" x14ac:dyDescent="0.45">
      <c r="A136" s="22">
        <v>42676</v>
      </c>
      <c r="B136">
        <v>107.41</v>
      </c>
      <c r="C136">
        <v>106.2</v>
      </c>
      <c r="G136">
        <f t="shared" ref="G136:K136" si="148">SUMPRODUCT($B136:$B140,P$2:P$6)</f>
        <v>6.4933064108363236</v>
      </c>
      <c r="H136">
        <f t="shared" si="148"/>
        <v>99.614720206326112</v>
      </c>
      <c r="I136">
        <f t="shared" si="148"/>
        <v>72.304132766965296</v>
      </c>
      <c r="J136">
        <f t="shared" si="148"/>
        <v>62.494921377468032</v>
      </c>
      <c r="K136">
        <f t="shared" si="148"/>
        <v>44.775929769938344</v>
      </c>
      <c r="L136">
        <f t="shared" si="141"/>
        <v>107.90523039616227</v>
      </c>
      <c r="M136">
        <f t="shared" si="142"/>
        <v>0.49476960383773871</v>
      </c>
      <c r="N136">
        <f t="shared" si="143"/>
        <v>0.2447969608817529</v>
      </c>
    </row>
    <row r="137" spans="1:14" x14ac:dyDescent="0.45">
      <c r="A137" s="22">
        <v>42675</v>
      </c>
      <c r="B137">
        <v>109.03</v>
      </c>
      <c r="C137">
        <v>107.39</v>
      </c>
      <c r="G137">
        <f t="shared" ref="G137:K137" si="149">SUMPRODUCT($B137:$B141,P$2:P$6)</f>
        <v>6.4952567132726067</v>
      </c>
      <c r="H137">
        <f t="shared" si="149"/>
        <v>100.83277339348834</v>
      </c>
      <c r="I137">
        <f t="shared" si="149"/>
        <v>73.195925848706437</v>
      </c>
      <c r="J137">
        <f t="shared" si="149"/>
        <v>63.276887575476437</v>
      </c>
      <c r="K137">
        <f t="shared" si="149"/>
        <v>45.343218057894674</v>
      </c>
      <c r="L137">
        <f t="shared" si="141"/>
        <v>109.20690950316177</v>
      </c>
      <c r="M137">
        <f t="shared" si="142"/>
        <v>-1.7969095031617712</v>
      </c>
      <c r="N137">
        <f t="shared" si="143"/>
        <v>3.2288837625530835</v>
      </c>
    </row>
    <row r="138" spans="1:14" x14ac:dyDescent="0.45">
      <c r="A138" s="22">
        <v>42674</v>
      </c>
      <c r="B138">
        <v>108.72</v>
      </c>
      <c r="C138">
        <v>108.74</v>
      </c>
      <c r="G138">
        <f t="shared" ref="G138:K138" si="150">SUMPRODUCT($B138:$B142,P$2:P$6)</f>
        <v>6.4808871116574309</v>
      </c>
      <c r="H138">
        <f t="shared" si="150"/>
        <v>100.41354586570097</v>
      </c>
      <c r="I138">
        <f t="shared" si="150"/>
        <v>72.895194427423917</v>
      </c>
      <c r="J138">
        <f t="shared" si="150"/>
        <v>63.022123893701938</v>
      </c>
      <c r="K138">
        <f t="shared" si="150"/>
        <v>45.163943581180149</v>
      </c>
      <c r="L138">
        <f t="shared" si="141"/>
        <v>108.76874141769655</v>
      </c>
      <c r="M138">
        <f t="shared" si="142"/>
        <v>0.261258582303455</v>
      </c>
      <c r="N138">
        <f t="shared" si="143"/>
        <v>6.8256046827211175E-2</v>
      </c>
    </row>
    <row r="139" spans="1:14" x14ac:dyDescent="0.45">
      <c r="A139" s="22">
        <v>42671</v>
      </c>
      <c r="B139">
        <v>107.5</v>
      </c>
      <c r="C139">
        <v>108.17</v>
      </c>
      <c r="G139">
        <f t="shared" ref="G139:K139" si="151">SUMPRODUCT($B139:$B143,P$2:P$6)</f>
        <v>6.4926518114895897</v>
      </c>
      <c r="H139">
        <f t="shared" si="151"/>
        <v>99.588864422343889</v>
      </c>
      <c r="I139">
        <f t="shared" si="151"/>
        <v>72.288320120237159</v>
      </c>
      <c r="J139">
        <f t="shared" si="151"/>
        <v>62.485543424934519</v>
      </c>
      <c r="K139">
        <f t="shared" si="151"/>
        <v>44.771914309476273</v>
      </c>
      <c r="L139">
        <f t="shared" si="141"/>
        <v>107.88254445219158</v>
      </c>
      <c r="M139">
        <f t="shared" si="142"/>
        <v>0.83745554780841758</v>
      </c>
      <c r="N139">
        <f t="shared" si="143"/>
        <v>0.70133179455509675</v>
      </c>
    </row>
    <row r="140" spans="1:14" x14ac:dyDescent="0.45">
      <c r="A140" s="22">
        <v>42670</v>
      </c>
      <c r="B140">
        <v>108.37</v>
      </c>
      <c r="C140">
        <v>107.31</v>
      </c>
      <c r="G140">
        <f t="shared" ref="G140:K140" si="152">SUMPRODUCT($B140:$B144,P$2:P$6)</f>
        <v>6.5221233828949039</v>
      </c>
      <c r="H140">
        <f t="shared" si="152"/>
        <v>100.24249244503625</v>
      </c>
      <c r="I140">
        <f t="shared" si="152"/>
        <v>72.766887493090422</v>
      </c>
      <c r="J140">
        <f t="shared" si="152"/>
        <v>62.905199830126236</v>
      </c>
      <c r="K140">
        <f t="shared" si="152"/>
        <v>45.076374878076983</v>
      </c>
      <c r="L140">
        <f t="shared" si="141"/>
        <v>108.58107445022779</v>
      </c>
      <c r="M140">
        <f t="shared" si="142"/>
        <v>-1.0810744502277885</v>
      </c>
      <c r="N140">
        <f t="shared" si="143"/>
        <v>1.168721966935315</v>
      </c>
    </row>
    <row r="141" spans="1:14" x14ac:dyDescent="0.45">
      <c r="A141" s="22">
        <v>42669</v>
      </c>
      <c r="B141">
        <v>108.2</v>
      </c>
      <c r="C141">
        <v>107.82</v>
      </c>
      <c r="G141">
        <f t="shared" ref="G141:K141" si="153">SUMPRODUCT($B141:$B145,P$2:P$6)</f>
        <v>6.5264962243373787</v>
      </c>
      <c r="H141">
        <f t="shared" si="153"/>
        <v>100.31946156263761</v>
      </c>
      <c r="I141">
        <f t="shared" si="153"/>
        <v>72.816414862923423</v>
      </c>
      <c r="J141">
        <f t="shared" si="153"/>
        <v>62.938800447983276</v>
      </c>
      <c r="K141">
        <f t="shared" si="153"/>
        <v>45.094647374860877</v>
      </c>
      <c r="L141">
        <f t="shared" si="141"/>
        <v>108.65250043853644</v>
      </c>
      <c r="M141">
        <f t="shared" si="142"/>
        <v>-0.28250043853643092</v>
      </c>
      <c r="N141">
        <f t="shared" si="143"/>
        <v>7.9806497773275781E-2</v>
      </c>
    </row>
    <row r="142" spans="1:14" x14ac:dyDescent="0.45">
      <c r="A142" s="22">
        <v>42668</v>
      </c>
      <c r="B142">
        <v>109.64</v>
      </c>
      <c r="C142">
        <v>108.32</v>
      </c>
      <c r="G142">
        <f t="shared" ref="G142:K142" si="154">SUMPRODUCT($B142:$B146,P$2:P$6)</f>
        <v>6.5133009607622245</v>
      </c>
      <c r="H142">
        <f t="shared" si="154"/>
        <v>101.38115841147103</v>
      </c>
      <c r="I142">
        <f t="shared" si="154"/>
        <v>73.594432801837883</v>
      </c>
      <c r="J142">
        <f t="shared" si="154"/>
        <v>63.622011620453698</v>
      </c>
      <c r="K142">
        <f t="shared" si="154"/>
        <v>45.590918627205923</v>
      </c>
      <c r="L142">
        <f t="shared" si="141"/>
        <v>109.78819965513192</v>
      </c>
      <c r="M142">
        <f t="shared" si="142"/>
        <v>-1.5881996551319162</v>
      </c>
      <c r="N142">
        <f t="shared" si="143"/>
        <v>2.5223781445611375</v>
      </c>
    </row>
    <row r="143" spans="1:14" x14ac:dyDescent="0.45">
      <c r="A143" s="22">
        <v>42667</v>
      </c>
      <c r="B143">
        <v>109.22</v>
      </c>
      <c r="C143">
        <v>109.62</v>
      </c>
      <c r="G143">
        <f t="shared" ref="G143:K143" si="155">SUMPRODUCT($B143:$B147,P$2:P$6)</f>
        <v>6.4814642899401154</v>
      </c>
      <c r="H143">
        <f t="shared" si="155"/>
        <v>100.83396474515658</v>
      </c>
      <c r="I143">
        <f t="shared" si="155"/>
        <v>73.201519536369858</v>
      </c>
      <c r="J143">
        <f t="shared" si="155"/>
        <v>63.288590707237525</v>
      </c>
      <c r="K143">
        <f t="shared" si="155"/>
        <v>45.355929947930242</v>
      </c>
      <c r="L143">
        <f t="shared" si="141"/>
        <v>109.21567263074118</v>
      </c>
      <c r="M143">
        <f t="shared" si="142"/>
        <v>0.42432736925881898</v>
      </c>
      <c r="N143">
        <f t="shared" si="143"/>
        <v>0.18005371630211012</v>
      </c>
    </row>
    <row r="144" spans="1:14" x14ac:dyDescent="0.45">
      <c r="A144" s="22">
        <v>42664</v>
      </c>
      <c r="B144">
        <v>107.71</v>
      </c>
      <c r="C144">
        <v>108.45</v>
      </c>
      <c r="G144">
        <f t="shared" ref="G144:K144" si="156">SUMPRODUCT($B144:$B148,P$2:P$6)</f>
        <v>6.4655814498348798</v>
      </c>
      <c r="H144">
        <f t="shared" si="156"/>
        <v>99.698770884609829</v>
      </c>
      <c r="I144">
        <f t="shared" si="156"/>
        <v>72.37038635759518</v>
      </c>
      <c r="J144">
        <f t="shared" si="156"/>
        <v>62.559806753761322</v>
      </c>
      <c r="K144">
        <f t="shared" si="156"/>
        <v>44.82721922298029</v>
      </c>
      <c r="L144">
        <f t="shared" si="141"/>
        <v>108.002533514117</v>
      </c>
      <c r="M144">
        <f t="shared" si="142"/>
        <v>1.2174664858829942</v>
      </c>
      <c r="N144">
        <f t="shared" si="143"/>
        <v>1.4822246442482869</v>
      </c>
    </row>
    <row r="145" spans="1:14" x14ac:dyDescent="0.45">
      <c r="A145" s="22">
        <v>42663</v>
      </c>
      <c r="B145">
        <v>108</v>
      </c>
      <c r="C145">
        <v>107.9</v>
      </c>
      <c r="G145">
        <f t="shared" ref="G145:K145" si="157">SUMPRODUCT($B145:$B149,P$2:P$6)</f>
        <v>6.458810138708019</v>
      </c>
      <c r="H145">
        <f t="shared" si="157"/>
        <v>99.898701804216685</v>
      </c>
      <c r="I145">
        <f t="shared" si="157"/>
        <v>72.517368983893846</v>
      </c>
      <c r="J145">
        <f t="shared" si="157"/>
        <v>62.689557171786085</v>
      </c>
      <c r="K145">
        <f t="shared" si="157"/>
        <v>44.921887967248338</v>
      </c>
      <c r="L145">
        <f t="shared" si="141"/>
        <v>108.21714853305967</v>
      </c>
      <c r="M145">
        <f t="shared" si="142"/>
        <v>-0.50714853305967722</v>
      </c>
      <c r="N145">
        <f t="shared" si="143"/>
        <v>0.2571996345845825</v>
      </c>
    </row>
    <row r="146" spans="1:14" x14ac:dyDescent="0.45">
      <c r="A146" s="22">
        <v>42662</v>
      </c>
      <c r="B146">
        <v>107.82</v>
      </c>
      <c r="C146">
        <v>108.19</v>
      </c>
      <c r="G146">
        <f t="shared" ref="G146:K146" si="158">SUMPRODUCT($B146:$B150,P$2:P$6)</f>
        <v>6.4472158394410641</v>
      </c>
      <c r="H146">
        <f t="shared" si="158"/>
        <v>99.78017559611564</v>
      </c>
      <c r="I146">
        <f t="shared" si="158"/>
        <v>72.430030040306846</v>
      </c>
      <c r="J146">
        <f t="shared" si="158"/>
        <v>62.612167431421632</v>
      </c>
      <c r="K146">
        <f t="shared" si="158"/>
        <v>44.865243657038</v>
      </c>
      <c r="L146">
        <f t="shared" si="141"/>
        <v>108.08959591961002</v>
      </c>
      <c r="M146">
        <f t="shared" si="142"/>
        <v>-8.9595919610019337E-2</v>
      </c>
      <c r="N146">
        <f t="shared" si="143"/>
        <v>8.0274288107650468E-3</v>
      </c>
    </row>
    <row r="147" spans="1:14" x14ac:dyDescent="0.45">
      <c r="A147" s="22">
        <v>42661</v>
      </c>
      <c r="B147">
        <v>107.97</v>
      </c>
      <c r="C147">
        <v>107.15</v>
      </c>
      <c r="G147">
        <f t="shared" ref="G147:K147" si="159">SUMPRODUCT($B147:$B151,P$2:P$6)</f>
        <v>6.4326456321930241</v>
      </c>
      <c r="H147">
        <f t="shared" si="159"/>
        <v>99.748722935916334</v>
      </c>
      <c r="I147">
        <f t="shared" si="159"/>
        <v>72.411809279488551</v>
      </c>
      <c r="J147">
        <f t="shared" si="159"/>
        <v>62.603112037143582</v>
      </c>
      <c r="K147">
        <f t="shared" si="159"/>
        <v>44.862972474964046</v>
      </c>
      <c r="L147">
        <f t="shared" si="141"/>
        <v>108.06360967248796</v>
      </c>
      <c r="M147">
        <f t="shared" si="142"/>
        <v>-0.24360967248796328</v>
      </c>
      <c r="N147">
        <f t="shared" si="143"/>
        <v>5.9345672529692736E-2</v>
      </c>
    </row>
    <row r="148" spans="1:14" x14ac:dyDescent="0.45">
      <c r="A148" s="22">
        <v>42660</v>
      </c>
      <c r="B148">
        <v>106.95</v>
      </c>
      <c r="C148">
        <v>106.88</v>
      </c>
      <c r="G148">
        <f t="shared" ref="G148:K148" si="160">SUMPRODUCT($B148:$B152,P$2:P$6)</f>
        <v>6.419375563988849</v>
      </c>
      <c r="H148">
        <f t="shared" si="160"/>
        <v>99.042156732449897</v>
      </c>
      <c r="I148">
        <f t="shared" si="160"/>
        <v>71.89248855996955</v>
      </c>
      <c r="J148">
        <f t="shared" si="160"/>
        <v>62.144849887541227</v>
      </c>
      <c r="K148">
        <f t="shared" si="160"/>
        <v>44.528721312614465</v>
      </c>
      <c r="L148">
        <f t="shared" si="141"/>
        <v>107.30534292900055</v>
      </c>
      <c r="M148">
        <f t="shared" si="142"/>
        <v>0.66465707099945348</v>
      </c>
      <c r="N148">
        <f t="shared" si="143"/>
        <v>0.44176902202957252</v>
      </c>
    </row>
    <row r="149" spans="1:14" x14ac:dyDescent="0.45">
      <c r="A149" s="22">
        <v>42657</v>
      </c>
      <c r="B149">
        <v>107.56</v>
      </c>
      <c r="C149">
        <v>106.99</v>
      </c>
      <c r="G149">
        <f t="shared" ref="G149:K149" si="161">SUMPRODUCT($B149:$B153,P$2:P$6)</f>
        <v>6.4258847256212324</v>
      </c>
      <c r="H149">
        <f t="shared" si="161"/>
        <v>99.40720936202132</v>
      </c>
      <c r="I149">
        <f t="shared" si="161"/>
        <v>72.162880053015428</v>
      </c>
      <c r="J149">
        <f t="shared" si="161"/>
        <v>62.386433223680456</v>
      </c>
      <c r="K149">
        <f t="shared" si="161"/>
        <v>44.706770935052823</v>
      </c>
      <c r="L149">
        <f t="shared" si="141"/>
        <v>107.70040704090755</v>
      </c>
      <c r="M149">
        <f t="shared" si="142"/>
        <v>-0.75040704090754673</v>
      </c>
      <c r="N149">
        <f t="shared" si="143"/>
        <v>0.56311072704362053</v>
      </c>
    </row>
    <row r="150" spans="1:14" x14ac:dyDescent="0.45">
      <c r="A150" s="22">
        <v>42656</v>
      </c>
      <c r="B150">
        <v>106.8</v>
      </c>
      <c r="C150">
        <v>106.8</v>
      </c>
      <c r="G150">
        <f t="shared" ref="G150:K150" si="162">SUMPRODUCT($B150:$B154,P$2:P$6)</f>
        <v>6.4425771530897986</v>
      </c>
      <c r="H150">
        <f t="shared" si="162"/>
        <v>98.837896931112496</v>
      </c>
      <c r="I150">
        <f t="shared" si="162"/>
        <v>71.745989486002003</v>
      </c>
      <c r="J150">
        <f t="shared" si="162"/>
        <v>62.020782194169051</v>
      </c>
      <c r="K150">
        <f t="shared" si="162"/>
        <v>44.441441398313643</v>
      </c>
      <c r="L150">
        <f t="shared" si="141"/>
        <v>107.09189625385864</v>
      </c>
      <c r="M150">
        <f t="shared" si="142"/>
        <v>0.46810374614136663</v>
      </c>
      <c r="N150">
        <f t="shared" si="143"/>
        <v>0.219121117151581</v>
      </c>
    </row>
    <row r="151" spans="1:14" x14ac:dyDescent="0.45">
      <c r="A151" s="22">
        <v>42655</v>
      </c>
      <c r="B151">
        <v>106.96</v>
      </c>
      <c r="C151">
        <v>107.53</v>
      </c>
      <c r="G151">
        <f t="shared" ref="G151:K151" si="163">SUMPRODUCT($B151:$B155,P$2:P$6)</f>
        <v>6.4787063165643728</v>
      </c>
      <c r="H151">
        <f t="shared" si="163"/>
        <v>99.125615648006772</v>
      </c>
      <c r="I151">
        <f t="shared" si="163"/>
        <v>71.951061422452511</v>
      </c>
      <c r="J151">
        <f t="shared" si="163"/>
        <v>62.192565755047184</v>
      </c>
      <c r="K151">
        <f t="shared" si="163"/>
        <v>44.56107502448063</v>
      </c>
      <c r="L151">
        <f t="shared" si="141"/>
        <v>107.39051690798279</v>
      </c>
      <c r="M151">
        <f t="shared" si="142"/>
        <v>-0.59051690798278855</v>
      </c>
      <c r="N151">
        <f t="shared" si="143"/>
        <v>0.34871021861355317</v>
      </c>
    </row>
    <row r="152" spans="1:14" x14ac:dyDescent="0.45">
      <c r="A152" s="22">
        <v>42654</v>
      </c>
      <c r="B152">
        <v>108.08</v>
      </c>
      <c r="C152">
        <v>106.99</v>
      </c>
      <c r="G152">
        <f t="shared" ref="G152:K152" si="164">SUMPRODUCT($B152:$B156,P$2:P$6)</f>
        <v>6.5046680506367967</v>
      </c>
      <c r="H152">
        <f t="shared" si="164"/>
        <v>100.05711220175426</v>
      </c>
      <c r="I152">
        <f t="shared" si="164"/>
        <v>72.63007424784486</v>
      </c>
      <c r="J152">
        <f t="shared" si="164"/>
        <v>62.783666756581745</v>
      </c>
      <c r="K152">
        <f t="shared" si="164"/>
        <v>44.987233280712459</v>
      </c>
      <c r="L152">
        <f t="shared" si="141"/>
        <v>108.3812398705019</v>
      </c>
      <c r="M152">
        <f t="shared" si="142"/>
        <v>-1.4212398705019069</v>
      </c>
      <c r="N152">
        <f t="shared" si="143"/>
        <v>2.019922769504277</v>
      </c>
    </row>
    <row r="153" spans="1:14" x14ac:dyDescent="0.45">
      <c r="A153" s="22">
        <v>42653</v>
      </c>
      <c r="B153">
        <v>108.48</v>
      </c>
      <c r="C153">
        <v>108.15</v>
      </c>
      <c r="G153">
        <f t="shared" ref="G153:K153" si="165">SUMPRODUCT($B153:$B157,P$2:P$6)</f>
        <v>6.5222258788486878</v>
      </c>
      <c r="H153">
        <f t="shared" si="165"/>
        <v>100.44466417095046</v>
      </c>
      <c r="I153">
        <f t="shared" si="165"/>
        <v>72.910926016454468</v>
      </c>
      <c r="J153">
        <f t="shared" si="165"/>
        <v>63.025765751491043</v>
      </c>
      <c r="K153">
        <f t="shared" si="165"/>
        <v>45.160281022285083</v>
      </c>
      <c r="L153">
        <f t="shared" si="141"/>
        <v>108.79081033849977</v>
      </c>
      <c r="M153">
        <f t="shared" si="142"/>
        <v>-0.71081033849976905</v>
      </c>
      <c r="N153">
        <f t="shared" si="143"/>
        <v>0.5052513373181563</v>
      </c>
    </row>
    <row r="154" spans="1:14" x14ac:dyDescent="0.45">
      <c r="A154" s="22">
        <v>42650</v>
      </c>
      <c r="B154">
        <v>109</v>
      </c>
      <c r="C154">
        <v>107.45</v>
      </c>
      <c r="G154">
        <f t="shared" ref="G154:K154" si="166">SUMPRODUCT($B154:$B158,P$2:P$6)</f>
        <v>6.5380867801210805</v>
      </c>
      <c r="H154">
        <f t="shared" si="166"/>
        <v>100.76136694763453</v>
      </c>
      <c r="I154">
        <f t="shared" si="166"/>
        <v>73.145274181688492</v>
      </c>
      <c r="J154">
        <f t="shared" si="166"/>
        <v>63.234817946106944</v>
      </c>
      <c r="K154">
        <f t="shared" si="166"/>
        <v>45.314154276587061</v>
      </c>
      <c r="L154">
        <f t="shared" si="141"/>
        <v>109.13318357782089</v>
      </c>
      <c r="M154">
        <f t="shared" si="142"/>
        <v>-0.65318357782088299</v>
      </c>
      <c r="N154">
        <f t="shared" si="143"/>
        <v>0.42664878633488951</v>
      </c>
    </row>
    <row r="155" spans="1:14" x14ac:dyDescent="0.45">
      <c r="A155" s="22">
        <v>42649</v>
      </c>
      <c r="B155">
        <v>108.39</v>
      </c>
      <c r="C155">
        <v>108.84</v>
      </c>
      <c r="G155">
        <f t="shared" ref="G155:K155" si="167">SUMPRODUCT($B155:$B159,P$2:P$6)</f>
        <v>6.5551378645971514</v>
      </c>
      <c r="H155">
        <f t="shared" si="167"/>
        <v>100.48216049958637</v>
      </c>
      <c r="I155">
        <f t="shared" si="167"/>
        <v>72.934873517335419</v>
      </c>
      <c r="J155">
        <f t="shared" si="167"/>
        <v>63.041717904309337</v>
      </c>
      <c r="K155">
        <f t="shared" si="167"/>
        <v>45.168719680079583</v>
      </c>
      <c r="L155">
        <f t="shared" si="141"/>
        <v>108.82532080007148</v>
      </c>
      <c r="M155">
        <f t="shared" si="142"/>
        <v>0.17467919992851932</v>
      </c>
      <c r="N155">
        <f t="shared" si="143"/>
        <v>3.0512822887667625E-2</v>
      </c>
    </row>
    <row r="156" spans="1:14" x14ac:dyDescent="0.45">
      <c r="A156" s="22">
        <v>42648</v>
      </c>
      <c r="B156">
        <v>109.74</v>
      </c>
      <c r="C156">
        <v>108.61</v>
      </c>
      <c r="G156">
        <f t="shared" ref="G156:K156" si="168">SUMPRODUCT($B156:$B160,P$2:P$6)</f>
        <v>6.5710181068475197</v>
      </c>
      <c r="H156">
        <f t="shared" si="168"/>
        <v>101.49259777263059</v>
      </c>
      <c r="I156">
        <f t="shared" si="168"/>
        <v>73.674814790615315</v>
      </c>
      <c r="J156">
        <f t="shared" si="168"/>
        <v>63.690754676091842</v>
      </c>
      <c r="K156">
        <f t="shared" si="168"/>
        <v>45.639709441181751</v>
      </c>
      <c r="L156">
        <f t="shared" si="141"/>
        <v>109.9053735898417</v>
      </c>
      <c r="M156">
        <f t="shared" si="142"/>
        <v>-1.5153735898417011</v>
      </c>
      <c r="N156">
        <f t="shared" si="143"/>
        <v>2.2963571167897241</v>
      </c>
    </row>
    <row r="157" spans="1:14" x14ac:dyDescent="0.45">
      <c r="A157" s="22">
        <v>42647</v>
      </c>
      <c r="B157">
        <v>109.45</v>
      </c>
      <c r="C157">
        <v>109.37</v>
      </c>
      <c r="G157">
        <f t="shared" ref="G157:K157" si="169">SUMPRODUCT($B157:$B161,P$2:P$6)</f>
        <v>6.5717734334856228</v>
      </c>
      <c r="H157">
        <f t="shared" si="169"/>
        <v>101.32176741600921</v>
      </c>
      <c r="I157">
        <f t="shared" si="169"/>
        <v>73.548168493217872</v>
      </c>
      <c r="J157">
        <f t="shared" si="169"/>
        <v>63.577439236192291</v>
      </c>
      <c r="K157">
        <f t="shared" si="169"/>
        <v>45.55609618377094</v>
      </c>
      <c r="L157">
        <f t="shared" si="141"/>
        <v>109.72031848987763</v>
      </c>
      <c r="M157">
        <f t="shared" si="142"/>
        <v>1.968151012236774E-2</v>
      </c>
      <c r="N157">
        <f t="shared" si="143"/>
        <v>3.8736184069686382E-4</v>
      </c>
    </row>
    <row r="158" spans="1:14" x14ac:dyDescent="0.45">
      <c r="A158" s="22">
        <v>42646</v>
      </c>
      <c r="B158">
        <v>109.83</v>
      </c>
      <c r="C158">
        <v>109.16</v>
      </c>
      <c r="G158">
        <f t="shared" ref="G158:K158" si="170">SUMPRODUCT($B158:$B162,P$2:P$6)</f>
        <v>6.577640620650083</v>
      </c>
      <c r="H158">
        <f t="shared" si="170"/>
        <v>101.57441322516779</v>
      </c>
      <c r="I158">
        <f t="shared" si="170"/>
        <v>73.734243856771172</v>
      </c>
      <c r="J158">
        <f t="shared" si="170"/>
        <v>63.742186499722543</v>
      </c>
      <c r="K158">
        <f t="shared" si="170"/>
        <v>45.676599951349758</v>
      </c>
      <c r="L158">
        <f t="shared" si="141"/>
        <v>109.99205817180163</v>
      </c>
      <c r="M158">
        <f t="shared" si="142"/>
        <v>-0.54205817180162796</v>
      </c>
      <c r="N158">
        <f t="shared" si="143"/>
        <v>0.29382706161692324</v>
      </c>
    </row>
    <row r="159" spans="1:14" x14ac:dyDescent="0.45">
      <c r="A159" s="22">
        <v>42643</v>
      </c>
      <c r="B159">
        <v>109.53</v>
      </c>
      <c r="C159">
        <v>110.01</v>
      </c>
      <c r="G159">
        <f t="shared" ref="G159:K159" si="171">SUMPRODUCT($B159:$B163,P$2:P$6)</f>
        <v>6.5722967542937027</v>
      </c>
      <c r="H159">
        <f t="shared" si="171"/>
        <v>101.3768705013434</v>
      </c>
      <c r="I159">
        <f t="shared" si="171"/>
        <v>73.588679807736114</v>
      </c>
      <c r="J159">
        <f t="shared" si="171"/>
        <v>63.613204278477845</v>
      </c>
      <c r="K159">
        <f t="shared" si="171"/>
        <v>45.582192556874631</v>
      </c>
      <c r="L159">
        <f t="shared" si="141"/>
        <v>109.77947144668713</v>
      </c>
      <c r="M159">
        <f t="shared" si="142"/>
        <v>5.0528553312872759E-2</v>
      </c>
      <c r="N159">
        <f t="shared" si="143"/>
        <v>2.5531346998918245E-3</v>
      </c>
    </row>
    <row r="160" spans="1:14" x14ac:dyDescent="0.45">
      <c r="A160" s="22">
        <v>42642</v>
      </c>
      <c r="B160">
        <v>109.78</v>
      </c>
      <c r="C160">
        <v>109.31</v>
      </c>
      <c r="G160">
        <f t="shared" ref="G160:K160" si="172">SUMPRODUCT($B160:$B164,P$2:P$6)</f>
        <v>6.563345403705565</v>
      </c>
      <c r="H160">
        <f t="shared" si="172"/>
        <v>101.60817787684026</v>
      </c>
      <c r="I160">
        <f t="shared" si="172"/>
        <v>73.756586856581848</v>
      </c>
      <c r="J160">
        <f t="shared" si="172"/>
        <v>63.758352753044335</v>
      </c>
      <c r="K160">
        <f t="shared" si="172"/>
        <v>45.68620109788526</v>
      </c>
      <c r="L160">
        <f t="shared" si="141"/>
        <v>110.02436818642326</v>
      </c>
      <c r="M160">
        <f t="shared" si="142"/>
        <v>-0.49436818642325875</v>
      </c>
      <c r="N160">
        <f t="shared" si="143"/>
        <v>0.2443999037474219</v>
      </c>
    </row>
    <row r="161" spans="1:14" x14ac:dyDescent="0.45">
      <c r="A161" s="22">
        <v>42641</v>
      </c>
      <c r="B161">
        <v>110.03</v>
      </c>
      <c r="C161">
        <v>110.18</v>
      </c>
      <c r="G161">
        <f t="shared" ref="G161:K161" si="173">SUMPRODUCT($B161:$B165,P$2:P$6)</f>
        <v>6.5588033781581032</v>
      </c>
      <c r="H161">
        <f t="shared" si="173"/>
        <v>101.63869287902912</v>
      </c>
      <c r="I161">
        <f t="shared" si="173"/>
        <v>73.784176497164609</v>
      </c>
      <c r="J161">
        <f t="shared" si="173"/>
        <v>63.790100012677421</v>
      </c>
      <c r="K161">
        <f t="shared" si="173"/>
        <v>45.713925336562511</v>
      </c>
      <c r="L161">
        <f t="shared" si="141"/>
        <v>110.0653031925394</v>
      </c>
      <c r="M161">
        <f t="shared" si="142"/>
        <v>-0.28530319253940206</v>
      </c>
      <c r="N161">
        <f t="shared" si="143"/>
        <v>8.139791167317513E-2</v>
      </c>
    </row>
    <row r="162" spans="1:14" x14ac:dyDescent="0.45">
      <c r="A162" s="22">
        <v>42640</v>
      </c>
      <c r="B162">
        <v>108.9</v>
      </c>
      <c r="C162">
        <v>110.11</v>
      </c>
      <c r="G162">
        <f t="shared" ref="G162:K162" si="174">SUMPRODUCT($B162:$B166,P$2:P$6)</f>
        <v>6.5761363062155809</v>
      </c>
      <c r="H162">
        <f t="shared" si="174"/>
        <v>100.79979583647689</v>
      </c>
      <c r="I162">
        <f t="shared" si="174"/>
        <v>73.169622756915899</v>
      </c>
      <c r="J162">
        <f t="shared" si="174"/>
        <v>63.250716185343236</v>
      </c>
      <c r="K162">
        <f t="shared" si="174"/>
        <v>45.322302479463922</v>
      </c>
      <c r="L162">
        <f t="shared" si="141"/>
        <v>109.16824386578281</v>
      </c>
      <c r="M162">
        <f t="shared" si="142"/>
        <v>0.86175613421718822</v>
      </c>
      <c r="N162">
        <f t="shared" si="143"/>
        <v>0.74262363486095251</v>
      </c>
    </row>
    <row r="163" spans="1:14" x14ac:dyDescent="0.45">
      <c r="A163" s="22">
        <v>42639</v>
      </c>
      <c r="B163">
        <v>109.19</v>
      </c>
      <c r="C163">
        <v>108.98</v>
      </c>
      <c r="G163">
        <f t="shared" ref="G163:K163" si="175">SUMPRODUCT($B163:$B167,P$2:P$6)</f>
        <v>6.6009471904814241</v>
      </c>
      <c r="H163">
        <f t="shared" si="175"/>
        <v>101.16850926864771</v>
      </c>
      <c r="I163">
        <f t="shared" si="175"/>
        <v>73.434553135763579</v>
      </c>
      <c r="J163">
        <f t="shared" si="175"/>
        <v>63.475790065275277</v>
      </c>
      <c r="K163">
        <f t="shared" si="175"/>
        <v>45.481094775920006</v>
      </c>
      <c r="L163">
        <f t="shared" si="141"/>
        <v>109.55430548425105</v>
      </c>
      <c r="M163">
        <f t="shared" si="142"/>
        <v>-0.65430548425104007</v>
      </c>
      <c r="N163">
        <f t="shared" si="143"/>
        <v>0.42811566672098805</v>
      </c>
    </row>
    <row r="164" spans="1:14" x14ac:dyDescent="0.45">
      <c r="A164" s="22">
        <v>42636</v>
      </c>
      <c r="B164">
        <v>110.17</v>
      </c>
      <c r="C164">
        <v>109.9</v>
      </c>
      <c r="G164">
        <f t="shared" ref="G164:K164" si="176">SUMPRODUCT($B164:$B168,P$2:P$6)</f>
        <v>6.606556096318223</v>
      </c>
      <c r="H164">
        <f t="shared" si="176"/>
        <v>102.07377902789599</v>
      </c>
      <c r="I164">
        <f t="shared" si="176"/>
        <v>74.091729678004214</v>
      </c>
      <c r="J164">
        <f t="shared" si="176"/>
        <v>64.043951312896439</v>
      </c>
      <c r="K164">
        <f t="shared" si="176"/>
        <v>45.888255893426631</v>
      </c>
      <c r="L164">
        <f t="shared" si="141"/>
        <v>110.51282219462415</v>
      </c>
      <c r="M164">
        <f t="shared" si="142"/>
        <v>-1.3228221946241518</v>
      </c>
      <c r="N164">
        <f t="shared" si="143"/>
        <v>1.7498585585902575</v>
      </c>
    </row>
    <row r="165" spans="1:14" x14ac:dyDescent="0.45">
      <c r="A165" s="22">
        <v>42635</v>
      </c>
      <c r="B165">
        <v>111.14</v>
      </c>
      <c r="C165">
        <v>110.76</v>
      </c>
      <c r="G165">
        <f t="shared" ref="G165:K165" si="177">SUMPRODUCT($B165:$B169,P$2:P$6)</f>
        <v>6.5883393360193203</v>
      </c>
      <c r="H165">
        <f t="shared" si="177"/>
        <v>102.59440188930789</v>
      </c>
      <c r="I165">
        <f t="shared" si="177"/>
        <v>74.479857605944161</v>
      </c>
      <c r="J165">
        <f t="shared" si="177"/>
        <v>64.394295358359145</v>
      </c>
      <c r="K165">
        <f t="shared" si="177"/>
        <v>46.148637357088518</v>
      </c>
      <c r="L165">
        <f t="shared" si="141"/>
        <v>111.08022300504092</v>
      </c>
      <c r="M165">
        <f t="shared" si="142"/>
        <v>-0.91022300504091902</v>
      </c>
      <c r="N165">
        <f t="shared" si="143"/>
        <v>0.8285059189057209</v>
      </c>
    </row>
    <row r="166" spans="1:14" x14ac:dyDescent="0.45">
      <c r="A166" s="22">
        <v>42634</v>
      </c>
      <c r="B166">
        <v>109.52</v>
      </c>
      <c r="C166">
        <v>110.78</v>
      </c>
      <c r="G166">
        <f t="shared" ref="G166:K166" si="178">SUMPRODUCT($B166:$B170,P$2:P$6)</f>
        <v>6.5657633595259899</v>
      </c>
      <c r="H166">
        <f t="shared" si="178"/>
        <v>101.36470772955957</v>
      </c>
      <c r="I166">
        <f t="shared" si="178"/>
        <v>73.579929383790798</v>
      </c>
      <c r="J166">
        <f t="shared" si="178"/>
        <v>63.605754608190921</v>
      </c>
      <c r="K166">
        <f t="shared" si="178"/>
        <v>45.576926644485098</v>
      </c>
      <c r="L166">
        <f t="shared" si="141"/>
        <v>109.7667191092674</v>
      </c>
      <c r="M166">
        <f t="shared" si="142"/>
        <v>1.3732808907326017</v>
      </c>
      <c r="N166">
        <f t="shared" si="143"/>
        <v>1.8859004048513279</v>
      </c>
    </row>
    <row r="167" spans="1:14" x14ac:dyDescent="0.45">
      <c r="A167" s="22">
        <v>42633</v>
      </c>
      <c r="B167">
        <v>109.75</v>
      </c>
      <c r="C167">
        <v>108.97</v>
      </c>
      <c r="G167">
        <f t="shared" ref="G167:K167" si="179">SUMPRODUCT($B167:$B171,P$2:P$6)</f>
        <v>6.5501404755318955</v>
      </c>
      <c r="H167">
        <f t="shared" si="179"/>
        <v>101.49602920527556</v>
      </c>
      <c r="I167">
        <f t="shared" si="179"/>
        <v>73.677462332993358</v>
      </c>
      <c r="J167">
        <f t="shared" si="179"/>
        <v>63.69327348190464</v>
      </c>
      <c r="K167">
        <f t="shared" si="179"/>
        <v>45.641658063927174</v>
      </c>
      <c r="L167">
        <f t="shared" si="141"/>
        <v>109.90925638530219</v>
      </c>
      <c r="M167">
        <f t="shared" si="142"/>
        <v>-0.38925638530218976</v>
      </c>
      <c r="N167">
        <f t="shared" si="143"/>
        <v>0.15152053349852682</v>
      </c>
    </row>
    <row r="168" spans="1:14" x14ac:dyDescent="0.45">
      <c r="A168" s="22">
        <v>42632</v>
      </c>
      <c r="B168">
        <v>109.42</v>
      </c>
      <c r="C168">
        <v>108.98</v>
      </c>
      <c r="G168">
        <f t="shared" ref="G168:K168" si="180">SUMPRODUCT($B168:$B172,P$2:P$6)</f>
        <v>6.5121450332300341</v>
      </c>
      <c r="H168">
        <f t="shared" si="180"/>
        <v>101.23871863145361</v>
      </c>
      <c r="I168">
        <f t="shared" si="180"/>
        <v>73.489379962726261</v>
      </c>
      <c r="J168">
        <f t="shared" si="180"/>
        <v>63.528794330009404</v>
      </c>
      <c r="K168">
        <f t="shared" si="180"/>
        <v>45.522607849918735</v>
      </c>
      <c r="L168">
        <f t="shared" si="141"/>
        <v>109.63476579264993</v>
      </c>
      <c r="M168">
        <f t="shared" si="142"/>
        <v>0.11523420735007051</v>
      </c>
      <c r="N168">
        <f t="shared" si="143"/>
        <v>1.3278922543599043E-2</v>
      </c>
    </row>
    <row r="169" spans="1:14" x14ac:dyDescent="0.45">
      <c r="A169" s="22">
        <v>42629</v>
      </c>
      <c r="B169">
        <v>109.42</v>
      </c>
      <c r="C169">
        <v>109</v>
      </c>
      <c r="G169">
        <f t="shared" ref="G169:K169" si="181">SUMPRODUCT($B169:$B173,P$2:P$6)</f>
        <v>6.4673830090355393</v>
      </c>
      <c r="H169">
        <f t="shared" si="181"/>
        <v>101.05247611327206</v>
      </c>
      <c r="I169">
        <f t="shared" si="181"/>
        <v>73.359231500622272</v>
      </c>
      <c r="J169">
        <f t="shared" si="181"/>
        <v>63.423609727934895</v>
      </c>
      <c r="K169">
        <f t="shared" si="181"/>
        <v>45.451850573813815</v>
      </c>
      <c r="L169">
        <f t="shared" si="141"/>
        <v>109.4455836735806</v>
      </c>
      <c r="M169">
        <f t="shared" si="142"/>
        <v>-2.5583673580598543E-2</v>
      </c>
      <c r="N169">
        <f t="shared" si="143"/>
        <v>6.5452435387861583E-4</v>
      </c>
    </row>
    <row r="170" spans="1:14" x14ac:dyDescent="0.45">
      <c r="A170" s="22">
        <v>42628</v>
      </c>
      <c r="B170">
        <v>108.14</v>
      </c>
      <c r="C170">
        <v>109.76</v>
      </c>
      <c r="G170">
        <f t="shared" ref="G170:K170" si="182">SUMPRODUCT($B170:$B174,P$2:P$6)</f>
        <v>6.4469403356555892</v>
      </c>
      <c r="H170">
        <f t="shared" si="182"/>
        <v>99.884187274130255</v>
      </c>
      <c r="I170">
        <f t="shared" si="182"/>
        <v>72.510735443723746</v>
      </c>
      <c r="J170">
        <f t="shared" si="182"/>
        <v>62.689486827536882</v>
      </c>
      <c r="K170">
        <f t="shared" si="182"/>
        <v>44.925407162288643</v>
      </c>
      <c r="L170">
        <f t="shared" si="141"/>
        <v>108.20797060762222</v>
      </c>
      <c r="M170">
        <f t="shared" si="142"/>
        <v>1.2120293923777865</v>
      </c>
      <c r="N170">
        <f t="shared" si="143"/>
        <v>1.4690152479876664</v>
      </c>
    </row>
    <row r="171" spans="1:14" x14ac:dyDescent="0.45">
      <c r="A171" s="22">
        <v>42627</v>
      </c>
      <c r="B171">
        <v>106.97</v>
      </c>
      <c r="C171">
        <v>108.11</v>
      </c>
      <c r="G171">
        <f t="shared" ref="G171:K171" si="183">SUMPRODUCT($B171:$B175,P$2:P$6)</f>
        <v>6.4756423317231038</v>
      </c>
      <c r="H171">
        <f t="shared" si="183"/>
        <v>98.987911749082613</v>
      </c>
      <c r="I171">
        <f t="shared" si="183"/>
        <v>71.855083291713854</v>
      </c>
      <c r="J171">
        <f t="shared" si="183"/>
        <v>62.115374959630607</v>
      </c>
      <c r="K171">
        <f t="shared" si="183"/>
        <v>44.50940409232966</v>
      </c>
      <c r="L171">
        <f t="shared" si="141"/>
        <v>107.25103726003776</v>
      </c>
      <c r="M171">
        <f t="shared" si="142"/>
        <v>0.8889627399622384</v>
      </c>
      <c r="N171">
        <f t="shared" si="143"/>
        <v>0.79025475304117032</v>
      </c>
    </row>
    <row r="172" spans="1:14" x14ac:dyDescent="0.45">
      <c r="A172" s="22">
        <v>42626</v>
      </c>
      <c r="B172">
        <v>107.08</v>
      </c>
      <c r="C172">
        <v>106.7</v>
      </c>
      <c r="G172">
        <f t="shared" ref="G172:K172" si="184">SUMPRODUCT($B172:$B176,P$2:P$6)</f>
        <v>6.5453489429464273</v>
      </c>
      <c r="H172">
        <f t="shared" si="184"/>
        <v>99.341405856355422</v>
      </c>
      <c r="I172">
        <f t="shared" si="184"/>
        <v>72.104867305665167</v>
      </c>
      <c r="J172">
        <f t="shared" si="184"/>
        <v>62.321403822871694</v>
      </c>
      <c r="K172">
        <f t="shared" si="184"/>
        <v>44.650801223852149</v>
      </c>
      <c r="L172">
        <f t="shared" si="141"/>
        <v>107.6144840229563</v>
      </c>
      <c r="M172">
        <f t="shared" si="142"/>
        <v>-0.64448402295630558</v>
      </c>
      <c r="N172">
        <f t="shared" si="143"/>
        <v>0.41535965584594381</v>
      </c>
    </row>
    <row r="173" spans="1:14" x14ac:dyDescent="0.45">
      <c r="A173" s="22">
        <v>42625</v>
      </c>
      <c r="B173">
        <v>108.92</v>
      </c>
      <c r="C173">
        <v>109.54</v>
      </c>
      <c r="G173">
        <f t="shared" ref="G173:K173" si="185">SUMPRODUCT($B173:$B177,P$2:P$6)</f>
        <v>6.6159904640095561</v>
      </c>
      <c r="H173">
        <f t="shared" si="185"/>
        <v>100.92160781838555</v>
      </c>
      <c r="I173">
        <f t="shared" si="185"/>
        <v>73.255248869272961</v>
      </c>
      <c r="J173">
        <f t="shared" si="185"/>
        <v>63.320672895122655</v>
      </c>
      <c r="K173">
        <f t="shared" si="185"/>
        <v>45.369871636539543</v>
      </c>
      <c r="L173">
        <f t="shared" si="141"/>
        <v>109.2927738717807</v>
      </c>
      <c r="M173">
        <f t="shared" si="142"/>
        <v>-2.2127738717806977</v>
      </c>
      <c r="N173">
        <f t="shared" si="143"/>
        <v>4.8963682076353399</v>
      </c>
    </row>
    <row r="174" spans="1:14" x14ac:dyDescent="0.45">
      <c r="A174" s="22">
        <v>42622</v>
      </c>
      <c r="B174">
        <v>109.92</v>
      </c>
      <c r="C174">
        <v>109.25</v>
      </c>
      <c r="G174">
        <f t="shared" ref="G174:K174" si="186">SUMPRODUCT($B174:$B178,P$2:P$6)</f>
        <v>6.6633182506911615</v>
      </c>
      <c r="H174">
        <f t="shared" si="186"/>
        <v>101.92249905996465</v>
      </c>
      <c r="I174">
        <f t="shared" si="186"/>
        <v>73.979748692436885</v>
      </c>
      <c r="J174">
        <f t="shared" si="186"/>
        <v>63.943999447114656</v>
      </c>
      <c r="K174">
        <f t="shared" si="186"/>
        <v>45.814651770722932</v>
      </c>
      <c r="L174">
        <f t="shared" si="141"/>
        <v>110.34921659645127</v>
      </c>
      <c r="M174">
        <f t="shared" si="142"/>
        <v>-1.4292165964512691</v>
      </c>
      <c r="N174">
        <f t="shared" si="143"/>
        <v>2.0426600795717498</v>
      </c>
    </row>
    <row r="175" spans="1:14" x14ac:dyDescent="0.45">
      <c r="A175" s="22">
        <v>42621</v>
      </c>
      <c r="B175">
        <v>111.44</v>
      </c>
      <c r="C175">
        <v>110.96</v>
      </c>
      <c r="G175">
        <f t="shared" ref="G175:K175" si="187">SUMPRODUCT($B175:$B179,P$2:P$6)</f>
        <v>6.7009035494339653</v>
      </c>
      <c r="H175">
        <f t="shared" si="187"/>
        <v>103.10768524589173</v>
      </c>
      <c r="I175">
        <f t="shared" si="187"/>
        <v>74.846066870424877</v>
      </c>
      <c r="J175">
        <f t="shared" si="187"/>
        <v>64.701598491923832</v>
      </c>
      <c r="K175">
        <f t="shared" si="187"/>
        <v>46.363001401454035</v>
      </c>
      <c r="L175">
        <f t="shared" si="141"/>
        <v>111.61353453606154</v>
      </c>
      <c r="M175">
        <f t="shared" si="142"/>
        <v>-1.6935345360615344</v>
      </c>
      <c r="N175">
        <f t="shared" si="143"/>
        <v>2.8680592248331562</v>
      </c>
    </row>
    <row r="176" spans="1:14" x14ac:dyDescent="0.45">
      <c r="A176" s="22">
        <v>42620</v>
      </c>
      <c r="B176">
        <v>111.44</v>
      </c>
      <c r="C176">
        <v>111.97</v>
      </c>
      <c r="G176">
        <f t="shared" ref="G176:K176" si="188">SUMPRODUCT($B176:$B180,P$2:P$6)</f>
        <v>6.7122586462638383</v>
      </c>
      <c r="H176">
        <f t="shared" si="188"/>
        <v>103.17316142757832</v>
      </c>
      <c r="I176">
        <f t="shared" si="188"/>
        <v>74.891822451652445</v>
      </c>
      <c r="J176">
        <f t="shared" si="188"/>
        <v>64.738577665646545</v>
      </c>
      <c r="K176">
        <f t="shared" si="188"/>
        <v>46.387876633080879</v>
      </c>
      <c r="L176">
        <f t="shared" si="141"/>
        <v>111.68004410970678</v>
      </c>
      <c r="M176">
        <f t="shared" si="142"/>
        <v>-0.24004410970678691</v>
      </c>
      <c r="N176">
        <f t="shared" si="143"/>
        <v>5.7621174604923948E-2</v>
      </c>
    </row>
    <row r="177" spans="1:14" x14ac:dyDescent="0.45">
      <c r="A177" s="22">
        <v>42619</v>
      </c>
      <c r="B177">
        <v>111.89</v>
      </c>
      <c r="C177">
        <v>111.37</v>
      </c>
      <c r="G177">
        <f t="shared" ref="G177:K177" si="189">SUMPRODUCT($B177:$B181,P$2:P$6)</f>
        <v>6.7079136819191065</v>
      </c>
      <c r="H177">
        <f t="shared" si="189"/>
        <v>103.67245047285675</v>
      </c>
      <c r="I177">
        <f t="shared" si="189"/>
        <v>75.252011136390948</v>
      </c>
      <c r="J177">
        <f t="shared" si="189"/>
        <v>65.046684897210312</v>
      </c>
      <c r="K177">
        <f t="shared" si="189"/>
        <v>46.606600861478775</v>
      </c>
      <c r="L177">
        <f t="shared" si="141"/>
        <v>112.20510289093687</v>
      </c>
      <c r="M177">
        <f t="shared" si="142"/>
        <v>-0.76510289093687334</v>
      </c>
      <c r="N177">
        <f t="shared" si="143"/>
        <v>0.58538243371996113</v>
      </c>
    </row>
    <row r="178" spans="1:14" x14ac:dyDescent="0.45">
      <c r="A178" s="22">
        <v>42615</v>
      </c>
      <c r="B178">
        <v>112.91</v>
      </c>
      <c r="C178">
        <v>112.07</v>
      </c>
      <c r="G178">
        <f t="shared" ref="G178:K178" si="190">SUMPRODUCT($B178:$B182,P$2:P$6)</f>
        <v>6.6824449923149301</v>
      </c>
      <c r="H178">
        <f t="shared" si="190"/>
        <v>104.23060451819283</v>
      </c>
      <c r="I178">
        <f t="shared" si="190"/>
        <v>75.66761944441096</v>
      </c>
      <c r="J178">
        <f t="shared" si="190"/>
        <v>65.421128067851086</v>
      </c>
      <c r="K178">
        <f t="shared" si="190"/>
        <v>46.88446721069036</v>
      </c>
      <c r="L178">
        <f t="shared" si="141"/>
        <v>112.81261490395832</v>
      </c>
      <c r="M178">
        <f t="shared" si="142"/>
        <v>-0.92261490395831913</v>
      </c>
      <c r="N178">
        <f t="shared" si="143"/>
        <v>0.85121826100601838</v>
      </c>
    </row>
    <row r="179" spans="1:14" x14ac:dyDescent="0.45">
      <c r="A179" s="22">
        <v>42614</v>
      </c>
      <c r="B179">
        <v>111.28</v>
      </c>
      <c r="C179">
        <v>112.34</v>
      </c>
      <c r="G179">
        <f t="shared" ref="G179:K179" si="191">SUMPRODUCT($B179:$B183,P$2:P$6)</f>
        <v>6.6477840578783169</v>
      </c>
      <c r="H179">
        <f t="shared" si="191"/>
        <v>102.93491239942139</v>
      </c>
      <c r="I179">
        <f t="shared" si="191"/>
        <v>74.721320401536843</v>
      </c>
      <c r="J179">
        <f t="shared" si="191"/>
        <v>64.59473302931697</v>
      </c>
      <c r="K179">
        <f t="shared" si="191"/>
        <v>46.287037254012922</v>
      </c>
      <c r="L179">
        <f t="shared" si="141"/>
        <v>111.43167380653857</v>
      </c>
      <c r="M179">
        <f t="shared" si="142"/>
        <v>1.4783261934614274</v>
      </c>
      <c r="N179">
        <f t="shared" si="143"/>
        <v>2.1854483342741537</v>
      </c>
    </row>
    <row r="180" spans="1:14" x14ac:dyDescent="0.45">
      <c r="A180" s="22">
        <v>42613</v>
      </c>
      <c r="B180">
        <v>111.11</v>
      </c>
      <c r="C180">
        <v>111.45</v>
      </c>
      <c r="G180">
        <f t="shared" ref="G180:K180" si="192">SUMPRODUCT($B180:$B184,P$2:P$6)</f>
        <v>6.6264115737616089</v>
      </c>
      <c r="H180">
        <f t="shared" si="192"/>
        <v>102.74415779111557</v>
      </c>
      <c r="I180">
        <f t="shared" si="192"/>
        <v>74.583757834965979</v>
      </c>
      <c r="J180">
        <f t="shared" si="192"/>
        <v>64.4771314094492</v>
      </c>
      <c r="K180">
        <f t="shared" si="192"/>
        <v>46.203596874523157</v>
      </c>
      <c r="L180">
        <f t="shared" si="141"/>
        <v>111.23115022419026</v>
      </c>
      <c r="M180">
        <f t="shared" si="142"/>
        <v>4.8849775809742368E-2</v>
      </c>
      <c r="N180">
        <f t="shared" si="143"/>
        <v>2.3863005966620909E-3</v>
      </c>
    </row>
    <row r="181" spans="1:14" x14ac:dyDescent="0.45">
      <c r="A181" s="22">
        <v>42612</v>
      </c>
      <c r="B181">
        <v>110.71</v>
      </c>
      <c r="C181">
        <v>111.15</v>
      </c>
      <c r="G181">
        <f t="shared" ref="G181:K181" si="193">SUMPRODUCT($B181:$B185,P$2:P$6)</f>
        <v>6.6057645395872404</v>
      </c>
      <c r="H181">
        <f t="shared" si="193"/>
        <v>102.38861545535831</v>
      </c>
      <c r="I181">
        <f t="shared" si="193"/>
        <v>74.325274483447885</v>
      </c>
      <c r="J181">
        <f t="shared" si="193"/>
        <v>64.253110515957147</v>
      </c>
      <c r="K181">
        <f t="shared" si="193"/>
        <v>46.042710679698665</v>
      </c>
      <c r="L181">
        <f t="shared" si="141"/>
        <v>110.854094590885</v>
      </c>
      <c r="M181">
        <f t="shared" si="142"/>
        <v>0.2559054091150017</v>
      </c>
      <c r="N181">
        <f t="shared" si="143"/>
        <v>6.5487578414316391E-2</v>
      </c>
    </row>
    <row r="182" spans="1:14" x14ac:dyDescent="0.45">
      <c r="A182" s="22">
        <v>42611</v>
      </c>
      <c r="B182">
        <v>110.41</v>
      </c>
      <c r="C182">
        <v>110.76</v>
      </c>
      <c r="G182">
        <f t="shared" ref="G182:K182" si="194">SUMPRODUCT($B182:$B186,P$2:P$6)</f>
        <v>6.5775150623316847</v>
      </c>
      <c r="H182">
        <f t="shared" si="194"/>
        <v>102.06303199992242</v>
      </c>
      <c r="I182">
        <f t="shared" si="194"/>
        <v>74.090235191620053</v>
      </c>
      <c r="J182">
        <f t="shared" si="194"/>
        <v>64.051814133152064</v>
      </c>
      <c r="K182">
        <f t="shared" si="194"/>
        <v>45.899657673645947</v>
      </c>
      <c r="L182">
        <f t="shared" si="141"/>
        <v>110.51144641556968</v>
      </c>
      <c r="M182">
        <f t="shared" si="142"/>
        <v>0.19855358443031434</v>
      </c>
      <c r="N182">
        <f t="shared" si="143"/>
        <v>3.9423525890125967E-2</v>
      </c>
    </row>
    <row r="183" spans="1:14" x14ac:dyDescent="0.45">
      <c r="A183" s="22">
        <v>42608</v>
      </c>
      <c r="B183">
        <v>109.78</v>
      </c>
      <c r="C183">
        <v>110.32</v>
      </c>
      <c r="G183">
        <f t="shared" ref="G183:K183" si="195">SUMPRODUCT($B183:$B187,P$2:P$6)</f>
        <v>6.5911489526649021</v>
      </c>
      <c r="H183">
        <f t="shared" si="195"/>
        <v>101.59653816233147</v>
      </c>
      <c r="I183">
        <f t="shared" si="195"/>
        <v>73.748453929175071</v>
      </c>
      <c r="J183">
        <f t="shared" si="195"/>
        <v>63.751778559727384</v>
      </c>
      <c r="K183">
        <f t="shared" si="195"/>
        <v>45.681780004917478</v>
      </c>
      <c r="L183">
        <f t="shared" si="141"/>
        <v>110.01254523029286</v>
      </c>
      <c r="M183">
        <f t="shared" si="142"/>
        <v>0.39745476970713867</v>
      </c>
      <c r="N183">
        <f t="shared" si="143"/>
        <v>0.15797029396295464</v>
      </c>
    </row>
    <row r="184" spans="1:14" x14ac:dyDescent="0.45">
      <c r="A184" s="22">
        <v>42607</v>
      </c>
      <c r="B184">
        <v>109.95</v>
      </c>
      <c r="C184">
        <v>110</v>
      </c>
      <c r="G184">
        <f t="shared" ref="G184:K184" si="196">SUMPRODUCT($B184:$B188,P$2:P$6)</f>
        <v>6.6434479473863259</v>
      </c>
      <c r="H184">
        <f t="shared" si="196"/>
        <v>101.5006551598766</v>
      </c>
      <c r="I184">
        <f t="shared" si="196"/>
        <v>73.685708330354984</v>
      </c>
      <c r="J184">
        <f t="shared" si="196"/>
        <v>63.707496722461393</v>
      </c>
      <c r="K184">
        <f t="shared" si="196"/>
        <v>45.656321729076552</v>
      </c>
      <c r="L184">
        <f t="shared" si="141"/>
        <v>109.92190671003338</v>
      </c>
      <c r="M184">
        <f t="shared" si="142"/>
        <v>-0.14190671003338196</v>
      </c>
      <c r="N184">
        <f t="shared" si="143"/>
        <v>2.0137514352498345E-2</v>
      </c>
    </row>
    <row r="185" spans="1:14" x14ac:dyDescent="0.45">
      <c r="A185" s="22">
        <v>42606</v>
      </c>
      <c r="B185">
        <v>108.38</v>
      </c>
      <c r="C185">
        <v>109.85</v>
      </c>
      <c r="G185">
        <f t="shared" ref="G185:K185" si="197">SUMPRODUCT($B185:$B189,P$2:P$6)</f>
        <v>6.7082537386211669</v>
      </c>
      <c r="H185">
        <f t="shared" si="197"/>
        <v>100.9850770424727</v>
      </c>
      <c r="I185">
        <f t="shared" si="197"/>
        <v>73.286069959263017</v>
      </c>
      <c r="J185">
        <f t="shared" si="197"/>
        <v>63.325169630542646</v>
      </c>
      <c r="K185">
        <f t="shared" si="197"/>
        <v>45.359142880734133</v>
      </c>
      <c r="L185">
        <f t="shared" si="141"/>
        <v>109.33577857591271</v>
      </c>
      <c r="M185">
        <f t="shared" si="142"/>
        <v>0.6142214240872903</v>
      </c>
      <c r="N185">
        <f t="shared" si="143"/>
        <v>0.37726795780781891</v>
      </c>
    </row>
    <row r="186" spans="1:14" x14ac:dyDescent="0.45">
      <c r="A186" s="22">
        <v>42605</v>
      </c>
      <c r="B186">
        <v>113.25</v>
      </c>
      <c r="C186">
        <v>113.84</v>
      </c>
      <c r="G186">
        <f t="shared" ref="G186:K186" si="198">SUMPRODUCT($B186:$B190,P$2:P$6)</f>
        <v>6.7589052910516765</v>
      </c>
      <c r="H186">
        <f t="shared" si="198"/>
        <v>104.70814598076979</v>
      </c>
      <c r="I186">
        <f t="shared" si="198"/>
        <v>76.009854397967743</v>
      </c>
      <c r="J186">
        <f t="shared" si="198"/>
        <v>65.71056721443766</v>
      </c>
      <c r="K186">
        <f t="shared" si="198"/>
        <v>47.087832464394658</v>
      </c>
      <c r="L186">
        <f t="shared" si="141"/>
        <v>113.31121040574052</v>
      </c>
      <c r="M186">
        <f t="shared" si="142"/>
        <v>-4.9312104057405293</v>
      </c>
      <c r="N186">
        <f t="shared" si="143"/>
        <v>24.316836065683674</v>
      </c>
    </row>
    <row r="187" spans="1:14" x14ac:dyDescent="0.45">
      <c r="A187" s="22">
        <v>42604</v>
      </c>
      <c r="B187">
        <v>112.74</v>
      </c>
      <c r="C187">
        <v>112.54</v>
      </c>
      <c r="G187">
        <f t="shared" ref="G187:K187" si="199">SUMPRODUCT($B187:$B191,P$2:P$6)</f>
        <v>6.7505809293438483</v>
      </c>
      <c r="H187">
        <f t="shared" si="199"/>
        <v>104.28865947411595</v>
      </c>
      <c r="I187">
        <f t="shared" si="199"/>
        <v>75.703929790849401</v>
      </c>
      <c r="J187">
        <f t="shared" si="199"/>
        <v>65.444046553514411</v>
      </c>
      <c r="K187">
        <f t="shared" si="199"/>
        <v>46.895555121309684</v>
      </c>
      <c r="L187">
        <f t="shared" si="141"/>
        <v>112.86482862737385</v>
      </c>
      <c r="M187">
        <f t="shared" si="142"/>
        <v>0.38517137262614654</v>
      </c>
      <c r="N187">
        <f t="shared" si="143"/>
        <v>0.14835698629070981</v>
      </c>
    </row>
    <row r="188" spans="1:14" x14ac:dyDescent="0.45">
      <c r="A188" s="22">
        <v>42601</v>
      </c>
      <c r="B188">
        <v>112.59</v>
      </c>
      <c r="C188">
        <v>112.8</v>
      </c>
      <c r="G188">
        <f t="shared" ref="G188:K188" si="200">SUMPRODUCT($B188:$B192,P$2:P$6)</f>
        <v>6.7542675314268417</v>
      </c>
      <c r="H188">
        <f t="shared" si="200"/>
        <v>104.16151510847556</v>
      </c>
      <c r="I188">
        <f t="shared" si="200"/>
        <v>75.611319952174725</v>
      </c>
      <c r="J188">
        <f t="shared" si="200"/>
        <v>65.363531338784483</v>
      </c>
      <c r="K188">
        <f t="shared" si="200"/>
        <v>46.837572342167206</v>
      </c>
      <c r="L188">
        <f t="shared" si="141"/>
        <v>112.72971440930438</v>
      </c>
      <c r="M188">
        <f t="shared" si="142"/>
        <v>1.028559069561652E-2</v>
      </c>
      <c r="N188">
        <f t="shared" si="143"/>
        <v>1.0579337595775312E-4</v>
      </c>
    </row>
    <row r="189" spans="1:14" x14ac:dyDescent="0.45">
      <c r="A189" s="22">
        <v>42600</v>
      </c>
      <c r="B189">
        <v>112.52</v>
      </c>
      <c r="C189">
        <v>112.54</v>
      </c>
      <c r="G189">
        <f t="shared" ref="G189:K189" si="201">SUMPRODUCT($B189:$B193,P$2:P$6)</f>
        <v>6.7581438520070014</v>
      </c>
      <c r="H189">
        <f t="shared" si="201"/>
        <v>104.14621978422382</v>
      </c>
      <c r="I189">
        <f t="shared" si="201"/>
        <v>75.598877105877463</v>
      </c>
      <c r="J189">
        <f t="shared" si="201"/>
        <v>65.350829290941391</v>
      </c>
      <c r="K189">
        <f t="shared" si="201"/>
        <v>46.827244621740142</v>
      </c>
      <c r="L189">
        <f t="shared" si="141"/>
        <v>112.71139493263703</v>
      </c>
      <c r="M189">
        <f t="shared" si="142"/>
        <v>-0.12139493263703116</v>
      </c>
      <c r="N189">
        <f t="shared" si="143"/>
        <v>1.4736729669949333E-2</v>
      </c>
    </row>
    <row r="190" spans="1:14" x14ac:dyDescent="0.45">
      <c r="A190" s="22">
        <v>42599</v>
      </c>
      <c r="B190">
        <v>112.79</v>
      </c>
      <c r="C190">
        <v>112.74</v>
      </c>
      <c r="G190">
        <f t="shared" ref="G190:K190" si="202">SUMPRODUCT($B190:$B194,P$2:P$6)</f>
        <v>6.7579854535833856</v>
      </c>
      <c r="H190">
        <f t="shared" si="202"/>
        <v>104.39166673762917</v>
      </c>
      <c r="I190">
        <f t="shared" si="202"/>
        <v>75.777165944831665</v>
      </c>
      <c r="J190">
        <f t="shared" si="202"/>
        <v>65.505124639896579</v>
      </c>
      <c r="K190">
        <f t="shared" si="202"/>
        <v>46.937915574241828</v>
      </c>
      <c r="L190">
        <f t="shared" si="141"/>
        <v>112.9714494263372</v>
      </c>
      <c r="M190">
        <f t="shared" si="142"/>
        <v>-0.45144942633720575</v>
      </c>
      <c r="N190">
        <f t="shared" si="143"/>
        <v>0.20380658454019215</v>
      </c>
    </row>
    <row r="191" spans="1:14" x14ac:dyDescent="0.45">
      <c r="A191" s="22">
        <v>42598</v>
      </c>
      <c r="B191">
        <v>113.03</v>
      </c>
      <c r="C191">
        <v>112.47</v>
      </c>
      <c r="G191">
        <f t="shared" ref="G191:K191" si="203">SUMPRODUCT($B191:$B195,P$2:P$6)</f>
        <v>6.7552310054667597</v>
      </c>
      <c r="H191">
        <f t="shared" si="203"/>
        <v>104.5060502514558</v>
      </c>
      <c r="I191">
        <f t="shared" si="203"/>
        <v>75.863113099178079</v>
      </c>
      <c r="J191">
        <f t="shared" si="203"/>
        <v>65.583657954930388</v>
      </c>
      <c r="K191">
        <f t="shared" si="203"/>
        <v>46.996857689738945</v>
      </c>
      <c r="L191">
        <f t="shared" si="141"/>
        <v>113.0971790533446</v>
      </c>
      <c r="M191">
        <f t="shared" si="142"/>
        <v>-0.30717905334459772</v>
      </c>
      <c r="N191">
        <f t="shared" si="143"/>
        <v>9.4358970813683204E-2</v>
      </c>
    </row>
    <row r="192" spans="1:14" x14ac:dyDescent="0.45">
      <c r="A192" s="22">
        <v>42597</v>
      </c>
      <c r="B192">
        <v>112.53</v>
      </c>
      <c r="C192">
        <v>113.32</v>
      </c>
      <c r="G192">
        <f t="shared" ref="G192:K192" si="204">SUMPRODUCT($B192:$B196,P$2:P$6)</f>
        <v>6.7480340795803562</v>
      </c>
      <c r="H192">
        <f t="shared" si="204"/>
        <v>104.12200645585379</v>
      </c>
      <c r="I192">
        <f t="shared" si="204"/>
        <v>75.582206840694326</v>
      </c>
      <c r="J192">
        <f t="shared" si="204"/>
        <v>65.337734918922919</v>
      </c>
      <c r="K192">
        <f t="shared" si="204"/>
        <v>46.818690656486851</v>
      </c>
      <c r="L192">
        <f t="shared" si="141"/>
        <v>112.6871968639922</v>
      </c>
      <c r="M192">
        <f t="shared" si="142"/>
        <v>0.34280313600780232</v>
      </c>
      <c r="N192">
        <f t="shared" si="143"/>
        <v>0.11751399005678381</v>
      </c>
    </row>
    <row r="193" spans="1:14" x14ac:dyDescent="0.45">
      <c r="A193" s="22">
        <v>42594</v>
      </c>
      <c r="B193">
        <v>112.57</v>
      </c>
      <c r="C193">
        <v>112.09</v>
      </c>
      <c r="G193">
        <f t="shared" ref="G193:K193" si="205">SUMPRODUCT($B193:$B197,P$2:P$6)</f>
        <v>6.7406539588928558</v>
      </c>
      <c r="H193">
        <f t="shared" si="205"/>
        <v>104.20266597476915</v>
      </c>
      <c r="I193">
        <f t="shared" si="205"/>
        <v>75.63957554428994</v>
      </c>
      <c r="J193">
        <f t="shared" si="205"/>
        <v>65.385611011673404</v>
      </c>
      <c r="K193">
        <f t="shared" si="205"/>
        <v>46.851915496247038</v>
      </c>
      <c r="L193">
        <f t="shared" si="141"/>
        <v>112.77071963783227</v>
      </c>
      <c r="M193">
        <f t="shared" si="142"/>
        <v>-0.24071963783227091</v>
      </c>
      <c r="N193">
        <f t="shared" si="143"/>
        <v>5.7945944038099668E-2</v>
      </c>
    </row>
    <row r="194" spans="1:14" x14ac:dyDescent="0.45">
      <c r="A194" s="22">
        <v>42593</v>
      </c>
      <c r="B194">
        <v>112.91</v>
      </c>
      <c r="C194">
        <v>113.15</v>
      </c>
      <c r="G194">
        <f t="shared" ref="G194:K194" si="206">SUMPRODUCT($B194:$B198,P$2:P$6)</f>
        <v>6.7260965471169643</v>
      </c>
      <c r="H194">
        <f t="shared" si="206"/>
        <v>104.35428143964846</v>
      </c>
      <c r="I194">
        <f t="shared" si="206"/>
        <v>75.754046631988103</v>
      </c>
      <c r="J194">
        <f t="shared" si="206"/>
        <v>65.490977270986377</v>
      </c>
      <c r="K194">
        <f t="shared" si="206"/>
        <v>46.931454898859236</v>
      </c>
      <c r="L194">
        <f t="shared" si="141"/>
        <v>112.93824406076071</v>
      </c>
      <c r="M194">
        <f t="shared" si="142"/>
        <v>-0.36824406076071625</v>
      </c>
      <c r="N194">
        <f t="shared" si="143"/>
        <v>0.13560368828554209</v>
      </c>
    </row>
    <row r="195" spans="1:14" x14ac:dyDescent="0.45">
      <c r="A195" s="22">
        <v>42592</v>
      </c>
      <c r="B195">
        <v>112.13</v>
      </c>
      <c r="C195">
        <v>112.86</v>
      </c>
      <c r="G195">
        <f t="shared" ref="G195:K195" si="207">SUMPRODUCT($B195:$B199,P$2:P$6)</f>
        <v>6.6933971855131045</v>
      </c>
      <c r="H195">
        <f t="shared" si="207"/>
        <v>103.73299844357969</v>
      </c>
      <c r="I195">
        <f t="shared" si="207"/>
        <v>75.300337090233569</v>
      </c>
      <c r="J195">
        <f t="shared" si="207"/>
        <v>65.094813580229498</v>
      </c>
      <c r="K195">
        <f t="shared" si="207"/>
        <v>46.645089441354692</v>
      </c>
      <c r="L195">
        <f t="shared" ref="L195:L247" si="208">(G195+$P$7)*$U$2+(H195+$Q$7)*$U$3+(I195+$R$7)*$U$4+(J195+$S$7)*$U$5+(K195+$T$7)*$U$6+$U$7</f>
        <v>112.2761471323962</v>
      </c>
      <c r="M195">
        <f t="shared" ref="M195:M247" si="209">B194-L195</f>
        <v>0.63385286760379245</v>
      </c>
      <c r="N195">
        <f t="shared" ref="N195:N247" si="210">M195^2</f>
        <v>0.40176945776955086</v>
      </c>
    </row>
    <row r="196" spans="1:14" x14ac:dyDescent="0.45">
      <c r="A196" s="22">
        <v>42591</v>
      </c>
      <c r="B196">
        <v>112.04</v>
      </c>
      <c r="C196">
        <v>112.13</v>
      </c>
      <c r="G196">
        <f t="shared" ref="G196:K196" si="211">SUMPRODUCT($B196:$B200,P$2:P$6)</f>
        <v>6.657837795836258</v>
      </c>
      <c r="H196">
        <f t="shared" si="211"/>
        <v>103.63081164785649</v>
      </c>
      <c r="I196">
        <f t="shared" si="211"/>
        <v>75.226671736169635</v>
      </c>
      <c r="J196">
        <f t="shared" si="211"/>
        <v>65.031876601258205</v>
      </c>
      <c r="K196">
        <f t="shared" si="211"/>
        <v>46.600459618279636</v>
      </c>
      <c r="L196">
        <f t="shared" si="208"/>
        <v>112.16876950913922</v>
      </c>
      <c r="M196">
        <f t="shared" si="209"/>
        <v>-3.876950913922883E-2</v>
      </c>
      <c r="N196">
        <f t="shared" si="210"/>
        <v>1.5030748388967477E-3</v>
      </c>
    </row>
    <row r="197" spans="1:14" x14ac:dyDescent="0.45">
      <c r="A197" s="22">
        <v>42590</v>
      </c>
      <c r="B197">
        <v>111.82</v>
      </c>
      <c r="C197">
        <v>112.02</v>
      </c>
      <c r="G197">
        <f t="shared" ref="G197:K197" si="212">SUMPRODUCT($B197:$B201,P$2:P$6)</f>
        <v>6.61007509326069</v>
      </c>
      <c r="H197">
        <f t="shared" si="212"/>
        <v>103.201733334343</v>
      </c>
      <c r="I197">
        <f t="shared" si="212"/>
        <v>74.921312025339418</v>
      </c>
      <c r="J197">
        <f t="shared" si="212"/>
        <v>64.776774153531363</v>
      </c>
      <c r="K197">
        <f t="shared" si="212"/>
        <v>46.42324921733325</v>
      </c>
      <c r="L197">
        <f t="shared" si="208"/>
        <v>111.72417283137725</v>
      </c>
      <c r="M197">
        <f t="shared" si="209"/>
        <v>0.31582716862276072</v>
      </c>
      <c r="N197">
        <f t="shared" si="210"/>
        <v>9.9746800440269734E-2</v>
      </c>
    </row>
    <row r="198" spans="1:14" x14ac:dyDescent="0.45">
      <c r="A198" s="22">
        <v>42587</v>
      </c>
      <c r="B198">
        <v>110.05</v>
      </c>
      <c r="C198">
        <v>111.49</v>
      </c>
      <c r="G198">
        <f t="shared" ref="G198:K198" si="213">SUMPRODUCT($B198:$B202,P$2:P$6)</f>
        <v>6.5820977840051968</v>
      </c>
      <c r="H198">
        <f t="shared" si="213"/>
        <v>101.83907498978903</v>
      </c>
      <c r="I198">
        <f t="shared" si="213"/>
        <v>73.924708268753918</v>
      </c>
      <c r="J198">
        <f t="shared" si="213"/>
        <v>63.904430757519243</v>
      </c>
      <c r="K198">
        <f t="shared" si="213"/>
        <v>45.791344716593095</v>
      </c>
      <c r="L198">
        <f t="shared" si="208"/>
        <v>110.26964334312265</v>
      </c>
      <c r="M198">
        <f t="shared" si="209"/>
        <v>1.5503566568773408</v>
      </c>
      <c r="N198">
        <f t="shared" si="210"/>
        <v>2.4036057635238848</v>
      </c>
    </row>
    <row r="199" spans="1:14" x14ac:dyDescent="0.45">
      <c r="A199" s="22">
        <v>42586</v>
      </c>
      <c r="B199">
        <v>110.17</v>
      </c>
      <c r="C199">
        <v>109.9</v>
      </c>
      <c r="G199">
        <f t="shared" ref="G199:K199" si="214">SUMPRODUCT($B199:$B203,P$2:P$6)</f>
        <v>6.5957456057079202</v>
      </c>
      <c r="H199">
        <f t="shared" si="214"/>
        <v>101.74640042367285</v>
      </c>
      <c r="I199">
        <f t="shared" si="214"/>
        <v>73.862952845339095</v>
      </c>
      <c r="J199">
        <f t="shared" si="214"/>
        <v>63.859057569468867</v>
      </c>
      <c r="K199">
        <f t="shared" si="214"/>
        <v>45.76387915439274</v>
      </c>
      <c r="L199">
        <f t="shared" si="208"/>
        <v>110.18027641997934</v>
      </c>
      <c r="M199">
        <f t="shared" si="209"/>
        <v>-0.1302764199793387</v>
      </c>
      <c r="N199">
        <f t="shared" si="210"/>
        <v>1.6971945602633039E-2</v>
      </c>
    </row>
    <row r="200" spans="1:14" x14ac:dyDescent="0.45">
      <c r="A200" s="22">
        <v>42585</v>
      </c>
      <c r="B200">
        <v>108.89</v>
      </c>
      <c r="C200">
        <v>109.83</v>
      </c>
      <c r="G200">
        <f t="shared" ref="G200:K200" si="215">SUMPRODUCT($B200:$B204,P$2:P$6)</f>
        <v>6.6344567224502766</v>
      </c>
      <c r="H200">
        <f t="shared" si="215"/>
        <v>100.98551737136921</v>
      </c>
      <c r="I200">
        <f t="shared" si="215"/>
        <v>73.299158451266635</v>
      </c>
      <c r="J200">
        <f t="shared" si="215"/>
        <v>63.355025369674259</v>
      </c>
      <c r="K200">
        <f t="shared" si="215"/>
        <v>45.392216558782664</v>
      </c>
      <c r="L200">
        <f t="shared" si="208"/>
        <v>109.35649974054024</v>
      </c>
      <c r="M200">
        <f t="shared" si="209"/>
        <v>0.81350025945975801</v>
      </c>
      <c r="N200">
        <f t="shared" si="210"/>
        <v>0.66178267214109365</v>
      </c>
    </row>
    <row r="201" spans="1:14" x14ac:dyDescent="0.45">
      <c r="A201" s="22">
        <v>42584</v>
      </c>
      <c r="B201">
        <v>110.52</v>
      </c>
      <c r="C201">
        <v>109.22</v>
      </c>
      <c r="G201">
        <f t="shared" ref="G201:K201" si="216">SUMPRODUCT($B201:$B205,P$2:P$6)</f>
        <v>6.6917665446658052</v>
      </c>
      <c r="H201">
        <f t="shared" si="216"/>
        <v>102.38742616552386</v>
      </c>
      <c r="I201">
        <f t="shared" si="216"/>
        <v>74.31968353726883</v>
      </c>
      <c r="J201">
        <f t="shared" si="216"/>
        <v>64.241408408466015</v>
      </c>
      <c r="K201">
        <f t="shared" si="216"/>
        <v>46.030000269510325</v>
      </c>
      <c r="L201">
        <f t="shared" si="208"/>
        <v>110.84533413146656</v>
      </c>
      <c r="M201">
        <f t="shared" si="209"/>
        <v>-1.9553341314665573</v>
      </c>
      <c r="N201">
        <f t="shared" si="210"/>
        <v>3.823331565678076</v>
      </c>
    </row>
    <row r="202" spans="1:14" x14ac:dyDescent="0.45">
      <c r="A202" s="22">
        <v>42583</v>
      </c>
      <c r="B202">
        <v>111.42</v>
      </c>
      <c r="C202">
        <v>110.76</v>
      </c>
      <c r="G202">
        <f t="shared" ref="G202:K202" si="217">SUMPRODUCT($B202:$B206,P$2:P$6)</f>
        <v>6.7358375232126084</v>
      </c>
      <c r="H202">
        <f t="shared" si="217"/>
        <v>103.20558317135131</v>
      </c>
      <c r="I202">
        <f t="shared" si="217"/>
        <v>74.913979340486804</v>
      </c>
      <c r="J202">
        <f t="shared" si="217"/>
        <v>64.755726968776784</v>
      </c>
      <c r="K202">
        <f t="shared" si="217"/>
        <v>46.398904257378305</v>
      </c>
      <c r="L202">
        <f t="shared" si="208"/>
        <v>111.71218296517785</v>
      </c>
      <c r="M202">
        <f t="shared" si="209"/>
        <v>-1.1921829651778495</v>
      </c>
      <c r="N202">
        <f t="shared" si="210"/>
        <v>1.4213002224602496</v>
      </c>
    </row>
    <row r="203" spans="1:14" x14ac:dyDescent="0.45">
      <c r="A203" s="22">
        <v>42580</v>
      </c>
      <c r="B203">
        <v>112.22</v>
      </c>
      <c r="C203">
        <v>110.99</v>
      </c>
      <c r="G203">
        <f t="shared" ref="G203:K203" si="218">SUMPRODUCT($B203:$B207,P$2:P$6)</f>
        <v>6.7765011695678004</v>
      </c>
      <c r="H203">
        <f t="shared" si="218"/>
        <v>103.89193162408648</v>
      </c>
      <c r="I203">
        <f t="shared" si="218"/>
        <v>75.413658749725386</v>
      </c>
      <c r="J203">
        <f t="shared" si="218"/>
        <v>65.189798868449373</v>
      </c>
      <c r="K203">
        <f t="shared" si="218"/>
        <v>46.711279442421677</v>
      </c>
      <c r="L203">
        <f t="shared" si="208"/>
        <v>112.44116735053923</v>
      </c>
      <c r="M203">
        <f t="shared" si="209"/>
        <v>-1.0211673505392298</v>
      </c>
      <c r="N203">
        <f t="shared" si="210"/>
        <v>1.0427827578073103</v>
      </c>
    </row>
    <row r="204" spans="1:14" x14ac:dyDescent="0.45">
      <c r="A204" s="22">
        <v>42579</v>
      </c>
      <c r="B204">
        <v>112.65</v>
      </c>
      <c r="C204">
        <v>112.04</v>
      </c>
      <c r="G204">
        <f t="shared" ref="G204:K204" si="219">SUMPRODUCT($B204:$B208,P$2:P$6)</f>
        <v>6.8086475008576741</v>
      </c>
      <c r="H204">
        <f t="shared" si="219"/>
        <v>104.36398660975273</v>
      </c>
      <c r="I204">
        <f t="shared" si="219"/>
        <v>75.754314168083653</v>
      </c>
      <c r="J204">
        <f t="shared" si="219"/>
        <v>65.481364437446885</v>
      </c>
      <c r="K204">
        <f t="shared" si="219"/>
        <v>46.918366803027091</v>
      </c>
      <c r="L204">
        <f t="shared" si="208"/>
        <v>112.93776715518651</v>
      </c>
      <c r="M204">
        <f t="shared" si="209"/>
        <v>-0.71776715518650747</v>
      </c>
      <c r="N204">
        <f t="shared" si="210"/>
        <v>0.51518968906453189</v>
      </c>
    </row>
    <row r="205" spans="1:14" x14ac:dyDescent="0.45">
      <c r="A205" s="22">
        <v>42578</v>
      </c>
      <c r="B205">
        <v>113.59</v>
      </c>
      <c r="C205">
        <v>112.54</v>
      </c>
      <c r="G205">
        <f t="shared" ref="G205:K205" si="220">SUMPRODUCT($B205:$B209,P$2:P$6)</f>
        <v>6.825201460500999</v>
      </c>
      <c r="H205">
        <f t="shared" si="220"/>
        <v>105.17550210858273</v>
      </c>
      <c r="I205">
        <f t="shared" si="220"/>
        <v>76.344971422265061</v>
      </c>
      <c r="J205">
        <f t="shared" si="220"/>
        <v>65.994254065550777</v>
      </c>
      <c r="K205">
        <f t="shared" si="220"/>
        <v>47.287327921253542</v>
      </c>
      <c r="L205">
        <f t="shared" si="208"/>
        <v>113.79945969400494</v>
      </c>
      <c r="M205">
        <f t="shared" si="209"/>
        <v>-1.149459694004932</v>
      </c>
      <c r="N205">
        <f t="shared" si="210"/>
        <v>1.3212575881419117</v>
      </c>
    </row>
    <row r="206" spans="1:14" x14ac:dyDescent="0.45">
      <c r="A206" s="22">
        <v>42577</v>
      </c>
      <c r="B206">
        <v>114.13</v>
      </c>
      <c r="C206">
        <v>113.62</v>
      </c>
      <c r="G206">
        <f t="shared" ref="G206:K206" si="221">SUMPRODUCT($B206:$B210,P$2:P$6)</f>
        <v>6.8309017165343606</v>
      </c>
      <c r="H206">
        <f t="shared" si="221"/>
        <v>105.57327434377544</v>
      </c>
      <c r="I206">
        <f t="shared" si="221"/>
        <v>76.636473052475182</v>
      </c>
      <c r="J206">
        <f t="shared" si="221"/>
        <v>66.25025288223523</v>
      </c>
      <c r="K206">
        <f t="shared" si="221"/>
        <v>47.473291752620902</v>
      </c>
      <c r="L206">
        <f t="shared" si="208"/>
        <v>114.22497699078849</v>
      </c>
      <c r="M206">
        <f t="shared" si="209"/>
        <v>-0.63497699078848768</v>
      </c>
      <c r="N206">
        <f t="shared" si="210"/>
        <v>0.40319577883080315</v>
      </c>
    </row>
    <row r="207" spans="1:14" x14ac:dyDescent="0.45">
      <c r="A207" s="22">
        <v>42576</v>
      </c>
      <c r="B207">
        <v>113.97</v>
      </c>
      <c r="C207">
        <v>113.95</v>
      </c>
      <c r="G207">
        <f t="shared" ref="G207:K207" si="222">SUMPRODUCT($B207:$B211,P$2:P$6)</f>
        <v>6.8208640162502014</v>
      </c>
      <c r="H207">
        <f t="shared" si="222"/>
        <v>105.39322791433095</v>
      </c>
      <c r="I207">
        <f t="shared" si="222"/>
        <v>76.50664470610981</v>
      </c>
      <c r="J207">
        <f t="shared" si="222"/>
        <v>66.139279383202052</v>
      </c>
      <c r="K207">
        <f t="shared" si="222"/>
        <v>47.394564463221442</v>
      </c>
      <c r="L207">
        <f t="shared" si="208"/>
        <v>114.03572824653642</v>
      </c>
      <c r="M207">
        <f t="shared" si="209"/>
        <v>9.4271753463573305E-2</v>
      </c>
      <c r="N207">
        <f t="shared" si="210"/>
        <v>8.8871635010967457E-3</v>
      </c>
    </row>
    <row r="208" spans="1:14" x14ac:dyDescent="0.45">
      <c r="A208" s="22">
        <v>42573</v>
      </c>
      <c r="B208">
        <v>113.59</v>
      </c>
      <c r="C208">
        <v>114.06</v>
      </c>
      <c r="G208">
        <f t="shared" ref="G208:K208" si="223">SUMPRODUCT($B208:$B212,P$2:P$6)</f>
        <v>6.8251720465698948</v>
      </c>
      <c r="H208">
        <f t="shared" si="223"/>
        <v>105.22642755544162</v>
      </c>
      <c r="I208">
        <f t="shared" si="223"/>
        <v>76.380559395045893</v>
      </c>
      <c r="J208">
        <f t="shared" si="223"/>
        <v>66.023014954137111</v>
      </c>
      <c r="K208">
        <f t="shared" si="223"/>
        <v>47.306675726388541</v>
      </c>
      <c r="L208">
        <f t="shared" si="208"/>
        <v>113.85118910348876</v>
      </c>
      <c r="M208">
        <f t="shared" si="209"/>
        <v>0.11881089651123489</v>
      </c>
      <c r="N208">
        <f t="shared" si="210"/>
        <v>1.4116029129803366E-2</v>
      </c>
    </row>
    <row r="209" spans="1:14" x14ac:dyDescent="0.45">
      <c r="A209" s="22">
        <v>42572</v>
      </c>
      <c r="B209">
        <v>114.48</v>
      </c>
      <c r="C209">
        <v>113.19</v>
      </c>
      <c r="G209">
        <f t="shared" ref="G209:K209" si="224">SUMPRODUCT($B209:$B213,P$2:P$6)</f>
        <v>6.8420489808353295</v>
      </c>
      <c r="H209">
        <f t="shared" si="224"/>
        <v>105.67303304216998</v>
      </c>
      <c r="I209">
        <f t="shared" si="224"/>
        <v>76.714958170334739</v>
      </c>
      <c r="J209">
        <f t="shared" si="224"/>
        <v>66.32691207944606</v>
      </c>
      <c r="K209">
        <f t="shared" si="224"/>
        <v>47.53377497834083</v>
      </c>
      <c r="L209">
        <f t="shared" si="208"/>
        <v>114.34022414955763</v>
      </c>
      <c r="M209">
        <f t="shared" si="209"/>
        <v>-0.75022414955762429</v>
      </c>
      <c r="N209">
        <f t="shared" si="210"/>
        <v>0.56283627457946062</v>
      </c>
    </row>
    <row r="210" spans="1:14" x14ac:dyDescent="0.45">
      <c r="A210" s="22">
        <v>42571</v>
      </c>
      <c r="B210">
        <v>112.78</v>
      </c>
      <c r="C210">
        <v>114.79</v>
      </c>
      <c r="G210">
        <f t="shared" ref="G210:K210" si="225">SUMPRODUCT($B210:$B214,P$2:P$6)</f>
        <v>6.8776500944435686</v>
      </c>
      <c r="H210">
        <f t="shared" si="225"/>
        <v>104.68069516209997</v>
      </c>
      <c r="I210">
        <f t="shared" si="225"/>
        <v>75.978894190348058</v>
      </c>
      <c r="J210">
        <f t="shared" si="225"/>
        <v>65.667778568804565</v>
      </c>
      <c r="K210">
        <f t="shared" si="225"/>
        <v>47.047078947887975</v>
      </c>
      <c r="L210">
        <f t="shared" si="208"/>
        <v>113.26464308911501</v>
      </c>
      <c r="M210">
        <f t="shared" si="209"/>
        <v>1.2153569108849922</v>
      </c>
      <c r="N210">
        <f t="shared" si="210"/>
        <v>1.4770924208359109</v>
      </c>
    </row>
    <row r="211" spans="1:14" x14ac:dyDescent="0.45">
      <c r="A211" s="22">
        <v>42570</v>
      </c>
      <c r="B211">
        <v>115.07</v>
      </c>
      <c r="C211">
        <v>114.78</v>
      </c>
      <c r="G211">
        <f t="shared" ref="G211:K211" si="226">SUMPRODUCT($B211:$B215,P$2:P$6)</f>
        <v>6.9334070957664373</v>
      </c>
      <c r="H211">
        <f t="shared" si="226"/>
        <v>106.44008234117928</v>
      </c>
      <c r="I211">
        <f t="shared" si="226"/>
        <v>77.265770243194979</v>
      </c>
      <c r="J211">
        <f t="shared" si="226"/>
        <v>66.794370165500609</v>
      </c>
      <c r="K211">
        <f t="shared" si="226"/>
        <v>47.863260482432224</v>
      </c>
      <c r="L211">
        <f t="shared" si="208"/>
        <v>115.14283524959893</v>
      </c>
      <c r="M211">
        <f t="shared" si="209"/>
        <v>-2.3628352495989304</v>
      </c>
      <c r="N211">
        <f t="shared" si="210"/>
        <v>5.5829904167472399</v>
      </c>
    </row>
    <row r="212" spans="1:14" x14ac:dyDescent="0.45">
      <c r="A212" s="22">
        <v>42569</v>
      </c>
      <c r="B212">
        <v>114.89</v>
      </c>
      <c r="C212">
        <v>115.25</v>
      </c>
      <c r="G212">
        <f t="shared" ref="G212:K212" si="227">SUMPRODUCT($B212:$B216,P$2:P$6)</f>
        <v>6.9674223039598493</v>
      </c>
      <c r="H212">
        <f t="shared" si="227"/>
        <v>106.54562960746691</v>
      </c>
      <c r="I212">
        <f t="shared" si="227"/>
        <v>77.335017524368467</v>
      </c>
      <c r="J212">
        <f t="shared" si="227"/>
        <v>66.84353049354759</v>
      </c>
      <c r="K212">
        <f t="shared" si="227"/>
        <v>47.891745891394301</v>
      </c>
      <c r="L212">
        <f t="shared" si="208"/>
        <v>115.2428930219162</v>
      </c>
      <c r="M212">
        <f t="shared" si="209"/>
        <v>-0.17289302191620948</v>
      </c>
      <c r="N212">
        <f t="shared" si="210"/>
        <v>2.989199702731889E-2</v>
      </c>
    </row>
    <row r="213" spans="1:14" x14ac:dyDescent="0.45">
      <c r="A213" s="22">
        <v>42566</v>
      </c>
      <c r="B213">
        <v>116.58</v>
      </c>
      <c r="C213">
        <v>114.98</v>
      </c>
      <c r="G213">
        <f t="shared" ref="G213:K213" si="228">SUMPRODUCT($B213:$B217,P$2:P$6)</f>
        <v>6.9913608014039745</v>
      </c>
      <c r="H213">
        <f t="shared" si="228"/>
        <v>107.85463970408489</v>
      </c>
      <c r="I213">
        <f t="shared" si="228"/>
        <v>78.29212657203972</v>
      </c>
      <c r="J213">
        <f t="shared" si="228"/>
        <v>67.680930480340351</v>
      </c>
      <c r="K213">
        <f t="shared" si="228"/>
        <v>48.498106800103209</v>
      </c>
      <c r="L213">
        <f t="shared" si="208"/>
        <v>116.63974734117436</v>
      </c>
      <c r="M213">
        <f t="shared" si="209"/>
        <v>-1.7497473411743556</v>
      </c>
      <c r="N213">
        <f t="shared" si="210"/>
        <v>3.0616157579467269</v>
      </c>
    </row>
    <row r="214" spans="1:14" x14ac:dyDescent="0.45">
      <c r="A214" s="22">
        <v>42565</v>
      </c>
      <c r="B214">
        <v>116.52</v>
      </c>
      <c r="C214">
        <v>116.39</v>
      </c>
      <c r="G214">
        <f t="shared" ref="G214:K214" si="229">SUMPRODUCT($B214:$B218,P$2:P$6)</f>
        <v>6.9864491684579813</v>
      </c>
      <c r="H214">
        <f t="shared" si="229"/>
        <v>107.87187652048621</v>
      </c>
      <c r="I214">
        <f t="shared" si="229"/>
        <v>78.302668070450707</v>
      </c>
      <c r="J214">
        <f t="shared" si="229"/>
        <v>67.687182150240957</v>
      </c>
      <c r="K214">
        <f t="shared" si="229"/>
        <v>48.500783894249039</v>
      </c>
      <c r="L214">
        <f t="shared" si="208"/>
        <v>116.65487095048829</v>
      </c>
      <c r="M214">
        <f t="shared" si="209"/>
        <v>-7.4870950488289623E-2</v>
      </c>
      <c r="N214">
        <f t="shared" si="210"/>
        <v>5.6056592270199157E-3</v>
      </c>
    </row>
    <row r="215" spans="1:14" x14ac:dyDescent="0.45">
      <c r="A215" s="22">
        <v>42564</v>
      </c>
      <c r="B215">
        <v>116.96</v>
      </c>
      <c r="C215">
        <v>115.92</v>
      </c>
      <c r="G215">
        <f t="shared" ref="G215:K215" si="230">SUMPRODUCT($B215:$B219,P$2:P$6)</f>
        <v>6.9651789075843524</v>
      </c>
      <c r="H215">
        <f t="shared" si="230"/>
        <v>108.14075022178255</v>
      </c>
      <c r="I215">
        <f t="shared" si="230"/>
        <v>78.501587217022987</v>
      </c>
      <c r="J215">
        <f t="shared" si="230"/>
        <v>67.864577624678347</v>
      </c>
      <c r="K215">
        <f t="shared" si="230"/>
        <v>48.63132384969056</v>
      </c>
      <c r="L215">
        <f t="shared" si="208"/>
        <v>116.94547969124739</v>
      </c>
      <c r="M215">
        <f t="shared" si="209"/>
        <v>-0.42547969124738927</v>
      </c>
      <c r="N215">
        <f t="shared" si="210"/>
        <v>0.1810329676639737</v>
      </c>
    </row>
    <row r="216" spans="1:14" x14ac:dyDescent="0.45">
      <c r="A216" s="22">
        <v>42563</v>
      </c>
      <c r="B216">
        <v>116.45</v>
      </c>
      <c r="C216">
        <v>116.34</v>
      </c>
      <c r="G216">
        <f t="shared" ref="G216:K216" si="231">SUMPRODUCT($B216:$B220,P$2:P$6)</f>
        <v>6.9149228237618612</v>
      </c>
      <c r="H216">
        <f t="shared" si="231"/>
        <v>107.68488758409386</v>
      </c>
      <c r="I216">
        <f t="shared" si="231"/>
        <v>78.170242025370996</v>
      </c>
      <c r="J216">
        <f t="shared" si="231"/>
        <v>67.577512834351907</v>
      </c>
      <c r="K216">
        <f t="shared" si="231"/>
        <v>48.425225829927506</v>
      </c>
      <c r="L216">
        <f t="shared" si="208"/>
        <v>116.46214733890407</v>
      </c>
      <c r="M216">
        <f t="shared" si="209"/>
        <v>0.4978526610959193</v>
      </c>
      <c r="N216">
        <f t="shared" si="210"/>
        <v>0.24785727216028827</v>
      </c>
    </row>
    <row r="217" spans="1:14" x14ac:dyDescent="0.45">
      <c r="A217" s="22">
        <v>42562</v>
      </c>
      <c r="B217">
        <v>116.05</v>
      </c>
      <c r="C217">
        <v>115.63</v>
      </c>
      <c r="G217">
        <f t="shared" ref="G217:K217" si="232">SUMPRODUCT($B217:$B221,P$2:P$6)</f>
        <v>6.8461940896233875</v>
      </c>
      <c r="H217">
        <f t="shared" si="232"/>
        <v>107.22021861430532</v>
      </c>
      <c r="I217">
        <f t="shared" si="232"/>
        <v>77.835499788351086</v>
      </c>
      <c r="J217">
        <f t="shared" si="232"/>
        <v>67.291860165818747</v>
      </c>
      <c r="K217">
        <f t="shared" si="232"/>
        <v>48.22287970338968</v>
      </c>
      <c r="L217">
        <f t="shared" si="208"/>
        <v>115.97424254577227</v>
      </c>
      <c r="M217">
        <f t="shared" si="209"/>
        <v>0.47575745422773252</v>
      </c>
      <c r="N217">
        <f t="shared" si="210"/>
        <v>0.22634515525325299</v>
      </c>
    </row>
    <row r="218" spans="1:14" x14ac:dyDescent="0.45">
      <c r="A218" s="22">
        <v>42559</v>
      </c>
      <c r="B218">
        <v>115</v>
      </c>
      <c r="C218">
        <v>115.48</v>
      </c>
      <c r="G218">
        <f t="shared" ref="G218:K218" si="233">SUMPRODUCT($B218:$B222,P$2:P$6)</f>
        <v>6.7714802594612857</v>
      </c>
      <c r="H218">
        <f t="shared" si="233"/>
        <v>106.13814533250508</v>
      </c>
      <c r="I218">
        <f t="shared" si="233"/>
        <v>77.053016319367785</v>
      </c>
      <c r="J218">
        <f t="shared" si="233"/>
        <v>66.619781403066582</v>
      </c>
      <c r="K218">
        <f t="shared" si="233"/>
        <v>47.744030557604191</v>
      </c>
      <c r="L218">
        <f t="shared" si="208"/>
        <v>114.8333488111254</v>
      </c>
      <c r="M218">
        <f t="shared" si="209"/>
        <v>1.216651188874593</v>
      </c>
      <c r="N218">
        <f t="shared" si="210"/>
        <v>1.4802401153899605</v>
      </c>
    </row>
    <row r="219" spans="1:14" x14ac:dyDescent="0.45">
      <c r="A219" s="22">
        <v>42558</v>
      </c>
      <c r="B219">
        <v>113.19</v>
      </c>
      <c r="C219">
        <v>114.25</v>
      </c>
      <c r="G219">
        <f t="shared" ref="G219:K219" si="234">SUMPRODUCT($B219:$B223,P$2:P$6)</f>
        <v>6.7178121952880439</v>
      </c>
      <c r="H219">
        <f t="shared" si="234"/>
        <v>104.55950975330758</v>
      </c>
      <c r="I219">
        <f t="shared" si="234"/>
        <v>75.904480215505018</v>
      </c>
      <c r="J219">
        <f t="shared" si="234"/>
        <v>65.623139012567165</v>
      </c>
      <c r="K219">
        <f t="shared" si="234"/>
        <v>47.027491319052878</v>
      </c>
      <c r="L219">
        <f t="shared" si="208"/>
        <v>113.15784251675439</v>
      </c>
      <c r="M219">
        <f t="shared" si="209"/>
        <v>1.8421574832456145</v>
      </c>
      <c r="N219">
        <f t="shared" si="210"/>
        <v>3.3935441930778163</v>
      </c>
    </row>
    <row r="220" spans="1:14" x14ac:dyDescent="0.45">
      <c r="A220" s="22">
        <v>42557</v>
      </c>
      <c r="B220">
        <v>112.04</v>
      </c>
      <c r="C220">
        <v>113.28</v>
      </c>
      <c r="G220">
        <f t="shared" ref="G220:K220" si="235">SUMPRODUCT($B220:$B224,P$2:P$6)</f>
        <v>6.6737428400249836</v>
      </c>
      <c r="H220">
        <f t="shared" si="235"/>
        <v>103.58570599007857</v>
      </c>
      <c r="I220">
        <f t="shared" si="235"/>
        <v>75.195149905050343</v>
      </c>
      <c r="J220">
        <f t="shared" si="235"/>
        <v>65.00640288946029</v>
      </c>
      <c r="K220">
        <f t="shared" si="235"/>
        <v>46.583323323681611</v>
      </c>
      <c r="L220">
        <f t="shared" si="208"/>
        <v>112.12295164738245</v>
      </c>
      <c r="M220">
        <f t="shared" si="209"/>
        <v>1.0670483526175474</v>
      </c>
      <c r="N220">
        <f t="shared" si="210"/>
        <v>1.1385921868238218</v>
      </c>
    </row>
    <row r="221" spans="1:14" x14ac:dyDescent="0.45">
      <c r="A221" s="22">
        <v>42556</v>
      </c>
      <c r="B221">
        <v>111.51</v>
      </c>
      <c r="C221">
        <v>112.74</v>
      </c>
      <c r="G221">
        <f t="shared" ref="G221:K221" si="236">SUMPRODUCT($B221:$B225,P$2:P$6)</f>
        <v>6.6033270474175429</v>
      </c>
      <c r="H221">
        <f t="shared" si="236"/>
        <v>103.20445959477632</v>
      </c>
      <c r="I221">
        <f t="shared" si="236"/>
        <v>74.915446787031073</v>
      </c>
      <c r="J221">
        <f t="shared" si="236"/>
        <v>64.760317830510004</v>
      </c>
      <c r="K221">
        <f t="shared" si="236"/>
        <v>46.404282452941352</v>
      </c>
      <c r="L221">
        <f t="shared" si="208"/>
        <v>111.71461817101891</v>
      </c>
      <c r="M221">
        <f t="shared" si="209"/>
        <v>0.32538182898109369</v>
      </c>
      <c r="N221">
        <f t="shared" si="210"/>
        <v>0.1058733346310817</v>
      </c>
    </row>
    <row r="222" spans="1:14" x14ac:dyDescent="0.45">
      <c r="A222" s="22">
        <v>42552</v>
      </c>
      <c r="B222">
        <v>111.73</v>
      </c>
      <c r="C222">
        <v>111.91</v>
      </c>
      <c r="G222">
        <f t="shared" ref="G222:K222" si="237">SUMPRODUCT($B222:$B226,P$2:P$6)</f>
        <v>6.497757181366004</v>
      </c>
      <c r="H222">
        <f t="shared" si="237"/>
        <v>103.03261388643088</v>
      </c>
      <c r="I222">
        <f t="shared" si="237"/>
        <v>74.80087145119515</v>
      </c>
      <c r="J222">
        <f t="shared" si="237"/>
        <v>64.676035981056984</v>
      </c>
      <c r="K222">
        <f t="shared" si="237"/>
        <v>46.353189358333388</v>
      </c>
      <c r="L222">
        <f t="shared" si="208"/>
        <v>111.54880537260911</v>
      </c>
      <c r="M222">
        <f t="shared" si="209"/>
        <v>-3.8805372609104438E-2</v>
      </c>
      <c r="N222">
        <f t="shared" si="210"/>
        <v>1.505856943331433E-3</v>
      </c>
    </row>
    <row r="223" spans="1:14" x14ac:dyDescent="0.45">
      <c r="A223" s="22">
        <v>42551</v>
      </c>
      <c r="B223">
        <v>109.37</v>
      </c>
      <c r="C223">
        <v>111.61</v>
      </c>
      <c r="G223">
        <f t="shared" ref="G223:K223" si="238">SUMPRODUCT($B223:$B227,P$2:P$6)</f>
        <v>6.3784689389231479</v>
      </c>
      <c r="H223">
        <f t="shared" si="238"/>
        <v>100.79086988579033</v>
      </c>
      <c r="I223">
        <f t="shared" si="238"/>
        <v>73.175162082732541</v>
      </c>
      <c r="J223">
        <f t="shared" si="238"/>
        <v>63.27296011279212</v>
      </c>
      <c r="K223">
        <f t="shared" si="238"/>
        <v>45.349234627450215</v>
      </c>
      <c r="L223">
        <f t="shared" si="208"/>
        <v>109.17785985351287</v>
      </c>
      <c r="M223">
        <f t="shared" si="209"/>
        <v>2.5521401464871332</v>
      </c>
      <c r="N223">
        <f t="shared" si="210"/>
        <v>6.5134193273113654</v>
      </c>
    </row>
    <row r="224" spans="1:14" x14ac:dyDescent="0.45">
      <c r="A224" s="22">
        <v>42550</v>
      </c>
      <c r="B224">
        <v>106.61</v>
      </c>
      <c r="C224">
        <v>109.29</v>
      </c>
      <c r="G224">
        <f t="shared" ref="G224:K224" si="239">SUMPRODUCT($B224:$B228,P$2:P$6)</f>
        <v>6.2939281066415811</v>
      </c>
      <c r="H224">
        <f t="shared" si="239"/>
        <v>98.433663665428753</v>
      </c>
      <c r="I224">
        <f t="shared" si="239"/>
        <v>71.458743539450325</v>
      </c>
      <c r="J224">
        <f t="shared" si="239"/>
        <v>61.781452727964719</v>
      </c>
      <c r="K224">
        <f t="shared" si="239"/>
        <v>44.275604326094076</v>
      </c>
      <c r="L224">
        <f t="shared" si="208"/>
        <v>106.67372890843886</v>
      </c>
      <c r="M224">
        <f t="shared" si="209"/>
        <v>2.6962710915611439</v>
      </c>
      <c r="N224">
        <f t="shared" si="210"/>
        <v>7.2698777991883219</v>
      </c>
    </row>
    <row r="225" spans="1:14" x14ac:dyDescent="0.45">
      <c r="A225" s="22">
        <v>42549</v>
      </c>
      <c r="B225">
        <v>105.2</v>
      </c>
      <c r="C225">
        <v>105.99</v>
      </c>
      <c r="G225">
        <f t="shared" ref="G225:K225" si="240">SUMPRODUCT($B225:$B229,P$2:P$6)</f>
        <v>6.2893945191793685</v>
      </c>
      <c r="H225">
        <f t="shared" si="240"/>
        <v>97.19456517601445</v>
      </c>
      <c r="I225">
        <f t="shared" si="240"/>
        <v>70.557506352855384</v>
      </c>
      <c r="J225">
        <f t="shared" si="240"/>
        <v>60.999791797018446</v>
      </c>
      <c r="K225">
        <f t="shared" si="240"/>
        <v>43.713871852386362</v>
      </c>
      <c r="L225">
        <f t="shared" si="208"/>
        <v>105.35902068788872</v>
      </c>
      <c r="M225">
        <f t="shared" si="209"/>
        <v>1.2509793121112835</v>
      </c>
      <c r="N225">
        <f t="shared" si="210"/>
        <v>1.5649492393304201</v>
      </c>
    </row>
    <row r="226" spans="1:14" x14ac:dyDescent="0.45">
      <c r="A226" s="22">
        <v>42548</v>
      </c>
      <c r="B226">
        <v>104.24</v>
      </c>
      <c r="C226">
        <v>104.18</v>
      </c>
      <c r="G226">
        <f t="shared" ref="G226:K226" si="241">SUMPRODUCT($B226:$B230,P$2:P$6)</f>
        <v>6.3402095154757969</v>
      </c>
      <c r="H226">
        <f t="shared" si="241"/>
        <v>96.390736835392332</v>
      </c>
      <c r="I226">
        <f t="shared" si="241"/>
        <v>69.971719266229513</v>
      </c>
      <c r="J226">
        <f t="shared" si="241"/>
        <v>60.490083183848654</v>
      </c>
      <c r="K226">
        <f t="shared" si="241"/>
        <v>43.346541062473712</v>
      </c>
      <c r="L226">
        <f t="shared" si="208"/>
        <v>104.50434163227851</v>
      </c>
      <c r="M226">
        <f t="shared" si="209"/>
        <v>0.69565836772149225</v>
      </c>
      <c r="N226">
        <f t="shared" si="210"/>
        <v>0.48394056458093093</v>
      </c>
    </row>
    <row r="227" spans="1:14" x14ac:dyDescent="0.45">
      <c r="A227" s="22">
        <v>42545</v>
      </c>
      <c r="B227">
        <v>103.86</v>
      </c>
      <c r="C227">
        <v>105.33</v>
      </c>
      <c r="G227">
        <f t="shared" ref="G227:K227" si="242">SUMPRODUCT($B227:$B231,P$2:P$6)</f>
        <v>6.4112947207519539</v>
      </c>
      <c r="H227">
        <f t="shared" si="242"/>
        <v>96.701183301495291</v>
      </c>
      <c r="I227">
        <f t="shared" si="242"/>
        <v>70.179141368350514</v>
      </c>
      <c r="J227">
        <f t="shared" si="242"/>
        <v>60.643353751278781</v>
      </c>
      <c r="K227">
        <f t="shared" si="242"/>
        <v>43.439966725493328</v>
      </c>
      <c r="L227">
        <f t="shared" si="208"/>
        <v>104.80458218675068</v>
      </c>
      <c r="M227">
        <f t="shared" si="209"/>
        <v>-0.56458218675068395</v>
      </c>
      <c r="N227">
        <f t="shared" si="210"/>
        <v>0.31875304559618417</v>
      </c>
    </row>
    <row r="228" spans="1:14" x14ac:dyDescent="0.45">
      <c r="A228" s="22">
        <v>42544</v>
      </c>
      <c r="B228">
        <v>108.03</v>
      </c>
      <c r="C228">
        <v>108.95</v>
      </c>
      <c r="G228">
        <f t="shared" ref="G228:K228" si="243">SUMPRODUCT($B228:$B232,P$2:P$6)</f>
        <v>6.4461475523396539</v>
      </c>
      <c r="H228">
        <f t="shared" si="243"/>
        <v>99.913363115739401</v>
      </c>
      <c r="I228">
        <f t="shared" si="243"/>
        <v>72.528365925415642</v>
      </c>
      <c r="J228">
        <f t="shared" si="243"/>
        <v>62.699579153850173</v>
      </c>
      <c r="K228">
        <f t="shared" si="243"/>
        <v>44.929393618415489</v>
      </c>
      <c r="L228">
        <f t="shared" si="208"/>
        <v>108.23323369986161</v>
      </c>
      <c r="M228">
        <f t="shared" si="209"/>
        <v>-4.3732336998616148</v>
      </c>
      <c r="N228">
        <f t="shared" si="210"/>
        <v>19.125172993605307</v>
      </c>
    </row>
    <row r="229" spans="1:14" x14ac:dyDescent="0.45">
      <c r="A229" s="22">
        <v>42543</v>
      </c>
      <c r="B229">
        <v>107.76</v>
      </c>
      <c r="C229">
        <v>106.45</v>
      </c>
      <c r="G229">
        <f t="shared" ref="G229:K229" si="244">SUMPRODUCT($B229:$B233,P$2:P$6)</f>
        <v>6.4166613736613911</v>
      </c>
      <c r="H229">
        <f t="shared" si="244"/>
        <v>99.683920817566559</v>
      </c>
      <c r="I229">
        <f t="shared" si="244"/>
        <v>72.361261751921262</v>
      </c>
      <c r="J229">
        <f t="shared" si="244"/>
        <v>62.554322444502056</v>
      </c>
      <c r="K229">
        <f t="shared" si="244"/>
        <v>44.824802876347761</v>
      </c>
      <c r="L229">
        <f t="shared" si="208"/>
        <v>107.98943646781969</v>
      </c>
      <c r="M229">
        <f t="shared" si="209"/>
        <v>4.056353218031461E-2</v>
      </c>
      <c r="N229">
        <f t="shared" si="210"/>
        <v>1.645400142943419E-3</v>
      </c>
    </row>
    <row r="230" spans="1:14" x14ac:dyDescent="0.45">
      <c r="A230" s="22">
        <v>42542</v>
      </c>
      <c r="B230">
        <v>107.63</v>
      </c>
      <c r="C230">
        <v>107.9</v>
      </c>
      <c r="G230">
        <f t="shared" ref="G230:K230" si="245">SUMPRODUCT($B230:$B234,P$2:P$6)</f>
        <v>6.3843099791340094</v>
      </c>
      <c r="H230">
        <f t="shared" si="245"/>
        <v>99.393403758819801</v>
      </c>
      <c r="I230">
        <f t="shared" si="245"/>
        <v>72.15498613551739</v>
      </c>
      <c r="J230">
        <f t="shared" si="245"/>
        <v>62.382700087847546</v>
      </c>
      <c r="K230">
        <f t="shared" si="245"/>
        <v>44.706041844237859</v>
      </c>
      <c r="L230">
        <f t="shared" si="208"/>
        <v>107.68916591961927</v>
      </c>
      <c r="M230">
        <f t="shared" si="209"/>
        <v>7.0834080380734576E-2</v>
      </c>
      <c r="N230">
        <f t="shared" si="210"/>
        <v>5.0174669433843671E-3</v>
      </c>
    </row>
    <row r="231" spans="1:14" x14ac:dyDescent="0.45">
      <c r="A231" s="22">
        <v>42541</v>
      </c>
      <c r="B231">
        <v>106.33</v>
      </c>
      <c r="C231">
        <v>107.35</v>
      </c>
      <c r="G231">
        <f t="shared" ref="G231:K231" si="246">SUMPRODUCT($B231:$B235,P$2:P$6)</f>
        <v>6.3675082735001176</v>
      </c>
      <c r="H231">
        <f t="shared" si="246"/>
        <v>98.37248188153562</v>
      </c>
      <c r="I231">
        <f t="shared" si="246"/>
        <v>71.408970563319514</v>
      </c>
      <c r="J231">
        <f t="shared" si="246"/>
        <v>61.730644759562686</v>
      </c>
      <c r="K231">
        <f t="shared" si="246"/>
        <v>44.234295255635722</v>
      </c>
      <c r="L231">
        <f t="shared" si="208"/>
        <v>106.60045061131426</v>
      </c>
      <c r="M231">
        <f t="shared" si="209"/>
        <v>1.0295493886857372</v>
      </c>
      <c r="N231">
        <f t="shared" si="210"/>
        <v>1.0599719437431752</v>
      </c>
    </row>
    <row r="232" spans="1:14" x14ac:dyDescent="0.45">
      <c r="A232" s="22">
        <v>42538</v>
      </c>
      <c r="B232">
        <v>106.28</v>
      </c>
      <c r="C232">
        <v>105.36</v>
      </c>
      <c r="G232">
        <f t="shared" ref="G232:K232" si="247">SUMPRODUCT($B232:$B236,P$2:P$6)</f>
        <v>6.3607858122371077</v>
      </c>
      <c r="H232">
        <f t="shared" si="247"/>
        <v>98.269474948421689</v>
      </c>
      <c r="I232">
        <f t="shared" si="247"/>
        <v>71.33573450292208</v>
      </c>
      <c r="J232">
        <f t="shared" si="247"/>
        <v>61.669567007636005</v>
      </c>
      <c r="K232">
        <f t="shared" si="247"/>
        <v>44.191934480942081</v>
      </c>
      <c r="L232">
        <f t="shared" si="208"/>
        <v>106.49383005059214</v>
      </c>
      <c r="M232">
        <f t="shared" si="209"/>
        <v>-0.16383005059213929</v>
      </c>
      <c r="N232">
        <f t="shared" si="210"/>
        <v>2.684028547702292E-2</v>
      </c>
    </row>
    <row r="233" spans="1:14" x14ac:dyDescent="0.45">
      <c r="A233" s="22">
        <v>42537</v>
      </c>
      <c r="B233">
        <v>105.84</v>
      </c>
      <c r="C233">
        <v>106.49</v>
      </c>
      <c r="G233">
        <f t="shared" ref="G233:K233" si="248">SUMPRODUCT($B233:$B237,P$2:P$6)</f>
        <v>6.3502010525151995</v>
      </c>
      <c r="H233">
        <f t="shared" si="248"/>
        <v>98.064621203400122</v>
      </c>
      <c r="I233">
        <f t="shared" si="248"/>
        <v>71.18155338511535</v>
      </c>
      <c r="J233">
        <f t="shared" si="248"/>
        <v>61.528327941583896</v>
      </c>
      <c r="K233">
        <f t="shared" si="248"/>
        <v>44.085716503795496</v>
      </c>
      <c r="L233">
        <f t="shared" si="208"/>
        <v>106.26825160101629</v>
      </c>
      <c r="M233">
        <f t="shared" si="209"/>
        <v>1.1748398983712605E-2</v>
      </c>
      <c r="N233">
        <f t="shared" si="210"/>
        <v>1.3802487868049937E-4</v>
      </c>
    </row>
    <row r="234" spans="1:14" x14ac:dyDescent="0.45">
      <c r="A234" s="22">
        <v>42536</v>
      </c>
      <c r="B234">
        <v>106.79</v>
      </c>
      <c r="C234">
        <v>106.28</v>
      </c>
      <c r="G234">
        <f t="shared" ref="G234:K234" si="249">SUMPRODUCT($B234:$B238,P$2:P$6)</f>
        <v>6.3409378057467354</v>
      </c>
      <c r="H234">
        <f t="shared" si="249"/>
        <v>98.588565078045605</v>
      </c>
      <c r="I234">
        <f t="shared" si="249"/>
        <v>71.571501361024474</v>
      </c>
      <c r="J234">
        <f t="shared" si="249"/>
        <v>61.879386371278109</v>
      </c>
      <c r="K234">
        <f t="shared" si="249"/>
        <v>44.346069317982959</v>
      </c>
      <c r="L234">
        <f t="shared" si="208"/>
        <v>106.83823093187925</v>
      </c>
      <c r="M234">
        <f t="shared" si="209"/>
        <v>-0.99823093187924883</v>
      </c>
      <c r="N234">
        <f t="shared" si="210"/>
        <v>0.99646499336051353</v>
      </c>
    </row>
    <row r="235" spans="1:14" x14ac:dyDescent="0.45">
      <c r="A235" s="22">
        <v>42535</v>
      </c>
      <c r="B235">
        <v>105.3</v>
      </c>
      <c r="C235">
        <v>106.22</v>
      </c>
      <c r="G235">
        <f t="shared" ref="G235:K235" si="250">SUMPRODUCT($B235:$B239,P$2:P$6)</f>
        <v>6.3433222581974249</v>
      </c>
      <c r="H235">
        <f t="shared" si="250"/>
        <v>97.468966528171791</v>
      </c>
      <c r="I235">
        <f t="shared" si="250"/>
        <v>70.751768565263149</v>
      </c>
      <c r="J235">
        <f t="shared" si="250"/>
        <v>61.160570977515498</v>
      </c>
      <c r="K235">
        <f t="shared" si="250"/>
        <v>43.824574188259149</v>
      </c>
      <c r="L235">
        <f t="shared" si="208"/>
        <v>105.64172863849591</v>
      </c>
      <c r="M235">
        <f t="shared" si="209"/>
        <v>1.1482713615041007</v>
      </c>
      <c r="N235">
        <f t="shared" si="210"/>
        <v>1.3185271196504811</v>
      </c>
    </row>
    <row r="236" spans="1:14" x14ac:dyDescent="0.45">
      <c r="A236" s="22">
        <v>42534</v>
      </c>
      <c r="B236">
        <v>105.59</v>
      </c>
      <c r="C236">
        <v>105.66</v>
      </c>
      <c r="G236">
        <f t="shared" ref="G236:K236" si="251">SUMPRODUCT($B236:$B240,P$2:P$6)</f>
        <v>6.3892049275076808</v>
      </c>
      <c r="H236">
        <f t="shared" si="251"/>
        <v>97.732918431891875</v>
      </c>
      <c r="I236">
        <f t="shared" si="251"/>
        <v>70.943489523101704</v>
      </c>
      <c r="J236">
        <f t="shared" si="251"/>
        <v>61.326478838647255</v>
      </c>
      <c r="K236">
        <f t="shared" si="251"/>
        <v>43.943566812276714</v>
      </c>
      <c r="L236">
        <f t="shared" si="208"/>
        <v>105.9213752877962</v>
      </c>
      <c r="M236">
        <f t="shared" si="209"/>
        <v>-0.62137528779619799</v>
      </c>
      <c r="N236">
        <f t="shared" si="210"/>
        <v>0.38610724828380788</v>
      </c>
    </row>
    <row r="237" spans="1:14" x14ac:dyDescent="0.45">
      <c r="A237" s="22">
        <v>42531</v>
      </c>
      <c r="B237">
        <v>105.85</v>
      </c>
      <c r="C237">
        <v>106.44</v>
      </c>
      <c r="G237">
        <f t="shared" ref="G237:K237" si="252">SUMPRODUCT($B237:$B241,P$2:P$6)</f>
        <v>6.441494054106073</v>
      </c>
      <c r="H237">
        <f t="shared" si="252"/>
        <v>98.114615451985159</v>
      </c>
      <c r="I237">
        <f t="shared" si="252"/>
        <v>71.216740674403937</v>
      </c>
      <c r="J237">
        <f t="shared" si="252"/>
        <v>61.557144119897245</v>
      </c>
      <c r="K237">
        <f t="shared" si="252"/>
        <v>44.105356732519688</v>
      </c>
      <c r="L237">
        <f t="shared" si="208"/>
        <v>106.31943284332382</v>
      </c>
      <c r="M237">
        <f t="shared" si="209"/>
        <v>-0.72943284332382063</v>
      </c>
      <c r="N237">
        <f t="shared" si="210"/>
        <v>0.53207227291947345</v>
      </c>
    </row>
    <row r="238" spans="1:14" x14ac:dyDescent="0.45">
      <c r="A238" s="22">
        <v>42530</v>
      </c>
      <c r="B238">
        <v>107.08</v>
      </c>
      <c r="C238">
        <v>107.52</v>
      </c>
      <c r="G238">
        <f t="shared" ref="G238:K238" si="253">SUMPRODUCT($B238:$B242,P$2:P$6)</f>
        <v>6.4735493206088703</v>
      </c>
      <c r="H238">
        <f t="shared" si="253"/>
        <v>99.307938997813466</v>
      </c>
      <c r="I238">
        <f t="shared" si="253"/>
        <v>72.081478963461507</v>
      </c>
      <c r="J238">
        <f t="shared" si="253"/>
        <v>62.302502973536569</v>
      </c>
      <c r="K238">
        <f t="shared" si="253"/>
        <v>44.638085292033551</v>
      </c>
      <c r="L238">
        <f t="shared" si="208"/>
        <v>107.58048830185585</v>
      </c>
      <c r="M238">
        <f t="shared" si="209"/>
        <v>-1.730488301855857</v>
      </c>
      <c r="N238">
        <f t="shared" si="210"/>
        <v>2.9945897628599676</v>
      </c>
    </row>
    <row r="239" spans="1:14" x14ac:dyDescent="0.45">
      <c r="A239" s="22">
        <v>42529</v>
      </c>
      <c r="B239">
        <v>108.69</v>
      </c>
      <c r="C239">
        <v>107.43</v>
      </c>
      <c r="G239">
        <f t="shared" ref="G239:K239" si="254">SUMPRODUCT($B239:$B243,P$2:P$6)</f>
        <v>6.4728416853314776</v>
      </c>
      <c r="H239">
        <f t="shared" si="254"/>
        <v>100.50655470807089</v>
      </c>
      <c r="I239">
        <f t="shared" si="254"/>
        <v>72.959437954658682</v>
      </c>
      <c r="J239">
        <f t="shared" si="254"/>
        <v>63.072911053730195</v>
      </c>
      <c r="K239">
        <f t="shared" si="254"/>
        <v>45.197343572234615</v>
      </c>
      <c r="L239">
        <f t="shared" si="208"/>
        <v>108.86202551005951</v>
      </c>
      <c r="M239">
        <f t="shared" si="209"/>
        <v>-1.7820255100595119</v>
      </c>
      <c r="N239">
        <f t="shared" si="210"/>
        <v>3.1756149185028635</v>
      </c>
    </row>
    <row r="240" spans="1:14" x14ac:dyDescent="0.45">
      <c r="A240" s="22">
        <v>42528</v>
      </c>
      <c r="B240">
        <v>108.3</v>
      </c>
      <c r="C240">
        <v>108.45</v>
      </c>
      <c r="G240">
        <f t="shared" ref="G240:K240" si="255">SUMPRODUCT($B240:$B244,P$2:P$6)</f>
        <v>6.4471663644302097</v>
      </c>
      <c r="H240">
        <f t="shared" si="255"/>
        <v>100.0656887342648</v>
      </c>
      <c r="I240">
        <f t="shared" si="255"/>
        <v>72.64157960297473</v>
      </c>
      <c r="J240">
        <f t="shared" si="255"/>
        <v>62.801282572804681</v>
      </c>
      <c r="K240">
        <f t="shared" si="255"/>
        <v>45.004686377546946</v>
      </c>
      <c r="L240">
        <f t="shared" si="208"/>
        <v>108.39869695924097</v>
      </c>
      <c r="M240">
        <f t="shared" si="209"/>
        <v>0.29130304075903268</v>
      </c>
      <c r="N240">
        <f t="shared" si="210"/>
        <v>8.485746155545866E-2</v>
      </c>
    </row>
    <row r="241" spans="1:14" x14ac:dyDescent="0.45">
      <c r="A241" s="22">
        <v>42527</v>
      </c>
      <c r="B241">
        <v>107.36</v>
      </c>
      <c r="C241">
        <v>108.13</v>
      </c>
      <c r="G241">
        <f t="shared" ref="G241:K241" si="256">SUMPRODUCT($B241:$B245,P$2:P$6)</f>
        <v>6.41750108453473</v>
      </c>
      <c r="H241">
        <f t="shared" si="256"/>
        <v>99.369120300308154</v>
      </c>
      <c r="I241">
        <f t="shared" si="256"/>
        <v>72.131250651424963</v>
      </c>
      <c r="J241">
        <f t="shared" si="256"/>
        <v>62.353311022068567</v>
      </c>
      <c r="K241">
        <f t="shared" si="256"/>
        <v>44.679394896029791</v>
      </c>
      <c r="L241">
        <f t="shared" si="208"/>
        <v>107.65376601645423</v>
      </c>
      <c r="M241">
        <f t="shared" si="209"/>
        <v>0.64623398354576977</v>
      </c>
      <c r="N241">
        <f t="shared" si="210"/>
        <v>0.41761836148943426</v>
      </c>
    </row>
    <row r="242" spans="1:14" x14ac:dyDescent="0.45">
      <c r="A242" s="22">
        <v>42524</v>
      </c>
      <c r="B242">
        <v>107.61</v>
      </c>
      <c r="C242">
        <v>107.45</v>
      </c>
      <c r="G242">
        <f t="shared" ref="G242:K242" si="257">SUMPRODUCT($B242:$B246,P$2:P$6)</f>
        <v>6.4087835825971498</v>
      </c>
      <c r="H242">
        <f t="shared" si="257"/>
        <v>99.465110405740461</v>
      </c>
      <c r="I242">
        <f t="shared" si="257"/>
        <v>72.204595041982017</v>
      </c>
      <c r="J242">
        <f t="shared" si="257"/>
        <v>62.422036622769539</v>
      </c>
      <c r="K242">
        <f t="shared" si="257"/>
        <v>44.731994681074823</v>
      </c>
      <c r="L242">
        <f t="shared" si="208"/>
        <v>107.76120955414997</v>
      </c>
      <c r="M242">
        <f t="shared" si="209"/>
        <v>-0.40120955414997184</v>
      </c>
      <c r="N242">
        <f t="shared" si="210"/>
        <v>0.16096910634121919</v>
      </c>
    </row>
    <row r="243" spans="1:14" x14ac:dyDescent="0.45">
      <c r="A243" s="22">
        <v>42523</v>
      </c>
      <c r="B243">
        <v>106.93</v>
      </c>
      <c r="C243">
        <v>108.12</v>
      </c>
      <c r="G243">
        <f t="shared" ref="G243:K243" si="258">SUMPRODUCT($B243:$B247,P$2:P$6)</f>
        <v>6.4097337579671372</v>
      </c>
      <c r="H243">
        <f t="shared" si="258"/>
        <v>98.777753341736343</v>
      </c>
      <c r="I243">
        <f t="shared" si="258"/>
        <v>71.707216364944628</v>
      </c>
      <c r="J243">
        <f t="shared" si="258"/>
        <v>61.994362389406874</v>
      </c>
      <c r="K243">
        <f t="shared" si="258"/>
        <v>44.426979670890105</v>
      </c>
      <c r="L243">
        <f t="shared" si="208"/>
        <v>107.0359707740535</v>
      </c>
      <c r="M243">
        <f t="shared" si="209"/>
        <v>0.57402922594650363</v>
      </c>
      <c r="N243">
        <f t="shared" si="210"/>
        <v>0.32950955224074213</v>
      </c>
    </row>
    <row r="244" spans="1:14" x14ac:dyDescent="0.45">
      <c r="A244" s="22">
        <v>42522</v>
      </c>
      <c r="B244">
        <v>105.85</v>
      </c>
      <c r="C244">
        <v>107.2</v>
      </c>
      <c r="G244">
        <f t="shared" ref="G244:K244" si="259">SUMPRODUCT($B244:$B248,P$2:P$6)</f>
        <v>6.4036081038672883</v>
      </c>
      <c r="H244">
        <f t="shared" si="259"/>
        <v>98.248475875976894</v>
      </c>
      <c r="I244">
        <f t="shared" si="259"/>
        <v>71.310283225915839</v>
      </c>
      <c r="J244">
        <f t="shared" si="259"/>
        <v>61.632744771915526</v>
      </c>
      <c r="K244">
        <f t="shared" si="259"/>
        <v>44.156211868728114</v>
      </c>
      <c r="L244">
        <f t="shared" si="208"/>
        <v>106.45540560262408</v>
      </c>
      <c r="M244">
        <f t="shared" si="209"/>
        <v>0.4745943973759239</v>
      </c>
      <c r="N244">
        <f t="shared" si="210"/>
        <v>0.22523984202061637</v>
      </c>
    </row>
    <row r="245" spans="1:14" x14ac:dyDescent="0.45">
      <c r="A245" s="22">
        <v>42521</v>
      </c>
      <c r="B245">
        <v>108</v>
      </c>
      <c r="C245">
        <v>106.66</v>
      </c>
      <c r="G245">
        <f t="shared" ref="G245:K245" si="260">SUMPRODUCT($B245:$B249,P$2:P$6)</f>
        <v>6.3588390950932663</v>
      </c>
      <c r="H245">
        <f t="shared" si="260"/>
        <v>99.821584260536113</v>
      </c>
      <c r="I245">
        <f t="shared" si="260"/>
        <v>72.463477634685319</v>
      </c>
      <c r="J245">
        <f t="shared" si="260"/>
        <v>62.646003306547101</v>
      </c>
      <c r="K245">
        <f t="shared" si="260"/>
        <v>44.892588064693122</v>
      </c>
      <c r="L245">
        <f t="shared" si="208"/>
        <v>108.13881323946778</v>
      </c>
      <c r="M245">
        <f t="shared" si="209"/>
        <v>-2.2888132394677854</v>
      </c>
      <c r="N245">
        <f t="shared" si="210"/>
        <v>5.2386660451630176</v>
      </c>
    </row>
    <row r="246" spans="1:14" x14ac:dyDescent="0.45">
      <c r="A246" s="22">
        <v>42517</v>
      </c>
      <c r="B246">
        <v>107.29</v>
      </c>
      <c r="C246">
        <v>107.89</v>
      </c>
      <c r="G246">
        <f t="shared" ref="G246:K246" si="261">SUMPRODUCT($B246:$B250,P$2:P$6)</f>
        <v>6.2897590297215187</v>
      </c>
      <c r="H246">
        <f t="shared" si="261"/>
        <v>98.934776843380462</v>
      </c>
      <c r="I246">
        <f t="shared" si="261"/>
        <v>71.825969064133375</v>
      </c>
      <c r="J246">
        <f t="shared" si="261"/>
        <v>62.103943094358186</v>
      </c>
      <c r="K246">
        <f t="shared" si="261"/>
        <v>44.509862760799486</v>
      </c>
      <c r="L246">
        <f t="shared" si="208"/>
        <v>107.20978352456225</v>
      </c>
      <c r="M246">
        <f t="shared" si="209"/>
        <v>0.7902164754377452</v>
      </c>
      <c r="N246">
        <f t="shared" si="210"/>
        <v>0.62444207805325258</v>
      </c>
    </row>
    <row r="247" spans="1:14" x14ac:dyDescent="0.45">
      <c r="A247" s="22">
        <v>42516</v>
      </c>
      <c r="B247">
        <v>105</v>
      </c>
      <c r="C247">
        <v>106.83</v>
      </c>
      <c r="G247">
        <f t="shared" ref="G247:K247" si="262">SUMPRODUCT($B247:$B251,P$2:P$6)</f>
        <v>6.2438322647986269</v>
      </c>
      <c r="H247">
        <f t="shared" si="262"/>
        <v>96.862561142204157</v>
      </c>
      <c r="I247">
        <f t="shared" si="262"/>
        <v>70.320481843807059</v>
      </c>
      <c r="J247">
        <f t="shared" si="262"/>
        <v>60.800676244921711</v>
      </c>
      <c r="K247">
        <f t="shared" si="262"/>
        <v>43.574832026648224</v>
      </c>
      <c r="L247">
        <f t="shared" si="208"/>
        <v>105.01382479605603</v>
      </c>
      <c r="M247">
        <f t="shared" si="209"/>
        <v>2.2761752039439784</v>
      </c>
      <c r="N247">
        <f t="shared" si="210"/>
        <v>5.1809735590494119</v>
      </c>
    </row>
    <row r="248" spans="1:14" x14ac:dyDescent="0.45">
      <c r="A248" s="22">
        <v>42515</v>
      </c>
      <c r="B248">
        <v>103.03</v>
      </c>
      <c r="C248">
        <v>105.02</v>
      </c>
      <c r="G248">
        <f>SUMPRODUCT($B248:$B252,P$2:P$6)</f>
        <v>6.2164307967337864</v>
      </c>
      <c r="H248">
        <f>SUMPRODUCT($B248:$B252,Q$2:Q$6)</f>
        <v>95.633505945919097</v>
      </c>
      <c r="I248">
        <f>SUMPRODUCT($B248:$B252,R$2:R$6)</f>
        <v>69.412229935647545</v>
      </c>
      <c r="J248">
        <f>SUMPRODUCT($B248:$B252,S$2:S$6)</f>
        <v>59.992177260368315</v>
      </c>
      <c r="K248">
        <f>SUMPRODUCT($B248:$B252,T$2:T$6)</f>
        <v>42.980780171906538</v>
      </c>
      <c r="L248">
        <f>(G248+$P$7)*$U$2+(H248+$Q$7)*$U$3+(I248+$R$7)*$U$4+(J248+$S$7)*$U$5+(K248+$T$7)*$U$6+$U$7</f>
        <v>103.68705645166808</v>
      </c>
      <c r="M248">
        <f>B247-L248</f>
        <v>1.3129435483319156</v>
      </c>
      <c r="N248">
        <f>M248^2</f>
        <v>1.7238207611064011</v>
      </c>
    </row>
    <row r="249" spans="1:14" x14ac:dyDescent="0.45">
      <c r="A249" s="22">
        <v>42514</v>
      </c>
      <c r="B249">
        <v>105.14</v>
      </c>
      <c r="C249">
        <v>107.31</v>
      </c>
    </row>
    <row r="250" spans="1:14" x14ac:dyDescent="0.45">
      <c r="A250" s="22">
        <v>42513</v>
      </c>
      <c r="B250">
        <v>103.64</v>
      </c>
      <c r="C250">
        <v>104.62</v>
      </c>
    </row>
    <row r="251" spans="1:14" x14ac:dyDescent="0.45">
      <c r="A251" s="22">
        <v>42510</v>
      </c>
      <c r="B251">
        <v>101.89</v>
      </c>
      <c r="C251">
        <v>103.03</v>
      </c>
    </row>
    <row r="252" spans="1:14" x14ac:dyDescent="0.45">
      <c r="A252" s="22">
        <v>42509</v>
      </c>
      <c r="B252">
        <v>101.77</v>
      </c>
      <c r="C252">
        <v>101.42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4"/>
  <sheetViews>
    <sheetView tabSelected="1" zoomScale="81" workbookViewId="0">
      <selection activeCell="A2" sqref="A2"/>
    </sheetView>
  </sheetViews>
  <sheetFormatPr defaultRowHeight="14.25" x14ac:dyDescent="0.45"/>
  <cols>
    <col min="1" max="1" width="11.53125" bestFit="1" customWidth="1"/>
    <col min="2" max="2" width="5.796875" bestFit="1" customWidth="1"/>
    <col min="3" max="3" width="6.06640625" bestFit="1" customWidth="1"/>
    <col min="4" max="4" width="8.3984375" bestFit="1" customWidth="1"/>
    <col min="5" max="5" width="13.33203125" bestFit="1" customWidth="1"/>
    <col min="6" max="6" width="12.1328125" bestFit="1" customWidth="1"/>
    <col min="7" max="7" width="14.53125" bestFit="1" customWidth="1"/>
    <col min="8" max="8" width="16.33203125" bestFit="1" customWidth="1"/>
    <col min="9" max="9" width="11.86328125" bestFit="1" customWidth="1"/>
    <col min="10" max="10" width="10.86328125" bestFit="1" customWidth="1"/>
    <col min="11" max="11" width="5.796875" bestFit="1" customWidth="1"/>
  </cols>
  <sheetData>
    <row r="1" spans="1:11" x14ac:dyDescent="0.45">
      <c r="A1" s="1" t="s">
        <v>0</v>
      </c>
      <c r="B1" s="1" t="s">
        <v>1</v>
      </c>
      <c r="C1" s="1" t="s">
        <v>2</v>
      </c>
      <c r="D1" s="2" t="s">
        <v>6</v>
      </c>
      <c r="E1" s="2" t="s">
        <v>31</v>
      </c>
      <c r="F1" s="2" t="s">
        <v>7</v>
      </c>
      <c r="G1" s="2" t="s">
        <v>8</v>
      </c>
      <c r="H1" s="2" t="s">
        <v>9</v>
      </c>
      <c r="I1" s="2" t="s">
        <v>32</v>
      </c>
      <c r="J1" s="2" t="s">
        <v>10</v>
      </c>
    </row>
    <row r="2" spans="1:11" x14ac:dyDescent="0.45">
      <c r="A2" s="1" t="s">
        <v>33</v>
      </c>
      <c r="B2" s="1">
        <v>1</v>
      </c>
      <c r="C2" s="1">
        <v>39</v>
      </c>
      <c r="D2" s="4">
        <v>78.42</v>
      </c>
      <c r="E2" s="4">
        <v>80.087190538422675</v>
      </c>
      <c r="F2" s="4">
        <f t="shared" ref="F2:F11" si="0">(B2/100)*$H$12</f>
        <v>10000</v>
      </c>
      <c r="G2" s="4">
        <f t="shared" ref="G2:G11" si="1">(C2/100)*$H$12</f>
        <v>390000</v>
      </c>
      <c r="H2">
        <v>128</v>
      </c>
      <c r="I2" s="4">
        <f>H2*D2</f>
        <v>10037.76</v>
      </c>
      <c r="J2" s="4">
        <f>H2*(E2-D2)</f>
        <v>213.40038891810218</v>
      </c>
    </row>
    <row r="3" spans="1:11" x14ac:dyDescent="0.45">
      <c r="A3" s="1" t="s">
        <v>34</v>
      </c>
      <c r="B3" s="1">
        <v>1</v>
      </c>
      <c r="C3" s="1">
        <v>39</v>
      </c>
      <c r="D3" s="4">
        <v>54.23</v>
      </c>
      <c r="E3" s="4">
        <v>56.199908346332066</v>
      </c>
      <c r="F3" s="4">
        <f t="shared" si="0"/>
        <v>10000</v>
      </c>
      <c r="G3" s="4">
        <f t="shared" si="1"/>
        <v>390000</v>
      </c>
      <c r="H3">
        <v>7191</v>
      </c>
      <c r="I3" s="4">
        <f t="shared" ref="I3:I11" si="2">H3*D3</f>
        <v>389967.93</v>
      </c>
      <c r="J3" s="4">
        <f t="shared" ref="J3:J11" si="3">H3*(E3-D3)</f>
        <v>14165.610918473909</v>
      </c>
    </row>
    <row r="4" spans="1:11" x14ac:dyDescent="0.45">
      <c r="A4" s="1" t="s">
        <v>35</v>
      </c>
      <c r="B4" s="1">
        <v>1</v>
      </c>
      <c r="C4" s="1">
        <v>39</v>
      </c>
      <c r="D4" s="4">
        <v>944.76</v>
      </c>
      <c r="E4" s="4">
        <v>956.16424380048079</v>
      </c>
      <c r="F4" s="4">
        <f t="shared" si="0"/>
        <v>10000</v>
      </c>
      <c r="G4" s="4">
        <f t="shared" si="1"/>
        <v>390000</v>
      </c>
      <c r="H4">
        <v>11</v>
      </c>
      <c r="I4" s="4">
        <f t="shared" si="2"/>
        <v>10392.36</v>
      </c>
      <c r="J4" s="4">
        <f t="shared" si="3"/>
        <v>125.44668180528879</v>
      </c>
    </row>
    <row r="5" spans="1:11" x14ac:dyDescent="0.45">
      <c r="A5" s="1" t="s">
        <v>36</v>
      </c>
      <c r="B5" s="1">
        <v>1</v>
      </c>
      <c r="C5" s="1">
        <v>39</v>
      </c>
      <c r="D5" s="4">
        <v>186.05</v>
      </c>
      <c r="E5" s="4">
        <v>187.19254454774327</v>
      </c>
      <c r="F5" s="4">
        <f t="shared" si="0"/>
        <v>10000</v>
      </c>
      <c r="G5" s="4">
        <f t="shared" si="1"/>
        <v>390000</v>
      </c>
      <c r="H5">
        <v>54</v>
      </c>
      <c r="I5" s="4">
        <f t="shared" si="2"/>
        <v>10046.700000000001</v>
      </c>
      <c r="J5" s="4">
        <f t="shared" si="3"/>
        <v>61.697405578135829</v>
      </c>
    </row>
    <row r="6" spans="1:11" x14ac:dyDescent="0.45">
      <c r="A6" s="1" t="s">
        <v>37</v>
      </c>
      <c r="B6" s="1">
        <v>1</v>
      </c>
      <c r="C6" s="1">
        <v>39</v>
      </c>
      <c r="D6" s="4">
        <v>251.34</v>
      </c>
      <c r="E6" s="4">
        <v>256.25370227894172</v>
      </c>
      <c r="F6" s="4">
        <f t="shared" si="0"/>
        <v>10000</v>
      </c>
      <c r="G6" s="4">
        <f t="shared" si="1"/>
        <v>390000</v>
      </c>
      <c r="H6">
        <v>40</v>
      </c>
      <c r="I6" s="4">
        <f t="shared" si="2"/>
        <v>10053.6</v>
      </c>
      <c r="J6" s="4">
        <f t="shared" si="3"/>
        <v>196.54809115766852</v>
      </c>
    </row>
    <row r="7" spans="1:11" x14ac:dyDescent="0.45">
      <c r="A7" s="1" t="s">
        <v>38</v>
      </c>
      <c r="B7" s="1">
        <v>1</v>
      </c>
      <c r="C7" s="1">
        <v>39</v>
      </c>
      <c r="D7" s="4">
        <v>169.15</v>
      </c>
      <c r="E7" s="4">
        <v>170.56614398644706</v>
      </c>
      <c r="F7" s="4">
        <f t="shared" si="0"/>
        <v>10000</v>
      </c>
      <c r="G7" s="4">
        <f t="shared" si="1"/>
        <v>390000</v>
      </c>
      <c r="H7">
        <v>60</v>
      </c>
      <c r="I7" s="4">
        <f t="shared" si="2"/>
        <v>10149</v>
      </c>
      <c r="J7" s="4">
        <f t="shared" si="3"/>
        <v>84.968639186823225</v>
      </c>
    </row>
    <row r="8" spans="1:11" x14ac:dyDescent="0.45">
      <c r="A8" s="1" t="s">
        <v>39</v>
      </c>
      <c r="B8" s="1">
        <v>1</v>
      </c>
      <c r="C8" s="1">
        <v>39</v>
      </c>
      <c r="D8" s="4">
        <v>22.16</v>
      </c>
      <c r="E8" s="4">
        <v>22.134319405604234</v>
      </c>
      <c r="F8" s="4">
        <f t="shared" si="0"/>
        <v>10000</v>
      </c>
      <c r="G8" s="4">
        <f t="shared" si="1"/>
        <v>390000</v>
      </c>
      <c r="H8">
        <v>452</v>
      </c>
      <c r="I8" s="4">
        <f t="shared" si="2"/>
        <v>10016.32</v>
      </c>
      <c r="J8" s="4">
        <f t="shared" si="3"/>
        <v>-11.607628666886171</v>
      </c>
    </row>
    <row r="9" spans="1:11" x14ac:dyDescent="0.45">
      <c r="A9" s="1" t="s">
        <v>40</v>
      </c>
      <c r="B9" s="1">
        <v>1</v>
      </c>
      <c r="C9" s="1">
        <v>39</v>
      </c>
      <c r="D9" s="4">
        <v>33.58</v>
      </c>
      <c r="E9" s="4">
        <v>34.530771326736165</v>
      </c>
      <c r="F9" s="4">
        <f t="shared" si="0"/>
        <v>10000</v>
      </c>
      <c r="G9" s="4">
        <f t="shared" si="1"/>
        <v>390000</v>
      </c>
      <c r="H9">
        <v>11611</v>
      </c>
      <c r="I9" s="4">
        <f t="shared" si="2"/>
        <v>389897.38</v>
      </c>
      <c r="J9" s="4">
        <f t="shared" si="3"/>
        <v>11039.405874733631</v>
      </c>
    </row>
    <row r="10" spans="1:11" x14ac:dyDescent="0.45">
      <c r="A10" s="1" t="s">
        <v>41</v>
      </c>
      <c r="B10" s="1">
        <v>1</v>
      </c>
      <c r="C10" s="1">
        <v>39</v>
      </c>
      <c r="D10" s="4">
        <v>140.41</v>
      </c>
      <c r="E10" s="4">
        <v>144.03780711859235</v>
      </c>
      <c r="F10" s="4">
        <f t="shared" si="0"/>
        <v>10000</v>
      </c>
      <c r="G10" s="4">
        <f t="shared" si="1"/>
        <v>390000</v>
      </c>
      <c r="H10">
        <v>1064</v>
      </c>
      <c r="I10" s="4">
        <f t="shared" si="2"/>
        <v>149396.24</v>
      </c>
      <c r="J10" s="4">
        <f t="shared" si="3"/>
        <v>3859.9867741822691</v>
      </c>
    </row>
    <row r="11" spans="1:11" x14ac:dyDescent="0.45">
      <c r="A11" s="1" t="s">
        <v>42</v>
      </c>
      <c r="B11" s="1">
        <v>1</v>
      </c>
      <c r="C11" s="1">
        <v>39</v>
      </c>
      <c r="D11" s="4">
        <v>125.35</v>
      </c>
      <c r="E11" s="4">
        <v>126.74201336170103</v>
      </c>
      <c r="F11" s="4">
        <f t="shared" si="0"/>
        <v>10000</v>
      </c>
      <c r="G11" s="4">
        <f t="shared" si="1"/>
        <v>390000</v>
      </c>
      <c r="H11">
        <v>80</v>
      </c>
      <c r="I11" s="4">
        <f t="shared" si="2"/>
        <v>10028</v>
      </c>
      <c r="J11" s="4">
        <f t="shared" si="3"/>
        <v>111.36106893608257</v>
      </c>
    </row>
    <row r="12" spans="1:11" ht="14.65" thickBot="1" x14ac:dyDescent="0.5">
      <c r="B12" s="15"/>
      <c r="C12" s="15"/>
      <c r="D12" s="15"/>
      <c r="E12" s="15"/>
      <c r="F12" s="15"/>
      <c r="G12" s="15" t="s">
        <v>11</v>
      </c>
      <c r="H12" s="19">
        <v>1000000</v>
      </c>
      <c r="I12" s="19">
        <f>SUM(I2:I11)</f>
        <v>999985.29</v>
      </c>
      <c r="J12" s="19">
        <f>SUM(J2:J11)</f>
        <v>29846.818214305025</v>
      </c>
      <c r="K12" s="15"/>
    </row>
    <row r="13" spans="1:11" x14ac:dyDescent="0.45">
      <c r="B13" s="15"/>
      <c r="C13" s="11"/>
      <c r="D13" s="12"/>
      <c r="E13" s="13"/>
      <c r="F13" s="15"/>
      <c r="G13" s="15"/>
      <c r="H13" s="15"/>
      <c r="I13" s="20"/>
      <c r="J13" s="15"/>
      <c r="K13" s="15"/>
    </row>
    <row r="14" spans="1:11" x14ac:dyDescent="0.45">
      <c r="B14" s="15"/>
      <c r="C14" s="14"/>
      <c r="D14" s="15"/>
      <c r="E14" s="16"/>
      <c r="F14" s="15"/>
      <c r="G14" s="15"/>
      <c r="H14" s="15"/>
      <c r="I14" s="15"/>
      <c r="J14" s="15"/>
      <c r="K14" s="15"/>
    </row>
    <row r="15" spans="1:11" x14ac:dyDescent="0.45">
      <c r="B15" s="15"/>
      <c r="C15" s="14"/>
      <c r="D15" s="15"/>
      <c r="E15" s="16"/>
      <c r="F15" s="15"/>
      <c r="G15" s="15"/>
      <c r="H15" s="15"/>
      <c r="I15" s="15"/>
      <c r="J15" s="19"/>
      <c r="K15" s="15"/>
    </row>
    <row r="16" spans="1:11" x14ac:dyDescent="0.45">
      <c r="B16" s="15"/>
      <c r="C16" s="14"/>
      <c r="D16" s="15"/>
      <c r="E16" s="16"/>
      <c r="F16" s="15"/>
      <c r="G16" s="15"/>
      <c r="H16" s="15"/>
      <c r="I16" s="15"/>
      <c r="J16" s="19">
        <f>SUM(ADI!W4, ATVI!W4, AMZN!W4, BIDU!W4, BIIB!W4, COST!W4, MAT!W4, EBAY!W4, EXPE!W4, INTU!W4, 0)</f>
        <v>3520.4907820071221</v>
      </c>
      <c r="K16" s="15"/>
    </row>
    <row r="17" spans="2:11" ht="14.65" thickBot="1" x14ac:dyDescent="0.5">
      <c r="B17" s="15"/>
      <c r="C17" s="14"/>
      <c r="D17" s="15"/>
      <c r="E17" s="16"/>
      <c r="F17" s="15"/>
      <c r="G17" s="15"/>
      <c r="H17" s="15"/>
      <c r="I17" s="15"/>
      <c r="J17" s="15"/>
      <c r="K17" s="15"/>
    </row>
    <row r="18" spans="2:11" x14ac:dyDescent="0.45">
      <c r="B18" s="15"/>
      <c r="C18" s="11"/>
      <c r="D18" s="12"/>
      <c r="E18" s="12"/>
      <c r="F18" s="15"/>
      <c r="G18" s="15"/>
      <c r="H18" s="15"/>
      <c r="I18" s="15"/>
      <c r="J18" t="s">
        <v>43</v>
      </c>
      <c r="K18" t="s">
        <v>44</v>
      </c>
    </row>
    <row r="19" spans="2:11" x14ac:dyDescent="0.45">
      <c r="B19" s="15"/>
      <c r="C19" s="14"/>
      <c r="D19" s="15"/>
      <c r="E19" s="15"/>
      <c r="F19" s="15"/>
      <c r="G19" s="15"/>
      <c r="H19" s="15"/>
      <c r="I19" s="15"/>
      <c r="J19" t="s">
        <v>33</v>
      </c>
      <c r="K19" s="21" t="s">
        <v>45</v>
      </c>
    </row>
    <row r="20" spans="2:11" x14ac:dyDescent="0.45">
      <c r="B20" s="15"/>
      <c r="C20" s="14"/>
      <c r="D20" s="15"/>
      <c r="E20" s="15"/>
      <c r="F20" s="15"/>
      <c r="G20" s="15"/>
      <c r="H20" s="15"/>
      <c r="I20" s="15"/>
      <c r="J20" t="s">
        <v>34</v>
      </c>
      <c r="K20" s="21" t="s">
        <v>46</v>
      </c>
    </row>
    <row r="21" spans="2:11" x14ac:dyDescent="0.45">
      <c r="B21" s="15"/>
      <c r="C21" s="14"/>
      <c r="D21" s="15"/>
      <c r="E21" s="15"/>
      <c r="F21" s="15"/>
      <c r="G21" s="15"/>
      <c r="H21" s="15"/>
      <c r="I21" s="15"/>
      <c r="J21" t="s">
        <v>35</v>
      </c>
      <c r="K21" s="21" t="s">
        <v>47</v>
      </c>
    </row>
    <row r="22" spans="2:11" ht="14.65" thickBot="1" x14ac:dyDescent="0.5">
      <c r="B22" s="15"/>
      <c r="C22" s="17"/>
      <c r="D22" s="18"/>
      <c r="E22" s="18"/>
      <c r="F22" s="15"/>
      <c r="G22" s="15"/>
      <c r="H22" s="15"/>
      <c r="I22" s="15"/>
      <c r="J22" t="s">
        <v>36</v>
      </c>
      <c r="K22" s="21" t="s">
        <v>48</v>
      </c>
    </row>
    <row r="23" spans="2:11" x14ac:dyDescent="0.45">
      <c r="B23" s="15"/>
      <c r="C23" s="11"/>
      <c r="D23" s="12"/>
      <c r="E23" s="12"/>
      <c r="F23" s="15"/>
      <c r="G23" s="15"/>
      <c r="H23" s="15"/>
      <c r="I23" s="15"/>
      <c r="J23" t="s">
        <v>37</v>
      </c>
      <c r="K23" s="21" t="s">
        <v>49</v>
      </c>
    </row>
    <row r="24" spans="2:11" x14ac:dyDescent="0.45">
      <c r="B24" s="15"/>
      <c r="C24" s="14"/>
      <c r="D24" s="15"/>
      <c r="E24" s="15"/>
      <c r="F24" s="15"/>
      <c r="G24" s="15"/>
      <c r="H24" s="15"/>
      <c r="I24" s="15"/>
      <c r="J24" t="s">
        <v>38</v>
      </c>
      <c r="K24" s="21" t="s">
        <v>50</v>
      </c>
    </row>
    <row r="25" spans="2:11" x14ac:dyDescent="0.45">
      <c r="B25" s="15"/>
      <c r="C25" s="14"/>
      <c r="D25" s="15"/>
      <c r="E25" s="15"/>
      <c r="F25" s="15" t="s">
        <v>55</v>
      </c>
      <c r="G25" s="15"/>
      <c r="H25" s="15"/>
      <c r="I25" s="15"/>
      <c r="J25" t="s">
        <v>39</v>
      </c>
      <c r="K25" s="21" t="s">
        <v>51</v>
      </c>
    </row>
    <row r="26" spans="2:11" x14ac:dyDescent="0.45">
      <c r="B26" s="15"/>
      <c r="C26" s="14"/>
      <c r="D26" s="15"/>
      <c r="E26" s="15"/>
      <c r="F26" s="15"/>
      <c r="G26" s="15"/>
      <c r="H26" s="15"/>
      <c r="I26" s="15"/>
      <c r="J26" t="s">
        <v>40</v>
      </c>
      <c r="K26" s="21" t="s">
        <v>52</v>
      </c>
    </row>
    <row r="27" spans="2:11" x14ac:dyDescent="0.45">
      <c r="B27" s="15"/>
      <c r="C27" s="14"/>
      <c r="D27" s="15"/>
      <c r="E27" s="15"/>
      <c r="F27" s="15"/>
      <c r="G27" s="15"/>
      <c r="H27" s="15"/>
      <c r="I27" s="15"/>
      <c r="J27" t="s">
        <v>41</v>
      </c>
      <c r="K27" s="21" t="s">
        <v>53</v>
      </c>
    </row>
    <row r="28" spans="2:11" ht="14.65" thickBot="1" x14ac:dyDescent="0.5">
      <c r="B28" s="15"/>
      <c r="C28" s="14"/>
      <c r="D28" s="15"/>
      <c r="E28" s="15"/>
      <c r="F28" s="15"/>
      <c r="G28" s="15"/>
      <c r="H28" s="15"/>
      <c r="I28" s="15"/>
      <c r="J28" t="s">
        <v>42</v>
      </c>
      <c r="K28" s="21" t="s">
        <v>54</v>
      </c>
    </row>
    <row r="29" spans="2:11" x14ac:dyDescent="0.45">
      <c r="B29" s="15"/>
      <c r="C29" s="11"/>
      <c r="D29" s="12"/>
      <c r="E29" s="13"/>
      <c r="F29" s="15"/>
      <c r="G29" s="15"/>
      <c r="H29" s="15"/>
      <c r="I29" s="15"/>
      <c r="J29" s="15"/>
      <c r="K29" s="15"/>
    </row>
    <row r="30" spans="2:11" x14ac:dyDescent="0.45">
      <c r="B30" s="15"/>
      <c r="C30" s="14"/>
      <c r="D30" s="15"/>
      <c r="E30" s="16"/>
      <c r="F30" s="15"/>
      <c r="G30" s="15"/>
      <c r="H30" s="15"/>
      <c r="I30" s="15"/>
      <c r="J30" s="15"/>
      <c r="K30" s="15"/>
    </row>
    <row r="31" spans="2:11" x14ac:dyDescent="0.45">
      <c r="C31" s="5"/>
      <c r="D31" s="6"/>
      <c r="E31" s="7"/>
    </row>
    <row r="32" spans="2:11" x14ac:dyDescent="0.45">
      <c r="C32" s="5"/>
      <c r="D32" s="6"/>
      <c r="E32" s="7"/>
    </row>
    <row r="33" spans="3:5" x14ac:dyDescent="0.45">
      <c r="C33" s="5"/>
      <c r="D33" s="6"/>
      <c r="E33" s="7"/>
    </row>
    <row r="34" spans="3:5" ht="14.65" thickBot="1" x14ac:dyDescent="0.5">
      <c r="C34" s="8"/>
      <c r="D34" s="9"/>
      <c r="E34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s">
                <anchor moveWithCells="1" sizeWithCells="1">
                  <from>
                    <xdr:col>2</xdr:col>
                    <xdr:colOff>19050</xdr:colOff>
                    <xdr:row>12</xdr:row>
                    <xdr:rowOff>19050</xdr:rowOff>
                  </from>
                  <to>
                    <xdr:col>4</xdr:col>
                    <xdr:colOff>904875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updatedata">
                <anchor moveWithCells="1" sizeWithCells="1">
                  <from>
                    <xdr:col>2</xdr:col>
                    <xdr:colOff>19050</xdr:colOff>
                    <xdr:row>17</xdr:row>
                    <xdr:rowOff>19050</xdr:rowOff>
                  </from>
                  <to>
                    <xdr:col>4</xdr:col>
                    <xdr:colOff>914400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OLVAasst2">
                <anchor moveWithCells="1" siz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5</xdr:col>
                    <xdr:colOff>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ANNMAXbystock">
                <anchor moveWithCells="1" sizeWithCells="1">
                  <from>
                    <xdr:col>2</xdr:col>
                    <xdr:colOff>19050</xdr:colOff>
                    <xdr:row>23</xdr:row>
                    <xdr:rowOff>23813</xdr:rowOff>
                  </from>
                  <to>
                    <xdr:col>4</xdr:col>
                    <xdr:colOff>0</xdr:colOff>
                    <xdr:row>27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ANNSUMbystock">
                <anchor moveWithCells="1" sizeWithCells="1">
                  <from>
                    <xdr:col>4</xdr:col>
                    <xdr:colOff>23813</xdr:colOff>
                    <xdr:row>23</xdr:row>
                    <xdr:rowOff>23813</xdr:rowOff>
                  </from>
                  <to>
                    <xdr:col>4</xdr:col>
                    <xdr:colOff>1057275</xdr:colOff>
                    <xdr:row>27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exporttoword">
                <anchor moveWithCells="1" sizeWithCells="1">
                  <from>
                    <xdr:col>5</xdr:col>
                    <xdr:colOff>619125</xdr:colOff>
                    <xdr:row>29</xdr:row>
                    <xdr:rowOff>133350</xdr:rowOff>
                  </from>
                  <to>
                    <xdr:col>7</xdr:col>
                    <xdr:colOff>623888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ADI</vt:lpstr>
      <vt:lpstr>ATVI</vt:lpstr>
      <vt:lpstr>AMZN</vt:lpstr>
      <vt:lpstr>BIDU</vt:lpstr>
      <vt:lpstr>BIIB</vt:lpstr>
      <vt:lpstr>COST</vt:lpstr>
      <vt:lpstr>MAT</vt:lpstr>
      <vt:lpstr>EBAY</vt:lpstr>
      <vt:lpstr>EXPE</vt:lpstr>
      <vt:lpstr>INTU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OBrien, Connor Evan Nagata</dc:creator>
  <cp:lastModifiedBy>Connor O'brien</cp:lastModifiedBy>
  <dcterms:created xsi:type="dcterms:W3CDTF">2016-01-25T20:54:11Z</dcterms:created>
  <dcterms:modified xsi:type="dcterms:W3CDTF">2017-05-17T22:15:26Z</dcterms:modified>
</cp:coreProperties>
</file>