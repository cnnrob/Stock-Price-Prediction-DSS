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onnor\Google Drive\University\3A\MSCI 436\Programming Assignments\"/>
    </mc:Choice>
  </mc:AlternateContent>
  <bookViews>
    <workbookView xWindow="0" yWindow="0" windowWidth="6825" windowHeight="4305" firstSheet="5" activeTab="10"/>
  </bookViews>
  <sheets>
    <sheet name="ADI" sheetId="470" r:id="rId1"/>
    <sheet name="ATVI" sheetId="471" r:id="rId2"/>
    <sheet name="AMZN" sheetId="472" r:id="rId3"/>
    <sheet name="BIDU" sheetId="473" r:id="rId4"/>
    <sheet name="BIIB" sheetId="474" r:id="rId5"/>
    <sheet name="COST" sheetId="475" r:id="rId6"/>
    <sheet name="MAT" sheetId="476" r:id="rId7"/>
    <sheet name="EBAY" sheetId="477" r:id="rId8"/>
    <sheet name="EXPE" sheetId="478" r:id="rId9"/>
    <sheet name="INTU" sheetId="479" r:id="rId10"/>
    <sheet name="Sheet1" sheetId="1" r:id="rId11"/>
  </sheets>
  <definedNames>
    <definedName name="solver_adj" localSheetId="0" hidden="1">ADI!$P$2:$U$7</definedName>
    <definedName name="solver_adj" localSheetId="2" hidden="1">AMZN!$P$2:$U$7</definedName>
    <definedName name="solver_adj" localSheetId="1" hidden="1">ATVI!$P$2:$U$7</definedName>
    <definedName name="solver_adj" localSheetId="3" hidden="1">BIDU!$P$2:$U$7</definedName>
    <definedName name="solver_adj" localSheetId="4" hidden="1">BIIB!$P$2:$U$7</definedName>
    <definedName name="solver_adj" localSheetId="5" hidden="1">COST!$P$2:$U$7</definedName>
    <definedName name="solver_adj" localSheetId="7" hidden="1">EBAY!$P$2:$U$7</definedName>
    <definedName name="solver_adj" localSheetId="8" hidden="1">EXPE!$P$2:$U$7</definedName>
    <definedName name="solver_adj" localSheetId="9" hidden="1">INTU!$P$2:$U$7</definedName>
    <definedName name="solver_adj" localSheetId="6" hidden="1">MAT!$P$2:$U$7</definedName>
    <definedName name="solver_adj" localSheetId="10" hidden="1">Sheet1!$H$2:$H$11</definedName>
    <definedName name="solver_cvg" localSheetId="0" hidden="1">0.0001</definedName>
    <definedName name="solver_cvg" localSheetId="2" hidden="1">0.0001</definedName>
    <definedName name="solver_cvg" localSheetId="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6" hidden="1">0.0001</definedName>
    <definedName name="solver_cvg" localSheetId="10" hidden="1">0.0001</definedName>
    <definedName name="solver_drv" localSheetId="0" hidden="1">2</definedName>
    <definedName name="solver_drv" localSheetId="2" hidden="1">2</definedName>
    <definedName name="solver_drv" localSheetId="1" hidden="1">2</definedName>
    <definedName name="solver_drv" localSheetId="3" hidden="1">2</definedName>
    <definedName name="solver_drv" localSheetId="4" hidden="1">2</definedName>
    <definedName name="solver_drv" localSheetId="5" hidden="1">2</definedName>
    <definedName name="solver_drv" localSheetId="7" hidden="1">2</definedName>
    <definedName name="solver_drv" localSheetId="8" hidden="1">2</definedName>
    <definedName name="solver_drv" localSheetId="9" hidden="1">2</definedName>
    <definedName name="solver_drv" localSheetId="6" hidden="1">2</definedName>
    <definedName name="solver_drv" localSheetId="10" hidden="1">1</definedName>
    <definedName name="solver_eng" localSheetId="0" hidden="1">1</definedName>
    <definedName name="solver_eng" localSheetId="2" hidden="1">1</definedName>
    <definedName name="solver_eng" localSheetId="1" hidden="1">1</definedName>
    <definedName name="solver_eng" localSheetId="3" hidden="1">1</definedName>
    <definedName name="solver_eng" localSheetId="4" hidden="1">1</definedName>
    <definedName name="solver_eng" localSheetId="5" hidden="1">1</definedName>
    <definedName name="solver_eng" localSheetId="7" hidden="1">1</definedName>
    <definedName name="solver_eng" localSheetId="8" hidden="1">1</definedName>
    <definedName name="solver_eng" localSheetId="9" hidden="1">1</definedName>
    <definedName name="solver_eng" localSheetId="6" hidden="1">1</definedName>
    <definedName name="solver_eng" localSheetId="10" hidden="1">1</definedName>
    <definedName name="solver_est" localSheetId="10" hidden="1">1</definedName>
    <definedName name="solver_itr" localSheetId="0" hidden="1">2147483647</definedName>
    <definedName name="solver_itr" localSheetId="2" hidden="1">2147483647</definedName>
    <definedName name="solver_itr" localSheetId="1" hidden="1">2147483647</definedName>
    <definedName name="solver_itr" localSheetId="3" hidden="1">2147483647</definedName>
    <definedName name="solver_itr" localSheetId="4" hidden="1">2147483647</definedName>
    <definedName name="solver_itr" localSheetId="5" hidden="1">2147483647</definedName>
    <definedName name="solver_itr" localSheetId="7" hidden="1">2147483647</definedName>
    <definedName name="solver_itr" localSheetId="8" hidden="1">2147483647</definedName>
    <definedName name="solver_itr" localSheetId="9" hidden="1">2147483647</definedName>
    <definedName name="solver_itr" localSheetId="6" hidden="1">2147483647</definedName>
    <definedName name="solver_itr" localSheetId="10" hidden="1">2147483647</definedName>
    <definedName name="solver_lhs1" localSheetId="0" hidden="1">ADI!$P$2:$U$7</definedName>
    <definedName name="solver_lhs1" localSheetId="2" hidden="1">AMZN!$P$2:$U$7</definedName>
    <definedName name="solver_lhs1" localSheetId="1" hidden="1">ATVI!$P$2:$U$7</definedName>
    <definedName name="solver_lhs1" localSheetId="3" hidden="1">BIDU!$P$2:$U$7</definedName>
    <definedName name="solver_lhs1" localSheetId="4" hidden="1">BIIB!$P$2:$U$7</definedName>
    <definedName name="solver_lhs1" localSheetId="5" hidden="1">COST!$P$2:$U$7</definedName>
    <definedName name="solver_lhs1" localSheetId="7" hidden="1">EBAY!$P$2:$U$7</definedName>
    <definedName name="solver_lhs1" localSheetId="8" hidden="1">EXPE!$P$2:$U$7</definedName>
    <definedName name="solver_lhs1" localSheetId="9" hidden="1">INTU!$P$2:$U$7</definedName>
    <definedName name="solver_lhs1" localSheetId="6" hidden="1">MAT!$P$2:$U$7</definedName>
    <definedName name="solver_lhs1" localSheetId="10" hidden="1">Sheet1!$I$2:$I$11</definedName>
    <definedName name="solver_lhs2" localSheetId="10" hidden="1">Sheet1!$I$2:$I$11</definedName>
    <definedName name="solver_lhs3" localSheetId="10" hidden="1">Sheet1!$I$12</definedName>
    <definedName name="solver_lhs4" localSheetId="10" hidden="1">Sheet1!$H$2:$H$11</definedName>
    <definedName name="solver_mip" localSheetId="0" hidden="1">2147483647</definedName>
    <definedName name="solver_mip" localSheetId="2" hidden="1">2147483647</definedName>
    <definedName name="solver_mip" localSheetId="1" hidden="1">2147483647</definedName>
    <definedName name="solver_mip" localSheetId="3" hidden="1">2147483647</definedName>
    <definedName name="solver_mip" localSheetId="4" hidden="1">2147483647</definedName>
    <definedName name="solver_mip" localSheetId="5" hidden="1">2147483647</definedName>
    <definedName name="solver_mip" localSheetId="7" hidden="1">2147483647</definedName>
    <definedName name="solver_mip" localSheetId="8" hidden="1">2147483647</definedName>
    <definedName name="solver_mip" localSheetId="9" hidden="1">2147483647</definedName>
    <definedName name="solver_mip" localSheetId="6" hidden="1">2147483647</definedName>
    <definedName name="solver_mip" localSheetId="10" hidden="1">2147483647</definedName>
    <definedName name="solver_mni" localSheetId="0" hidden="1">30</definedName>
    <definedName name="solver_mni" localSheetId="2" hidden="1">30</definedName>
    <definedName name="solver_mni" localSheetId="1" hidden="1">30</definedName>
    <definedName name="solver_mni" localSheetId="3" hidden="1">30</definedName>
    <definedName name="solver_mni" localSheetId="4" hidden="1">30</definedName>
    <definedName name="solver_mni" localSheetId="5" hidden="1">30</definedName>
    <definedName name="solver_mni" localSheetId="7" hidden="1">30</definedName>
    <definedName name="solver_mni" localSheetId="8" hidden="1">30</definedName>
    <definedName name="solver_mni" localSheetId="9" hidden="1">30</definedName>
    <definedName name="solver_mni" localSheetId="6" hidden="1">30</definedName>
    <definedName name="solver_mni" localSheetId="10" hidden="1">30</definedName>
    <definedName name="solver_mrt" localSheetId="0" hidden="1">0.075</definedName>
    <definedName name="solver_mrt" localSheetId="2" hidden="1">0.075</definedName>
    <definedName name="solver_mrt" localSheetId="1" hidden="1">0.075</definedName>
    <definedName name="solver_mrt" localSheetId="3" hidden="1">0.075</definedName>
    <definedName name="solver_mrt" localSheetId="4" hidden="1">0.075</definedName>
    <definedName name="solver_mrt" localSheetId="5" hidden="1">0.075</definedName>
    <definedName name="solver_mrt" localSheetId="7" hidden="1">0.075</definedName>
    <definedName name="solver_mrt" localSheetId="8" hidden="1">0.075</definedName>
    <definedName name="solver_mrt" localSheetId="9" hidden="1">0.075</definedName>
    <definedName name="solver_mrt" localSheetId="6" hidden="1">0.075</definedName>
    <definedName name="solver_mrt" localSheetId="10" hidden="1">0.075</definedName>
    <definedName name="solver_msl" localSheetId="0" hidden="1">1</definedName>
    <definedName name="solver_msl" localSheetId="2" hidden="1">1</definedName>
    <definedName name="solver_msl" localSheetId="1" hidden="1">1</definedName>
    <definedName name="solver_msl" localSheetId="3" hidden="1">1</definedName>
    <definedName name="solver_msl" localSheetId="4" hidden="1">1</definedName>
    <definedName name="solver_msl" localSheetId="5" hidden="1">1</definedName>
    <definedName name="solver_msl" localSheetId="7" hidden="1">1</definedName>
    <definedName name="solver_msl" localSheetId="8" hidden="1">1</definedName>
    <definedName name="solver_msl" localSheetId="9" hidden="1">1</definedName>
    <definedName name="solver_msl" localSheetId="6" hidden="1">1</definedName>
    <definedName name="solver_msl" localSheetId="10" hidden="1">2</definedName>
    <definedName name="solver_neg" localSheetId="0" hidden="1">1</definedName>
    <definedName name="solver_neg" localSheetId="2" hidden="1">1</definedName>
    <definedName name="solver_neg" localSheetId="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6" hidden="1">1</definedName>
    <definedName name="solver_neg" localSheetId="10" hidden="1">1</definedName>
    <definedName name="solver_nod" localSheetId="0" hidden="1">2147483647</definedName>
    <definedName name="solver_nod" localSheetId="2" hidden="1">2147483647</definedName>
    <definedName name="solver_nod" localSheetId="1" hidden="1">2147483647</definedName>
    <definedName name="solver_nod" localSheetId="3" hidden="1">2147483647</definedName>
    <definedName name="solver_nod" localSheetId="4" hidden="1">2147483647</definedName>
    <definedName name="solver_nod" localSheetId="5" hidden="1">2147483647</definedName>
    <definedName name="solver_nod" localSheetId="7" hidden="1">2147483647</definedName>
    <definedName name="solver_nod" localSheetId="8" hidden="1">2147483647</definedName>
    <definedName name="solver_nod" localSheetId="9" hidden="1">2147483647</definedName>
    <definedName name="solver_nod" localSheetId="6" hidden="1">2147483647</definedName>
    <definedName name="solver_nod" localSheetId="10" hidden="1">2147483647</definedName>
    <definedName name="solver_num" localSheetId="0" hidden="1">0</definedName>
    <definedName name="solver_num" localSheetId="2" hidden="1">0</definedName>
    <definedName name="solver_num" localSheetId="1" hidden="1">0</definedName>
    <definedName name="solver_num" localSheetId="3" hidden="1">0</definedName>
    <definedName name="solver_num" localSheetId="4" hidden="1">0</definedName>
    <definedName name="solver_num" localSheetId="5" hidden="1">0</definedName>
    <definedName name="solver_num" localSheetId="7" hidden="1">0</definedName>
    <definedName name="solver_num" localSheetId="8" hidden="1">0</definedName>
    <definedName name="solver_num" localSheetId="9" hidden="1">0</definedName>
    <definedName name="solver_num" localSheetId="6" hidden="1">0</definedName>
    <definedName name="solver_num" localSheetId="10" hidden="1">4</definedName>
    <definedName name="solver_nwt" localSheetId="10" hidden="1">1</definedName>
    <definedName name="solver_opt" localSheetId="0" hidden="1">ADI!$W$3</definedName>
    <definedName name="solver_opt" localSheetId="2" hidden="1">AMZN!$W$3</definedName>
    <definedName name="solver_opt" localSheetId="1" hidden="1">ATVI!$W$3</definedName>
    <definedName name="solver_opt" localSheetId="3" hidden="1">BIDU!$W$3</definedName>
    <definedName name="solver_opt" localSheetId="4" hidden="1">BIIB!$W$3</definedName>
    <definedName name="solver_opt" localSheetId="5" hidden="1">COST!$W$3</definedName>
    <definedName name="solver_opt" localSheetId="7" hidden="1">EBAY!$W$3</definedName>
    <definedName name="solver_opt" localSheetId="8" hidden="1">EXPE!$W$3</definedName>
    <definedName name="solver_opt" localSheetId="9" hidden="1">INTU!$W$3</definedName>
    <definedName name="solver_opt" localSheetId="6" hidden="1">MAT!$W$3</definedName>
    <definedName name="solver_opt" localSheetId="10" hidden="1">Sheet1!$J$12</definedName>
    <definedName name="solver_pre" localSheetId="0" hidden="1">0.000001</definedName>
    <definedName name="solver_pre" localSheetId="2" hidden="1">0.000001</definedName>
    <definedName name="solver_pre" localSheetId="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6" hidden="1">0.000001</definedName>
    <definedName name="solver_pre" localSheetId="10" hidden="1">0.000001</definedName>
    <definedName name="solver_rbv" localSheetId="0" hidden="1">2</definedName>
    <definedName name="solver_rbv" localSheetId="2" hidden="1">2</definedName>
    <definedName name="solver_rbv" localSheetId="1" hidden="1">2</definedName>
    <definedName name="solver_rbv" localSheetId="3" hidden="1">2</definedName>
    <definedName name="solver_rbv" localSheetId="4" hidden="1">2</definedName>
    <definedName name="solver_rbv" localSheetId="5" hidden="1">2</definedName>
    <definedName name="solver_rbv" localSheetId="7" hidden="1">2</definedName>
    <definedName name="solver_rbv" localSheetId="8" hidden="1">2</definedName>
    <definedName name="solver_rbv" localSheetId="9" hidden="1">2</definedName>
    <definedName name="solver_rbv" localSheetId="6" hidden="1">2</definedName>
    <definedName name="solver_rbv" localSheetId="10" hidden="1">1</definedName>
    <definedName name="solver_rel1" localSheetId="0" hidden="1">3</definedName>
    <definedName name="solver_rel1" localSheetId="2" hidden="1">3</definedName>
    <definedName name="solver_rel1" localSheetId="1" hidden="1">3</definedName>
    <definedName name="solver_rel1" localSheetId="3" hidden="1">3</definedName>
    <definedName name="solver_rel1" localSheetId="4" hidden="1">3</definedName>
    <definedName name="solver_rel1" localSheetId="5" hidden="1">3</definedName>
    <definedName name="solver_rel1" localSheetId="7" hidden="1">3</definedName>
    <definedName name="solver_rel1" localSheetId="8" hidden="1">3</definedName>
    <definedName name="solver_rel1" localSheetId="9" hidden="1">3</definedName>
    <definedName name="solver_rel1" localSheetId="6" hidden="1">3</definedName>
    <definedName name="solver_rel1" localSheetId="10" hidden="1">1</definedName>
    <definedName name="solver_rel2" localSheetId="10" hidden="1">3</definedName>
    <definedName name="solver_rel3" localSheetId="10" hidden="1">1</definedName>
    <definedName name="solver_rel4" localSheetId="10" hidden="1">4</definedName>
    <definedName name="solver_rhs1" localSheetId="0" hidden="1">0.00000001</definedName>
    <definedName name="solver_rhs1" localSheetId="2" hidden="1">0.00000001</definedName>
    <definedName name="solver_rhs1" localSheetId="1" hidden="1">0.00000001</definedName>
    <definedName name="solver_rhs1" localSheetId="3" hidden="1">0.00000001</definedName>
    <definedName name="solver_rhs1" localSheetId="4" hidden="1">0.00000001</definedName>
    <definedName name="solver_rhs1" localSheetId="5" hidden="1">0.00000001</definedName>
    <definedName name="solver_rhs1" localSheetId="7" hidden="1">0.00000001</definedName>
    <definedName name="solver_rhs1" localSheetId="8" hidden="1">0.00000001</definedName>
    <definedName name="solver_rhs1" localSheetId="9" hidden="1">0.00000001</definedName>
    <definedName name="solver_rhs1" localSheetId="6" hidden="1">0.00000001</definedName>
    <definedName name="solver_rhs1" localSheetId="10" hidden="1">Sheet1!$G$2:$G$11</definedName>
    <definedName name="solver_rhs2" localSheetId="10" hidden="1">Sheet1!$F$2:$F$11</definedName>
    <definedName name="solver_rhs3" localSheetId="10" hidden="1">Sheet1!$H$12</definedName>
    <definedName name="solver_rhs4" localSheetId="10" hidden="1">integer</definedName>
    <definedName name="solver_rlx" localSheetId="0" hidden="1">2</definedName>
    <definedName name="solver_rlx" localSheetId="2" hidden="1">2</definedName>
    <definedName name="solver_rlx" localSheetId="1" hidden="1">2</definedName>
    <definedName name="solver_rlx" localSheetId="3" hidden="1">2</definedName>
    <definedName name="solver_rlx" localSheetId="4" hidden="1">2</definedName>
    <definedName name="solver_rlx" localSheetId="5" hidden="1">2</definedName>
    <definedName name="solver_rlx" localSheetId="7" hidden="1">2</definedName>
    <definedName name="solver_rlx" localSheetId="8" hidden="1">2</definedName>
    <definedName name="solver_rlx" localSheetId="9" hidden="1">2</definedName>
    <definedName name="solver_rlx" localSheetId="6" hidden="1">2</definedName>
    <definedName name="solver_rlx" localSheetId="10" hidden="1">2</definedName>
    <definedName name="solver_rsd" localSheetId="0" hidden="1">0</definedName>
    <definedName name="solver_rsd" localSheetId="2" hidden="1">0</definedName>
    <definedName name="solver_rsd" localSheetId="1" hidden="1">0</definedName>
    <definedName name="solver_rsd" localSheetId="3" hidden="1">0</definedName>
    <definedName name="solver_rsd" localSheetId="4" hidden="1">0</definedName>
    <definedName name="solver_rsd" localSheetId="5" hidden="1">0</definedName>
    <definedName name="solver_rsd" localSheetId="7" hidden="1">0</definedName>
    <definedName name="solver_rsd" localSheetId="8" hidden="1">0</definedName>
    <definedName name="solver_rsd" localSheetId="9" hidden="1">0</definedName>
    <definedName name="solver_rsd" localSheetId="6" hidden="1">0</definedName>
    <definedName name="solver_rsd" localSheetId="10" hidden="1">0</definedName>
    <definedName name="solver_scl" localSheetId="0" hidden="1">0</definedName>
    <definedName name="solver_scl" localSheetId="2" hidden="1">0</definedName>
    <definedName name="solver_scl" localSheetId="1" hidden="1">0</definedName>
    <definedName name="solver_scl" localSheetId="3" hidden="1">0</definedName>
    <definedName name="solver_scl" localSheetId="4" hidden="1">0</definedName>
    <definedName name="solver_scl" localSheetId="5" hidden="1">0</definedName>
    <definedName name="solver_scl" localSheetId="7" hidden="1">0</definedName>
    <definedName name="solver_scl" localSheetId="8" hidden="1">0</definedName>
    <definedName name="solver_scl" localSheetId="9" hidden="1">0</definedName>
    <definedName name="solver_scl" localSheetId="6" hidden="1">0</definedName>
    <definedName name="solver_scl" localSheetId="10" hidden="1">1</definedName>
    <definedName name="solver_sho" localSheetId="0" hidden="1">2</definedName>
    <definedName name="solver_sho" localSheetId="2" hidden="1">2</definedName>
    <definedName name="solver_sho" localSheetId="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6" hidden="1">2</definedName>
    <definedName name="solver_sho" localSheetId="10" hidden="1">2</definedName>
    <definedName name="solver_ssz" localSheetId="0" hidden="1">100</definedName>
    <definedName name="solver_ssz" localSheetId="2" hidden="1">100</definedName>
    <definedName name="solver_ssz" localSheetId="1" hidden="1">100</definedName>
    <definedName name="solver_ssz" localSheetId="3" hidden="1">100</definedName>
    <definedName name="solver_ssz" localSheetId="4" hidden="1">100</definedName>
    <definedName name="solver_ssz" localSheetId="5" hidden="1">100</definedName>
    <definedName name="solver_ssz" localSheetId="7" hidden="1">100</definedName>
    <definedName name="solver_ssz" localSheetId="8" hidden="1">100</definedName>
    <definedName name="solver_ssz" localSheetId="9" hidden="1">100</definedName>
    <definedName name="solver_ssz" localSheetId="6" hidden="1">100</definedName>
    <definedName name="solver_ssz" localSheetId="10" hidden="1">100</definedName>
    <definedName name="solver_tim" localSheetId="0" hidden="1">2147483647</definedName>
    <definedName name="solver_tim" localSheetId="2" hidden="1">2147483647</definedName>
    <definedName name="solver_tim" localSheetId="1" hidden="1">2147483647</definedName>
    <definedName name="solver_tim" localSheetId="3" hidden="1">2147483647</definedName>
    <definedName name="solver_tim" localSheetId="4" hidden="1">2147483647</definedName>
    <definedName name="solver_tim" localSheetId="5" hidden="1">2147483647</definedName>
    <definedName name="solver_tim" localSheetId="7" hidden="1">2147483647</definedName>
    <definedName name="solver_tim" localSheetId="8" hidden="1">2147483647</definedName>
    <definedName name="solver_tim" localSheetId="9" hidden="1">2147483647</definedName>
    <definedName name="solver_tim" localSheetId="6" hidden="1">2147483647</definedName>
    <definedName name="solver_tim" localSheetId="10" hidden="1">60</definedName>
    <definedName name="solver_tol" localSheetId="0" hidden="1">0.01</definedName>
    <definedName name="solver_tol" localSheetId="2" hidden="1">0.01</definedName>
    <definedName name="solver_tol" localSheetId="1" hidden="1">0.01</definedName>
    <definedName name="solver_tol" localSheetId="3" hidden="1">0.01</definedName>
    <definedName name="solver_tol" localSheetId="4" hidden="1">0.01</definedName>
    <definedName name="solver_tol" localSheetId="5" hidden="1">0.01</definedName>
    <definedName name="solver_tol" localSheetId="7" hidden="1">0.01</definedName>
    <definedName name="solver_tol" localSheetId="8" hidden="1">0.01</definedName>
    <definedName name="solver_tol" localSheetId="9" hidden="1">0.01</definedName>
    <definedName name="solver_tol" localSheetId="6" hidden="1">0.01</definedName>
    <definedName name="solver_tol" localSheetId="10" hidden="1">0.01</definedName>
    <definedName name="solver_typ" localSheetId="0" hidden="1">2</definedName>
    <definedName name="solver_typ" localSheetId="2" hidden="1">2</definedName>
    <definedName name="solver_typ" localSheetId="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6" hidden="1">2</definedName>
    <definedName name="solver_typ" localSheetId="10" hidden="1">1</definedName>
    <definedName name="solver_val" localSheetId="0" hidden="1">0</definedName>
    <definedName name="solver_val" localSheetId="2" hidden="1">0</definedName>
    <definedName name="solver_val" localSheetId="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6" hidden="1">0</definedName>
    <definedName name="solver_val" localSheetId="10" hidden="1">0</definedName>
    <definedName name="solver_ver" localSheetId="0" hidden="1">3</definedName>
    <definedName name="solver_ver" localSheetId="2" hidden="1">3</definedName>
    <definedName name="solver_ver" localSheetId="1" hidden="1">3</definedName>
    <definedName name="solver_ver" localSheetId="3" hidden="1">3</definedName>
    <definedName name="solver_ver" localSheetId="4" hidden="1">3</definedName>
    <definedName name="solver_ver" localSheetId="5" hidden="1">3</definedName>
    <definedName name="solver_ver" localSheetId="7" hidden="1">3</definedName>
    <definedName name="solver_ver" localSheetId="8" hidden="1">3</definedName>
    <definedName name="solver_ver" localSheetId="9" hidden="1">3</definedName>
    <definedName name="solver_ver" localSheetId="6" hidden="1">3</definedName>
    <definedName name="solver_ver" localSheetId="10" hidden="1">3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47" i="479" l="1"/>
  <c r="G244" i="479"/>
  <c r="I180" i="479"/>
  <c r="G161" i="479"/>
  <c r="H234" i="478"/>
  <c r="H236" i="478"/>
  <c r="H238" i="478"/>
  <c r="H240" i="478"/>
  <c r="H242" i="478"/>
  <c r="H244" i="478"/>
  <c r="G246" i="478"/>
  <c r="K210" i="478"/>
  <c r="H232" i="478"/>
  <c r="J247" i="478"/>
  <c r="K232" i="478"/>
  <c r="G208" i="478"/>
  <c r="G235" i="477"/>
  <c r="I235" i="477"/>
  <c r="K240" i="477"/>
  <c r="J233" i="477"/>
  <c r="K247" i="477"/>
  <c r="K240" i="476"/>
  <c r="H164" i="476"/>
  <c r="G247" i="476"/>
  <c r="G233" i="475"/>
  <c r="K218" i="475"/>
  <c r="H244" i="475"/>
  <c r="I244" i="475"/>
  <c r="I235" i="475"/>
  <c r="J246" i="475"/>
  <c r="G212" i="475"/>
  <c r="H206" i="474"/>
  <c r="J247" i="474"/>
  <c r="H245" i="474"/>
  <c r="K236" i="474"/>
  <c r="G228" i="474"/>
  <c r="I247" i="473"/>
  <c r="G241" i="473"/>
  <c r="H236" i="473"/>
  <c r="K174" i="473"/>
  <c r="G199" i="472"/>
  <c r="G223" i="472"/>
  <c r="G225" i="472"/>
  <c r="G227" i="472"/>
  <c r="G229" i="472"/>
  <c r="G231" i="472"/>
  <c r="G233" i="472"/>
  <c r="G235" i="472"/>
  <c r="G237" i="472"/>
  <c r="G239" i="472"/>
  <c r="G241" i="472"/>
  <c r="G243" i="472"/>
  <c r="G245" i="472"/>
  <c r="I247" i="472"/>
  <c r="G211" i="472"/>
  <c r="H246" i="472"/>
  <c r="I246" i="472"/>
  <c r="G213" i="472"/>
  <c r="J214" i="472"/>
  <c r="H212" i="472"/>
  <c r="K171" i="472"/>
  <c r="G169" i="472"/>
  <c r="G228" i="471"/>
  <c r="K247" i="471"/>
  <c r="I175" i="471"/>
  <c r="J170" i="471"/>
  <c r="G241" i="470"/>
  <c r="K234" i="470"/>
  <c r="H233" i="470"/>
  <c r="I179" i="470"/>
  <c r="K215" i="470"/>
  <c r="K2" i="479" l="1"/>
  <c r="K3" i="479"/>
  <c r="K4" i="479"/>
  <c r="K5" i="479"/>
  <c r="K6" i="479"/>
  <c r="K7" i="479"/>
  <c r="K8" i="479"/>
  <c r="K9" i="479"/>
  <c r="K45" i="479"/>
  <c r="K46" i="479"/>
  <c r="K47" i="479"/>
  <c r="K10" i="479"/>
  <c r="K12" i="479"/>
  <c r="K13" i="479"/>
  <c r="K14" i="479"/>
  <c r="K15" i="479"/>
  <c r="K16" i="479"/>
  <c r="K17" i="479"/>
  <c r="K18" i="479"/>
  <c r="K19" i="479"/>
  <c r="K20" i="479"/>
  <c r="K21" i="479"/>
  <c r="K22" i="479"/>
  <c r="K23" i="479"/>
  <c r="K24" i="479"/>
  <c r="K25" i="479"/>
  <c r="K26" i="479"/>
  <c r="K27" i="479"/>
  <c r="K28" i="479"/>
  <c r="K29" i="479"/>
  <c r="K30" i="479"/>
  <c r="K31" i="479"/>
  <c r="K32" i="479"/>
  <c r="K33" i="479"/>
  <c r="K34" i="479"/>
  <c r="K35" i="479"/>
  <c r="K36" i="479"/>
  <c r="K37" i="479"/>
  <c r="K38" i="479"/>
  <c r="K39" i="479"/>
  <c r="K40" i="479"/>
  <c r="K41" i="479"/>
  <c r="K42" i="479"/>
  <c r="K43" i="479"/>
  <c r="K44" i="479"/>
  <c r="K11" i="479"/>
  <c r="K89" i="479"/>
  <c r="K90" i="479"/>
  <c r="K91" i="479"/>
  <c r="K92" i="479"/>
  <c r="K93" i="479"/>
  <c r="K94" i="479"/>
  <c r="K95" i="479"/>
  <c r="K96" i="479"/>
  <c r="K97" i="479"/>
  <c r="K98" i="479"/>
  <c r="K99" i="479"/>
  <c r="K100" i="479"/>
  <c r="K101" i="479"/>
  <c r="K102" i="479"/>
  <c r="K103" i="479"/>
  <c r="K104" i="479"/>
  <c r="K48" i="479"/>
  <c r="K50" i="479"/>
  <c r="K52" i="479"/>
  <c r="K54" i="479"/>
  <c r="K56" i="479"/>
  <c r="K58" i="479"/>
  <c r="K60" i="479"/>
  <c r="K62" i="479"/>
  <c r="K64" i="479"/>
  <c r="K66" i="479"/>
  <c r="K68" i="479"/>
  <c r="K70" i="479"/>
  <c r="K71" i="479"/>
  <c r="K72" i="479"/>
  <c r="K73" i="479"/>
  <c r="K74" i="479"/>
  <c r="K75" i="479"/>
  <c r="K76" i="479"/>
  <c r="K77" i="479"/>
  <c r="K78" i="479"/>
  <c r="K79" i="479"/>
  <c r="K80" i="479"/>
  <c r="K81" i="479"/>
  <c r="K82" i="479"/>
  <c r="K83" i="479"/>
  <c r="K84" i="479"/>
  <c r="K85" i="479"/>
  <c r="K86" i="479"/>
  <c r="K87" i="479"/>
  <c r="K88" i="479"/>
  <c r="K49" i="479"/>
  <c r="K51" i="479"/>
  <c r="K53" i="479"/>
  <c r="K55" i="479"/>
  <c r="K57" i="479"/>
  <c r="K59" i="479"/>
  <c r="K61" i="479"/>
  <c r="K63" i="479"/>
  <c r="K65" i="479"/>
  <c r="K67" i="479"/>
  <c r="K69" i="479"/>
  <c r="K105" i="479"/>
  <c r="K107" i="479"/>
  <c r="K109" i="479"/>
  <c r="K111" i="479"/>
  <c r="K113" i="479"/>
  <c r="K115" i="479"/>
  <c r="K117" i="479"/>
  <c r="K119" i="479"/>
  <c r="K121" i="479"/>
  <c r="K123" i="479"/>
  <c r="K125" i="479"/>
  <c r="K106" i="479"/>
  <c r="K108" i="479"/>
  <c r="K110" i="479"/>
  <c r="K112" i="479"/>
  <c r="K114" i="479"/>
  <c r="K116" i="479"/>
  <c r="K118" i="479"/>
  <c r="K120" i="479"/>
  <c r="K122" i="479"/>
  <c r="K124" i="479"/>
  <c r="K159" i="479"/>
  <c r="K126" i="479"/>
  <c r="K127" i="479"/>
  <c r="K128" i="479"/>
  <c r="K129" i="479"/>
  <c r="K130" i="479"/>
  <c r="K131" i="479"/>
  <c r="K132" i="479"/>
  <c r="K133" i="479"/>
  <c r="K134" i="479"/>
  <c r="K135" i="479"/>
  <c r="K136" i="479"/>
  <c r="K137" i="479"/>
  <c r="K138" i="479"/>
  <c r="K139" i="479"/>
  <c r="K140" i="479"/>
  <c r="K141" i="479"/>
  <c r="K142" i="479"/>
  <c r="K143" i="479"/>
  <c r="K144" i="479"/>
  <c r="K145" i="479"/>
  <c r="K146" i="479"/>
  <c r="K147" i="479"/>
  <c r="K148" i="479"/>
  <c r="K149" i="479"/>
  <c r="K150" i="479"/>
  <c r="K151" i="479"/>
  <c r="K152" i="479"/>
  <c r="K153" i="479"/>
  <c r="K154" i="479"/>
  <c r="K155" i="479"/>
  <c r="K156" i="479"/>
  <c r="K157" i="479"/>
  <c r="K158" i="479"/>
  <c r="K160" i="479"/>
  <c r="K162" i="479"/>
  <c r="K164" i="479"/>
  <c r="K166" i="479"/>
  <c r="K168" i="479"/>
  <c r="K170" i="479"/>
  <c r="K172" i="479"/>
  <c r="K174" i="479"/>
  <c r="K176" i="479"/>
  <c r="K178" i="479"/>
  <c r="K247" i="479"/>
  <c r="K245" i="479"/>
  <c r="K246" i="479"/>
  <c r="K161" i="479"/>
  <c r="K163" i="479"/>
  <c r="K165" i="479"/>
  <c r="K167" i="479"/>
  <c r="K169" i="479"/>
  <c r="K171" i="479"/>
  <c r="K173" i="479"/>
  <c r="K175" i="479"/>
  <c r="K177" i="479"/>
  <c r="K179" i="479"/>
  <c r="K180" i="479"/>
  <c r="K181" i="479"/>
  <c r="K182" i="479"/>
  <c r="K183" i="479"/>
  <c r="K184" i="479"/>
  <c r="K185" i="479"/>
  <c r="K186" i="479"/>
  <c r="K187" i="479"/>
  <c r="K188" i="479"/>
  <c r="K189" i="479"/>
  <c r="K190" i="479"/>
  <c r="K191" i="479"/>
  <c r="K192" i="479"/>
  <c r="K193" i="479"/>
  <c r="K194" i="479"/>
  <c r="K195" i="479"/>
  <c r="K196" i="479"/>
  <c r="K197" i="479"/>
  <c r="K198" i="479"/>
  <c r="K199" i="479"/>
  <c r="K200" i="479"/>
  <c r="K201" i="479"/>
  <c r="K202" i="479"/>
  <c r="K203" i="479"/>
  <c r="K204" i="479"/>
  <c r="K205" i="479"/>
  <c r="K206" i="479"/>
  <c r="K207" i="479"/>
  <c r="K208" i="479"/>
  <c r="K209" i="479"/>
  <c r="K210" i="479"/>
  <c r="K211" i="479"/>
  <c r="K212" i="479"/>
  <c r="K213" i="479"/>
  <c r="K214" i="479"/>
  <c r="K215" i="479"/>
  <c r="K216" i="479"/>
  <c r="K217" i="479"/>
  <c r="K218" i="479"/>
  <c r="K219" i="479"/>
  <c r="K220" i="479"/>
  <c r="K221" i="479"/>
  <c r="K222" i="479"/>
  <c r="K223" i="479"/>
  <c r="K224" i="479"/>
  <c r="K225" i="479"/>
  <c r="K226" i="479"/>
  <c r="K227" i="479"/>
  <c r="K228" i="479"/>
  <c r="K229" i="479"/>
  <c r="K230" i="479"/>
  <c r="K231" i="479"/>
  <c r="K232" i="479"/>
  <c r="K233" i="479"/>
  <c r="K234" i="479"/>
  <c r="K235" i="479"/>
  <c r="K236" i="479"/>
  <c r="K237" i="479"/>
  <c r="K238" i="479"/>
  <c r="K239" i="479"/>
  <c r="K240" i="479"/>
  <c r="K241" i="479"/>
  <c r="K242" i="479"/>
  <c r="K243" i="479"/>
  <c r="K244" i="479"/>
  <c r="H222" i="479"/>
  <c r="H223" i="479"/>
  <c r="H224" i="479"/>
  <c r="H225" i="479"/>
  <c r="H226" i="479"/>
  <c r="H227" i="479"/>
  <c r="H228" i="479"/>
  <c r="H229" i="479"/>
  <c r="H230" i="479"/>
  <c r="H231" i="479"/>
  <c r="H232" i="479"/>
  <c r="H233" i="479"/>
  <c r="H234" i="479"/>
  <c r="H235" i="479"/>
  <c r="H236" i="479"/>
  <c r="H237" i="479"/>
  <c r="H238" i="479"/>
  <c r="H239" i="479"/>
  <c r="H240" i="479"/>
  <c r="H244" i="479"/>
  <c r="H241" i="479"/>
  <c r="H242" i="479"/>
  <c r="H245" i="479"/>
  <c r="H243" i="479"/>
  <c r="H246" i="479"/>
  <c r="J3" i="479"/>
  <c r="J4" i="479"/>
  <c r="J5" i="479"/>
  <c r="J6" i="479"/>
  <c r="J7" i="479"/>
  <c r="J8" i="479"/>
  <c r="J9" i="479"/>
  <c r="J10" i="479"/>
  <c r="J11" i="479"/>
  <c r="J12" i="479"/>
  <c r="J13" i="479"/>
  <c r="J14" i="479"/>
  <c r="J15" i="479"/>
  <c r="J16" i="479"/>
  <c r="J17" i="479"/>
  <c r="J18" i="479"/>
  <c r="J19" i="479"/>
  <c r="J20" i="479"/>
  <c r="J21" i="479"/>
  <c r="J22" i="479"/>
  <c r="J23" i="479"/>
  <c r="J24" i="479"/>
  <c r="J25" i="479"/>
  <c r="J26" i="479"/>
  <c r="J27" i="479"/>
  <c r="J28" i="479"/>
  <c r="J29" i="479"/>
  <c r="J30" i="479"/>
  <c r="J31" i="479"/>
  <c r="J32" i="479"/>
  <c r="J33" i="479"/>
  <c r="J34" i="479"/>
  <c r="J35" i="479"/>
  <c r="J36" i="479"/>
  <c r="J37" i="479"/>
  <c r="J38" i="479"/>
  <c r="J39" i="479"/>
  <c r="J40" i="479"/>
  <c r="J41" i="479"/>
  <c r="J42" i="479"/>
  <c r="J43" i="479"/>
  <c r="J44" i="479"/>
  <c r="J2" i="479"/>
  <c r="J45" i="479"/>
  <c r="J46" i="479"/>
  <c r="J47" i="479"/>
  <c r="J48" i="479"/>
  <c r="J49" i="479"/>
  <c r="J50" i="479"/>
  <c r="J51" i="479"/>
  <c r="J52" i="479"/>
  <c r="J53" i="479"/>
  <c r="J54" i="479"/>
  <c r="J55" i="479"/>
  <c r="J56" i="479"/>
  <c r="J57" i="479"/>
  <c r="J58" i="479"/>
  <c r="J59" i="479"/>
  <c r="J60" i="479"/>
  <c r="J61" i="479"/>
  <c r="J62" i="479"/>
  <c r="J63" i="479"/>
  <c r="J64" i="479"/>
  <c r="J65" i="479"/>
  <c r="J66" i="479"/>
  <c r="J67" i="479"/>
  <c r="J68" i="479"/>
  <c r="J69" i="479"/>
  <c r="J70" i="479"/>
  <c r="J71" i="479"/>
  <c r="J72" i="479"/>
  <c r="J73" i="479"/>
  <c r="J74" i="479"/>
  <c r="J75" i="479"/>
  <c r="J76" i="479"/>
  <c r="J77" i="479"/>
  <c r="J78" i="479"/>
  <c r="J79" i="479"/>
  <c r="J80" i="479"/>
  <c r="J81" i="479"/>
  <c r="J82" i="479"/>
  <c r="J83" i="479"/>
  <c r="J84" i="479"/>
  <c r="J85" i="479"/>
  <c r="J86" i="479"/>
  <c r="J87" i="479"/>
  <c r="J88" i="479"/>
  <c r="J89" i="479"/>
  <c r="J90" i="479"/>
  <c r="J91" i="479"/>
  <c r="J92" i="479"/>
  <c r="J93" i="479"/>
  <c r="J94" i="479"/>
  <c r="J95" i="479"/>
  <c r="J96" i="479"/>
  <c r="J97" i="479"/>
  <c r="J98" i="479"/>
  <c r="J99" i="479"/>
  <c r="J100" i="479"/>
  <c r="J101" i="479"/>
  <c r="J102" i="479"/>
  <c r="J103" i="479"/>
  <c r="J104" i="479"/>
  <c r="J105" i="479"/>
  <c r="J106" i="479"/>
  <c r="J107" i="479"/>
  <c r="J108" i="479"/>
  <c r="J109" i="479"/>
  <c r="J110" i="479"/>
  <c r="J111" i="479"/>
  <c r="J112" i="479"/>
  <c r="J113" i="479"/>
  <c r="J114" i="479"/>
  <c r="J115" i="479"/>
  <c r="J116" i="479"/>
  <c r="J117" i="479"/>
  <c r="J118" i="479"/>
  <c r="J119" i="479"/>
  <c r="J120" i="479"/>
  <c r="J121" i="479"/>
  <c r="J122" i="479"/>
  <c r="J123" i="479"/>
  <c r="J124" i="479"/>
  <c r="J125" i="479"/>
  <c r="J126" i="479"/>
  <c r="J127" i="479"/>
  <c r="J128" i="479"/>
  <c r="J129" i="479"/>
  <c r="J130" i="479"/>
  <c r="J131" i="479"/>
  <c r="J132" i="479"/>
  <c r="J133" i="479"/>
  <c r="J134" i="479"/>
  <c r="J135" i="479"/>
  <c r="J136" i="479"/>
  <c r="J137" i="479"/>
  <c r="J138" i="479"/>
  <c r="J139" i="479"/>
  <c r="J140" i="479"/>
  <c r="J141" i="479"/>
  <c r="J142" i="479"/>
  <c r="J143" i="479"/>
  <c r="J144" i="479"/>
  <c r="J145" i="479"/>
  <c r="J146" i="479"/>
  <c r="J147" i="479"/>
  <c r="J148" i="479"/>
  <c r="J149" i="479"/>
  <c r="J150" i="479"/>
  <c r="J151" i="479"/>
  <c r="J152" i="479"/>
  <c r="J153" i="479"/>
  <c r="J154" i="479"/>
  <c r="J155" i="479"/>
  <c r="J156" i="479"/>
  <c r="J157" i="479"/>
  <c r="J158" i="479"/>
  <c r="J159" i="479"/>
  <c r="J160" i="479"/>
  <c r="J161" i="479"/>
  <c r="J162" i="479"/>
  <c r="J163" i="479"/>
  <c r="J164" i="479"/>
  <c r="J165" i="479"/>
  <c r="J166" i="479"/>
  <c r="J167" i="479"/>
  <c r="J168" i="479"/>
  <c r="J169" i="479"/>
  <c r="J170" i="479"/>
  <c r="J171" i="479"/>
  <c r="J172" i="479"/>
  <c r="J173" i="479"/>
  <c r="J174" i="479"/>
  <c r="J175" i="479"/>
  <c r="J176" i="479"/>
  <c r="J177" i="479"/>
  <c r="J178" i="479"/>
  <c r="J179" i="479"/>
  <c r="J180" i="479"/>
  <c r="J181" i="479"/>
  <c r="J182" i="479"/>
  <c r="J183" i="479"/>
  <c r="J184" i="479"/>
  <c r="J185" i="479"/>
  <c r="J186" i="479"/>
  <c r="J187" i="479"/>
  <c r="J188" i="479"/>
  <c r="J189" i="479"/>
  <c r="J190" i="479"/>
  <c r="J191" i="479"/>
  <c r="J192" i="479"/>
  <c r="J193" i="479"/>
  <c r="J194" i="479"/>
  <c r="J195" i="479"/>
  <c r="J196" i="479"/>
  <c r="J197" i="479"/>
  <c r="J198" i="479"/>
  <c r="J199" i="479"/>
  <c r="J200" i="479"/>
  <c r="J201" i="479"/>
  <c r="J202" i="479"/>
  <c r="G246" i="479"/>
  <c r="G243" i="479"/>
  <c r="G242" i="479"/>
  <c r="G241" i="479"/>
  <c r="G240" i="479"/>
  <c r="G239" i="479"/>
  <c r="G238" i="479"/>
  <c r="G237" i="479"/>
  <c r="G236" i="479"/>
  <c r="G235" i="479"/>
  <c r="G234" i="479"/>
  <c r="G233" i="479"/>
  <c r="G232" i="479"/>
  <c r="G231" i="479"/>
  <c r="G230" i="479"/>
  <c r="G229" i="479"/>
  <c r="G228" i="479"/>
  <c r="G227" i="479"/>
  <c r="G226" i="479"/>
  <c r="G225" i="479"/>
  <c r="G224" i="479"/>
  <c r="G223" i="479"/>
  <c r="G222" i="479"/>
  <c r="G221" i="479"/>
  <c r="G220" i="479"/>
  <c r="G219" i="479"/>
  <c r="G218" i="479"/>
  <c r="G217" i="479"/>
  <c r="G216" i="479"/>
  <c r="G215" i="479"/>
  <c r="G214" i="479"/>
  <c r="G213" i="479"/>
  <c r="G212" i="479"/>
  <c r="G211" i="479"/>
  <c r="G210" i="479"/>
  <c r="G209" i="479"/>
  <c r="G208" i="479"/>
  <c r="G207" i="479"/>
  <c r="G206" i="479"/>
  <c r="G205" i="479"/>
  <c r="G204" i="479"/>
  <c r="G203" i="479"/>
  <c r="J247" i="479"/>
  <c r="G245" i="479"/>
  <c r="G247" i="479"/>
  <c r="J246" i="479"/>
  <c r="J244" i="479"/>
  <c r="J242" i="479"/>
  <c r="J240" i="479"/>
  <c r="J238" i="479"/>
  <c r="J236" i="479"/>
  <c r="J234" i="479"/>
  <c r="J232" i="479"/>
  <c r="J230" i="479"/>
  <c r="J228" i="479"/>
  <c r="J226" i="479"/>
  <c r="J224" i="479"/>
  <c r="J222" i="479"/>
  <c r="J220" i="479"/>
  <c r="J218" i="479"/>
  <c r="J216" i="479"/>
  <c r="J214" i="479"/>
  <c r="J212" i="479"/>
  <c r="J211" i="479"/>
  <c r="J210" i="479"/>
  <c r="J209" i="479"/>
  <c r="J208" i="479"/>
  <c r="J207" i="479"/>
  <c r="J206" i="479"/>
  <c r="J205" i="479"/>
  <c r="J204" i="479"/>
  <c r="J203" i="479"/>
  <c r="I202" i="479"/>
  <c r="I201" i="479"/>
  <c r="I200" i="479"/>
  <c r="I199" i="479"/>
  <c r="I198" i="479"/>
  <c r="I197" i="479"/>
  <c r="I196" i="479"/>
  <c r="I195" i="479"/>
  <c r="I194" i="479"/>
  <c r="I193" i="479"/>
  <c r="I192" i="479"/>
  <c r="I191" i="479"/>
  <c r="I190" i="479"/>
  <c r="I189" i="479"/>
  <c r="I188" i="479"/>
  <c r="I187" i="479"/>
  <c r="I186" i="479"/>
  <c r="I185" i="479"/>
  <c r="I184" i="479"/>
  <c r="I183" i="479"/>
  <c r="I182" i="479"/>
  <c r="I181" i="479"/>
  <c r="G179" i="479"/>
  <c r="G177" i="479"/>
  <c r="G175" i="479"/>
  <c r="G173" i="479"/>
  <c r="G171" i="479"/>
  <c r="G169" i="479"/>
  <c r="G167" i="479"/>
  <c r="G165" i="479"/>
  <c r="G163" i="479"/>
  <c r="G2" i="479"/>
  <c r="G3" i="479"/>
  <c r="G4" i="479"/>
  <c r="G5" i="479"/>
  <c r="G6" i="479"/>
  <c r="G7" i="479"/>
  <c r="G8" i="479"/>
  <c r="G9" i="479"/>
  <c r="G10" i="479"/>
  <c r="G12" i="479"/>
  <c r="G45" i="479"/>
  <c r="G46" i="479"/>
  <c r="G47" i="479"/>
  <c r="G11" i="479"/>
  <c r="G13" i="479"/>
  <c r="G14" i="479"/>
  <c r="G15" i="479"/>
  <c r="G16" i="479"/>
  <c r="G17" i="479"/>
  <c r="G18" i="479"/>
  <c r="G19" i="479"/>
  <c r="G20" i="479"/>
  <c r="G21" i="479"/>
  <c r="G22" i="479"/>
  <c r="G23" i="479"/>
  <c r="G24" i="479"/>
  <c r="G25" i="479"/>
  <c r="G26" i="479"/>
  <c r="G27" i="479"/>
  <c r="G28" i="479"/>
  <c r="G29" i="479"/>
  <c r="G30" i="479"/>
  <c r="G31" i="479"/>
  <c r="G32" i="479"/>
  <c r="G33" i="479"/>
  <c r="G34" i="479"/>
  <c r="G35" i="479"/>
  <c r="G36" i="479"/>
  <c r="G37" i="479"/>
  <c r="G38" i="479"/>
  <c r="G39" i="479"/>
  <c r="G40" i="479"/>
  <c r="G41" i="479"/>
  <c r="G42" i="479"/>
  <c r="G43" i="479"/>
  <c r="G44" i="479"/>
  <c r="G48" i="479"/>
  <c r="G50" i="479"/>
  <c r="G52" i="479"/>
  <c r="G54" i="479"/>
  <c r="G56" i="479"/>
  <c r="G58" i="479"/>
  <c r="G60" i="479"/>
  <c r="G62" i="479"/>
  <c r="G64" i="479"/>
  <c r="G66" i="479"/>
  <c r="G68" i="479"/>
  <c r="G70" i="479"/>
  <c r="G89" i="479"/>
  <c r="G90" i="479"/>
  <c r="G91" i="479"/>
  <c r="G92" i="479"/>
  <c r="G93" i="479"/>
  <c r="G94" i="479"/>
  <c r="G95" i="479"/>
  <c r="G96" i="479"/>
  <c r="G97" i="479"/>
  <c r="G98" i="479"/>
  <c r="G99" i="479"/>
  <c r="G100" i="479"/>
  <c r="G101" i="479"/>
  <c r="G102" i="479"/>
  <c r="G103" i="479"/>
  <c r="G104" i="479"/>
  <c r="G105" i="479"/>
  <c r="G49" i="479"/>
  <c r="G51" i="479"/>
  <c r="G53" i="479"/>
  <c r="G55" i="479"/>
  <c r="G57" i="479"/>
  <c r="G59" i="479"/>
  <c r="G61" i="479"/>
  <c r="G63" i="479"/>
  <c r="G65" i="479"/>
  <c r="G67" i="479"/>
  <c r="G69" i="479"/>
  <c r="G71" i="479"/>
  <c r="G72" i="479"/>
  <c r="G73" i="479"/>
  <c r="G74" i="479"/>
  <c r="G75" i="479"/>
  <c r="G76" i="479"/>
  <c r="G77" i="479"/>
  <c r="G78" i="479"/>
  <c r="G79" i="479"/>
  <c r="G80" i="479"/>
  <c r="G81" i="479"/>
  <c r="G82" i="479"/>
  <c r="G83" i="479"/>
  <c r="G84" i="479"/>
  <c r="G85" i="479"/>
  <c r="G86" i="479"/>
  <c r="G87" i="479"/>
  <c r="G88" i="479"/>
  <c r="G106" i="479"/>
  <c r="G108" i="479"/>
  <c r="G110" i="479"/>
  <c r="G112" i="479"/>
  <c r="G114" i="479"/>
  <c r="G116" i="479"/>
  <c r="G118" i="479"/>
  <c r="G120" i="479"/>
  <c r="G122" i="479"/>
  <c r="G124" i="479"/>
  <c r="G126" i="479"/>
  <c r="G127" i="479"/>
  <c r="G128" i="479"/>
  <c r="G129" i="479"/>
  <c r="G130" i="479"/>
  <c r="G131" i="479"/>
  <c r="G132" i="479"/>
  <c r="G133" i="479"/>
  <c r="G134" i="479"/>
  <c r="G135" i="479"/>
  <c r="G136" i="479"/>
  <c r="G137" i="479"/>
  <c r="G138" i="479"/>
  <c r="G139" i="479"/>
  <c r="G140" i="479"/>
  <c r="G141" i="479"/>
  <c r="G142" i="479"/>
  <c r="G143" i="479"/>
  <c r="G144" i="479"/>
  <c r="G145" i="479"/>
  <c r="G146" i="479"/>
  <c r="G147" i="479"/>
  <c r="G148" i="479"/>
  <c r="G149" i="479"/>
  <c r="G150" i="479"/>
  <c r="G151" i="479"/>
  <c r="G152" i="479"/>
  <c r="G153" i="479"/>
  <c r="G154" i="479"/>
  <c r="G155" i="479"/>
  <c r="G156" i="479"/>
  <c r="G157" i="479"/>
  <c r="G158" i="479"/>
  <c r="G159" i="479"/>
  <c r="G107" i="479"/>
  <c r="G109" i="479"/>
  <c r="G111" i="479"/>
  <c r="G113" i="479"/>
  <c r="G115" i="479"/>
  <c r="G117" i="479"/>
  <c r="G119" i="479"/>
  <c r="G121" i="479"/>
  <c r="G123" i="479"/>
  <c r="G125" i="479"/>
  <c r="I3" i="479"/>
  <c r="I4" i="479"/>
  <c r="I5" i="479"/>
  <c r="I6" i="479"/>
  <c r="I7" i="479"/>
  <c r="I8" i="479"/>
  <c r="I9" i="479"/>
  <c r="I10" i="479"/>
  <c r="I11" i="479"/>
  <c r="I12" i="479"/>
  <c r="I2" i="479"/>
  <c r="I13" i="479"/>
  <c r="I14" i="479"/>
  <c r="I15" i="479"/>
  <c r="I16" i="479"/>
  <c r="I17" i="479"/>
  <c r="I18" i="479"/>
  <c r="I19" i="479"/>
  <c r="I20" i="479"/>
  <c r="I21" i="479"/>
  <c r="I22" i="479"/>
  <c r="I23" i="479"/>
  <c r="I24" i="479"/>
  <c r="I25" i="479"/>
  <c r="I26" i="479"/>
  <c r="I27" i="479"/>
  <c r="I28" i="479"/>
  <c r="I29" i="479"/>
  <c r="I30" i="479"/>
  <c r="I31" i="479"/>
  <c r="I32" i="479"/>
  <c r="I33" i="479"/>
  <c r="I34" i="479"/>
  <c r="I35" i="479"/>
  <c r="I36" i="479"/>
  <c r="I37" i="479"/>
  <c r="I38" i="479"/>
  <c r="I39" i="479"/>
  <c r="I40" i="479"/>
  <c r="I41" i="479"/>
  <c r="I42" i="479"/>
  <c r="I43" i="479"/>
  <c r="I44" i="479"/>
  <c r="I45" i="479"/>
  <c r="I46" i="479"/>
  <c r="I47" i="479"/>
  <c r="I48" i="479"/>
  <c r="I49" i="479"/>
  <c r="I50" i="479"/>
  <c r="I51" i="479"/>
  <c r="I52" i="479"/>
  <c r="I53" i="479"/>
  <c r="I54" i="479"/>
  <c r="I55" i="479"/>
  <c r="I56" i="479"/>
  <c r="I57" i="479"/>
  <c r="I58" i="479"/>
  <c r="I59" i="479"/>
  <c r="I60" i="479"/>
  <c r="I61" i="479"/>
  <c r="I62" i="479"/>
  <c r="I63" i="479"/>
  <c r="I64" i="479"/>
  <c r="I65" i="479"/>
  <c r="I66" i="479"/>
  <c r="I67" i="479"/>
  <c r="I68" i="479"/>
  <c r="I69" i="479"/>
  <c r="I70" i="479"/>
  <c r="I71" i="479"/>
  <c r="I72" i="479"/>
  <c r="I73" i="479"/>
  <c r="I74" i="479"/>
  <c r="I75" i="479"/>
  <c r="I76" i="479"/>
  <c r="I77" i="479"/>
  <c r="I78" i="479"/>
  <c r="I79" i="479"/>
  <c r="I80" i="479"/>
  <c r="I81" i="479"/>
  <c r="I82" i="479"/>
  <c r="I83" i="479"/>
  <c r="I84" i="479"/>
  <c r="I85" i="479"/>
  <c r="I86" i="479"/>
  <c r="I87" i="479"/>
  <c r="I88" i="479"/>
  <c r="I89" i="479"/>
  <c r="I90" i="479"/>
  <c r="I91" i="479"/>
  <c r="I92" i="479"/>
  <c r="I93" i="479"/>
  <c r="I94" i="479"/>
  <c r="I95" i="479"/>
  <c r="I96" i="479"/>
  <c r="I97" i="479"/>
  <c r="I98" i="479"/>
  <c r="I99" i="479"/>
  <c r="I100" i="479"/>
  <c r="I101" i="479"/>
  <c r="I102" i="479"/>
  <c r="I103" i="479"/>
  <c r="I104" i="479"/>
  <c r="I105" i="479"/>
  <c r="I106" i="479"/>
  <c r="I107" i="479"/>
  <c r="I108" i="479"/>
  <c r="I109" i="479"/>
  <c r="I110" i="479"/>
  <c r="I111" i="479"/>
  <c r="I112" i="479"/>
  <c r="I113" i="479"/>
  <c r="I114" i="479"/>
  <c r="I115" i="479"/>
  <c r="I116" i="479"/>
  <c r="I117" i="479"/>
  <c r="I118" i="479"/>
  <c r="I119" i="479"/>
  <c r="I120" i="479"/>
  <c r="I121" i="479"/>
  <c r="I122" i="479"/>
  <c r="I123" i="479"/>
  <c r="I124" i="479"/>
  <c r="I125" i="479"/>
  <c r="I159" i="479"/>
  <c r="I160" i="479"/>
  <c r="I161" i="479"/>
  <c r="I162" i="479"/>
  <c r="I163" i="479"/>
  <c r="I164" i="479"/>
  <c r="I165" i="479"/>
  <c r="I166" i="479"/>
  <c r="I167" i="479"/>
  <c r="I168" i="479"/>
  <c r="I169" i="479"/>
  <c r="I170" i="479"/>
  <c r="I171" i="479"/>
  <c r="I172" i="479"/>
  <c r="I173" i="479"/>
  <c r="I174" i="479"/>
  <c r="I175" i="479"/>
  <c r="I176" i="479"/>
  <c r="I177" i="479"/>
  <c r="I178" i="479"/>
  <c r="I179" i="479"/>
  <c r="I126" i="479"/>
  <c r="I127" i="479"/>
  <c r="I128" i="479"/>
  <c r="I129" i="479"/>
  <c r="I130" i="479"/>
  <c r="I131" i="479"/>
  <c r="I132" i="479"/>
  <c r="I133" i="479"/>
  <c r="I134" i="479"/>
  <c r="I135" i="479"/>
  <c r="I136" i="479"/>
  <c r="I137" i="479"/>
  <c r="I138" i="479"/>
  <c r="I139" i="479"/>
  <c r="I140" i="479"/>
  <c r="I141" i="479"/>
  <c r="I142" i="479"/>
  <c r="I143" i="479"/>
  <c r="I144" i="479"/>
  <c r="I145" i="479"/>
  <c r="I146" i="479"/>
  <c r="I147" i="479"/>
  <c r="I148" i="479"/>
  <c r="I149" i="479"/>
  <c r="I150" i="479"/>
  <c r="I151" i="479"/>
  <c r="I152" i="479"/>
  <c r="I153" i="479"/>
  <c r="I154" i="479"/>
  <c r="I155" i="479"/>
  <c r="I156" i="479"/>
  <c r="I157" i="479"/>
  <c r="I158" i="479"/>
  <c r="J245" i="479"/>
  <c r="J243" i="479"/>
  <c r="J241" i="479"/>
  <c r="J239" i="479"/>
  <c r="J237" i="479"/>
  <c r="J235" i="479"/>
  <c r="J233" i="479"/>
  <c r="J231" i="479"/>
  <c r="J229" i="479"/>
  <c r="J227" i="479"/>
  <c r="J225" i="479"/>
  <c r="J223" i="479"/>
  <c r="J221" i="479"/>
  <c r="J219" i="479"/>
  <c r="J217" i="479"/>
  <c r="J215" i="479"/>
  <c r="J213" i="479"/>
  <c r="H2" i="479"/>
  <c r="H3" i="479"/>
  <c r="H4" i="479"/>
  <c r="H5" i="479"/>
  <c r="H6" i="479"/>
  <c r="H7" i="479"/>
  <c r="H8" i="479"/>
  <c r="H9" i="479"/>
  <c r="H10" i="479"/>
  <c r="H11" i="479"/>
  <c r="H12" i="479"/>
  <c r="H13" i="479"/>
  <c r="H14" i="479"/>
  <c r="H15" i="479"/>
  <c r="H16" i="479"/>
  <c r="H17" i="479"/>
  <c r="H18" i="479"/>
  <c r="H19" i="479"/>
  <c r="H20" i="479"/>
  <c r="H21" i="479"/>
  <c r="H22" i="479"/>
  <c r="H23" i="479"/>
  <c r="H24" i="479"/>
  <c r="H25" i="479"/>
  <c r="H26" i="479"/>
  <c r="H27" i="479"/>
  <c r="H28" i="479"/>
  <c r="H29" i="479"/>
  <c r="H30" i="479"/>
  <c r="H31" i="479"/>
  <c r="H32" i="479"/>
  <c r="H33" i="479"/>
  <c r="H34" i="479"/>
  <c r="H35" i="479"/>
  <c r="H36" i="479"/>
  <c r="H37" i="479"/>
  <c r="H38" i="479"/>
  <c r="H39" i="479"/>
  <c r="H40" i="479"/>
  <c r="H41" i="479"/>
  <c r="H42" i="479"/>
  <c r="H43" i="479"/>
  <c r="H44" i="479"/>
  <c r="H45" i="479"/>
  <c r="H46" i="479"/>
  <c r="H47" i="479"/>
  <c r="H48" i="479"/>
  <c r="H49" i="479"/>
  <c r="H50" i="479"/>
  <c r="H51" i="479"/>
  <c r="H52" i="479"/>
  <c r="H53" i="479"/>
  <c r="H54" i="479"/>
  <c r="H55" i="479"/>
  <c r="H56" i="479"/>
  <c r="H57" i="479"/>
  <c r="H58" i="479"/>
  <c r="H59" i="479"/>
  <c r="H60" i="479"/>
  <c r="H61" i="479"/>
  <c r="H62" i="479"/>
  <c r="H63" i="479"/>
  <c r="H64" i="479"/>
  <c r="H65" i="479"/>
  <c r="H66" i="479"/>
  <c r="H67" i="479"/>
  <c r="H68" i="479"/>
  <c r="H69" i="479"/>
  <c r="H70" i="479"/>
  <c r="H71" i="479"/>
  <c r="H72" i="479"/>
  <c r="H73" i="479"/>
  <c r="H74" i="479"/>
  <c r="H75" i="479"/>
  <c r="H76" i="479"/>
  <c r="H77" i="479"/>
  <c r="H78" i="479"/>
  <c r="H79" i="479"/>
  <c r="H80" i="479"/>
  <c r="H81" i="479"/>
  <c r="H82" i="479"/>
  <c r="H83" i="479"/>
  <c r="H84" i="479"/>
  <c r="H85" i="479"/>
  <c r="H86" i="479"/>
  <c r="H87" i="479"/>
  <c r="H88" i="479"/>
  <c r="H89" i="479"/>
  <c r="H90" i="479"/>
  <c r="H91" i="479"/>
  <c r="H92" i="479"/>
  <c r="H93" i="479"/>
  <c r="H94" i="479"/>
  <c r="H95" i="479"/>
  <c r="H96" i="479"/>
  <c r="H97" i="479"/>
  <c r="H98" i="479"/>
  <c r="H99" i="479"/>
  <c r="H100" i="479"/>
  <c r="H101" i="479"/>
  <c r="H102" i="479"/>
  <c r="H103" i="479"/>
  <c r="H104" i="479"/>
  <c r="H105" i="479"/>
  <c r="H106" i="479"/>
  <c r="H107" i="479"/>
  <c r="H108" i="479"/>
  <c r="H109" i="479"/>
  <c r="H110" i="479"/>
  <c r="H111" i="479"/>
  <c r="H112" i="479"/>
  <c r="H113" i="479"/>
  <c r="H114" i="479"/>
  <c r="H115" i="479"/>
  <c r="H116" i="479"/>
  <c r="H117" i="479"/>
  <c r="H118" i="479"/>
  <c r="H119" i="479"/>
  <c r="H120" i="479"/>
  <c r="H121" i="479"/>
  <c r="H122" i="479"/>
  <c r="H123" i="479"/>
  <c r="H124" i="479"/>
  <c r="H125" i="479"/>
  <c r="H126" i="479"/>
  <c r="H127" i="479"/>
  <c r="H128" i="479"/>
  <c r="H129" i="479"/>
  <c r="H130" i="479"/>
  <c r="H131" i="479"/>
  <c r="H132" i="479"/>
  <c r="H133" i="479"/>
  <c r="H134" i="479"/>
  <c r="H135" i="479"/>
  <c r="H136" i="479"/>
  <c r="H137" i="479"/>
  <c r="H138" i="479"/>
  <c r="H139" i="479"/>
  <c r="H140" i="479"/>
  <c r="H141" i="479"/>
  <c r="H142" i="479"/>
  <c r="H143" i="479"/>
  <c r="H144" i="479"/>
  <c r="H145" i="479"/>
  <c r="H146" i="479"/>
  <c r="H147" i="479"/>
  <c r="H148" i="479"/>
  <c r="H149" i="479"/>
  <c r="H150" i="479"/>
  <c r="H151" i="479"/>
  <c r="H152" i="479"/>
  <c r="H153" i="479"/>
  <c r="H154" i="479"/>
  <c r="H155" i="479"/>
  <c r="H156" i="479"/>
  <c r="H157" i="479"/>
  <c r="H158" i="479"/>
  <c r="H159" i="479"/>
  <c r="H160" i="479"/>
  <c r="H161" i="479"/>
  <c r="H162" i="479"/>
  <c r="H163" i="479"/>
  <c r="H164" i="479"/>
  <c r="H165" i="479"/>
  <c r="H166" i="479"/>
  <c r="H167" i="479"/>
  <c r="H168" i="479"/>
  <c r="H169" i="479"/>
  <c r="H170" i="479"/>
  <c r="H171" i="479"/>
  <c r="H172" i="479"/>
  <c r="H173" i="479"/>
  <c r="H174" i="479"/>
  <c r="H175" i="479"/>
  <c r="H176" i="479"/>
  <c r="H177" i="479"/>
  <c r="H178" i="479"/>
  <c r="H179" i="479"/>
  <c r="H180" i="479"/>
  <c r="H181" i="479"/>
  <c r="H182" i="479"/>
  <c r="H183" i="479"/>
  <c r="H184" i="479"/>
  <c r="H185" i="479"/>
  <c r="H186" i="479"/>
  <c r="H187" i="479"/>
  <c r="H188" i="479"/>
  <c r="H189" i="479"/>
  <c r="H190" i="479"/>
  <c r="H191" i="479"/>
  <c r="H192" i="479"/>
  <c r="H193" i="479"/>
  <c r="H194" i="479"/>
  <c r="H195" i="479"/>
  <c r="H196" i="479"/>
  <c r="H197" i="479"/>
  <c r="H198" i="479"/>
  <c r="H199" i="479"/>
  <c r="H200" i="479"/>
  <c r="H201" i="479"/>
  <c r="H202" i="479"/>
  <c r="H247" i="479"/>
  <c r="I246" i="479"/>
  <c r="I245" i="479"/>
  <c r="I244" i="479"/>
  <c r="I243" i="479"/>
  <c r="I242" i="479"/>
  <c r="I241" i="479"/>
  <c r="I240" i="479"/>
  <c r="I239" i="479"/>
  <c r="I238" i="479"/>
  <c r="I237" i="479"/>
  <c r="I236" i="479"/>
  <c r="I235" i="479"/>
  <c r="I234" i="479"/>
  <c r="I233" i="479"/>
  <c r="I232" i="479"/>
  <c r="I231" i="479"/>
  <c r="I230" i="479"/>
  <c r="I229" i="479"/>
  <c r="I228" i="479"/>
  <c r="I227" i="479"/>
  <c r="I226" i="479"/>
  <c r="I225" i="479"/>
  <c r="I224" i="479"/>
  <c r="I223" i="479"/>
  <c r="I222" i="479"/>
  <c r="I221" i="479"/>
  <c r="I220" i="479"/>
  <c r="I219" i="479"/>
  <c r="I218" i="479"/>
  <c r="I217" i="479"/>
  <c r="I216" i="479"/>
  <c r="I215" i="479"/>
  <c r="I214" i="479"/>
  <c r="I213" i="479"/>
  <c r="I212" i="479"/>
  <c r="I211" i="479"/>
  <c r="I210" i="479"/>
  <c r="I209" i="479"/>
  <c r="I208" i="479"/>
  <c r="I207" i="479"/>
  <c r="I206" i="479"/>
  <c r="I205" i="479"/>
  <c r="I204" i="479"/>
  <c r="I203" i="479"/>
  <c r="G202" i="479"/>
  <c r="G201" i="479"/>
  <c r="G200" i="479"/>
  <c r="G199" i="479"/>
  <c r="G198" i="479"/>
  <c r="G197" i="479"/>
  <c r="G196" i="479"/>
  <c r="G195" i="479"/>
  <c r="G194" i="479"/>
  <c r="G193" i="479"/>
  <c r="G192" i="479"/>
  <c r="G191" i="479"/>
  <c r="G190" i="479"/>
  <c r="G189" i="479"/>
  <c r="G188" i="479"/>
  <c r="G187" i="479"/>
  <c r="G186" i="479"/>
  <c r="G185" i="479"/>
  <c r="G184" i="479"/>
  <c r="G183" i="479"/>
  <c r="G182" i="479"/>
  <c r="G181" i="479"/>
  <c r="G180" i="479"/>
  <c r="H221" i="479"/>
  <c r="H220" i="479"/>
  <c r="H219" i="479"/>
  <c r="H218" i="479"/>
  <c r="H217" i="479"/>
  <c r="H216" i="479"/>
  <c r="H215" i="479"/>
  <c r="H214" i="479"/>
  <c r="H213" i="479"/>
  <c r="H212" i="479"/>
  <c r="H211" i="479"/>
  <c r="H210" i="479"/>
  <c r="H209" i="479"/>
  <c r="H208" i="479"/>
  <c r="H207" i="479"/>
  <c r="H206" i="479"/>
  <c r="H205" i="479"/>
  <c r="H204" i="479"/>
  <c r="H203" i="479"/>
  <c r="G178" i="479"/>
  <c r="G176" i="479"/>
  <c r="G174" i="479"/>
  <c r="G172" i="479"/>
  <c r="G170" i="479"/>
  <c r="G168" i="479"/>
  <c r="G166" i="479"/>
  <c r="G164" i="479"/>
  <c r="G162" i="479"/>
  <c r="G160" i="479"/>
  <c r="K239" i="478"/>
  <c r="I3" i="478"/>
  <c r="I4" i="478"/>
  <c r="I5" i="478"/>
  <c r="I6" i="478"/>
  <c r="I7" i="478"/>
  <c r="I8" i="478"/>
  <c r="I9" i="478"/>
  <c r="I10" i="478"/>
  <c r="I11" i="478"/>
  <c r="I12" i="478"/>
  <c r="I13" i="478"/>
  <c r="I14" i="478"/>
  <c r="I15" i="478"/>
  <c r="I16" i="478"/>
  <c r="I17" i="478"/>
  <c r="I18" i="478"/>
  <c r="I19" i="478"/>
  <c r="I20" i="478"/>
  <c r="I21" i="478"/>
  <c r="I22" i="478"/>
  <c r="I23" i="478"/>
  <c r="I24" i="478"/>
  <c r="I25" i="478"/>
  <c r="I26" i="478"/>
  <c r="I27" i="478"/>
  <c r="I2" i="478"/>
  <c r="I45" i="478"/>
  <c r="I46" i="478"/>
  <c r="I47" i="478"/>
  <c r="I28" i="478"/>
  <c r="I29" i="478"/>
  <c r="I30" i="478"/>
  <c r="I31" i="478"/>
  <c r="I32" i="478"/>
  <c r="I33" i="478"/>
  <c r="I34" i="478"/>
  <c r="I35" i="478"/>
  <c r="I36" i="478"/>
  <c r="I37" i="478"/>
  <c r="I38" i="478"/>
  <c r="I39" i="478"/>
  <c r="I40" i="478"/>
  <c r="I41" i="478"/>
  <c r="I42" i="478"/>
  <c r="I43" i="478"/>
  <c r="I44" i="478"/>
  <c r="I48" i="478"/>
  <c r="I49" i="478"/>
  <c r="I50" i="478"/>
  <c r="I51" i="478"/>
  <c r="I52" i="478"/>
  <c r="I53" i="478"/>
  <c r="I54" i="478"/>
  <c r="I55" i="478"/>
  <c r="I56" i="478"/>
  <c r="I57" i="478"/>
  <c r="I58" i="478"/>
  <c r="I59" i="478"/>
  <c r="I60" i="478"/>
  <c r="I61" i="478"/>
  <c r="I62" i="478"/>
  <c r="I63" i="478"/>
  <c r="I64" i="478"/>
  <c r="I65" i="478"/>
  <c r="I67" i="478"/>
  <c r="I69" i="478"/>
  <c r="I71" i="478"/>
  <c r="I73" i="478"/>
  <c r="I75" i="478"/>
  <c r="I77" i="478"/>
  <c r="I78" i="478"/>
  <c r="I79" i="478"/>
  <c r="I80" i="478"/>
  <c r="I81" i="478"/>
  <c r="I82" i="478"/>
  <c r="I83" i="478"/>
  <c r="I84" i="478"/>
  <c r="I85" i="478"/>
  <c r="I86" i="478"/>
  <c r="I87" i="478"/>
  <c r="I88" i="478"/>
  <c r="I89" i="478"/>
  <c r="I90" i="478"/>
  <c r="I91" i="478"/>
  <c r="I92" i="478"/>
  <c r="I93" i="478"/>
  <c r="I94" i="478"/>
  <c r="I95" i="478"/>
  <c r="I96" i="478"/>
  <c r="I97" i="478"/>
  <c r="I98" i="478"/>
  <c r="I99" i="478"/>
  <c r="I100" i="478"/>
  <c r="I101" i="478"/>
  <c r="I102" i="478"/>
  <c r="I103" i="478"/>
  <c r="I104" i="478"/>
  <c r="I105" i="478"/>
  <c r="I106" i="478"/>
  <c r="I107" i="478"/>
  <c r="I108" i="478"/>
  <c r="I109" i="478"/>
  <c r="I110" i="478"/>
  <c r="I111" i="478"/>
  <c r="I112" i="478"/>
  <c r="I113" i="478"/>
  <c r="I114" i="478"/>
  <c r="I115" i="478"/>
  <c r="I116" i="478"/>
  <c r="I117" i="478"/>
  <c r="I118" i="478"/>
  <c r="I119" i="478"/>
  <c r="I120" i="478"/>
  <c r="I121" i="478"/>
  <c r="I122" i="478"/>
  <c r="I123" i="478"/>
  <c r="I124" i="478"/>
  <c r="I125" i="478"/>
  <c r="I126" i="478"/>
  <c r="I127" i="478"/>
  <c r="I128" i="478"/>
  <c r="I129" i="478"/>
  <c r="I130" i="478"/>
  <c r="I131" i="478"/>
  <c r="I132" i="478"/>
  <c r="I133" i="478"/>
  <c r="I134" i="478"/>
  <c r="I135" i="478"/>
  <c r="I136" i="478"/>
  <c r="I137" i="478"/>
  <c r="I138" i="478"/>
  <c r="I139" i="478"/>
  <c r="I140" i="478"/>
  <c r="I141" i="478"/>
  <c r="I142" i="478"/>
  <c r="I66" i="478"/>
  <c r="I68" i="478"/>
  <c r="I70" i="478"/>
  <c r="I72" i="478"/>
  <c r="I74" i="478"/>
  <c r="I76" i="478"/>
  <c r="I143" i="478"/>
  <c r="I144" i="478"/>
  <c r="I145" i="478"/>
  <c r="I146" i="478"/>
  <c r="I147" i="478"/>
  <c r="I148" i="478"/>
  <c r="I149" i="478"/>
  <c r="I150" i="478"/>
  <c r="I151" i="478"/>
  <c r="I152" i="478"/>
  <c r="I153" i="478"/>
  <c r="I154" i="478"/>
  <c r="I155" i="478"/>
  <c r="I156" i="478"/>
  <c r="I157" i="478"/>
  <c r="I158" i="478"/>
  <c r="I159" i="478"/>
  <c r="I160" i="478"/>
  <c r="I161" i="478"/>
  <c r="I162" i="478"/>
  <c r="I163" i="478"/>
  <c r="I164" i="478"/>
  <c r="I165" i="478"/>
  <c r="I166" i="478"/>
  <c r="I167" i="478"/>
  <c r="I168" i="478"/>
  <c r="I169" i="478"/>
  <c r="I170" i="478"/>
  <c r="I171" i="478"/>
  <c r="I172" i="478"/>
  <c r="I173" i="478"/>
  <c r="I174" i="478"/>
  <c r="I175" i="478"/>
  <c r="I176" i="478"/>
  <c r="I177" i="478"/>
  <c r="I178" i="478"/>
  <c r="I179" i="478"/>
  <c r="I180" i="478"/>
  <c r="I181" i="478"/>
  <c r="I182" i="478"/>
  <c r="I183" i="478"/>
  <c r="I184" i="478"/>
  <c r="I185" i="478"/>
  <c r="I186" i="478"/>
  <c r="I187" i="478"/>
  <c r="I188" i="478"/>
  <c r="I189" i="478"/>
  <c r="I190" i="478"/>
  <c r="I191" i="478"/>
  <c r="I192" i="478"/>
  <c r="I193" i="478"/>
  <c r="I194" i="478"/>
  <c r="I195" i="478"/>
  <c r="I196" i="478"/>
  <c r="I197" i="478"/>
  <c r="I198" i="478"/>
  <c r="I199" i="478"/>
  <c r="I200" i="478"/>
  <c r="I201" i="478"/>
  <c r="I202" i="478"/>
  <c r="I203" i="478"/>
  <c r="I204" i="478"/>
  <c r="I205" i="478"/>
  <c r="I206" i="478"/>
  <c r="I207" i="478"/>
  <c r="I208" i="478"/>
  <c r="I209" i="478"/>
  <c r="I210" i="478"/>
  <c r="I211" i="478"/>
  <c r="I212" i="478"/>
  <c r="I213" i="478"/>
  <c r="I214" i="478"/>
  <c r="I215" i="478"/>
  <c r="I216" i="478"/>
  <c r="I217" i="478"/>
  <c r="I218" i="478"/>
  <c r="I219" i="478"/>
  <c r="I220" i="478"/>
  <c r="G247" i="478"/>
  <c r="I245" i="478"/>
  <c r="I241" i="478"/>
  <c r="G238" i="478"/>
  <c r="I235" i="478"/>
  <c r="G232" i="478"/>
  <c r="K229" i="478"/>
  <c r="K226" i="478"/>
  <c r="K224" i="478"/>
  <c r="K221" i="478"/>
  <c r="K218" i="478"/>
  <c r="K214" i="478"/>
  <c r="K206" i="478"/>
  <c r="H2" i="478"/>
  <c r="H3" i="478"/>
  <c r="H4" i="478"/>
  <c r="H5" i="478"/>
  <c r="H6" i="478"/>
  <c r="H7" i="478"/>
  <c r="H8" i="478"/>
  <c r="H9" i="478"/>
  <c r="H10" i="478"/>
  <c r="H11" i="478"/>
  <c r="H12" i="478"/>
  <c r="H13" i="478"/>
  <c r="H14" i="478"/>
  <c r="H15" i="478"/>
  <c r="H16" i="478"/>
  <c r="H17" i="478"/>
  <c r="H18" i="478"/>
  <c r="H19" i="478"/>
  <c r="H20" i="478"/>
  <c r="H21" i="478"/>
  <c r="H22" i="478"/>
  <c r="H23" i="478"/>
  <c r="H24" i="478"/>
  <c r="H25" i="478"/>
  <c r="H26" i="478"/>
  <c r="H27" i="478"/>
  <c r="H28" i="478"/>
  <c r="H29" i="478"/>
  <c r="H30" i="478"/>
  <c r="H31" i="478"/>
  <c r="H32" i="478"/>
  <c r="H33" i="478"/>
  <c r="H34" i="478"/>
  <c r="H35" i="478"/>
  <c r="H36" i="478"/>
  <c r="H37" i="478"/>
  <c r="H38" i="478"/>
  <c r="H39" i="478"/>
  <c r="H40" i="478"/>
  <c r="H41" i="478"/>
  <c r="H42" i="478"/>
  <c r="H43" i="478"/>
  <c r="H44" i="478"/>
  <c r="H48" i="478"/>
  <c r="H49" i="478"/>
  <c r="H50" i="478"/>
  <c r="H51" i="478"/>
  <c r="H52" i="478"/>
  <c r="H53" i="478"/>
  <c r="H54" i="478"/>
  <c r="H55" i="478"/>
  <c r="H56" i="478"/>
  <c r="H57" i="478"/>
  <c r="H58" i="478"/>
  <c r="H59" i="478"/>
  <c r="H60" i="478"/>
  <c r="H61" i="478"/>
  <c r="H62" i="478"/>
  <c r="H63" i="478"/>
  <c r="H64" i="478"/>
  <c r="H65" i="478"/>
  <c r="H67" i="478"/>
  <c r="H69" i="478"/>
  <c r="H71" i="478"/>
  <c r="H73" i="478"/>
  <c r="H75" i="478"/>
  <c r="H45" i="478"/>
  <c r="H47" i="478"/>
  <c r="H77" i="478"/>
  <c r="H78" i="478"/>
  <c r="H79" i="478"/>
  <c r="H80" i="478"/>
  <c r="H81" i="478"/>
  <c r="H66" i="478"/>
  <c r="H68" i="478"/>
  <c r="H70" i="478"/>
  <c r="H72" i="478"/>
  <c r="H74" i="478"/>
  <c r="H76" i="478"/>
  <c r="H46" i="478"/>
  <c r="H82" i="478"/>
  <c r="H83" i="478"/>
  <c r="H84" i="478"/>
  <c r="H85" i="478"/>
  <c r="H86" i="478"/>
  <c r="H87" i="478"/>
  <c r="H88" i="478"/>
  <c r="H89" i="478"/>
  <c r="H90" i="478"/>
  <c r="H91" i="478"/>
  <c r="H92" i="478"/>
  <c r="H93" i="478"/>
  <c r="H94" i="478"/>
  <c r="H95" i="478"/>
  <c r="H96" i="478"/>
  <c r="H97" i="478"/>
  <c r="H98" i="478"/>
  <c r="H99" i="478"/>
  <c r="H100" i="478"/>
  <c r="H101" i="478"/>
  <c r="H102" i="478"/>
  <c r="H103" i="478"/>
  <c r="H104" i="478"/>
  <c r="H105" i="478"/>
  <c r="H106" i="478"/>
  <c r="H107" i="478"/>
  <c r="H108" i="478"/>
  <c r="H109" i="478"/>
  <c r="H110" i="478"/>
  <c r="H111" i="478"/>
  <c r="H112" i="478"/>
  <c r="H113" i="478"/>
  <c r="H114" i="478"/>
  <c r="H115" i="478"/>
  <c r="H116" i="478"/>
  <c r="H117" i="478"/>
  <c r="H118" i="478"/>
  <c r="H119" i="478"/>
  <c r="H120" i="478"/>
  <c r="H121" i="478"/>
  <c r="H122" i="478"/>
  <c r="H123" i="478"/>
  <c r="H124" i="478"/>
  <c r="H125" i="478"/>
  <c r="H126" i="478"/>
  <c r="H127" i="478"/>
  <c r="H128" i="478"/>
  <c r="H129" i="478"/>
  <c r="H130" i="478"/>
  <c r="H131" i="478"/>
  <c r="H132" i="478"/>
  <c r="H133" i="478"/>
  <c r="H134" i="478"/>
  <c r="H135" i="478"/>
  <c r="H136" i="478"/>
  <c r="H137" i="478"/>
  <c r="H138" i="478"/>
  <c r="H139" i="478"/>
  <c r="H140" i="478"/>
  <c r="H141" i="478"/>
  <c r="H143" i="478"/>
  <c r="H144" i="478"/>
  <c r="H145" i="478"/>
  <c r="H146" i="478"/>
  <c r="H147" i="478"/>
  <c r="H148" i="478"/>
  <c r="H149" i="478"/>
  <c r="H150" i="478"/>
  <c r="H151" i="478"/>
  <c r="H152" i="478"/>
  <c r="H153" i="478"/>
  <c r="H154" i="478"/>
  <c r="H142" i="478"/>
  <c r="H155" i="478"/>
  <c r="H156" i="478"/>
  <c r="H157" i="478"/>
  <c r="H158" i="478"/>
  <c r="H159" i="478"/>
  <c r="H160" i="478"/>
  <c r="H161" i="478"/>
  <c r="H162" i="478"/>
  <c r="H163" i="478"/>
  <c r="H164" i="478"/>
  <c r="H165" i="478"/>
  <c r="H166" i="478"/>
  <c r="H167" i="478"/>
  <c r="H168" i="478"/>
  <c r="H169" i="478"/>
  <c r="H170" i="478"/>
  <c r="H171" i="478"/>
  <c r="H172" i="478"/>
  <c r="H173" i="478"/>
  <c r="H174" i="478"/>
  <c r="H175" i="478"/>
  <c r="H176" i="478"/>
  <c r="H177" i="478"/>
  <c r="H178" i="478"/>
  <c r="H179" i="478"/>
  <c r="H180" i="478"/>
  <c r="H181" i="478"/>
  <c r="H182" i="478"/>
  <c r="H183" i="478"/>
  <c r="H184" i="478"/>
  <c r="H185" i="478"/>
  <c r="H186" i="478"/>
  <c r="H187" i="478"/>
  <c r="H188" i="478"/>
  <c r="H189" i="478"/>
  <c r="H190" i="478"/>
  <c r="H191" i="478"/>
  <c r="H192" i="478"/>
  <c r="H193" i="478"/>
  <c r="H194" i="478"/>
  <c r="H195" i="478"/>
  <c r="H196" i="478"/>
  <c r="H197" i="478"/>
  <c r="H198" i="478"/>
  <c r="H199" i="478"/>
  <c r="H200" i="478"/>
  <c r="H201" i="478"/>
  <c r="H202" i="478"/>
  <c r="H203" i="478"/>
  <c r="H204" i="478"/>
  <c r="H205" i="478"/>
  <c r="H206" i="478"/>
  <c r="H207" i="478"/>
  <c r="H208" i="478"/>
  <c r="H209" i="478"/>
  <c r="H210" i="478"/>
  <c r="H211" i="478"/>
  <c r="H212" i="478"/>
  <c r="H213" i="478"/>
  <c r="H214" i="478"/>
  <c r="H215" i="478"/>
  <c r="H216" i="478"/>
  <c r="H217" i="478"/>
  <c r="H218" i="478"/>
  <c r="H219" i="478"/>
  <c r="H220" i="478"/>
  <c r="H221" i="478"/>
  <c r="H222" i="478"/>
  <c r="H223" i="478"/>
  <c r="H224" i="478"/>
  <c r="H225" i="478"/>
  <c r="H226" i="478"/>
  <c r="H227" i="478"/>
  <c r="H228" i="478"/>
  <c r="H229" i="478"/>
  <c r="H230" i="478"/>
  <c r="H247" i="478"/>
  <c r="I246" i="478"/>
  <c r="H245" i="478"/>
  <c r="K244" i="478"/>
  <c r="H243" i="478"/>
  <c r="K242" i="478"/>
  <c r="H241" i="478"/>
  <c r="K240" i="478"/>
  <c r="H239" i="478"/>
  <c r="K238" i="478"/>
  <c r="H237" i="478"/>
  <c r="K236" i="478"/>
  <c r="H235" i="478"/>
  <c r="K234" i="478"/>
  <c r="H233" i="478"/>
  <c r="H231" i="478"/>
  <c r="I230" i="478"/>
  <c r="I229" i="478"/>
  <c r="I228" i="478"/>
  <c r="I227" i="478"/>
  <c r="I226" i="478"/>
  <c r="I225" i="478"/>
  <c r="I224" i="478"/>
  <c r="I223" i="478"/>
  <c r="I222" i="478"/>
  <c r="I221" i="478"/>
  <c r="G220" i="478"/>
  <c r="G218" i="478"/>
  <c r="G216" i="478"/>
  <c r="G214" i="478"/>
  <c r="G212" i="478"/>
  <c r="G210" i="478"/>
  <c r="J3" i="478"/>
  <c r="J4" i="478"/>
  <c r="J5" i="478"/>
  <c r="J6" i="478"/>
  <c r="J7" i="478"/>
  <c r="J8" i="478"/>
  <c r="J9" i="478"/>
  <c r="J10" i="478"/>
  <c r="J11" i="478"/>
  <c r="J12" i="478"/>
  <c r="J13" i="478"/>
  <c r="J14" i="478"/>
  <c r="J15" i="478"/>
  <c r="J16" i="478"/>
  <c r="J17" i="478"/>
  <c r="J18" i="478"/>
  <c r="J19" i="478"/>
  <c r="J20" i="478"/>
  <c r="J21" i="478"/>
  <c r="J22" i="478"/>
  <c r="J23" i="478"/>
  <c r="J24" i="478"/>
  <c r="J25" i="478"/>
  <c r="J26" i="478"/>
  <c r="J27" i="478"/>
  <c r="J28" i="478"/>
  <c r="J29" i="478"/>
  <c r="J30" i="478"/>
  <c r="J31" i="478"/>
  <c r="J32" i="478"/>
  <c r="J33" i="478"/>
  <c r="J34" i="478"/>
  <c r="J35" i="478"/>
  <c r="J36" i="478"/>
  <c r="J37" i="478"/>
  <c r="J38" i="478"/>
  <c r="J39" i="478"/>
  <c r="J40" i="478"/>
  <c r="J41" i="478"/>
  <c r="J42" i="478"/>
  <c r="J43" i="478"/>
  <c r="J44" i="478"/>
  <c r="J2" i="478"/>
  <c r="J45" i="478"/>
  <c r="J46" i="478"/>
  <c r="J47" i="478"/>
  <c r="J48" i="478"/>
  <c r="J49" i="478"/>
  <c r="J50" i="478"/>
  <c r="J51" i="478"/>
  <c r="J52" i="478"/>
  <c r="J53" i="478"/>
  <c r="J54" i="478"/>
  <c r="J55" i="478"/>
  <c r="J56" i="478"/>
  <c r="J57" i="478"/>
  <c r="J58" i="478"/>
  <c r="J59" i="478"/>
  <c r="J60" i="478"/>
  <c r="J61" i="478"/>
  <c r="J62" i="478"/>
  <c r="J63" i="478"/>
  <c r="J64" i="478"/>
  <c r="J65" i="478"/>
  <c r="J66" i="478"/>
  <c r="J67" i="478"/>
  <c r="J68" i="478"/>
  <c r="J69" i="478"/>
  <c r="J70" i="478"/>
  <c r="J71" i="478"/>
  <c r="J72" i="478"/>
  <c r="J73" i="478"/>
  <c r="J74" i="478"/>
  <c r="J75" i="478"/>
  <c r="J76" i="478"/>
  <c r="J77" i="478"/>
  <c r="J78" i="478"/>
  <c r="J79" i="478"/>
  <c r="J80" i="478"/>
  <c r="J81" i="478"/>
  <c r="J82" i="478"/>
  <c r="J83" i="478"/>
  <c r="J84" i="478"/>
  <c r="J85" i="478"/>
  <c r="J86" i="478"/>
  <c r="J87" i="478"/>
  <c r="J88" i="478"/>
  <c r="J89" i="478"/>
  <c r="J90" i="478"/>
  <c r="J91" i="478"/>
  <c r="J92" i="478"/>
  <c r="J93" i="478"/>
  <c r="J94" i="478"/>
  <c r="J95" i="478"/>
  <c r="J96" i="478"/>
  <c r="J97" i="478"/>
  <c r="J98" i="478"/>
  <c r="J99" i="478"/>
  <c r="J100" i="478"/>
  <c r="J101" i="478"/>
  <c r="J102" i="478"/>
  <c r="J103" i="478"/>
  <c r="J104" i="478"/>
  <c r="J105" i="478"/>
  <c r="J106" i="478"/>
  <c r="J107" i="478"/>
  <c r="J108" i="478"/>
  <c r="J109" i="478"/>
  <c r="J110" i="478"/>
  <c r="J111" i="478"/>
  <c r="J112" i="478"/>
  <c r="J113" i="478"/>
  <c r="J114" i="478"/>
  <c r="J115" i="478"/>
  <c r="J116" i="478"/>
  <c r="J117" i="478"/>
  <c r="J118" i="478"/>
  <c r="J119" i="478"/>
  <c r="J120" i="478"/>
  <c r="J121" i="478"/>
  <c r="J122" i="478"/>
  <c r="J123" i="478"/>
  <c r="J124" i="478"/>
  <c r="J125" i="478"/>
  <c r="J126" i="478"/>
  <c r="J127" i="478"/>
  <c r="J128" i="478"/>
  <c r="J129" i="478"/>
  <c r="J130" i="478"/>
  <c r="J131" i="478"/>
  <c r="J132" i="478"/>
  <c r="J133" i="478"/>
  <c r="J134" i="478"/>
  <c r="J135" i="478"/>
  <c r="J136" i="478"/>
  <c r="J137" i="478"/>
  <c r="J138" i="478"/>
  <c r="J139" i="478"/>
  <c r="J140" i="478"/>
  <c r="J141" i="478"/>
  <c r="J142" i="478"/>
  <c r="J143" i="478"/>
  <c r="J144" i="478"/>
  <c r="J145" i="478"/>
  <c r="J146" i="478"/>
  <c r="J147" i="478"/>
  <c r="J148" i="478"/>
  <c r="J149" i="478"/>
  <c r="J150" i="478"/>
  <c r="J151" i="478"/>
  <c r="J152" i="478"/>
  <c r="J153" i="478"/>
  <c r="J154" i="478"/>
  <c r="J155" i="478"/>
  <c r="J156" i="478"/>
  <c r="J157" i="478"/>
  <c r="J158" i="478"/>
  <c r="J159" i="478"/>
  <c r="J160" i="478"/>
  <c r="J161" i="478"/>
  <c r="J162" i="478"/>
  <c r="J163" i="478"/>
  <c r="J164" i="478"/>
  <c r="J165" i="478"/>
  <c r="J166" i="478"/>
  <c r="J167" i="478"/>
  <c r="J168" i="478"/>
  <c r="J169" i="478"/>
  <c r="J170" i="478"/>
  <c r="J171" i="478"/>
  <c r="J172" i="478"/>
  <c r="J173" i="478"/>
  <c r="J174" i="478"/>
  <c r="J175" i="478"/>
  <c r="J176" i="478"/>
  <c r="J177" i="478"/>
  <c r="J178" i="478"/>
  <c r="J179" i="478"/>
  <c r="J180" i="478"/>
  <c r="J181" i="478"/>
  <c r="J182" i="478"/>
  <c r="J183" i="478"/>
  <c r="J184" i="478"/>
  <c r="J185" i="478"/>
  <c r="J186" i="478"/>
  <c r="J187" i="478"/>
  <c r="J188" i="478"/>
  <c r="J189" i="478"/>
  <c r="J190" i="478"/>
  <c r="J191" i="478"/>
  <c r="J192" i="478"/>
  <c r="J193" i="478"/>
  <c r="J194" i="478"/>
  <c r="J195" i="478"/>
  <c r="J196" i="478"/>
  <c r="J197" i="478"/>
  <c r="J198" i="478"/>
  <c r="J199" i="478"/>
  <c r="J200" i="478"/>
  <c r="J201" i="478"/>
  <c r="J202" i="478"/>
  <c r="J203" i="478"/>
  <c r="J204" i="478"/>
  <c r="J205" i="478"/>
  <c r="J206" i="478"/>
  <c r="J207" i="478"/>
  <c r="J208" i="478"/>
  <c r="J209" i="478"/>
  <c r="J210" i="478"/>
  <c r="J211" i="478"/>
  <c r="J212" i="478"/>
  <c r="J213" i="478"/>
  <c r="J214" i="478"/>
  <c r="J215" i="478"/>
  <c r="J216" i="478"/>
  <c r="J217" i="478"/>
  <c r="J218" i="478"/>
  <c r="J219" i="478"/>
  <c r="J220" i="478"/>
  <c r="J221" i="478"/>
  <c r="J222" i="478"/>
  <c r="J223" i="478"/>
  <c r="J224" i="478"/>
  <c r="J225" i="478"/>
  <c r="J226" i="478"/>
  <c r="J227" i="478"/>
  <c r="J228" i="478"/>
  <c r="J229" i="478"/>
  <c r="J230" i="478"/>
  <c r="J231" i="478"/>
  <c r="J232" i="478"/>
  <c r="J233" i="478"/>
  <c r="J234" i="478"/>
  <c r="J235" i="478"/>
  <c r="J236" i="478"/>
  <c r="J237" i="478"/>
  <c r="J238" i="478"/>
  <c r="J239" i="478"/>
  <c r="J240" i="478"/>
  <c r="J241" i="478"/>
  <c r="J242" i="478"/>
  <c r="J243" i="478"/>
  <c r="J244" i="478"/>
  <c r="J245" i="478"/>
  <c r="K246" i="478"/>
  <c r="K243" i="478"/>
  <c r="G2" i="478"/>
  <c r="G3" i="478"/>
  <c r="G4" i="478"/>
  <c r="G5" i="478"/>
  <c r="G6" i="478"/>
  <c r="G7" i="478"/>
  <c r="G8" i="478"/>
  <c r="G9" i="478"/>
  <c r="G10" i="478"/>
  <c r="G11" i="478"/>
  <c r="G12" i="478"/>
  <c r="G13" i="478"/>
  <c r="G14" i="478"/>
  <c r="G15" i="478"/>
  <c r="G16" i="478"/>
  <c r="G17" i="478"/>
  <c r="G18" i="478"/>
  <c r="G19" i="478"/>
  <c r="G20" i="478"/>
  <c r="G22" i="478"/>
  <c r="G24" i="478"/>
  <c r="G26" i="478"/>
  <c r="G28" i="478"/>
  <c r="G29" i="478"/>
  <c r="G30" i="478"/>
  <c r="G31" i="478"/>
  <c r="G32" i="478"/>
  <c r="G33" i="478"/>
  <c r="G34" i="478"/>
  <c r="G35" i="478"/>
  <c r="G36" i="478"/>
  <c r="G37" i="478"/>
  <c r="G38" i="478"/>
  <c r="G39" i="478"/>
  <c r="G40" i="478"/>
  <c r="G41" i="478"/>
  <c r="G42" i="478"/>
  <c r="G43" i="478"/>
  <c r="G44" i="478"/>
  <c r="G21" i="478"/>
  <c r="G23" i="478"/>
  <c r="G25" i="478"/>
  <c r="G27" i="478"/>
  <c r="G45" i="478"/>
  <c r="G46" i="478"/>
  <c r="G47" i="478"/>
  <c r="G48" i="478"/>
  <c r="G49" i="478"/>
  <c r="G50" i="478"/>
  <c r="G51" i="478"/>
  <c r="G52" i="478"/>
  <c r="G53" i="478"/>
  <c r="G54" i="478"/>
  <c r="G55" i="478"/>
  <c r="G56" i="478"/>
  <c r="G57" i="478"/>
  <c r="G58" i="478"/>
  <c r="G59" i="478"/>
  <c r="G60" i="478"/>
  <c r="G61" i="478"/>
  <c r="G62" i="478"/>
  <c r="G63" i="478"/>
  <c r="G64" i="478"/>
  <c r="G65" i="478"/>
  <c r="G77" i="478"/>
  <c r="G78" i="478"/>
  <c r="G79" i="478"/>
  <c r="G80" i="478"/>
  <c r="G81" i="478"/>
  <c r="G66" i="478"/>
  <c r="G68" i="478"/>
  <c r="G70" i="478"/>
  <c r="G72" i="478"/>
  <c r="G74" i="478"/>
  <c r="G76" i="478"/>
  <c r="G67" i="478"/>
  <c r="G69" i="478"/>
  <c r="G71" i="478"/>
  <c r="G73" i="478"/>
  <c r="G75" i="478"/>
  <c r="G82" i="478"/>
  <c r="G83" i="478"/>
  <c r="G84" i="478"/>
  <c r="G85" i="478"/>
  <c r="G86" i="478"/>
  <c r="G87" i="478"/>
  <c r="G88" i="478"/>
  <c r="G89" i="478"/>
  <c r="G90" i="478"/>
  <c r="G91" i="478"/>
  <c r="G92" i="478"/>
  <c r="G93" i="478"/>
  <c r="G94" i="478"/>
  <c r="G95" i="478"/>
  <c r="G96" i="478"/>
  <c r="G97" i="478"/>
  <c r="G98" i="478"/>
  <c r="G99" i="478"/>
  <c r="G100" i="478"/>
  <c r="G101" i="478"/>
  <c r="G102" i="478"/>
  <c r="G103" i="478"/>
  <c r="G104" i="478"/>
  <c r="G142" i="478"/>
  <c r="G105" i="478"/>
  <c r="G109" i="478"/>
  <c r="G113" i="478"/>
  <c r="G117" i="478"/>
  <c r="G121" i="478"/>
  <c r="G125" i="478"/>
  <c r="G129" i="478"/>
  <c r="G133" i="478"/>
  <c r="G137" i="478"/>
  <c r="G141" i="478"/>
  <c r="G153" i="478"/>
  <c r="G154" i="478"/>
  <c r="G106" i="478"/>
  <c r="G110" i="478"/>
  <c r="G114" i="478"/>
  <c r="G118" i="478"/>
  <c r="G122" i="478"/>
  <c r="G126" i="478"/>
  <c r="G130" i="478"/>
  <c r="G134" i="478"/>
  <c r="G138" i="478"/>
  <c r="G144" i="478"/>
  <c r="G146" i="478"/>
  <c r="G148" i="478"/>
  <c r="G150" i="478"/>
  <c r="G152" i="478"/>
  <c r="G107" i="478"/>
  <c r="G111" i="478"/>
  <c r="G115" i="478"/>
  <c r="G119" i="478"/>
  <c r="G123" i="478"/>
  <c r="G127" i="478"/>
  <c r="G131" i="478"/>
  <c r="G135" i="478"/>
  <c r="G139" i="478"/>
  <c r="G108" i="478"/>
  <c r="G112" i="478"/>
  <c r="G116" i="478"/>
  <c r="G120" i="478"/>
  <c r="G124" i="478"/>
  <c r="G128" i="478"/>
  <c r="G132" i="478"/>
  <c r="G136" i="478"/>
  <c r="G140" i="478"/>
  <c r="G143" i="478"/>
  <c r="G145" i="478"/>
  <c r="G147" i="478"/>
  <c r="G149" i="478"/>
  <c r="G151" i="478"/>
  <c r="G155" i="478"/>
  <c r="G156" i="478"/>
  <c r="G157" i="478"/>
  <c r="G158" i="478"/>
  <c r="G159" i="478"/>
  <c r="G160" i="478"/>
  <c r="G161" i="478"/>
  <c r="G162" i="478"/>
  <c r="G163" i="478"/>
  <c r="G164" i="478"/>
  <c r="G165" i="478"/>
  <c r="G166" i="478"/>
  <c r="G167" i="478"/>
  <c r="G168" i="478"/>
  <c r="G169" i="478"/>
  <c r="G170" i="478"/>
  <c r="G171" i="478"/>
  <c r="G172" i="478"/>
  <c r="G173" i="478"/>
  <c r="G174" i="478"/>
  <c r="G175" i="478"/>
  <c r="G176" i="478"/>
  <c r="G177" i="478"/>
  <c r="G178" i="478"/>
  <c r="G179" i="478"/>
  <c r="G180" i="478"/>
  <c r="G181" i="478"/>
  <c r="G182" i="478"/>
  <c r="G183" i="478"/>
  <c r="G184" i="478"/>
  <c r="G185" i="478"/>
  <c r="G186" i="478"/>
  <c r="G187" i="478"/>
  <c r="G188" i="478"/>
  <c r="G189" i="478"/>
  <c r="G190" i="478"/>
  <c r="G191" i="478"/>
  <c r="G192" i="478"/>
  <c r="G193" i="478"/>
  <c r="G194" i="478"/>
  <c r="G195" i="478"/>
  <c r="G196" i="478"/>
  <c r="G197" i="478"/>
  <c r="G198" i="478"/>
  <c r="G199" i="478"/>
  <c r="G200" i="478"/>
  <c r="G201" i="478"/>
  <c r="G202" i="478"/>
  <c r="G203" i="478"/>
  <c r="G204" i="478"/>
  <c r="G205" i="478"/>
  <c r="G206" i="478"/>
  <c r="K247" i="478"/>
  <c r="G244" i="478"/>
  <c r="G242" i="478"/>
  <c r="I239" i="478"/>
  <c r="I237" i="478"/>
  <c r="G234" i="478"/>
  <c r="I231" i="478"/>
  <c r="K228" i="478"/>
  <c r="K225" i="478"/>
  <c r="K222" i="478"/>
  <c r="K220" i="478"/>
  <c r="K216" i="478"/>
  <c r="K212" i="478"/>
  <c r="K208" i="478"/>
  <c r="K2" i="478"/>
  <c r="K3" i="478"/>
  <c r="K4" i="478"/>
  <c r="K5" i="478"/>
  <c r="K6" i="478"/>
  <c r="K7" i="478"/>
  <c r="K8" i="478"/>
  <c r="K9" i="478"/>
  <c r="K10" i="478"/>
  <c r="K11" i="478"/>
  <c r="K12" i="478"/>
  <c r="K13" i="478"/>
  <c r="K14" i="478"/>
  <c r="K15" i="478"/>
  <c r="K16" i="478"/>
  <c r="K17" i="478"/>
  <c r="K18" i="478"/>
  <c r="K19" i="478"/>
  <c r="K21" i="478"/>
  <c r="K23" i="478"/>
  <c r="K25" i="478"/>
  <c r="K27" i="478"/>
  <c r="K28" i="478"/>
  <c r="K29" i="478"/>
  <c r="K30" i="478"/>
  <c r="K31" i="478"/>
  <c r="K32" i="478"/>
  <c r="K33" i="478"/>
  <c r="K34" i="478"/>
  <c r="K35" i="478"/>
  <c r="K20" i="478"/>
  <c r="K22" i="478"/>
  <c r="K24" i="478"/>
  <c r="K26" i="478"/>
  <c r="K45" i="478"/>
  <c r="K46" i="478"/>
  <c r="K47" i="478"/>
  <c r="K48" i="478"/>
  <c r="K49" i="478"/>
  <c r="K50" i="478"/>
  <c r="K51" i="478"/>
  <c r="K52" i="478"/>
  <c r="K53" i="478"/>
  <c r="K54" i="478"/>
  <c r="K55" i="478"/>
  <c r="K56" i="478"/>
  <c r="K57" i="478"/>
  <c r="K58" i="478"/>
  <c r="K59" i="478"/>
  <c r="K60" i="478"/>
  <c r="K61" i="478"/>
  <c r="K62" i="478"/>
  <c r="K63" i="478"/>
  <c r="K64" i="478"/>
  <c r="K36" i="478"/>
  <c r="K40" i="478"/>
  <c r="K44" i="478"/>
  <c r="K66" i="478"/>
  <c r="K68" i="478"/>
  <c r="K70" i="478"/>
  <c r="K72" i="478"/>
  <c r="K74" i="478"/>
  <c r="K76" i="478"/>
  <c r="K77" i="478"/>
  <c r="K78" i="478"/>
  <c r="K79" i="478"/>
  <c r="K80" i="478"/>
  <c r="K81" i="478"/>
  <c r="K37" i="478"/>
  <c r="K41" i="478"/>
  <c r="K38" i="478"/>
  <c r="K42" i="478"/>
  <c r="K65" i="478"/>
  <c r="K67" i="478"/>
  <c r="K69" i="478"/>
  <c r="K71" i="478"/>
  <c r="K73" i="478"/>
  <c r="K75" i="478"/>
  <c r="K39" i="478"/>
  <c r="K43" i="478"/>
  <c r="K82" i="478"/>
  <c r="K83" i="478"/>
  <c r="K84" i="478"/>
  <c r="K85" i="478"/>
  <c r="K86" i="478"/>
  <c r="K87" i="478"/>
  <c r="K88" i="478"/>
  <c r="K89" i="478"/>
  <c r="K90" i="478"/>
  <c r="K91" i="478"/>
  <c r="K92" i="478"/>
  <c r="K93" i="478"/>
  <c r="K94" i="478"/>
  <c r="K95" i="478"/>
  <c r="K96" i="478"/>
  <c r="K97" i="478"/>
  <c r="K98" i="478"/>
  <c r="K99" i="478"/>
  <c r="K100" i="478"/>
  <c r="K101" i="478"/>
  <c r="K102" i="478"/>
  <c r="K103" i="478"/>
  <c r="K104" i="478"/>
  <c r="K105" i="478"/>
  <c r="K106" i="478"/>
  <c r="K107" i="478"/>
  <c r="K108" i="478"/>
  <c r="K109" i="478"/>
  <c r="K110" i="478"/>
  <c r="K111" i="478"/>
  <c r="K112" i="478"/>
  <c r="K113" i="478"/>
  <c r="K114" i="478"/>
  <c r="K115" i="478"/>
  <c r="K116" i="478"/>
  <c r="K117" i="478"/>
  <c r="K118" i="478"/>
  <c r="K119" i="478"/>
  <c r="K120" i="478"/>
  <c r="K121" i="478"/>
  <c r="K122" i="478"/>
  <c r="K123" i="478"/>
  <c r="K124" i="478"/>
  <c r="K125" i="478"/>
  <c r="K126" i="478"/>
  <c r="K127" i="478"/>
  <c r="K128" i="478"/>
  <c r="K129" i="478"/>
  <c r="K130" i="478"/>
  <c r="K131" i="478"/>
  <c r="K132" i="478"/>
  <c r="K133" i="478"/>
  <c r="K134" i="478"/>
  <c r="K135" i="478"/>
  <c r="K136" i="478"/>
  <c r="K137" i="478"/>
  <c r="K138" i="478"/>
  <c r="K139" i="478"/>
  <c r="K140" i="478"/>
  <c r="K141" i="478"/>
  <c r="K143" i="478"/>
  <c r="K145" i="478"/>
  <c r="K147" i="478"/>
  <c r="K149" i="478"/>
  <c r="K151" i="478"/>
  <c r="K142" i="478"/>
  <c r="K144" i="478"/>
  <c r="K146" i="478"/>
  <c r="K148" i="478"/>
  <c r="K150" i="478"/>
  <c r="K152" i="478"/>
  <c r="K153" i="478"/>
  <c r="K154" i="478"/>
  <c r="K155" i="478"/>
  <c r="K156" i="478"/>
  <c r="K157" i="478"/>
  <c r="K158" i="478"/>
  <c r="K159" i="478"/>
  <c r="K160" i="478"/>
  <c r="K161" i="478"/>
  <c r="K162" i="478"/>
  <c r="K163" i="478"/>
  <c r="K164" i="478"/>
  <c r="K165" i="478"/>
  <c r="K166" i="478"/>
  <c r="K167" i="478"/>
  <c r="K168" i="478"/>
  <c r="K169" i="478"/>
  <c r="K170" i="478"/>
  <c r="K171" i="478"/>
  <c r="K172" i="478"/>
  <c r="K173" i="478"/>
  <c r="K174" i="478"/>
  <c r="K175" i="478"/>
  <c r="K176" i="478"/>
  <c r="K177" i="478"/>
  <c r="K178" i="478"/>
  <c r="K179" i="478"/>
  <c r="K180" i="478"/>
  <c r="K181" i="478"/>
  <c r="K182" i="478"/>
  <c r="K183" i="478"/>
  <c r="K184" i="478"/>
  <c r="K185" i="478"/>
  <c r="K186" i="478"/>
  <c r="K187" i="478"/>
  <c r="K188" i="478"/>
  <c r="K189" i="478"/>
  <c r="K190" i="478"/>
  <c r="K191" i="478"/>
  <c r="K192" i="478"/>
  <c r="K193" i="478"/>
  <c r="K194" i="478"/>
  <c r="K195" i="478"/>
  <c r="K196" i="478"/>
  <c r="K197" i="478"/>
  <c r="K198" i="478"/>
  <c r="K199" i="478"/>
  <c r="K200" i="478"/>
  <c r="K201" i="478"/>
  <c r="K202" i="478"/>
  <c r="K203" i="478"/>
  <c r="K204" i="478"/>
  <c r="K205" i="478"/>
  <c r="I247" i="478"/>
  <c r="H246" i="478"/>
  <c r="G245" i="478"/>
  <c r="I244" i="478"/>
  <c r="G243" i="478"/>
  <c r="I242" i="478"/>
  <c r="G241" i="478"/>
  <c r="I240" i="478"/>
  <c r="G239" i="478"/>
  <c r="I238" i="478"/>
  <c r="G237" i="478"/>
  <c r="I236" i="478"/>
  <c r="G235" i="478"/>
  <c r="I234" i="478"/>
  <c r="G233" i="478"/>
  <c r="I232" i="478"/>
  <c r="G231" i="478"/>
  <c r="G230" i="478"/>
  <c r="G229" i="478"/>
  <c r="G228" i="478"/>
  <c r="G227" i="478"/>
  <c r="G226" i="478"/>
  <c r="G225" i="478"/>
  <c r="G224" i="478"/>
  <c r="G223" i="478"/>
  <c r="G222" i="478"/>
  <c r="G221" i="478"/>
  <c r="K219" i="478"/>
  <c r="K217" i="478"/>
  <c r="K215" i="478"/>
  <c r="K213" i="478"/>
  <c r="K211" i="478"/>
  <c r="K209" i="478"/>
  <c r="K207" i="478"/>
  <c r="K241" i="478"/>
  <c r="K237" i="478"/>
  <c r="K235" i="478"/>
  <c r="K233" i="478"/>
  <c r="K231" i="478"/>
  <c r="G219" i="478"/>
  <c r="G217" i="478"/>
  <c r="G215" i="478"/>
  <c r="G213" i="478"/>
  <c r="G211" i="478"/>
  <c r="G209" i="478"/>
  <c r="G207" i="478"/>
  <c r="K245" i="478"/>
  <c r="J246" i="478"/>
  <c r="I243" i="478"/>
  <c r="G240" i="478"/>
  <c r="G236" i="478"/>
  <c r="I233" i="478"/>
  <c r="K230" i="478"/>
  <c r="K227" i="478"/>
  <c r="K223" i="478"/>
  <c r="J247" i="477"/>
  <c r="G245" i="477"/>
  <c r="G243" i="477"/>
  <c r="G241" i="477"/>
  <c r="K239" i="477"/>
  <c r="K238" i="477"/>
  <c r="K237" i="477"/>
  <c r="K236" i="477"/>
  <c r="K235" i="477"/>
  <c r="K234" i="477"/>
  <c r="J232" i="477"/>
  <c r="J230" i="477"/>
  <c r="J228" i="477"/>
  <c r="J226" i="477"/>
  <c r="J224" i="477"/>
  <c r="J223" i="477"/>
  <c r="J222" i="477"/>
  <c r="J220" i="477"/>
  <c r="J216" i="477"/>
  <c r="J214" i="477"/>
  <c r="J212" i="477"/>
  <c r="J210" i="477"/>
  <c r="J208" i="477"/>
  <c r="J206" i="477"/>
  <c r="G2" i="477"/>
  <c r="G3" i="477"/>
  <c r="G4" i="477"/>
  <c r="G5" i="477"/>
  <c r="G6" i="477"/>
  <c r="G7" i="477"/>
  <c r="G8" i="477"/>
  <c r="G9" i="477"/>
  <c r="G10" i="477"/>
  <c r="G12" i="477"/>
  <c r="G45" i="477"/>
  <c r="G46" i="477"/>
  <c r="G47" i="477"/>
  <c r="G48" i="477"/>
  <c r="G11" i="477"/>
  <c r="G13" i="477"/>
  <c r="G15" i="477"/>
  <c r="G17" i="477"/>
  <c r="G19" i="477"/>
  <c r="G21" i="477"/>
  <c r="G23" i="477"/>
  <c r="G25" i="477"/>
  <c r="G27" i="477"/>
  <c r="G29" i="477"/>
  <c r="G31" i="477"/>
  <c r="G33" i="477"/>
  <c r="G35" i="477"/>
  <c r="G37" i="477"/>
  <c r="G39" i="477"/>
  <c r="G41" i="477"/>
  <c r="G43" i="477"/>
  <c r="G50" i="477"/>
  <c r="G52" i="477"/>
  <c r="G54" i="477"/>
  <c r="G56" i="477"/>
  <c r="G58" i="477"/>
  <c r="G60" i="477"/>
  <c r="G62" i="477"/>
  <c r="G64" i="477"/>
  <c r="G66" i="477"/>
  <c r="G68" i="477"/>
  <c r="G70" i="477"/>
  <c r="G14" i="477"/>
  <c r="G16" i="477"/>
  <c r="G18" i="477"/>
  <c r="G20" i="477"/>
  <c r="G22" i="477"/>
  <c r="G24" i="477"/>
  <c r="G26" i="477"/>
  <c r="G28" i="477"/>
  <c r="G30" i="477"/>
  <c r="G32" i="477"/>
  <c r="G34" i="477"/>
  <c r="G36" i="477"/>
  <c r="G38" i="477"/>
  <c r="G40" i="477"/>
  <c r="G42" i="477"/>
  <c r="G44" i="477"/>
  <c r="G49" i="477"/>
  <c r="G51" i="477"/>
  <c r="G53" i="477"/>
  <c r="G55" i="477"/>
  <c r="G57" i="477"/>
  <c r="G59" i="477"/>
  <c r="G61" i="477"/>
  <c r="G63" i="477"/>
  <c r="G65" i="477"/>
  <c r="G67" i="477"/>
  <c r="G69" i="477"/>
  <c r="G71" i="477"/>
  <c r="G72" i="477"/>
  <c r="G73" i="477"/>
  <c r="G74" i="477"/>
  <c r="G75" i="477"/>
  <c r="G76" i="477"/>
  <c r="G77" i="477"/>
  <c r="G78" i="477"/>
  <c r="G79" i="477"/>
  <c r="G80" i="477"/>
  <c r="G81" i="477"/>
  <c r="G82" i="477"/>
  <c r="G83" i="477"/>
  <c r="G84" i="477"/>
  <c r="G85" i="477"/>
  <c r="G86" i="477"/>
  <c r="G87" i="477"/>
  <c r="G88" i="477"/>
  <c r="G89" i="477"/>
  <c r="G90" i="477"/>
  <c r="G91" i="477"/>
  <c r="G92" i="477"/>
  <c r="G93" i="477"/>
  <c r="G94" i="477"/>
  <c r="G95" i="477"/>
  <c r="G96" i="477"/>
  <c r="G97" i="477"/>
  <c r="G98" i="477"/>
  <c r="G99" i="477"/>
  <c r="G100" i="477"/>
  <c r="G101" i="477"/>
  <c r="G102" i="477"/>
  <c r="G103" i="477"/>
  <c r="G104" i="477"/>
  <c r="G105" i="477"/>
  <c r="G106" i="477"/>
  <c r="G107" i="477"/>
  <c r="G108" i="477"/>
  <c r="G109" i="477"/>
  <c r="G110" i="477"/>
  <c r="G129" i="477"/>
  <c r="G130" i="477"/>
  <c r="G131" i="477"/>
  <c r="G132" i="477"/>
  <c r="G133" i="477"/>
  <c r="G134" i="477"/>
  <c r="G135" i="477"/>
  <c r="G136" i="477"/>
  <c r="G137" i="477"/>
  <c r="G138" i="477"/>
  <c r="G139" i="477"/>
  <c r="G140" i="477"/>
  <c r="G141" i="477"/>
  <c r="G142" i="477"/>
  <c r="G112" i="477"/>
  <c r="G114" i="477"/>
  <c r="G116" i="477"/>
  <c r="G118" i="477"/>
  <c r="G120" i="477"/>
  <c r="G122" i="477"/>
  <c r="G124" i="477"/>
  <c r="G126" i="477"/>
  <c r="G128" i="477"/>
  <c r="G111" i="477"/>
  <c r="G113" i="477"/>
  <c r="G115" i="477"/>
  <c r="G117" i="477"/>
  <c r="G119" i="477"/>
  <c r="G121" i="477"/>
  <c r="G123" i="477"/>
  <c r="G125" i="477"/>
  <c r="G127" i="477"/>
  <c r="G183" i="477"/>
  <c r="G185" i="477"/>
  <c r="G187" i="477"/>
  <c r="G189" i="477"/>
  <c r="G191" i="477"/>
  <c r="G193" i="477"/>
  <c r="G195" i="477"/>
  <c r="G197" i="477"/>
  <c r="G143" i="477"/>
  <c r="G144" i="477"/>
  <c r="G145" i="477"/>
  <c r="G146" i="477"/>
  <c r="G147" i="477"/>
  <c r="G148" i="477"/>
  <c r="G149" i="477"/>
  <c r="G150" i="477"/>
  <c r="G151" i="477"/>
  <c r="G152" i="477"/>
  <c r="G153" i="477"/>
  <c r="G154" i="477"/>
  <c r="G155" i="477"/>
  <c r="G156" i="477"/>
  <c r="G157" i="477"/>
  <c r="G158" i="477"/>
  <c r="G159" i="477"/>
  <c r="G160" i="477"/>
  <c r="G161" i="477"/>
  <c r="G162" i="477"/>
  <c r="G163" i="477"/>
  <c r="G164" i="477"/>
  <c r="G165" i="477"/>
  <c r="G166" i="477"/>
  <c r="G167" i="477"/>
  <c r="G168" i="477"/>
  <c r="G169" i="477"/>
  <c r="G170" i="477"/>
  <c r="G171" i="477"/>
  <c r="G172" i="477"/>
  <c r="G173" i="477"/>
  <c r="G174" i="477"/>
  <c r="G175" i="477"/>
  <c r="G176" i="477"/>
  <c r="G177" i="477"/>
  <c r="G178" i="477"/>
  <c r="G179" i="477"/>
  <c r="G180" i="477"/>
  <c r="G181" i="477"/>
  <c r="G182" i="477"/>
  <c r="G184" i="477"/>
  <c r="G186" i="477"/>
  <c r="G188" i="477"/>
  <c r="G190" i="477"/>
  <c r="G192" i="477"/>
  <c r="G194" i="477"/>
  <c r="G196" i="477"/>
  <c r="G198" i="477"/>
  <c r="G199" i="477"/>
  <c r="G200" i="477"/>
  <c r="G201" i="477"/>
  <c r="G202" i="477"/>
  <c r="G203" i="477"/>
  <c r="G204" i="477"/>
  <c r="G205" i="477"/>
  <c r="G206" i="477"/>
  <c r="G207" i="477"/>
  <c r="G208" i="477"/>
  <c r="G209" i="477"/>
  <c r="G210" i="477"/>
  <c r="G211" i="477"/>
  <c r="G212" i="477"/>
  <c r="G213" i="477"/>
  <c r="G214" i="477"/>
  <c r="G215" i="477"/>
  <c r="G216" i="477"/>
  <c r="G217" i="477"/>
  <c r="G218" i="477"/>
  <c r="G219" i="477"/>
  <c r="G220" i="477"/>
  <c r="G221" i="477"/>
  <c r="G222" i="477"/>
  <c r="I3" i="477"/>
  <c r="I4" i="477"/>
  <c r="I5" i="477"/>
  <c r="I6" i="477"/>
  <c r="I7" i="477"/>
  <c r="I8" i="477"/>
  <c r="I9" i="477"/>
  <c r="I10" i="477"/>
  <c r="I11" i="477"/>
  <c r="I12" i="477"/>
  <c r="I2" i="477"/>
  <c r="I13" i="477"/>
  <c r="I14" i="477"/>
  <c r="I15" i="477"/>
  <c r="I16" i="477"/>
  <c r="I17" i="477"/>
  <c r="I18" i="477"/>
  <c r="I19" i="477"/>
  <c r="I20" i="477"/>
  <c r="I21" i="477"/>
  <c r="I22" i="477"/>
  <c r="I23" i="477"/>
  <c r="I24" i="477"/>
  <c r="I25" i="477"/>
  <c r="I26" i="477"/>
  <c r="I27" i="477"/>
  <c r="I28" i="477"/>
  <c r="I29" i="477"/>
  <c r="I30" i="477"/>
  <c r="I31" i="477"/>
  <c r="I32" i="477"/>
  <c r="I33" i="477"/>
  <c r="I34" i="477"/>
  <c r="I35" i="477"/>
  <c r="I36" i="477"/>
  <c r="I37" i="477"/>
  <c r="I38" i="477"/>
  <c r="I39" i="477"/>
  <c r="I40" i="477"/>
  <c r="I41" i="477"/>
  <c r="I42" i="477"/>
  <c r="I43" i="477"/>
  <c r="I44" i="477"/>
  <c r="I45" i="477"/>
  <c r="I46" i="477"/>
  <c r="I47" i="477"/>
  <c r="I48" i="477"/>
  <c r="I49" i="477"/>
  <c r="I50" i="477"/>
  <c r="I51" i="477"/>
  <c r="I52" i="477"/>
  <c r="I53" i="477"/>
  <c r="I54" i="477"/>
  <c r="I55" i="477"/>
  <c r="I56" i="477"/>
  <c r="I57" i="477"/>
  <c r="I58" i="477"/>
  <c r="I59" i="477"/>
  <c r="I60" i="477"/>
  <c r="I61" i="477"/>
  <c r="I62" i="477"/>
  <c r="I63" i="477"/>
  <c r="I64" i="477"/>
  <c r="I65" i="477"/>
  <c r="I66" i="477"/>
  <c r="I67" i="477"/>
  <c r="I68" i="477"/>
  <c r="I69" i="477"/>
  <c r="I70" i="477"/>
  <c r="I71" i="477"/>
  <c r="I72" i="477"/>
  <c r="I73" i="477"/>
  <c r="I74" i="477"/>
  <c r="I75" i="477"/>
  <c r="I76" i="477"/>
  <c r="I77" i="477"/>
  <c r="I78" i="477"/>
  <c r="I79" i="477"/>
  <c r="I80" i="477"/>
  <c r="I81" i="477"/>
  <c r="I82" i="477"/>
  <c r="I83" i="477"/>
  <c r="I84" i="477"/>
  <c r="I85" i="477"/>
  <c r="I86" i="477"/>
  <c r="I87" i="477"/>
  <c r="I88" i="477"/>
  <c r="I89" i="477"/>
  <c r="I90" i="477"/>
  <c r="I91" i="477"/>
  <c r="I92" i="477"/>
  <c r="I93" i="477"/>
  <c r="I94" i="477"/>
  <c r="I95" i="477"/>
  <c r="I96" i="477"/>
  <c r="I97" i="477"/>
  <c r="I98" i="477"/>
  <c r="I99" i="477"/>
  <c r="I100" i="477"/>
  <c r="I101" i="477"/>
  <c r="I102" i="477"/>
  <c r="I103" i="477"/>
  <c r="I104" i="477"/>
  <c r="I105" i="477"/>
  <c r="I106" i="477"/>
  <c r="I107" i="477"/>
  <c r="I108" i="477"/>
  <c r="I109" i="477"/>
  <c r="I110" i="477"/>
  <c r="I111" i="477"/>
  <c r="I112" i="477"/>
  <c r="I113" i="477"/>
  <c r="I114" i="477"/>
  <c r="I115" i="477"/>
  <c r="I116" i="477"/>
  <c r="I117" i="477"/>
  <c r="I118" i="477"/>
  <c r="I119" i="477"/>
  <c r="I120" i="477"/>
  <c r="I121" i="477"/>
  <c r="I122" i="477"/>
  <c r="I123" i="477"/>
  <c r="I124" i="477"/>
  <c r="I125" i="477"/>
  <c r="I126" i="477"/>
  <c r="I127" i="477"/>
  <c r="I128" i="477"/>
  <c r="I129" i="477"/>
  <c r="I130" i="477"/>
  <c r="I131" i="477"/>
  <c r="I132" i="477"/>
  <c r="I133" i="477"/>
  <c r="I135" i="477"/>
  <c r="I137" i="477"/>
  <c r="I139" i="477"/>
  <c r="I141" i="477"/>
  <c r="I183" i="477"/>
  <c r="I185" i="477"/>
  <c r="I187" i="477"/>
  <c r="I189" i="477"/>
  <c r="I191" i="477"/>
  <c r="I193" i="477"/>
  <c r="I195" i="477"/>
  <c r="I197" i="477"/>
  <c r="I198" i="477"/>
  <c r="I199" i="477"/>
  <c r="I200" i="477"/>
  <c r="I201" i="477"/>
  <c r="I202" i="477"/>
  <c r="I203" i="477"/>
  <c r="I204" i="477"/>
  <c r="I205" i="477"/>
  <c r="I206" i="477"/>
  <c r="I207" i="477"/>
  <c r="I208" i="477"/>
  <c r="I209" i="477"/>
  <c r="I210" i="477"/>
  <c r="I211" i="477"/>
  <c r="I212" i="477"/>
  <c r="I213" i="477"/>
  <c r="I214" i="477"/>
  <c r="I215" i="477"/>
  <c r="I216" i="477"/>
  <c r="I217" i="477"/>
  <c r="I218" i="477"/>
  <c r="I219" i="477"/>
  <c r="I220" i="477"/>
  <c r="I221" i="477"/>
  <c r="I222" i="477"/>
  <c r="I223" i="477"/>
  <c r="I224" i="477"/>
  <c r="I225" i="477"/>
  <c r="I226" i="477"/>
  <c r="I227" i="477"/>
  <c r="I228" i="477"/>
  <c r="I229" i="477"/>
  <c r="I230" i="477"/>
  <c r="I231" i="477"/>
  <c r="I232" i="477"/>
  <c r="I233" i="477"/>
  <c r="I234" i="477"/>
  <c r="I143" i="477"/>
  <c r="I144" i="477"/>
  <c r="I145" i="477"/>
  <c r="I146" i="477"/>
  <c r="I147" i="477"/>
  <c r="I148" i="477"/>
  <c r="I149" i="477"/>
  <c r="I150" i="477"/>
  <c r="I151" i="477"/>
  <c r="I152" i="477"/>
  <c r="I153" i="477"/>
  <c r="I154" i="477"/>
  <c r="I155" i="477"/>
  <c r="I156" i="477"/>
  <c r="I157" i="477"/>
  <c r="I158" i="477"/>
  <c r="I159" i="477"/>
  <c r="I160" i="477"/>
  <c r="I161" i="477"/>
  <c r="I162" i="477"/>
  <c r="I163" i="477"/>
  <c r="I164" i="477"/>
  <c r="I165" i="477"/>
  <c r="I166" i="477"/>
  <c r="I167" i="477"/>
  <c r="I168" i="477"/>
  <c r="I169" i="477"/>
  <c r="I170" i="477"/>
  <c r="I171" i="477"/>
  <c r="I172" i="477"/>
  <c r="I173" i="477"/>
  <c r="I174" i="477"/>
  <c r="I175" i="477"/>
  <c r="I176" i="477"/>
  <c r="I177" i="477"/>
  <c r="I178" i="477"/>
  <c r="I179" i="477"/>
  <c r="I180" i="477"/>
  <c r="I181" i="477"/>
  <c r="I134" i="477"/>
  <c r="I136" i="477"/>
  <c r="I138" i="477"/>
  <c r="I140" i="477"/>
  <c r="I142" i="477"/>
  <c r="I182" i="477"/>
  <c r="I184" i="477"/>
  <c r="I186" i="477"/>
  <c r="I188" i="477"/>
  <c r="I190" i="477"/>
  <c r="I192" i="477"/>
  <c r="I194" i="477"/>
  <c r="I196" i="477"/>
  <c r="G247" i="477"/>
  <c r="J246" i="477"/>
  <c r="J245" i="477"/>
  <c r="J244" i="477"/>
  <c r="J243" i="477"/>
  <c r="J242" i="477"/>
  <c r="J241" i="477"/>
  <c r="J240" i="477"/>
  <c r="J239" i="477"/>
  <c r="J238" i="477"/>
  <c r="J237" i="477"/>
  <c r="J236" i="477"/>
  <c r="J235" i="477"/>
  <c r="J234" i="477"/>
  <c r="G233" i="477"/>
  <c r="G232" i="477"/>
  <c r="G231" i="477"/>
  <c r="G230" i="477"/>
  <c r="G229" i="477"/>
  <c r="G228" i="477"/>
  <c r="G227" i="477"/>
  <c r="G226" i="477"/>
  <c r="G225" i="477"/>
  <c r="G224" i="477"/>
  <c r="G223" i="477"/>
  <c r="K246" i="477"/>
  <c r="K244" i="477"/>
  <c r="K242" i="477"/>
  <c r="H2" i="477"/>
  <c r="H3" i="477"/>
  <c r="H4" i="477"/>
  <c r="H5" i="477"/>
  <c r="H6" i="477"/>
  <c r="H7" i="477"/>
  <c r="H8" i="477"/>
  <c r="H9" i="477"/>
  <c r="H10" i="477"/>
  <c r="H11" i="477"/>
  <c r="H12" i="477"/>
  <c r="H13" i="477"/>
  <c r="H14" i="477"/>
  <c r="H15" i="477"/>
  <c r="H16" i="477"/>
  <c r="H17" i="477"/>
  <c r="H18" i="477"/>
  <c r="H19" i="477"/>
  <c r="H20" i="477"/>
  <c r="H21" i="477"/>
  <c r="H22" i="477"/>
  <c r="H23" i="477"/>
  <c r="H24" i="477"/>
  <c r="H25" i="477"/>
  <c r="H26" i="477"/>
  <c r="H27" i="477"/>
  <c r="H28" i="477"/>
  <c r="H29" i="477"/>
  <c r="H30" i="477"/>
  <c r="H31" i="477"/>
  <c r="H32" i="477"/>
  <c r="H33" i="477"/>
  <c r="H34" i="477"/>
  <c r="H35" i="477"/>
  <c r="H36" i="477"/>
  <c r="H37" i="477"/>
  <c r="H38" i="477"/>
  <c r="H39" i="477"/>
  <c r="H40" i="477"/>
  <c r="H41" i="477"/>
  <c r="H42" i="477"/>
  <c r="H43" i="477"/>
  <c r="H44" i="477"/>
  <c r="H71" i="477"/>
  <c r="H72" i="477"/>
  <c r="H73" i="477"/>
  <c r="H74" i="477"/>
  <c r="H75" i="477"/>
  <c r="H76" i="477"/>
  <c r="H77" i="477"/>
  <c r="H78" i="477"/>
  <c r="H79" i="477"/>
  <c r="H80" i="477"/>
  <c r="H81" i="477"/>
  <c r="H82" i="477"/>
  <c r="H45" i="477"/>
  <c r="H46" i="477"/>
  <c r="H47" i="477"/>
  <c r="H48" i="477"/>
  <c r="H50" i="477"/>
  <c r="H52" i="477"/>
  <c r="H54" i="477"/>
  <c r="H56" i="477"/>
  <c r="H58" i="477"/>
  <c r="H60" i="477"/>
  <c r="H62" i="477"/>
  <c r="H64" i="477"/>
  <c r="H66" i="477"/>
  <c r="H68" i="477"/>
  <c r="H70" i="477"/>
  <c r="H49" i="477"/>
  <c r="H51" i="477"/>
  <c r="H53" i="477"/>
  <c r="H55" i="477"/>
  <c r="H57" i="477"/>
  <c r="H59" i="477"/>
  <c r="H61" i="477"/>
  <c r="H63" i="477"/>
  <c r="H65" i="477"/>
  <c r="H67" i="477"/>
  <c r="H69" i="477"/>
  <c r="H111" i="477"/>
  <c r="H113" i="477"/>
  <c r="H115" i="477"/>
  <c r="H117" i="477"/>
  <c r="H119" i="477"/>
  <c r="H121" i="477"/>
  <c r="H123" i="477"/>
  <c r="H125" i="477"/>
  <c r="H127" i="477"/>
  <c r="H129" i="477"/>
  <c r="H130" i="477"/>
  <c r="H131" i="477"/>
  <c r="H132" i="477"/>
  <c r="H133" i="477"/>
  <c r="H134" i="477"/>
  <c r="H135" i="477"/>
  <c r="H136" i="477"/>
  <c r="H137" i="477"/>
  <c r="H138" i="477"/>
  <c r="H139" i="477"/>
  <c r="H140" i="477"/>
  <c r="H141" i="477"/>
  <c r="H142" i="477"/>
  <c r="H143" i="477"/>
  <c r="H144" i="477"/>
  <c r="H145" i="477"/>
  <c r="H146" i="477"/>
  <c r="H147" i="477"/>
  <c r="H148" i="477"/>
  <c r="H149" i="477"/>
  <c r="H150" i="477"/>
  <c r="H151" i="477"/>
  <c r="H152" i="477"/>
  <c r="H153" i="477"/>
  <c r="H154" i="477"/>
  <c r="H155" i="477"/>
  <c r="H156" i="477"/>
  <c r="H157" i="477"/>
  <c r="H158" i="477"/>
  <c r="H159" i="477"/>
  <c r="H160" i="477"/>
  <c r="H161" i="477"/>
  <c r="H162" i="477"/>
  <c r="H163" i="477"/>
  <c r="H164" i="477"/>
  <c r="H165" i="477"/>
  <c r="H166" i="477"/>
  <c r="H167" i="477"/>
  <c r="H168" i="477"/>
  <c r="H169" i="477"/>
  <c r="H170" i="477"/>
  <c r="H171" i="477"/>
  <c r="H172" i="477"/>
  <c r="H173" i="477"/>
  <c r="H174" i="477"/>
  <c r="H175" i="477"/>
  <c r="H176" i="477"/>
  <c r="H177" i="477"/>
  <c r="H178" i="477"/>
  <c r="H179" i="477"/>
  <c r="H180" i="477"/>
  <c r="H181" i="477"/>
  <c r="H182" i="477"/>
  <c r="H183" i="477"/>
  <c r="H184" i="477"/>
  <c r="H185" i="477"/>
  <c r="H186" i="477"/>
  <c r="H187" i="477"/>
  <c r="H188" i="477"/>
  <c r="H189" i="477"/>
  <c r="H190" i="477"/>
  <c r="H191" i="477"/>
  <c r="H192" i="477"/>
  <c r="H193" i="477"/>
  <c r="H194" i="477"/>
  <c r="H195" i="477"/>
  <c r="H196" i="477"/>
  <c r="H197" i="477"/>
  <c r="H83" i="477"/>
  <c r="H84" i="477"/>
  <c r="H85" i="477"/>
  <c r="H86" i="477"/>
  <c r="H87" i="477"/>
  <c r="H88" i="477"/>
  <c r="H89" i="477"/>
  <c r="H90" i="477"/>
  <c r="H91" i="477"/>
  <c r="H92" i="477"/>
  <c r="H93" i="477"/>
  <c r="H94" i="477"/>
  <c r="H95" i="477"/>
  <c r="H96" i="477"/>
  <c r="H97" i="477"/>
  <c r="H98" i="477"/>
  <c r="H99" i="477"/>
  <c r="H100" i="477"/>
  <c r="H101" i="477"/>
  <c r="H102" i="477"/>
  <c r="H103" i="477"/>
  <c r="H104" i="477"/>
  <c r="H105" i="477"/>
  <c r="H106" i="477"/>
  <c r="H107" i="477"/>
  <c r="H108" i="477"/>
  <c r="H109" i="477"/>
  <c r="H110" i="477"/>
  <c r="H112" i="477"/>
  <c r="H114" i="477"/>
  <c r="H116" i="477"/>
  <c r="H118" i="477"/>
  <c r="H120" i="477"/>
  <c r="H122" i="477"/>
  <c r="H124" i="477"/>
  <c r="H126" i="477"/>
  <c r="H128" i="477"/>
  <c r="H198" i="477"/>
  <c r="H199" i="477"/>
  <c r="H200" i="477"/>
  <c r="H201" i="477"/>
  <c r="H202" i="477"/>
  <c r="H203" i="477"/>
  <c r="H204" i="477"/>
  <c r="H205" i="477"/>
  <c r="H206" i="477"/>
  <c r="H207" i="477"/>
  <c r="H208" i="477"/>
  <c r="H209" i="477"/>
  <c r="H210" i="477"/>
  <c r="H211" i="477"/>
  <c r="H212" i="477"/>
  <c r="H213" i="477"/>
  <c r="H214" i="477"/>
  <c r="H215" i="477"/>
  <c r="H216" i="477"/>
  <c r="H217" i="477"/>
  <c r="H218" i="477"/>
  <c r="H219" i="477"/>
  <c r="H220" i="477"/>
  <c r="H221" i="477"/>
  <c r="H222" i="477"/>
  <c r="H223" i="477"/>
  <c r="H224" i="477"/>
  <c r="H225" i="477"/>
  <c r="H226" i="477"/>
  <c r="H227" i="477"/>
  <c r="H228" i="477"/>
  <c r="H229" i="477"/>
  <c r="H230" i="477"/>
  <c r="H231" i="477"/>
  <c r="H232" i="477"/>
  <c r="H247" i="477"/>
  <c r="I245" i="477"/>
  <c r="I243" i="477"/>
  <c r="I241" i="477"/>
  <c r="I239" i="477"/>
  <c r="I237" i="477"/>
  <c r="H234" i="477"/>
  <c r="J219" i="477"/>
  <c r="G246" i="477"/>
  <c r="G244" i="477"/>
  <c r="G242" i="477"/>
  <c r="G240" i="477"/>
  <c r="I246" i="477"/>
  <c r="I244" i="477"/>
  <c r="I242" i="477"/>
  <c r="I240" i="477"/>
  <c r="I238" i="477"/>
  <c r="I236" i="477"/>
  <c r="K233" i="477"/>
  <c r="J221" i="477"/>
  <c r="J217" i="477"/>
  <c r="J215" i="477"/>
  <c r="J213" i="477"/>
  <c r="J211" i="477"/>
  <c r="J209" i="477"/>
  <c r="J207" i="477"/>
  <c r="K2" i="477"/>
  <c r="K3" i="477"/>
  <c r="K4" i="477"/>
  <c r="K5" i="477"/>
  <c r="K6" i="477"/>
  <c r="K7" i="477"/>
  <c r="K8" i="477"/>
  <c r="K45" i="477"/>
  <c r="K46" i="477"/>
  <c r="K47" i="477"/>
  <c r="K9" i="477"/>
  <c r="K10" i="477"/>
  <c r="K13" i="477"/>
  <c r="K15" i="477"/>
  <c r="K17" i="477"/>
  <c r="K19" i="477"/>
  <c r="K21" i="477"/>
  <c r="K23" i="477"/>
  <c r="K25" i="477"/>
  <c r="K27" i="477"/>
  <c r="K29" i="477"/>
  <c r="K31" i="477"/>
  <c r="K33" i="477"/>
  <c r="K35" i="477"/>
  <c r="K37" i="477"/>
  <c r="K39" i="477"/>
  <c r="K41" i="477"/>
  <c r="K43" i="477"/>
  <c r="K49" i="477"/>
  <c r="K51" i="477"/>
  <c r="K53" i="477"/>
  <c r="K55" i="477"/>
  <c r="K57" i="477"/>
  <c r="K59" i="477"/>
  <c r="K61" i="477"/>
  <c r="K63" i="477"/>
  <c r="K65" i="477"/>
  <c r="K67" i="477"/>
  <c r="K69" i="477"/>
  <c r="K11" i="477"/>
  <c r="K12" i="477"/>
  <c r="K14" i="477"/>
  <c r="K16" i="477"/>
  <c r="K18" i="477"/>
  <c r="K20" i="477"/>
  <c r="K22" i="477"/>
  <c r="K24" i="477"/>
  <c r="K26" i="477"/>
  <c r="K28" i="477"/>
  <c r="K30" i="477"/>
  <c r="K32" i="477"/>
  <c r="K34" i="477"/>
  <c r="K36" i="477"/>
  <c r="K38" i="477"/>
  <c r="K40" i="477"/>
  <c r="K42" i="477"/>
  <c r="K44" i="477"/>
  <c r="K48" i="477"/>
  <c r="K50" i="477"/>
  <c r="K52" i="477"/>
  <c r="K54" i="477"/>
  <c r="K56" i="477"/>
  <c r="K58" i="477"/>
  <c r="K60" i="477"/>
  <c r="K62" i="477"/>
  <c r="K64" i="477"/>
  <c r="K66" i="477"/>
  <c r="K68" i="477"/>
  <c r="K70" i="477"/>
  <c r="K71" i="477"/>
  <c r="K72" i="477"/>
  <c r="K73" i="477"/>
  <c r="K74" i="477"/>
  <c r="K75" i="477"/>
  <c r="K76" i="477"/>
  <c r="K77" i="477"/>
  <c r="K78" i="477"/>
  <c r="K79" i="477"/>
  <c r="K80" i="477"/>
  <c r="K81" i="477"/>
  <c r="K82" i="477"/>
  <c r="K83" i="477"/>
  <c r="K84" i="477"/>
  <c r="K85" i="477"/>
  <c r="K86" i="477"/>
  <c r="K87" i="477"/>
  <c r="K88" i="477"/>
  <c r="K89" i="477"/>
  <c r="K90" i="477"/>
  <c r="K91" i="477"/>
  <c r="K92" i="477"/>
  <c r="K93" i="477"/>
  <c r="K94" i="477"/>
  <c r="K95" i="477"/>
  <c r="K96" i="477"/>
  <c r="K97" i="477"/>
  <c r="K98" i="477"/>
  <c r="K99" i="477"/>
  <c r="K100" i="477"/>
  <c r="K101" i="477"/>
  <c r="K102" i="477"/>
  <c r="K103" i="477"/>
  <c r="K104" i="477"/>
  <c r="K105" i="477"/>
  <c r="K106" i="477"/>
  <c r="K107" i="477"/>
  <c r="K108" i="477"/>
  <c r="K109" i="477"/>
  <c r="K110" i="477"/>
  <c r="K112" i="477"/>
  <c r="K114" i="477"/>
  <c r="K116" i="477"/>
  <c r="K118" i="477"/>
  <c r="K120" i="477"/>
  <c r="K122" i="477"/>
  <c r="K124" i="477"/>
  <c r="K126" i="477"/>
  <c r="K128" i="477"/>
  <c r="K129" i="477"/>
  <c r="K130" i="477"/>
  <c r="K131" i="477"/>
  <c r="K132" i="477"/>
  <c r="K133" i="477"/>
  <c r="K134" i="477"/>
  <c r="K135" i="477"/>
  <c r="K136" i="477"/>
  <c r="K137" i="477"/>
  <c r="K138" i="477"/>
  <c r="K139" i="477"/>
  <c r="K140" i="477"/>
  <c r="K141" i="477"/>
  <c r="K142" i="477"/>
  <c r="K111" i="477"/>
  <c r="K113" i="477"/>
  <c r="K115" i="477"/>
  <c r="K117" i="477"/>
  <c r="K119" i="477"/>
  <c r="K121" i="477"/>
  <c r="K123" i="477"/>
  <c r="K125" i="477"/>
  <c r="K127" i="477"/>
  <c r="K182" i="477"/>
  <c r="K184" i="477"/>
  <c r="K186" i="477"/>
  <c r="K188" i="477"/>
  <c r="K190" i="477"/>
  <c r="K192" i="477"/>
  <c r="K194" i="477"/>
  <c r="K196" i="477"/>
  <c r="K143" i="477"/>
  <c r="K144" i="477"/>
  <c r="K145" i="477"/>
  <c r="K146" i="477"/>
  <c r="K147" i="477"/>
  <c r="K148" i="477"/>
  <c r="K149" i="477"/>
  <c r="K150" i="477"/>
  <c r="K151" i="477"/>
  <c r="K152" i="477"/>
  <c r="K153" i="477"/>
  <c r="K154" i="477"/>
  <c r="K155" i="477"/>
  <c r="K156" i="477"/>
  <c r="K157" i="477"/>
  <c r="K158" i="477"/>
  <c r="K159" i="477"/>
  <c r="K160" i="477"/>
  <c r="K161" i="477"/>
  <c r="K162" i="477"/>
  <c r="K163" i="477"/>
  <c r="K164" i="477"/>
  <c r="K165" i="477"/>
  <c r="K166" i="477"/>
  <c r="K167" i="477"/>
  <c r="K168" i="477"/>
  <c r="K169" i="477"/>
  <c r="K170" i="477"/>
  <c r="K171" i="477"/>
  <c r="K172" i="477"/>
  <c r="K173" i="477"/>
  <c r="K174" i="477"/>
  <c r="K175" i="477"/>
  <c r="K176" i="477"/>
  <c r="K177" i="477"/>
  <c r="K178" i="477"/>
  <c r="K179" i="477"/>
  <c r="K180" i="477"/>
  <c r="K181" i="477"/>
  <c r="K183" i="477"/>
  <c r="K185" i="477"/>
  <c r="K187" i="477"/>
  <c r="K189" i="477"/>
  <c r="K191" i="477"/>
  <c r="K193" i="477"/>
  <c r="K195" i="477"/>
  <c r="K197" i="477"/>
  <c r="K198" i="477"/>
  <c r="K199" i="477"/>
  <c r="K200" i="477"/>
  <c r="K201" i="477"/>
  <c r="K202" i="477"/>
  <c r="K203" i="477"/>
  <c r="K204" i="477"/>
  <c r="K205" i="477"/>
  <c r="K206" i="477"/>
  <c r="K207" i="477"/>
  <c r="K208" i="477"/>
  <c r="K209" i="477"/>
  <c r="K210" i="477"/>
  <c r="K211" i="477"/>
  <c r="K212" i="477"/>
  <c r="K213" i="477"/>
  <c r="K214" i="477"/>
  <c r="K215" i="477"/>
  <c r="K216" i="477"/>
  <c r="K217" i="477"/>
  <c r="K218" i="477"/>
  <c r="K219" i="477"/>
  <c r="K220" i="477"/>
  <c r="K221" i="477"/>
  <c r="I247" i="477"/>
  <c r="H246" i="477"/>
  <c r="H245" i="477"/>
  <c r="H244" i="477"/>
  <c r="H243" i="477"/>
  <c r="H242" i="477"/>
  <c r="H241" i="477"/>
  <c r="H240" i="477"/>
  <c r="H239" i="477"/>
  <c r="H238" i="477"/>
  <c r="H237" i="477"/>
  <c r="H236" i="477"/>
  <c r="H235" i="477"/>
  <c r="G234" i="477"/>
  <c r="K232" i="477"/>
  <c r="K231" i="477"/>
  <c r="K230" i="477"/>
  <c r="K229" i="477"/>
  <c r="K228" i="477"/>
  <c r="K227" i="477"/>
  <c r="K226" i="477"/>
  <c r="K225" i="477"/>
  <c r="K224" i="477"/>
  <c r="K223" i="477"/>
  <c r="K222" i="477"/>
  <c r="J3" i="477"/>
  <c r="J4" i="477"/>
  <c r="J5" i="477"/>
  <c r="J6" i="477"/>
  <c r="J7" i="477"/>
  <c r="J8" i="477"/>
  <c r="J9" i="477"/>
  <c r="J10" i="477"/>
  <c r="J11" i="477"/>
  <c r="J12" i="477"/>
  <c r="J13" i="477"/>
  <c r="J14" i="477"/>
  <c r="J15" i="477"/>
  <c r="J16" i="477"/>
  <c r="J17" i="477"/>
  <c r="J18" i="477"/>
  <c r="J19" i="477"/>
  <c r="J20" i="477"/>
  <c r="J21" i="477"/>
  <c r="J22" i="477"/>
  <c r="J23" i="477"/>
  <c r="J24" i="477"/>
  <c r="J25" i="477"/>
  <c r="J26" i="477"/>
  <c r="J27" i="477"/>
  <c r="J28" i="477"/>
  <c r="J29" i="477"/>
  <c r="J30" i="477"/>
  <c r="J31" i="477"/>
  <c r="J32" i="477"/>
  <c r="J33" i="477"/>
  <c r="J34" i="477"/>
  <c r="J35" i="477"/>
  <c r="J36" i="477"/>
  <c r="J37" i="477"/>
  <c r="J38" i="477"/>
  <c r="J39" i="477"/>
  <c r="J40" i="477"/>
  <c r="J41" i="477"/>
  <c r="J42" i="477"/>
  <c r="J43" i="477"/>
  <c r="J44" i="477"/>
  <c r="J2" i="477"/>
  <c r="J49" i="477"/>
  <c r="J51" i="477"/>
  <c r="J53" i="477"/>
  <c r="J55" i="477"/>
  <c r="J57" i="477"/>
  <c r="J59" i="477"/>
  <c r="J61" i="477"/>
  <c r="J63" i="477"/>
  <c r="J65" i="477"/>
  <c r="J67" i="477"/>
  <c r="J69" i="477"/>
  <c r="J45" i="477"/>
  <c r="J46" i="477"/>
  <c r="J47" i="477"/>
  <c r="J48" i="477"/>
  <c r="J50" i="477"/>
  <c r="J52" i="477"/>
  <c r="J54" i="477"/>
  <c r="J56" i="477"/>
  <c r="J58" i="477"/>
  <c r="J60" i="477"/>
  <c r="J62" i="477"/>
  <c r="J64" i="477"/>
  <c r="J66" i="477"/>
  <c r="J68" i="477"/>
  <c r="J70" i="477"/>
  <c r="J71" i="477"/>
  <c r="J72" i="477"/>
  <c r="J73" i="477"/>
  <c r="J74" i="477"/>
  <c r="J75" i="477"/>
  <c r="J76" i="477"/>
  <c r="J77" i="477"/>
  <c r="J78" i="477"/>
  <c r="J79" i="477"/>
  <c r="J80" i="477"/>
  <c r="J81" i="477"/>
  <c r="J111" i="477"/>
  <c r="J113" i="477"/>
  <c r="J115" i="477"/>
  <c r="J117" i="477"/>
  <c r="J119" i="477"/>
  <c r="J121" i="477"/>
  <c r="J123" i="477"/>
  <c r="J125" i="477"/>
  <c r="J127" i="477"/>
  <c r="J82" i="477"/>
  <c r="J83" i="477"/>
  <c r="J84" i="477"/>
  <c r="J85" i="477"/>
  <c r="J86" i="477"/>
  <c r="J87" i="477"/>
  <c r="J88" i="477"/>
  <c r="J89" i="477"/>
  <c r="J90" i="477"/>
  <c r="J91" i="477"/>
  <c r="J92" i="477"/>
  <c r="J93" i="477"/>
  <c r="J94" i="477"/>
  <c r="J95" i="477"/>
  <c r="J96" i="477"/>
  <c r="J97" i="477"/>
  <c r="J98" i="477"/>
  <c r="J99" i="477"/>
  <c r="J100" i="477"/>
  <c r="J101" i="477"/>
  <c r="J102" i="477"/>
  <c r="J103" i="477"/>
  <c r="J104" i="477"/>
  <c r="J105" i="477"/>
  <c r="J106" i="477"/>
  <c r="J107" i="477"/>
  <c r="J108" i="477"/>
  <c r="J109" i="477"/>
  <c r="J110" i="477"/>
  <c r="J112" i="477"/>
  <c r="J114" i="477"/>
  <c r="J116" i="477"/>
  <c r="J118" i="477"/>
  <c r="J120" i="477"/>
  <c r="J122" i="477"/>
  <c r="J124" i="477"/>
  <c r="J126" i="477"/>
  <c r="J128" i="477"/>
  <c r="J129" i="477"/>
  <c r="J130" i="477"/>
  <c r="J131" i="477"/>
  <c r="J132" i="477"/>
  <c r="J133" i="477"/>
  <c r="J134" i="477"/>
  <c r="J135" i="477"/>
  <c r="J136" i="477"/>
  <c r="J137" i="477"/>
  <c r="J138" i="477"/>
  <c r="J139" i="477"/>
  <c r="J140" i="477"/>
  <c r="J141" i="477"/>
  <c r="J142" i="477"/>
  <c r="J143" i="477"/>
  <c r="J144" i="477"/>
  <c r="J145" i="477"/>
  <c r="J146" i="477"/>
  <c r="J147" i="477"/>
  <c r="J148" i="477"/>
  <c r="J149" i="477"/>
  <c r="J150" i="477"/>
  <c r="J151" i="477"/>
  <c r="J152" i="477"/>
  <c r="J153" i="477"/>
  <c r="J154" i="477"/>
  <c r="J155" i="477"/>
  <c r="J156" i="477"/>
  <c r="J157" i="477"/>
  <c r="J158" i="477"/>
  <c r="J159" i="477"/>
  <c r="J160" i="477"/>
  <c r="J161" i="477"/>
  <c r="J162" i="477"/>
  <c r="J163" i="477"/>
  <c r="J164" i="477"/>
  <c r="J165" i="477"/>
  <c r="J166" i="477"/>
  <c r="J167" i="477"/>
  <c r="J168" i="477"/>
  <c r="J169" i="477"/>
  <c r="J170" i="477"/>
  <c r="J171" i="477"/>
  <c r="J172" i="477"/>
  <c r="J173" i="477"/>
  <c r="J174" i="477"/>
  <c r="J175" i="477"/>
  <c r="J176" i="477"/>
  <c r="J177" i="477"/>
  <c r="J178" i="477"/>
  <c r="J179" i="477"/>
  <c r="J180" i="477"/>
  <c r="J181" i="477"/>
  <c r="J182" i="477"/>
  <c r="J184" i="477"/>
  <c r="J186" i="477"/>
  <c r="J188" i="477"/>
  <c r="J190" i="477"/>
  <c r="J192" i="477"/>
  <c r="J194" i="477"/>
  <c r="J196" i="477"/>
  <c r="J183" i="477"/>
  <c r="J185" i="477"/>
  <c r="J187" i="477"/>
  <c r="J189" i="477"/>
  <c r="J191" i="477"/>
  <c r="J193" i="477"/>
  <c r="J195" i="477"/>
  <c r="J197" i="477"/>
  <c r="J198" i="477"/>
  <c r="J199" i="477"/>
  <c r="J200" i="477"/>
  <c r="J201" i="477"/>
  <c r="J202" i="477"/>
  <c r="J203" i="477"/>
  <c r="J204" i="477"/>
  <c r="J205" i="477"/>
  <c r="K245" i="477"/>
  <c r="K243" i="477"/>
  <c r="K241" i="477"/>
  <c r="G239" i="477"/>
  <c r="G238" i="477"/>
  <c r="G237" i="477"/>
  <c r="G236" i="477"/>
  <c r="H233" i="477"/>
  <c r="J231" i="477"/>
  <c r="J229" i="477"/>
  <c r="J227" i="477"/>
  <c r="J225" i="477"/>
  <c r="J218" i="477"/>
  <c r="K154" i="476"/>
  <c r="K246" i="476"/>
  <c r="K244" i="476"/>
  <c r="K242" i="476"/>
  <c r="J3" i="476"/>
  <c r="J4" i="476"/>
  <c r="J5" i="476"/>
  <c r="J6" i="476"/>
  <c r="J7" i="476"/>
  <c r="J8" i="476"/>
  <c r="J9" i="476"/>
  <c r="J10" i="476"/>
  <c r="J11" i="476"/>
  <c r="J12" i="476"/>
  <c r="J13" i="476"/>
  <c r="J14" i="476"/>
  <c r="J15" i="476"/>
  <c r="J16" i="476"/>
  <c r="J17" i="476"/>
  <c r="J18" i="476"/>
  <c r="J19" i="476"/>
  <c r="J20" i="476"/>
  <c r="J21" i="476"/>
  <c r="J22" i="476"/>
  <c r="J23" i="476"/>
  <c r="J24" i="476"/>
  <c r="J25" i="476"/>
  <c r="J26" i="476"/>
  <c r="J27" i="476"/>
  <c r="J28" i="476"/>
  <c r="J29" i="476"/>
  <c r="J30" i="476"/>
  <c r="J31" i="476"/>
  <c r="J32" i="476"/>
  <c r="J33" i="476"/>
  <c r="J34" i="476"/>
  <c r="J35" i="476"/>
  <c r="J36" i="476"/>
  <c r="J37" i="476"/>
  <c r="J38" i="476"/>
  <c r="J39" i="476"/>
  <c r="J40" i="476"/>
  <c r="J41" i="476"/>
  <c r="J42" i="476"/>
  <c r="J43" i="476"/>
  <c r="J44" i="476"/>
  <c r="J2" i="476"/>
  <c r="J45" i="476"/>
  <c r="J46" i="476"/>
  <c r="J47" i="476"/>
  <c r="J48" i="476"/>
  <c r="J49" i="476"/>
  <c r="J50" i="476"/>
  <c r="J51" i="476"/>
  <c r="J52" i="476"/>
  <c r="J53" i="476"/>
  <c r="J54" i="476"/>
  <c r="J55" i="476"/>
  <c r="J56" i="476"/>
  <c r="J57" i="476"/>
  <c r="J58" i="476"/>
  <c r="J59" i="476"/>
  <c r="J60" i="476"/>
  <c r="J61" i="476"/>
  <c r="J62" i="476"/>
  <c r="J63" i="476"/>
  <c r="J64" i="476"/>
  <c r="J65" i="476"/>
  <c r="J66" i="476"/>
  <c r="J67" i="476"/>
  <c r="J69" i="476"/>
  <c r="J71" i="476"/>
  <c r="J72" i="476"/>
  <c r="J73" i="476"/>
  <c r="J74" i="476"/>
  <c r="J75" i="476"/>
  <c r="J76" i="476"/>
  <c r="J77" i="476"/>
  <c r="J78" i="476"/>
  <c r="J79" i="476"/>
  <c r="J80" i="476"/>
  <c r="J81" i="476"/>
  <c r="J82" i="476"/>
  <c r="J83" i="476"/>
  <c r="J84" i="476"/>
  <c r="J85" i="476"/>
  <c r="J86" i="476"/>
  <c r="J87" i="476"/>
  <c r="J88" i="476"/>
  <c r="J89" i="476"/>
  <c r="J90" i="476"/>
  <c r="J91" i="476"/>
  <c r="J92" i="476"/>
  <c r="J93" i="476"/>
  <c r="J94" i="476"/>
  <c r="J95" i="476"/>
  <c r="J96" i="476"/>
  <c r="J97" i="476"/>
  <c r="J98" i="476"/>
  <c r="J99" i="476"/>
  <c r="J100" i="476"/>
  <c r="J101" i="476"/>
  <c r="J102" i="476"/>
  <c r="J103" i="476"/>
  <c r="J104" i="476"/>
  <c r="J105" i="476"/>
  <c r="J106" i="476"/>
  <c r="J107" i="476"/>
  <c r="J108" i="476"/>
  <c r="J109" i="476"/>
  <c r="J110" i="476"/>
  <c r="J111" i="476"/>
  <c r="J112" i="476"/>
  <c r="J113" i="476"/>
  <c r="J114" i="476"/>
  <c r="J115" i="476"/>
  <c r="J116" i="476"/>
  <c r="J117" i="476"/>
  <c r="J118" i="476"/>
  <c r="J119" i="476"/>
  <c r="J68" i="476"/>
  <c r="J70" i="476"/>
  <c r="J120" i="476"/>
  <c r="J122" i="476"/>
  <c r="J124" i="476"/>
  <c r="J125" i="476"/>
  <c r="J126" i="476"/>
  <c r="J127" i="476"/>
  <c r="J128" i="476"/>
  <c r="J129" i="476"/>
  <c r="J130" i="476"/>
  <c r="J131" i="476"/>
  <c r="J132" i="476"/>
  <c r="J133" i="476"/>
  <c r="J134" i="476"/>
  <c r="J135" i="476"/>
  <c r="J136" i="476"/>
  <c r="J137" i="476"/>
  <c r="J138" i="476"/>
  <c r="J139" i="476"/>
  <c r="J140" i="476"/>
  <c r="J141" i="476"/>
  <c r="J142" i="476"/>
  <c r="J143" i="476"/>
  <c r="J144" i="476"/>
  <c r="J145" i="476"/>
  <c r="J146" i="476"/>
  <c r="J147" i="476"/>
  <c r="J148" i="476"/>
  <c r="J149" i="476"/>
  <c r="J150" i="476"/>
  <c r="J151" i="476"/>
  <c r="J152" i="476"/>
  <c r="J153" i="476"/>
  <c r="J154" i="476"/>
  <c r="J155" i="476"/>
  <c r="J156" i="476"/>
  <c r="J157" i="476"/>
  <c r="J158" i="476"/>
  <c r="J159" i="476"/>
  <c r="J160" i="476"/>
  <c r="J161" i="476"/>
  <c r="J162" i="476"/>
  <c r="J163" i="476"/>
  <c r="J164" i="476"/>
  <c r="J165" i="476"/>
  <c r="J166" i="476"/>
  <c r="J167" i="476"/>
  <c r="J168" i="476"/>
  <c r="J169" i="476"/>
  <c r="J170" i="476"/>
  <c r="J171" i="476"/>
  <c r="J172" i="476"/>
  <c r="J173" i="476"/>
  <c r="J121" i="476"/>
  <c r="J123" i="476"/>
  <c r="J174" i="476"/>
  <c r="J175" i="476"/>
  <c r="J176" i="476"/>
  <c r="J177" i="476"/>
  <c r="J178" i="476"/>
  <c r="J179" i="476"/>
  <c r="J180" i="476"/>
  <c r="J181" i="476"/>
  <c r="J182" i="476"/>
  <c r="J183" i="476"/>
  <c r="J184" i="476"/>
  <c r="J185" i="476"/>
  <c r="J186" i="476"/>
  <c r="J187" i="476"/>
  <c r="J188" i="476"/>
  <c r="J189" i="476"/>
  <c r="J190" i="476"/>
  <c r="J191" i="476"/>
  <c r="J192" i="476"/>
  <c r="J193" i="476"/>
  <c r="J194" i="476"/>
  <c r="J195" i="476"/>
  <c r="J196" i="476"/>
  <c r="J197" i="476"/>
  <c r="J198" i="476"/>
  <c r="J199" i="476"/>
  <c r="J200" i="476"/>
  <c r="J201" i="476"/>
  <c r="J202" i="476"/>
  <c r="J203" i="476"/>
  <c r="J204" i="476"/>
  <c r="J205" i="476"/>
  <c r="J206" i="476"/>
  <c r="J207" i="476"/>
  <c r="J208" i="476"/>
  <c r="J209" i="476"/>
  <c r="J210" i="476"/>
  <c r="J211" i="476"/>
  <c r="J212" i="476"/>
  <c r="J213" i="476"/>
  <c r="J214" i="476"/>
  <c r="J215" i="476"/>
  <c r="J216" i="476"/>
  <c r="J217" i="476"/>
  <c r="J218" i="476"/>
  <c r="J219" i="476"/>
  <c r="J220" i="476"/>
  <c r="J221" i="476"/>
  <c r="J222" i="476"/>
  <c r="J223" i="476"/>
  <c r="J224" i="476"/>
  <c r="J225" i="476"/>
  <c r="J226" i="476"/>
  <c r="J227" i="476"/>
  <c r="J228" i="476"/>
  <c r="J229" i="476"/>
  <c r="J230" i="476"/>
  <c r="J231" i="476"/>
  <c r="J232" i="476"/>
  <c r="J233" i="476"/>
  <c r="J234" i="476"/>
  <c r="J235" i="476"/>
  <c r="J236" i="476"/>
  <c r="J237" i="476"/>
  <c r="J238" i="476"/>
  <c r="J239" i="476"/>
  <c r="J240" i="476"/>
  <c r="J241" i="476"/>
  <c r="J242" i="476"/>
  <c r="J243" i="476"/>
  <c r="J244" i="476"/>
  <c r="J245" i="476"/>
  <c r="J246" i="476"/>
  <c r="K226" i="476"/>
  <c r="K228" i="476"/>
  <c r="K230" i="476"/>
  <c r="K232" i="476"/>
  <c r="K234" i="476"/>
  <c r="K236" i="476"/>
  <c r="K238" i="476"/>
  <c r="K227" i="476"/>
  <c r="K229" i="476"/>
  <c r="K231" i="476"/>
  <c r="K233" i="476"/>
  <c r="K235" i="476"/>
  <c r="K237" i="476"/>
  <c r="G228" i="476"/>
  <c r="G238" i="476"/>
  <c r="G229" i="476"/>
  <c r="G232" i="476"/>
  <c r="G234" i="476"/>
  <c r="G236" i="476"/>
  <c r="G227" i="476"/>
  <c r="G230" i="476"/>
  <c r="G231" i="476"/>
  <c r="G233" i="476"/>
  <c r="G235" i="476"/>
  <c r="G237" i="476"/>
  <c r="G246" i="476"/>
  <c r="G244" i="476"/>
  <c r="G242" i="476"/>
  <c r="G240" i="476"/>
  <c r="J247" i="476"/>
  <c r="K245" i="476"/>
  <c r="K243" i="476"/>
  <c r="K241" i="476"/>
  <c r="K239" i="476"/>
  <c r="G245" i="476"/>
  <c r="G243" i="476"/>
  <c r="G241" i="476"/>
  <c r="G239" i="476"/>
  <c r="I3" i="476"/>
  <c r="I4" i="476"/>
  <c r="I5" i="476"/>
  <c r="I6" i="476"/>
  <c r="I7" i="476"/>
  <c r="I8" i="476"/>
  <c r="I9" i="476"/>
  <c r="I10" i="476"/>
  <c r="I11" i="476"/>
  <c r="I12" i="476"/>
  <c r="I13" i="476"/>
  <c r="I14" i="476"/>
  <c r="I15" i="476"/>
  <c r="I16" i="476"/>
  <c r="I17" i="476"/>
  <c r="I18" i="476"/>
  <c r="I19" i="476"/>
  <c r="I20" i="476"/>
  <c r="I21" i="476"/>
  <c r="I22" i="476"/>
  <c r="I23" i="476"/>
  <c r="I24" i="476"/>
  <c r="I25" i="476"/>
  <c r="I26" i="476"/>
  <c r="I27" i="476"/>
  <c r="I28" i="476"/>
  <c r="I29" i="476"/>
  <c r="I30" i="476"/>
  <c r="I31" i="476"/>
  <c r="I32" i="476"/>
  <c r="I33" i="476"/>
  <c r="I34" i="476"/>
  <c r="I35" i="476"/>
  <c r="I36" i="476"/>
  <c r="I37" i="476"/>
  <c r="I38" i="476"/>
  <c r="I39" i="476"/>
  <c r="I40" i="476"/>
  <c r="I2" i="476"/>
  <c r="I45" i="476"/>
  <c r="I46" i="476"/>
  <c r="I47" i="476"/>
  <c r="I48" i="476"/>
  <c r="I49" i="476"/>
  <c r="I50" i="476"/>
  <c r="I51" i="476"/>
  <c r="I52" i="476"/>
  <c r="I53" i="476"/>
  <c r="I54" i="476"/>
  <c r="I55" i="476"/>
  <c r="I56" i="476"/>
  <c r="I57" i="476"/>
  <c r="I58" i="476"/>
  <c r="I59" i="476"/>
  <c r="I60" i="476"/>
  <c r="I61" i="476"/>
  <c r="I62" i="476"/>
  <c r="I63" i="476"/>
  <c r="I64" i="476"/>
  <c r="I65" i="476"/>
  <c r="I66" i="476"/>
  <c r="I67" i="476"/>
  <c r="I68" i="476"/>
  <c r="I69" i="476"/>
  <c r="I70" i="476"/>
  <c r="I42" i="476"/>
  <c r="I44" i="476"/>
  <c r="I71" i="476"/>
  <c r="I72" i="476"/>
  <c r="I73" i="476"/>
  <c r="I74" i="476"/>
  <c r="I75" i="476"/>
  <c r="I76" i="476"/>
  <c r="I77" i="476"/>
  <c r="I78" i="476"/>
  <c r="I79" i="476"/>
  <c r="I80" i="476"/>
  <c r="I81" i="476"/>
  <c r="I82" i="476"/>
  <c r="I83" i="476"/>
  <c r="I84" i="476"/>
  <c r="I85" i="476"/>
  <c r="I86" i="476"/>
  <c r="I87" i="476"/>
  <c r="I88" i="476"/>
  <c r="I89" i="476"/>
  <c r="I90" i="476"/>
  <c r="I91" i="476"/>
  <c r="I92" i="476"/>
  <c r="I93" i="476"/>
  <c r="I94" i="476"/>
  <c r="I95" i="476"/>
  <c r="I96" i="476"/>
  <c r="I97" i="476"/>
  <c r="I98" i="476"/>
  <c r="I99" i="476"/>
  <c r="I100" i="476"/>
  <c r="I101" i="476"/>
  <c r="I102" i="476"/>
  <c r="I103" i="476"/>
  <c r="I104" i="476"/>
  <c r="I105" i="476"/>
  <c r="I106" i="476"/>
  <c r="I107" i="476"/>
  <c r="I108" i="476"/>
  <c r="I109" i="476"/>
  <c r="I110" i="476"/>
  <c r="I111" i="476"/>
  <c r="I112" i="476"/>
  <c r="I113" i="476"/>
  <c r="I114" i="476"/>
  <c r="I115" i="476"/>
  <c r="I116" i="476"/>
  <c r="I117" i="476"/>
  <c r="I118" i="476"/>
  <c r="I119" i="476"/>
  <c r="I120" i="476"/>
  <c r="I121" i="476"/>
  <c r="I122" i="476"/>
  <c r="I123" i="476"/>
  <c r="I124" i="476"/>
  <c r="I43" i="476"/>
  <c r="I41" i="476"/>
  <c r="I125" i="476"/>
  <c r="I126" i="476"/>
  <c r="I127" i="476"/>
  <c r="I128" i="476"/>
  <c r="I129" i="476"/>
  <c r="I130" i="476"/>
  <c r="I131" i="476"/>
  <c r="I132" i="476"/>
  <c r="I133" i="476"/>
  <c r="I134" i="476"/>
  <c r="I135" i="476"/>
  <c r="I136" i="476"/>
  <c r="I137" i="476"/>
  <c r="I138" i="476"/>
  <c r="I139" i="476"/>
  <c r="I140" i="476"/>
  <c r="I141" i="476"/>
  <c r="I142" i="476"/>
  <c r="I143" i="476"/>
  <c r="I144" i="476"/>
  <c r="I145" i="476"/>
  <c r="I146" i="476"/>
  <c r="I147" i="476"/>
  <c r="I148" i="476"/>
  <c r="I149" i="476"/>
  <c r="I150" i="476"/>
  <c r="I151" i="476"/>
  <c r="I152" i="476"/>
  <c r="I153" i="476"/>
  <c r="I154" i="476"/>
  <c r="I155" i="476"/>
  <c r="I156" i="476"/>
  <c r="I157" i="476"/>
  <c r="I158" i="476"/>
  <c r="I159" i="476"/>
  <c r="I160" i="476"/>
  <c r="I161" i="476"/>
  <c r="I162" i="476"/>
  <c r="I163" i="476"/>
  <c r="I164" i="476"/>
  <c r="I165" i="476"/>
  <c r="I166" i="476"/>
  <c r="I167" i="476"/>
  <c r="I168" i="476"/>
  <c r="I169" i="476"/>
  <c r="I170" i="476"/>
  <c r="I171" i="476"/>
  <c r="I172" i="476"/>
  <c r="I173" i="476"/>
  <c r="K247" i="476"/>
  <c r="H173" i="476"/>
  <c r="H172" i="476"/>
  <c r="H171" i="476"/>
  <c r="H170" i="476"/>
  <c r="H169" i="476"/>
  <c r="H168" i="476"/>
  <c r="H167" i="476"/>
  <c r="H166" i="476"/>
  <c r="H165" i="476"/>
  <c r="K162" i="476"/>
  <c r="K160" i="476"/>
  <c r="K158" i="476"/>
  <c r="K156" i="476"/>
  <c r="G2" i="476"/>
  <c r="G3" i="476"/>
  <c r="G4" i="476"/>
  <c r="G5" i="476"/>
  <c r="G6" i="476"/>
  <c r="G7" i="476"/>
  <c r="G8" i="476"/>
  <c r="G9" i="476"/>
  <c r="G10" i="476"/>
  <c r="G11" i="476"/>
  <c r="G12" i="476"/>
  <c r="G13" i="476"/>
  <c r="G14" i="476"/>
  <c r="G15" i="476"/>
  <c r="G16" i="476"/>
  <c r="G17" i="476"/>
  <c r="G18" i="476"/>
  <c r="G19" i="476"/>
  <c r="G20" i="476"/>
  <c r="G21" i="476"/>
  <c r="G22" i="476"/>
  <c r="G23" i="476"/>
  <c r="G24" i="476"/>
  <c r="G25" i="476"/>
  <c r="G26" i="476"/>
  <c r="G27" i="476"/>
  <c r="G28" i="476"/>
  <c r="G29" i="476"/>
  <c r="G30" i="476"/>
  <c r="G31" i="476"/>
  <c r="G32" i="476"/>
  <c r="G33" i="476"/>
  <c r="G34" i="476"/>
  <c r="G35" i="476"/>
  <c r="G36" i="476"/>
  <c r="G37" i="476"/>
  <c r="G38" i="476"/>
  <c r="G39" i="476"/>
  <c r="G40" i="476"/>
  <c r="G41" i="476"/>
  <c r="G43" i="476"/>
  <c r="G45" i="476"/>
  <c r="G46" i="476"/>
  <c r="G47" i="476"/>
  <c r="G48" i="476"/>
  <c r="G49" i="476"/>
  <c r="G50" i="476"/>
  <c r="G51" i="476"/>
  <c r="G52" i="476"/>
  <c r="G53" i="476"/>
  <c r="G54" i="476"/>
  <c r="G55" i="476"/>
  <c r="G56" i="476"/>
  <c r="G57" i="476"/>
  <c r="G58" i="476"/>
  <c r="G59" i="476"/>
  <c r="G60" i="476"/>
  <c r="G61" i="476"/>
  <c r="G62" i="476"/>
  <c r="G68" i="476"/>
  <c r="G70" i="476"/>
  <c r="G63" i="476"/>
  <c r="G64" i="476"/>
  <c r="G65" i="476"/>
  <c r="G66" i="476"/>
  <c r="G44" i="476"/>
  <c r="G67" i="476"/>
  <c r="G69" i="476"/>
  <c r="G71" i="476"/>
  <c r="G72" i="476"/>
  <c r="G73" i="476"/>
  <c r="G74" i="476"/>
  <c r="G75" i="476"/>
  <c r="G76" i="476"/>
  <c r="G77" i="476"/>
  <c r="G78" i="476"/>
  <c r="G79" i="476"/>
  <c r="G80" i="476"/>
  <c r="G81" i="476"/>
  <c r="G82" i="476"/>
  <c r="G83" i="476"/>
  <c r="G84" i="476"/>
  <c r="G85" i="476"/>
  <c r="G86" i="476"/>
  <c r="G87" i="476"/>
  <c r="G88" i="476"/>
  <c r="G89" i="476"/>
  <c r="G90" i="476"/>
  <c r="G91" i="476"/>
  <c r="G92" i="476"/>
  <c r="G93" i="476"/>
  <c r="G94" i="476"/>
  <c r="G95" i="476"/>
  <c r="G96" i="476"/>
  <c r="G42" i="476"/>
  <c r="G97" i="476"/>
  <c r="G99" i="476"/>
  <c r="G121" i="476"/>
  <c r="G123" i="476"/>
  <c r="G98" i="476"/>
  <c r="G100" i="476"/>
  <c r="G101" i="476"/>
  <c r="G102" i="476"/>
  <c r="G103" i="476"/>
  <c r="G104" i="476"/>
  <c r="G105" i="476"/>
  <c r="G106" i="476"/>
  <c r="G107" i="476"/>
  <c r="G108" i="476"/>
  <c r="G109" i="476"/>
  <c r="G110" i="476"/>
  <c r="G111" i="476"/>
  <c r="G112" i="476"/>
  <c r="G113" i="476"/>
  <c r="G114" i="476"/>
  <c r="G115" i="476"/>
  <c r="G116" i="476"/>
  <c r="G117" i="476"/>
  <c r="G118" i="476"/>
  <c r="G119" i="476"/>
  <c r="G125" i="476"/>
  <c r="G126" i="476"/>
  <c r="G127" i="476"/>
  <c r="G128" i="476"/>
  <c r="G129" i="476"/>
  <c r="G130" i="476"/>
  <c r="G131" i="476"/>
  <c r="G132" i="476"/>
  <c r="G133" i="476"/>
  <c r="G134" i="476"/>
  <c r="G135" i="476"/>
  <c r="G136" i="476"/>
  <c r="G137" i="476"/>
  <c r="G138" i="476"/>
  <c r="G139" i="476"/>
  <c r="G140" i="476"/>
  <c r="G141" i="476"/>
  <c r="G142" i="476"/>
  <c r="G143" i="476"/>
  <c r="G144" i="476"/>
  <c r="G145" i="476"/>
  <c r="G146" i="476"/>
  <c r="G147" i="476"/>
  <c r="G148" i="476"/>
  <c r="G149" i="476"/>
  <c r="G150" i="476"/>
  <c r="G151" i="476"/>
  <c r="G152" i="476"/>
  <c r="G120" i="476"/>
  <c r="G122" i="476"/>
  <c r="G124" i="476"/>
  <c r="H2" i="476"/>
  <c r="H42" i="476"/>
  <c r="H44" i="476"/>
  <c r="H3" i="476"/>
  <c r="H5" i="476"/>
  <c r="H7" i="476"/>
  <c r="H9" i="476"/>
  <c r="H11" i="476"/>
  <c r="H13" i="476"/>
  <c r="H15" i="476"/>
  <c r="H17" i="476"/>
  <c r="H19" i="476"/>
  <c r="H21" i="476"/>
  <c r="H23" i="476"/>
  <c r="H25" i="476"/>
  <c r="H27" i="476"/>
  <c r="H28" i="476"/>
  <c r="H29" i="476"/>
  <c r="H30" i="476"/>
  <c r="H31" i="476"/>
  <c r="H32" i="476"/>
  <c r="H33" i="476"/>
  <c r="H34" i="476"/>
  <c r="H35" i="476"/>
  <c r="H36" i="476"/>
  <c r="H37" i="476"/>
  <c r="H38" i="476"/>
  <c r="H39" i="476"/>
  <c r="H40" i="476"/>
  <c r="H41" i="476"/>
  <c r="H43" i="476"/>
  <c r="H4" i="476"/>
  <c r="H12" i="476"/>
  <c r="H20" i="476"/>
  <c r="H45" i="476"/>
  <c r="H47" i="476"/>
  <c r="H49" i="476"/>
  <c r="H51" i="476"/>
  <c r="H53" i="476"/>
  <c r="H55" i="476"/>
  <c r="H57" i="476"/>
  <c r="H59" i="476"/>
  <c r="H61" i="476"/>
  <c r="H6" i="476"/>
  <c r="H14" i="476"/>
  <c r="H22" i="476"/>
  <c r="H68" i="476"/>
  <c r="H70" i="476"/>
  <c r="H8" i="476"/>
  <c r="H16" i="476"/>
  <c r="H24" i="476"/>
  <c r="H46" i="476"/>
  <c r="H48" i="476"/>
  <c r="H50" i="476"/>
  <c r="H52" i="476"/>
  <c r="H54" i="476"/>
  <c r="H56" i="476"/>
  <c r="H58" i="476"/>
  <c r="H60" i="476"/>
  <c r="H62" i="476"/>
  <c r="H63" i="476"/>
  <c r="H64" i="476"/>
  <c r="H65" i="476"/>
  <c r="H66" i="476"/>
  <c r="H10" i="476"/>
  <c r="H18" i="476"/>
  <c r="H26" i="476"/>
  <c r="H67" i="476"/>
  <c r="H69" i="476"/>
  <c r="H71" i="476"/>
  <c r="H72" i="476"/>
  <c r="H73" i="476"/>
  <c r="H74" i="476"/>
  <c r="H75" i="476"/>
  <c r="H76" i="476"/>
  <c r="H77" i="476"/>
  <c r="H78" i="476"/>
  <c r="H79" i="476"/>
  <c r="H80" i="476"/>
  <c r="H81" i="476"/>
  <c r="H82" i="476"/>
  <c r="H83" i="476"/>
  <c r="H84" i="476"/>
  <c r="H85" i="476"/>
  <c r="H86" i="476"/>
  <c r="H87" i="476"/>
  <c r="H88" i="476"/>
  <c r="H89" i="476"/>
  <c r="H90" i="476"/>
  <c r="H91" i="476"/>
  <c r="H92" i="476"/>
  <c r="H93" i="476"/>
  <c r="H94" i="476"/>
  <c r="H95" i="476"/>
  <c r="H96" i="476"/>
  <c r="H97" i="476"/>
  <c r="H98" i="476"/>
  <c r="H99" i="476"/>
  <c r="H120" i="476"/>
  <c r="H122" i="476"/>
  <c r="H124" i="476"/>
  <c r="H121" i="476"/>
  <c r="H123" i="476"/>
  <c r="H100" i="476"/>
  <c r="H101" i="476"/>
  <c r="H102" i="476"/>
  <c r="H103" i="476"/>
  <c r="H104" i="476"/>
  <c r="H105" i="476"/>
  <c r="H106" i="476"/>
  <c r="H107" i="476"/>
  <c r="H108" i="476"/>
  <c r="H109" i="476"/>
  <c r="H110" i="476"/>
  <c r="H111" i="476"/>
  <c r="H112" i="476"/>
  <c r="H113" i="476"/>
  <c r="H114" i="476"/>
  <c r="H115" i="476"/>
  <c r="H116" i="476"/>
  <c r="H117" i="476"/>
  <c r="H118" i="476"/>
  <c r="H119" i="476"/>
  <c r="H125" i="476"/>
  <c r="H126" i="476"/>
  <c r="H127" i="476"/>
  <c r="H128" i="476"/>
  <c r="H129" i="476"/>
  <c r="H130" i="476"/>
  <c r="H131" i="476"/>
  <c r="H132" i="476"/>
  <c r="H133" i="476"/>
  <c r="H134" i="476"/>
  <c r="H135" i="476"/>
  <c r="H136" i="476"/>
  <c r="H137" i="476"/>
  <c r="H138" i="476"/>
  <c r="H139" i="476"/>
  <c r="H140" i="476"/>
  <c r="H141" i="476"/>
  <c r="H142" i="476"/>
  <c r="H143" i="476"/>
  <c r="H144" i="476"/>
  <c r="H145" i="476"/>
  <c r="H146" i="476"/>
  <c r="H147" i="476"/>
  <c r="H148" i="476"/>
  <c r="H149" i="476"/>
  <c r="H150" i="476"/>
  <c r="H151" i="476"/>
  <c r="H152" i="476"/>
  <c r="H153" i="476"/>
  <c r="H154" i="476"/>
  <c r="H155" i="476"/>
  <c r="H156" i="476"/>
  <c r="H157" i="476"/>
  <c r="H158" i="476"/>
  <c r="H159" i="476"/>
  <c r="H160" i="476"/>
  <c r="H161" i="476"/>
  <c r="H162" i="476"/>
  <c r="H163" i="476"/>
  <c r="H247" i="476"/>
  <c r="I246" i="476"/>
  <c r="I245" i="476"/>
  <c r="I244" i="476"/>
  <c r="I243" i="476"/>
  <c r="I242" i="476"/>
  <c r="I241" i="476"/>
  <c r="I240" i="476"/>
  <c r="I239" i="476"/>
  <c r="I238" i="476"/>
  <c r="I237" i="476"/>
  <c r="I236" i="476"/>
  <c r="I235" i="476"/>
  <c r="I234" i="476"/>
  <c r="I233" i="476"/>
  <c r="I232" i="476"/>
  <c r="I231" i="476"/>
  <c r="I230" i="476"/>
  <c r="I229" i="476"/>
  <c r="I228" i="476"/>
  <c r="I227" i="476"/>
  <c r="I226" i="476"/>
  <c r="I225" i="476"/>
  <c r="I224" i="476"/>
  <c r="I223" i="476"/>
  <c r="I222" i="476"/>
  <c r="I221" i="476"/>
  <c r="I220" i="476"/>
  <c r="I219" i="476"/>
  <c r="I218" i="476"/>
  <c r="I217" i="476"/>
  <c r="I216" i="476"/>
  <c r="I215" i="476"/>
  <c r="I214" i="476"/>
  <c r="I213" i="476"/>
  <c r="I212" i="476"/>
  <c r="I211" i="476"/>
  <c r="I210" i="476"/>
  <c r="I209" i="476"/>
  <c r="I208" i="476"/>
  <c r="I207" i="476"/>
  <c r="I206" i="476"/>
  <c r="I205" i="476"/>
  <c r="I204" i="476"/>
  <c r="I203" i="476"/>
  <c r="I202" i="476"/>
  <c r="I201" i="476"/>
  <c r="I200" i="476"/>
  <c r="I199" i="476"/>
  <c r="I198" i="476"/>
  <c r="I197" i="476"/>
  <c r="I196" i="476"/>
  <c r="I195" i="476"/>
  <c r="I194" i="476"/>
  <c r="I193" i="476"/>
  <c r="I192" i="476"/>
  <c r="I191" i="476"/>
  <c r="I190" i="476"/>
  <c r="I189" i="476"/>
  <c r="I188" i="476"/>
  <c r="I187" i="476"/>
  <c r="I186" i="476"/>
  <c r="I185" i="476"/>
  <c r="I184" i="476"/>
  <c r="I183" i="476"/>
  <c r="I182" i="476"/>
  <c r="I181" i="476"/>
  <c r="I180" i="476"/>
  <c r="I179" i="476"/>
  <c r="I178" i="476"/>
  <c r="I177" i="476"/>
  <c r="I176" i="476"/>
  <c r="I175" i="476"/>
  <c r="I174" i="476"/>
  <c r="G173" i="476"/>
  <c r="G172" i="476"/>
  <c r="G171" i="476"/>
  <c r="G170" i="476"/>
  <c r="G169" i="476"/>
  <c r="G168" i="476"/>
  <c r="G167" i="476"/>
  <c r="G166" i="476"/>
  <c r="G165" i="476"/>
  <c r="G164" i="476"/>
  <c r="G162" i="476"/>
  <c r="G160" i="476"/>
  <c r="G158" i="476"/>
  <c r="G156" i="476"/>
  <c r="G154" i="476"/>
  <c r="K2" i="476"/>
  <c r="K3" i="476"/>
  <c r="K4" i="476"/>
  <c r="K5" i="476"/>
  <c r="K6" i="476"/>
  <c r="K7" i="476"/>
  <c r="K8" i="476"/>
  <c r="K9" i="476"/>
  <c r="K10" i="476"/>
  <c r="K11" i="476"/>
  <c r="K12" i="476"/>
  <c r="K13" i="476"/>
  <c r="K14" i="476"/>
  <c r="K15" i="476"/>
  <c r="K16" i="476"/>
  <c r="K17" i="476"/>
  <c r="K18" i="476"/>
  <c r="K19" i="476"/>
  <c r="K20" i="476"/>
  <c r="K21" i="476"/>
  <c r="K22" i="476"/>
  <c r="K23" i="476"/>
  <c r="K24" i="476"/>
  <c r="K25" i="476"/>
  <c r="K26" i="476"/>
  <c r="K41" i="476"/>
  <c r="K43" i="476"/>
  <c r="K27" i="476"/>
  <c r="K28" i="476"/>
  <c r="K29" i="476"/>
  <c r="K30" i="476"/>
  <c r="K31" i="476"/>
  <c r="K32" i="476"/>
  <c r="K33" i="476"/>
  <c r="K34" i="476"/>
  <c r="K35" i="476"/>
  <c r="K36" i="476"/>
  <c r="K37" i="476"/>
  <c r="K38" i="476"/>
  <c r="K39" i="476"/>
  <c r="K40" i="476"/>
  <c r="K42" i="476"/>
  <c r="K44" i="476"/>
  <c r="K45" i="476"/>
  <c r="K46" i="476"/>
  <c r="K47" i="476"/>
  <c r="K48" i="476"/>
  <c r="K49" i="476"/>
  <c r="K50" i="476"/>
  <c r="K51" i="476"/>
  <c r="K52" i="476"/>
  <c r="K53" i="476"/>
  <c r="K54" i="476"/>
  <c r="K55" i="476"/>
  <c r="K56" i="476"/>
  <c r="K57" i="476"/>
  <c r="K58" i="476"/>
  <c r="K59" i="476"/>
  <c r="K60" i="476"/>
  <c r="K61" i="476"/>
  <c r="K67" i="476"/>
  <c r="K69" i="476"/>
  <c r="K71" i="476"/>
  <c r="K72" i="476"/>
  <c r="K73" i="476"/>
  <c r="K74" i="476"/>
  <c r="K75" i="476"/>
  <c r="K76" i="476"/>
  <c r="K77" i="476"/>
  <c r="K78" i="476"/>
  <c r="K79" i="476"/>
  <c r="K80" i="476"/>
  <c r="K81" i="476"/>
  <c r="K82" i="476"/>
  <c r="K83" i="476"/>
  <c r="K84" i="476"/>
  <c r="K85" i="476"/>
  <c r="K86" i="476"/>
  <c r="K87" i="476"/>
  <c r="K88" i="476"/>
  <c r="K89" i="476"/>
  <c r="K90" i="476"/>
  <c r="K91" i="476"/>
  <c r="K92" i="476"/>
  <c r="K93" i="476"/>
  <c r="K94" i="476"/>
  <c r="K95" i="476"/>
  <c r="K96" i="476"/>
  <c r="K62" i="476"/>
  <c r="K63" i="476"/>
  <c r="K64" i="476"/>
  <c r="K65" i="476"/>
  <c r="K66" i="476"/>
  <c r="K68" i="476"/>
  <c r="K70" i="476"/>
  <c r="K100" i="476"/>
  <c r="K101" i="476"/>
  <c r="K102" i="476"/>
  <c r="K103" i="476"/>
  <c r="K104" i="476"/>
  <c r="K105" i="476"/>
  <c r="K106" i="476"/>
  <c r="K107" i="476"/>
  <c r="K108" i="476"/>
  <c r="K109" i="476"/>
  <c r="K110" i="476"/>
  <c r="K111" i="476"/>
  <c r="K112" i="476"/>
  <c r="K113" i="476"/>
  <c r="K114" i="476"/>
  <c r="K115" i="476"/>
  <c r="K116" i="476"/>
  <c r="K117" i="476"/>
  <c r="K118" i="476"/>
  <c r="K119" i="476"/>
  <c r="K121" i="476"/>
  <c r="K123" i="476"/>
  <c r="K97" i="476"/>
  <c r="K99" i="476"/>
  <c r="K120" i="476"/>
  <c r="K122" i="476"/>
  <c r="K124" i="476"/>
  <c r="K125" i="476"/>
  <c r="K126" i="476"/>
  <c r="K127" i="476"/>
  <c r="K128" i="476"/>
  <c r="K129" i="476"/>
  <c r="K130" i="476"/>
  <c r="K131" i="476"/>
  <c r="K132" i="476"/>
  <c r="K133" i="476"/>
  <c r="K134" i="476"/>
  <c r="K135" i="476"/>
  <c r="K136" i="476"/>
  <c r="K137" i="476"/>
  <c r="K138" i="476"/>
  <c r="K139" i="476"/>
  <c r="K140" i="476"/>
  <c r="K141" i="476"/>
  <c r="K142" i="476"/>
  <c r="K143" i="476"/>
  <c r="K144" i="476"/>
  <c r="K145" i="476"/>
  <c r="K146" i="476"/>
  <c r="K147" i="476"/>
  <c r="K148" i="476"/>
  <c r="K149" i="476"/>
  <c r="K150" i="476"/>
  <c r="K151" i="476"/>
  <c r="K152" i="476"/>
  <c r="K98" i="476"/>
  <c r="I247" i="476"/>
  <c r="H246" i="476"/>
  <c r="H245" i="476"/>
  <c r="H244" i="476"/>
  <c r="H243" i="476"/>
  <c r="H242" i="476"/>
  <c r="H241" i="476"/>
  <c r="H240" i="476"/>
  <c r="H239" i="476"/>
  <c r="H238" i="476"/>
  <c r="H237" i="476"/>
  <c r="H236" i="476"/>
  <c r="H235" i="476"/>
  <c r="H234" i="476"/>
  <c r="H233" i="476"/>
  <c r="H232" i="476"/>
  <c r="H231" i="476"/>
  <c r="H230" i="476"/>
  <c r="H229" i="476"/>
  <c r="H228" i="476"/>
  <c r="H227" i="476"/>
  <c r="H226" i="476"/>
  <c r="H225" i="476"/>
  <c r="H224" i="476"/>
  <c r="H223" i="476"/>
  <c r="H222" i="476"/>
  <c r="H221" i="476"/>
  <c r="H220" i="476"/>
  <c r="H219" i="476"/>
  <c r="H218" i="476"/>
  <c r="H217" i="476"/>
  <c r="H216" i="476"/>
  <c r="H215" i="476"/>
  <c r="H214" i="476"/>
  <c r="H213" i="476"/>
  <c r="H212" i="476"/>
  <c r="H211" i="476"/>
  <c r="H210" i="476"/>
  <c r="H209" i="476"/>
  <c r="H208" i="476"/>
  <c r="H207" i="476"/>
  <c r="H206" i="476"/>
  <c r="H205" i="476"/>
  <c r="H204" i="476"/>
  <c r="H203" i="476"/>
  <c r="H202" i="476"/>
  <c r="H201" i="476"/>
  <c r="H200" i="476"/>
  <c r="H199" i="476"/>
  <c r="H198" i="476"/>
  <c r="H197" i="476"/>
  <c r="H196" i="476"/>
  <c r="H195" i="476"/>
  <c r="H194" i="476"/>
  <c r="H193" i="476"/>
  <c r="H192" i="476"/>
  <c r="H191" i="476"/>
  <c r="H190" i="476"/>
  <c r="H189" i="476"/>
  <c r="H188" i="476"/>
  <c r="H187" i="476"/>
  <c r="H186" i="476"/>
  <c r="H185" i="476"/>
  <c r="H184" i="476"/>
  <c r="H183" i="476"/>
  <c r="H182" i="476"/>
  <c r="H181" i="476"/>
  <c r="H180" i="476"/>
  <c r="H179" i="476"/>
  <c r="H178" i="476"/>
  <c r="H177" i="476"/>
  <c r="H176" i="476"/>
  <c r="H175" i="476"/>
  <c r="H174" i="476"/>
  <c r="K163" i="476"/>
  <c r="K161" i="476"/>
  <c r="K159" i="476"/>
  <c r="K157" i="476"/>
  <c r="K155" i="476"/>
  <c r="K153" i="476"/>
  <c r="G226" i="476"/>
  <c r="K225" i="476"/>
  <c r="G225" i="476"/>
  <c r="K224" i="476"/>
  <c r="G224" i="476"/>
  <c r="K223" i="476"/>
  <c r="G223" i="476"/>
  <c r="K222" i="476"/>
  <c r="G222" i="476"/>
  <c r="K221" i="476"/>
  <c r="G221" i="476"/>
  <c r="K220" i="476"/>
  <c r="G220" i="476"/>
  <c r="K219" i="476"/>
  <c r="G219" i="476"/>
  <c r="K218" i="476"/>
  <c r="G218" i="476"/>
  <c r="K217" i="476"/>
  <c r="G217" i="476"/>
  <c r="K216" i="476"/>
  <c r="G216" i="476"/>
  <c r="K215" i="476"/>
  <c r="G215" i="476"/>
  <c r="K214" i="476"/>
  <c r="G214" i="476"/>
  <c r="K213" i="476"/>
  <c r="G213" i="476"/>
  <c r="K212" i="476"/>
  <c r="G212" i="476"/>
  <c r="K211" i="476"/>
  <c r="G211" i="476"/>
  <c r="K210" i="476"/>
  <c r="G210" i="476"/>
  <c r="K209" i="476"/>
  <c r="G209" i="476"/>
  <c r="K208" i="476"/>
  <c r="G208" i="476"/>
  <c r="K207" i="476"/>
  <c r="G207" i="476"/>
  <c r="K206" i="476"/>
  <c r="G206" i="476"/>
  <c r="K205" i="476"/>
  <c r="G205" i="476"/>
  <c r="K204" i="476"/>
  <c r="G204" i="476"/>
  <c r="K203" i="476"/>
  <c r="G203" i="476"/>
  <c r="K202" i="476"/>
  <c r="G202" i="476"/>
  <c r="K201" i="476"/>
  <c r="G201" i="476"/>
  <c r="K200" i="476"/>
  <c r="G200" i="476"/>
  <c r="K199" i="476"/>
  <c r="G199" i="476"/>
  <c r="K198" i="476"/>
  <c r="G198" i="476"/>
  <c r="K197" i="476"/>
  <c r="G197" i="476"/>
  <c r="K196" i="476"/>
  <c r="G196" i="476"/>
  <c r="K195" i="476"/>
  <c r="G195" i="476"/>
  <c r="K194" i="476"/>
  <c r="G194" i="476"/>
  <c r="K193" i="476"/>
  <c r="G193" i="476"/>
  <c r="K192" i="476"/>
  <c r="G192" i="476"/>
  <c r="K191" i="476"/>
  <c r="G191" i="476"/>
  <c r="K190" i="476"/>
  <c r="G190" i="476"/>
  <c r="K189" i="476"/>
  <c r="G189" i="476"/>
  <c r="K188" i="476"/>
  <c r="G188" i="476"/>
  <c r="K187" i="476"/>
  <c r="G187" i="476"/>
  <c r="K186" i="476"/>
  <c r="G186" i="476"/>
  <c r="K185" i="476"/>
  <c r="G185" i="476"/>
  <c r="K184" i="476"/>
  <c r="G184" i="476"/>
  <c r="K183" i="476"/>
  <c r="G183" i="476"/>
  <c r="K182" i="476"/>
  <c r="G182" i="476"/>
  <c r="K181" i="476"/>
  <c r="G181" i="476"/>
  <c r="K180" i="476"/>
  <c r="G180" i="476"/>
  <c r="K179" i="476"/>
  <c r="G179" i="476"/>
  <c r="K178" i="476"/>
  <c r="G178" i="476"/>
  <c r="K177" i="476"/>
  <c r="G177" i="476"/>
  <c r="K176" i="476"/>
  <c r="G176" i="476"/>
  <c r="K175" i="476"/>
  <c r="G175" i="476"/>
  <c r="K174" i="476"/>
  <c r="G174" i="476"/>
  <c r="K173" i="476"/>
  <c r="K172" i="476"/>
  <c r="K171" i="476"/>
  <c r="K170" i="476"/>
  <c r="K169" i="476"/>
  <c r="K168" i="476"/>
  <c r="K167" i="476"/>
  <c r="K166" i="476"/>
  <c r="K165" i="476"/>
  <c r="K164" i="476"/>
  <c r="G163" i="476"/>
  <c r="G161" i="476"/>
  <c r="G159" i="476"/>
  <c r="G157" i="476"/>
  <c r="G155" i="476"/>
  <c r="G153" i="476"/>
  <c r="J247" i="475"/>
  <c r="K245" i="475"/>
  <c r="G227" i="475"/>
  <c r="G247" i="475"/>
  <c r="J245" i="475"/>
  <c r="K243" i="475"/>
  <c r="K240" i="475"/>
  <c r="K237" i="475"/>
  <c r="K235" i="475"/>
  <c r="K230" i="475"/>
  <c r="K226" i="475"/>
  <c r="K222" i="475"/>
  <c r="K216" i="475"/>
  <c r="K210" i="475"/>
  <c r="H2" i="475"/>
  <c r="H3" i="475"/>
  <c r="H4" i="475"/>
  <c r="H5" i="475"/>
  <c r="H6" i="475"/>
  <c r="H7" i="475"/>
  <c r="H8" i="475"/>
  <c r="H9" i="475"/>
  <c r="H10" i="475"/>
  <c r="H11" i="475"/>
  <c r="H12" i="475"/>
  <c r="H13" i="475"/>
  <c r="H14" i="475"/>
  <c r="H15" i="475"/>
  <c r="H16" i="475"/>
  <c r="H17" i="475"/>
  <c r="H18" i="475"/>
  <c r="H19" i="475"/>
  <c r="H20" i="475"/>
  <c r="H21" i="475"/>
  <c r="H22" i="475"/>
  <c r="H23" i="475"/>
  <c r="H24" i="475"/>
  <c r="H25" i="475"/>
  <c r="H26" i="475"/>
  <c r="H27" i="475"/>
  <c r="H28" i="475"/>
  <c r="H29" i="475"/>
  <c r="H30" i="475"/>
  <c r="H31" i="475"/>
  <c r="H32" i="475"/>
  <c r="H33" i="475"/>
  <c r="H34" i="475"/>
  <c r="H35" i="475"/>
  <c r="H36" i="475"/>
  <c r="H37" i="475"/>
  <c r="H38" i="475"/>
  <c r="H39" i="475"/>
  <c r="H40" i="475"/>
  <c r="H41" i="475"/>
  <c r="H42" i="475"/>
  <c r="H43" i="475"/>
  <c r="H44" i="475"/>
  <c r="H45" i="475"/>
  <c r="H46" i="475"/>
  <c r="H47" i="475"/>
  <c r="H48" i="475"/>
  <c r="H49" i="475"/>
  <c r="H50" i="475"/>
  <c r="H51" i="475"/>
  <c r="H52" i="475"/>
  <c r="H53" i="475"/>
  <c r="H54" i="475"/>
  <c r="H55" i="475"/>
  <c r="H56" i="475"/>
  <c r="H57" i="475"/>
  <c r="H58" i="475"/>
  <c r="H59" i="475"/>
  <c r="H60" i="475"/>
  <c r="H61" i="475"/>
  <c r="H62" i="475"/>
  <c r="H82" i="475"/>
  <c r="H83" i="475"/>
  <c r="H84" i="475"/>
  <c r="H85" i="475"/>
  <c r="H86" i="475"/>
  <c r="H87" i="475"/>
  <c r="H88" i="475"/>
  <c r="H89" i="475"/>
  <c r="H90" i="475"/>
  <c r="H91" i="475"/>
  <c r="H92" i="475"/>
  <c r="H93" i="475"/>
  <c r="H94" i="475"/>
  <c r="H95" i="475"/>
  <c r="H96" i="475"/>
  <c r="H97" i="475"/>
  <c r="H98" i="475"/>
  <c r="H99" i="475"/>
  <c r="H100" i="475"/>
  <c r="H101" i="475"/>
  <c r="H102" i="475"/>
  <c r="H103" i="475"/>
  <c r="H104" i="475"/>
  <c r="H105" i="475"/>
  <c r="H106" i="475"/>
  <c r="H71" i="475"/>
  <c r="H73" i="475"/>
  <c r="H75" i="475"/>
  <c r="H77" i="475"/>
  <c r="H79" i="475"/>
  <c r="H81" i="475"/>
  <c r="H63" i="475"/>
  <c r="H64" i="475"/>
  <c r="H65" i="475"/>
  <c r="H66" i="475"/>
  <c r="H67" i="475"/>
  <c r="H68" i="475"/>
  <c r="H69" i="475"/>
  <c r="H70" i="475"/>
  <c r="H72" i="475"/>
  <c r="H74" i="475"/>
  <c r="H76" i="475"/>
  <c r="H78" i="475"/>
  <c r="H80" i="475"/>
  <c r="H107" i="475"/>
  <c r="H108" i="475"/>
  <c r="H109" i="475"/>
  <c r="H110" i="475"/>
  <c r="H111" i="475"/>
  <c r="H112" i="475"/>
  <c r="H113" i="475"/>
  <c r="H114" i="475"/>
  <c r="H115" i="475"/>
  <c r="H116" i="475"/>
  <c r="H117" i="475"/>
  <c r="H118" i="475"/>
  <c r="H119" i="475"/>
  <c r="H120" i="475"/>
  <c r="H121" i="475"/>
  <c r="H122" i="475"/>
  <c r="H123" i="475"/>
  <c r="H124" i="475"/>
  <c r="H125" i="475"/>
  <c r="H126" i="475"/>
  <c r="H127" i="475"/>
  <c r="H128" i="475"/>
  <c r="H129" i="475"/>
  <c r="H130" i="475"/>
  <c r="H131" i="475"/>
  <c r="H132" i="475"/>
  <c r="H133" i="475"/>
  <c r="H134" i="475"/>
  <c r="H135" i="475"/>
  <c r="H136" i="475"/>
  <c r="H137" i="475"/>
  <c r="H138" i="475"/>
  <c r="H139" i="475"/>
  <c r="H140" i="475"/>
  <c r="H141" i="475"/>
  <c r="H142" i="475"/>
  <c r="H143" i="475"/>
  <c r="H144" i="475"/>
  <c r="H145" i="475"/>
  <c r="H146" i="475"/>
  <c r="H147" i="475"/>
  <c r="H148" i="475"/>
  <c r="H149" i="475"/>
  <c r="H150" i="475"/>
  <c r="H151" i="475"/>
  <c r="H152" i="475"/>
  <c r="H153" i="475"/>
  <c r="H154" i="475"/>
  <c r="H155" i="475"/>
  <c r="H156" i="475"/>
  <c r="H157" i="475"/>
  <c r="H158" i="475"/>
  <c r="H159" i="475"/>
  <c r="H160" i="475"/>
  <c r="H161" i="475"/>
  <c r="H162" i="475"/>
  <c r="H163" i="475"/>
  <c r="H164" i="475"/>
  <c r="H165" i="475"/>
  <c r="H166" i="475"/>
  <c r="H167" i="475"/>
  <c r="H168" i="475"/>
  <c r="H169" i="475"/>
  <c r="H170" i="475"/>
  <c r="H171" i="475"/>
  <c r="H172" i="475"/>
  <c r="H173" i="475"/>
  <c r="H174" i="475"/>
  <c r="H175" i="475"/>
  <c r="H176" i="475"/>
  <c r="H177" i="475"/>
  <c r="H178" i="475"/>
  <c r="H179" i="475"/>
  <c r="H180" i="475"/>
  <c r="H181" i="475"/>
  <c r="H182" i="475"/>
  <c r="H183" i="475"/>
  <c r="H184" i="475"/>
  <c r="H185" i="475"/>
  <c r="H186" i="475"/>
  <c r="H187" i="475"/>
  <c r="H188" i="475"/>
  <c r="H189" i="475"/>
  <c r="H190" i="475"/>
  <c r="H191" i="475"/>
  <c r="H192" i="475"/>
  <c r="H193" i="475"/>
  <c r="H194" i="475"/>
  <c r="H195" i="475"/>
  <c r="H196" i="475"/>
  <c r="H197" i="475"/>
  <c r="H198" i="475"/>
  <c r="H199" i="475"/>
  <c r="H200" i="475"/>
  <c r="H201" i="475"/>
  <c r="H202" i="475"/>
  <c r="H203" i="475"/>
  <c r="H204" i="475"/>
  <c r="H205" i="475"/>
  <c r="H206" i="475"/>
  <c r="H207" i="475"/>
  <c r="H208" i="475"/>
  <c r="H209" i="475"/>
  <c r="H210" i="475"/>
  <c r="H211" i="475"/>
  <c r="H212" i="475"/>
  <c r="H213" i="475"/>
  <c r="H214" i="475"/>
  <c r="H215" i="475"/>
  <c r="H216" i="475"/>
  <c r="H217" i="475"/>
  <c r="H218" i="475"/>
  <c r="H219" i="475"/>
  <c r="H220" i="475"/>
  <c r="H221" i="475"/>
  <c r="H222" i="475"/>
  <c r="H223" i="475"/>
  <c r="H224" i="475"/>
  <c r="H225" i="475"/>
  <c r="H226" i="475"/>
  <c r="H227" i="475"/>
  <c r="H228" i="475"/>
  <c r="H229" i="475"/>
  <c r="H230" i="475"/>
  <c r="H231" i="475"/>
  <c r="H232" i="475"/>
  <c r="H233" i="475"/>
  <c r="H234" i="475"/>
  <c r="H235" i="475"/>
  <c r="H236" i="475"/>
  <c r="H237" i="475"/>
  <c r="H238" i="475"/>
  <c r="H239" i="475"/>
  <c r="H240" i="475"/>
  <c r="H241" i="475"/>
  <c r="H242" i="475"/>
  <c r="H243" i="475"/>
  <c r="H247" i="475"/>
  <c r="I246" i="475"/>
  <c r="I245" i="475"/>
  <c r="G244" i="475"/>
  <c r="I243" i="475"/>
  <c r="I242" i="475"/>
  <c r="I241" i="475"/>
  <c r="I240" i="475"/>
  <c r="I239" i="475"/>
  <c r="I238" i="475"/>
  <c r="I237" i="475"/>
  <c r="I236" i="475"/>
  <c r="G234" i="475"/>
  <c r="G232" i="475"/>
  <c r="G230" i="475"/>
  <c r="G228" i="475"/>
  <c r="G226" i="475"/>
  <c r="G224" i="475"/>
  <c r="G222" i="475"/>
  <c r="G220" i="475"/>
  <c r="G218" i="475"/>
  <c r="G216" i="475"/>
  <c r="G214" i="475"/>
  <c r="K246" i="475"/>
  <c r="G245" i="475"/>
  <c r="G229" i="475"/>
  <c r="G2" i="475"/>
  <c r="G3" i="475"/>
  <c r="G4" i="475"/>
  <c r="G5" i="475"/>
  <c r="G6" i="475"/>
  <c r="G7" i="475"/>
  <c r="G8" i="475"/>
  <c r="G9" i="475"/>
  <c r="G11" i="475"/>
  <c r="G12" i="475"/>
  <c r="G13" i="475"/>
  <c r="G14" i="475"/>
  <c r="G15" i="475"/>
  <c r="G16" i="475"/>
  <c r="G17" i="475"/>
  <c r="G18" i="475"/>
  <c r="G19" i="475"/>
  <c r="G20" i="475"/>
  <c r="G21" i="475"/>
  <c r="G22" i="475"/>
  <c r="G23" i="475"/>
  <c r="G24" i="475"/>
  <c r="G25" i="475"/>
  <c r="G26" i="475"/>
  <c r="G27" i="475"/>
  <c r="G28" i="475"/>
  <c r="G29" i="475"/>
  <c r="G30" i="475"/>
  <c r="G31" i="475"/>
  <c r="G32" i="475"/>
  <c r="G33" i="475"/>
  <c r="G34" i="475"/>
  <c r="G35" i="475"/>
  <c r="G36" i="475"/>
  <c r="G37" i="475"/>
  <c r="G38" i="475"/>
  <c r="G39" i="475"/>
  <c r="G40" i="475"/>
  <c r="G41" i="475"/>
  <c r="G42" i="475"/>
  <c r="G43" i="475"/>
  <c r="G44" i="475"/>
  <c r="G10" i="475"/>
  <c r="G45" i="475"/>
  <c r="G46" i="475"/>
  <c r="G47" i="475"/>
  <c r="G48" i="475"/>
  <c r="G49" i="475"/>
  <c r="G50" i="475"/>
  <c r="G51" i="475"/>
  <c r="G52" i="475"/>
  <c r="G53" i="475"/>
  <c r="G54" i="475"/>
  <c r="G55" i="475"/>
  <c r="G56" i="475"/>
  <c r="G57" i="475"/>
  <c r="G58" i="475"/>
  <c r="G59" i="475"/>
  <c r="G60" i="475"/>
  <c r="G61" i="475"/>
  <c r="G62" i="475"/>
  <c r="G63" i="475"/>
  <c r="G64" i="475"/>
  <c r="G65" i="475"/>
  <c r="G66" i="475"/>
  <c r="G67" i="475"/>
  <c r="G68" i="475"/>
  <c r="G69" i="475"/>
  <c r="G71" i="475"/>
  <c r="G73" i="475"/>
  <c r="G75" i="475"/>
  <c r="G77" i="475"/>
  <c r="G79" i="475"/>
  <c r="G81" i="475"/>
  <c r="G70" i="475"/>
  <c r="G72" i="475"/>
  <c r="G74" i="475"/>
  <c r="G76" i="475"/>
  <c r="G78" i="475"/>
  <c r="G80" i="475"/>
  <c r="G82" i="475"/>
  <c r="G83" i="475"/>
  <c r="G84" i="475"/>
  <c r="G85" i="475"/>
  <c r="G86" i="475"/>
  <c r="G87" i="475"/>
  <c r="G88" i="475"/>
  <c r="G89" i="475"/>
  <c r="G90" i="475"/>
  <c r="G91" i="475"/>
  <c r="G92" i="475"/>
  <c r="G94" i="475"/>
  <c r="G96" i="475"/>
  <c r="G98" i="475"/>
  <c r="G100" i="475"/>
  <c r="G102" i="475"/>
  <c r="G93" i="475"/>
  <c r="G95" i="475"/>
  <c r="G97" i="475"/>
  <c r="G99" i="475"/>
  <c r="G101" i="475"/>
  <c r="G103" i="475"/>
  <c r="G104" i="475"/>
  <c r="G105" i="475"/>
  <c r="G107" i="475"/>
  <c r="G108" i="475"/>
  <c r="G109" i="475"/>
  <c r="G110" i="475"/>
  <c r="G111" i="475"/>
  <c r="G112" i="475"/>
  <c r="G113" i="475"/>
  <c r="G114" i="475"/>
  <c r="G115" i="475"/>
  <c r="G116" i="475"/>
  <c r="G117" i="475"/>
  <c r="G118" i="475"/>
  <c r="G119" i="475"/>
  <c r="G120" i="475"/>
  <c r="G121" i="475"/>
  <c r="G122" i="475"/>
  <c r="G123" i="475"/>
  <c r="G124" i="475"/>
  <c r="G125" i="475"/>
  <c r="G126" i="475"/>
  <c r="G127" i="475"/>
  <c r="G128" i="475"/>
  <c r="G129" i="475"/>
  <c r="G130" i="475"/>
  <c r="G131" i="475"/>
  <c r="G132" i="475"/>
  <c r="G133" i="475"/>
  <c r="G134" i="475"/>
  <c r="G135" i="475"/>
  <c r="G136" i="475"/>
  <c r="G137" i="475"/>
  <c r="G138" i="475"/>
  <c r="G139" i="475"/>
  <c r="G140" i="475"/>
  <c r="G141" i="475"/>
  <c r="G142" i="475"/>
  <c r="G143" i="475"/>
  <c r="G144" i="475"/>
  <c r="G106" i="475"/>
  <c r="G145" i="475"/>
  <c r="G147" i="475"/>
  <c r="G149" i="475"/>
  <c r="G151" i="475"/>
  <c r="G153" i="475"/>
  <c r="G155" i="475"/>
  <c r="G157" i="475"/>
  <c r="G159" i="475"/>
  <c r="G161" i="475"/>
  <c r="G163" i="475"/>
  <c r="G165" i="475"/>
  <c r="G146" i="475"/>
  <c r="G148" i="475"/>
  <c r="G150" i="475"/>
  <c r="G152" i="475"/>
  <c r="G154" i="475"/>
  <c r="G156" i="475"/>
  <c r="G158" i="475"/>
  <c r="G160" i="475"/>
  <c r="G162" i="475"/>
  <c r="G164" i="475"/>
  <c r="G166" i="475"/>
  <c r="G167" i="475"/>
  <c r="G168" i="475"/>
  <c r="G169" i="475"/>
  <c r="G170" i="475"/>
  <c r="G171" i="475"/>
  <c r="G172" i="475"/>
  <c r="G173" i="475"/>
  <c r="G174" i="475"/>
  <c r="G175" i="475"/>
  <c r="G176" i="475"/>
  <c r="G177" i="475"/>
  <c r="G178" i="475"/>
  <c r="G179" i="475"/>
  <c r="G180" i="475"/>
  <c r="G181" i="475"/>
  <c r="G182" i="475"/>
  <c r="G183" i="475"/>
  <c r="G184" i="475"/>
  <c r="G185" i="475"/>
  <c r="G186" i="475"/>
  <c r="G187" i="475"/>
  <c r="G188" i="475"/>
  <c r="G189" i="475"/>
  <c r="G190" i="475"/>
  <c r="G191" i="475"/>
  <c r="G192" i="475"/>
  <c r="G193" i="475"/>
  <c r="G194" i="475"/>
  <c r="G195" i="475"/>
  <c r="G196" i="475"/>
  <c r="G197" i="475"/>
  <c r="G198" i="475"/>
  <c r="G199" i="475"/>
  <c r="G200" i="475"/>
  <c r="G201" i="475"/>
  <c r="G202" i="475"/>
  <c r="G203" i="475"/>
  <c r="G204" i="475"/>
  <c r="G205" i="475"/>
  <c r="G206" i="475"/>
  <c r="G207" i="475"/>
  <c r="G208" i="475"/>
  <c r="G209" i="475"/>
  <c r="G210" i="475"/>
  <c r="I3" i="475"/>
  <c r="I4" i="475"/>
  <c r="I5" i="475"/>
  <c r="I6" i="475"/>
  <c r="I7" i="475"/>
  <c r="I8" i="475"/>
  <c r="I9" i="475"/>
  <c r="I10" i="475"/>
  <c r="I2" i="475"/>
  <c r="I45" i="475"/>
  <c r="I46" i="475"/>
  <c r="I47" i="475"/>
  <c r="I48" i="475"/>
  <c r="I49" i="475"/>
  <c r="I50" i="475"/>
  <c r="I51" i="475"/>
  <c r="I52" i="475"/>
  <c r="I53" i="475"/>
  <c r="I54" i="475"/>
  <c r="I55" i="475"/>
  <c r="I56" i="475"/>
  <c r="I57" i="475"/>
  <c r="I58" i="475"/>
  <c r="I59" i="475"/>
  <c r="I60" i="475"/>
  <c r="I61" i="475"/>
  <c r="I62" i="475"/>
  <c r="I63" i="475"/>
  <c r="I64" i="475"/>
  <c r="I65" i="475"/>
  <c r="I66" i="475"/>
  <c r="I67" i="475"/>
  <c r="I68" i="475"/>
  <c r="I69" i="475"/>
  <c r="I70" i="475"/>
  <c r="I71" i="475"/>
  <c r="I72" i="475"/>
  <c r="I73" i="475"/>
  <c r="I74" i="475"/>
  <c r="I75" i="475"/>
  <c r="I76" i="475"/>
  <c r="I77" i="475"/>
  <c r="I78" i="475"/>
  <c r="I79" i="475"/>
  <c r="I80" i="475"/>
  <c r="I81" i="475"/>
  <c r="I11" i="475"/>
  <c r="I12" i="475"/>
  <c r="I13" i="475"/>
  <c r="I14" i="475"/>
  <c r="I15" i="475"/>
  <c r="I16" i="475"/>
  <c r="I17" i="475"/>
  <c r="I18" i="475"/>
  <c r="I19" i="475"/>
  <c r="I20" i="475"/>
  <c r="I21" i="475"/>
  <c r="I22" i="475"/>
  <c r="I23" i="475"/>
  <c r="I24" i="475"/>
  <c r="I25" i="475"/>
  <c r="I26" i="475"/>
  <c r="I27" i="475"/>
  <c r="I28" i="475"/>
  <c r="I29" i="475"/>
  <c r="I30" i="475"/>
  <c r="I31" i="475"/>
  <c r="I32" i="475"/>
  <c r="I33" i="475"/>
  <c r="I34" i="475"/>
  <c r="I35" i="475"/>
  <c r="I36" i="475"/>
  <c r="I37" i="475"/>
  <c r="I38" i="475"/>
  <c r="I39" i="475"/>
  <c r="I40" i="475"/>
  <c r="I41" i="475"/>
  <c r="I42" i="475"/>
  <c r="I82" i="475"/>
  <c r="I83" i="475"/>
  <c r="I84" i="475"/>
  <c r="I85" i="475"/>
  <c r="I86" i="475"/>
  <c r="I87" i="475"/>
  <c r="I88" i="475"/>
  <c r="I89" i="475"/>
  <c r="I90" i="475"/>
  <c r="I91" i="475"/>
  <c r="I92" i="475"/>
  <c r="I93" i="475"/>
  <c r="I94" i="475"/>
  <c r="I95" i="475"/>
  <c r="I96" i="475"/>
  <c r="I97" i="475"/>
  <c r="I98" i="475"/>
  <c r="I99" i="475"/>
  <c r="I100" i="475"/>
  <c r="I101" i="475"/>
  <c r="I102" i="475"/>
  <c r="I43" i="475"/>
  <c r="I44" i="475"/>
  <c r="I106" i="475"/>
  <c r="I107" i="475"/>
  <c r="I108" i="475"/>
  <c r="I109" i="475"/>
  <c r="I110" i="475"/>
  <c r="I111" i="475"/>
  <c r="I112" i="475"/>
  <c r="I113" i="475"/>
  <c r="I114" i="475"/>
  <c r="I115" i="475"/>
  <c r="I116" i="475"/>
  <c r="I117" i="475"/>
  <c r="I118" i="475"/>
  <c r="I119" i="475"/>
  <c r="I120" i="475"/>
  <c r="I121" i="475"/>
  <c r="I122" i="475"/>
  <c r="I123" i="475"/>
  <c r="I124" i="475"/>
  <c r="I125" i="475"/>
  <c r="I126" i="475"/>
  <c r="I127" i="475"/>
  <c r="I128" i="475"/>
  <c r="I129" i="475"/>
  <c r="I130" i="475"/>
  <c r="I131" i="475"/>
  <c r="I132" i="475"/>
  <c r="I133" i="475"/>
  <c r="I134" i="475"/>
  <c r="I135" i="475"/>
  <c r="I136" i="475"/>
  <c r="I137" i="475"/>
  <c r="I138" i="475"/>
  <c r="I139" i="475"/>
  <c r="I140" i="475"/>
  <c r="I141" i="475"/>
  <c r="I142" i="475"/>
  <c r="I143" i="475"/>
  <c r="I144" i="475"/>
  <c r="I145" i="475"/>
  <c r="I146" i="475"/>
  <c r="I147" i="475"/>
  <c r="I148" i="475"/>
  <c r="I149" i="475"/>
  <c r="I150" i="475"/>
  <c r="I151" i="475"/>
  <c r="I152" i="475"/>
  <c r="I153" i="475"/>
  <c r="I154" i="475"/>
  <c r="I155" i="475"/>
  <c r="I156" i="475"/>
  <c r="I157" i="475"/>
  <c r="I158" i="475"/>
  <c r="I159" i="475"/>
  <c r="I160" i="475"/>
  <c r="I161" i="475"/>
  <c r="I162" i="475"/>
  <c r="I163" i="475"/>
  <c r="I164" i="475"/>
  <c r="I103" i="475"/>
  <c r="I104" i="475"/>
  <c r="I105" i="475"/>
  <c r="I166" i="475"/>
  <c r="I167" i="475"/>
  <c r="I168" i="475"/>
  <c r="I169" i="475"/>
  <c r="I170" i="475"/>
  <c r="I171" i="475"/>
  <c r="I172" i="475"/>
  <c r="I173" i="475"/>
  <c r="I174" i="475"/>
  <c r="I175" i="475"/>
  <c r="I176" i="475"/>
  <c r="I177" i="475"/>
  <c r="I178" i="475"/>
  <c r="I179" i="475"/>
  <c r="I180" i="475"/>
  <c r="I181" i="475"/>
  <c r="I182" i="475"/>
  <c r="I183" i="475"/>
  <c r="I184" i="475"/>
  <c r="I185" i="475"/>
  <c r="I186" i="475"/>
  <c r="I187" i="475"/>
  <c r="I188" i="475"/>
  <c r="I189" i="475"/>
  <c r="I190" i="475"/>
  <c r="I191" i="475"/>
  <c r="I192" i="475"/>
  <c r="I193" i="475"/>
  <c r="I194" i="475"/>
  <c r="I195" i="475"/>
  <c r="I196" i="475"/>
  <c r="I197" i="475"/>
  <c r="I198" i="475"/>
  <c r="I199" i="475"/>
  <c r="I200" i="475"/>
  <c r="I201" i="475"/>
  <c r="I202" i="475"/>
  <c r="I203" i="475"/>
  <c r="I204" i="475"/>
  <c r="I205" i="475"/>
  <c r="I206" i="475"/>
  <c r="I207" i="475"/>
  <c r="I208" i="475"/>
  <c r="I209" i="475"/>
  <c r="I210" i="475"/>
  <c r="I211" i="475"/>
  <c r="I212" i="475"/>
  <c r="I213" i="475"/>
  <c r="I214" i="475"/>
  <c r="I215" i="475"/>
  <c r="I216" i="475"/>
  <c r="I217" i="475"/>
  <c r="I218" i="475"/>
  <c r="I219" i="475"/>
  <c r="I220" i="475"/>
  <c r="I221" i="475"/>
  <c r="I222" i="475"/>
  <c r="I223" i="475"/>
  <c r="I224" i="475"/>
  <c r="I225" i="475"/>
  <c r="I226" i="475"/>
  <c r="I227" i="475"/>
  <c r="I228" i="475"/>
  <c r="I229" i="475"/>
  <c r="I230" i="475"/>
  <c r="I231" i="475"/>
  <c r="I232" i="475"/>
  <c r="I233" i="475"/>
  <c r="I234" i="475"/>
  <c r="I165" i="475"/>
  <c r="K242" i="475"/>
  <c r="K239" i="475"/>
  <c r="K236" i="475"/>
  <c r="K234" i="475"/>
  <c r="K228" i="475"/>
  <c r="K224" i="475"/>
  <c r="K220" i="475"/>
  <c r="K214" i="475"/>
  <c r="K212" i="475"/>
  <c r="K2" i="475"/>
  <c r="K3" i="475"/>
  <c r="K4" i="475"/>
  <c r="K5" i="475"/>
  <c r="K6" i="475"/>
  <c r="K7" i="475"/>
  <c r="K8" i="475"/>
  <c r="K9" i="475"/>
  <c r="K10" i="475"/>
  <c r="K11" i="475"/>
  <c r="K12" i="475"/>
  <c r="K13" i="475"/>
  <c r="K14" i="475"/>
  <c r="K15" i="475"/>
  <c r="K16" i="475"/>
  <c r="K17" i="475"/>
  <c r="K18" i="475"/>
  <c r="K19" i="475"/>
  <c r="K20" i="475"/>
  <c r="K21" i="475"/>
  <c r="K22" i="475"/>
  <c r="K23" i="475"/>
  <c r="K24" i="475"/>
  <c r="K25" i="475"/>
  <c r="K26" i="475"/>
  <c r="K27" i="475"/>
  <c r="K28" i="475"/>
  <c r="K29" i="475"/>
  <c r="K30" i="475"/>
  <c r="K31" i="475"/>
  <c r="K32" i="475"/>
  <c r="K33" i="475"/>
  <c r="K34" i="475"/>
  <c r="K35" i="475"/>
  <c r="K36" i="475"/>
  <c r="K37" i="475"/>
  <c r="K38" i="475"/>
  <c r="K39" i="475"/>
  <c r="K40" i="475"/>
  <c r="K41" i="475"/>
  <c r="K42" i="475"/>
  <c r="K43" i="475"/>
  <c r="K44" i="475"/>
  <c r="K45" i="475"/>
  <c r="K46" i="475"/>
  <c r="K47" i="475"/>
  <c r="K48" i="475"/>
  <c r="K49" i="475"/>
  <c r="K50" i="475"/>
  <c r="K51" i="475"/>
  <c r="K52" i="475"/>
  <c r="K53" i="475"/>
  <c r="K54" i="475"/>
  <c r="K55" i="475"/>
  <c r="K56" i="475"/>
  <c r="K57" i="475"/>
  <c r="K58" i="475"/>
  <c r="K59" i="475"/>
  <c r="K60" i="475"/>
  <c r="K61" i="475"/>
  <c r="K62" i="475"/>
  <c r="K63" i="475"/>
  <c r="K64" i="475"/>
  <c r="K65" i="475"/>
  <c r="K66" i="475"/>
  <c r="K67" i="475"/>
  <c r="K68" i="475"/>
  <c r="K69" i="475"/>
  <c r="K70" i="475"/>
  <c r="K72" i="475"/>
  <c r="K74" i="475"/>
  <c r="K76" i="475"/>
  <c r="K78" i="475"/>
  <c r="K80" i="475"/>
  <c r="K71" i="475"/>
  <c r="K73" i="475"/>
  <c r="K75" i="475"/>
  <c r="K77" i="475"/>
  <c r="K79" i="475"/>
  <c r="K81" i="475"/>
  <c r="K82" i="475"/>
  <c r="K83" i="475"/>
  <c r="K84" i="475"/>
  <c r="K85" i="475"/>
  <c r="K86" i="475"/>
  <c r="K87" i="475"/>
  <c r="K88" i="475"/>
  <c r="K89" i="475"/>
  <c r="K90" i="475"/>
  <c r="K91" i="475"/>
  <c r="K103" i="475"/>
  <c r="K104" i="475"/>
  <c r="K105" i="475"/>
  <c r="K92" i="475"/>
  <c r="K94" i="475"/>
  <c r="K96" i="475"/>
  <c r="K98" i="475"/>
  <c r="K100" i="475"/>
  <c r="K102" i="475"/>
  <c r="K106" i="475"/>
  <c r="K107" i="475"/>
  <c r="K108" i="475"/>
  <c r="K109" i="475"/>
  <c r="K110" i="475"/>
  <c r="K111" i="475"/>
  <c r="K112" i="475"/>
  <c r="K113" i="475"/>
  <c r="K114" i="475"/>
  <c r="K115" i="475"/>
  <c r="K116" i="475"/>
  <c r="K117" i="475"/>
  <c r="K118" i="475"/>
  <c r="K119" i="475"/>
  <c r="K120" i="475"/>
  <c r="K121" i="475"/>
  <c r="K122" i="475"/>
  <c r="K123" i="475"/>
  <c r="K124" i="475"/>
  <c r="K125" i="475"/>
  <c r="K126" i="475"/>
  <c r="K127" i="475"/>
  <c r="K128" i="475"/>
  <c r="K129" i="475"/>
  <c r="K130" i="475"/>
  <c r="K131" i="475"/>
  <c r="K132" i="475"/>
  <c r="K133" i="475"/>
  <c r="K134" i="475"/>
  <c r="K135" i="475"/>
  <c r="K136" i="475"/>
  <c r="K137" i="475"/>
  <c r="K138" i="475"/>
  <c r="K139" i="475"/>
  <c r="K140" i="475"/>
  <c r="K141" i="475"/>
  <c r="K142" i="475"/>
  <c r="K143" i="475"/>
  <c r="K93" i="475"/>
  <c r="K95" i="475"/>
  <c r="K97" i="475"/>
  <c r="K99" i="475"/>
  <c r="K101" i="475"/>
  <c r="K144" i="475"/>
  <c r="K146" i="475"/>
  <c r="K148" i="475"/>
  <c r="K150" i="475"/>
  <c r="K152" i="475"/>
  <c r="K154" i="475"/>
  <c r="K156" i="475"/>
  <c r="K158" i="475"/>
  <c r="K160" i="475"/>
  <c r="K162" i="475"/>
  <c r="K164" i="475"/>
  <c r="K165" i="475"/>
  <c r="K145" i="475"/>
  <c r="K147" i="475"/>
  <c r="K149" i="475"/>
  <c r="K151" i="475"/>
  <c r="K153" i="475"/>
  <c r="K155" i="475"/>
  <c r="K157" i="475"/>
  <c r="K159" i="475"/>
  <c r="K161" i="475"/>
  <c r="K163" i="475"/>
  <c r="K166" i="475"/>
  <c r="K167" i="475"/>
  <c r="K168" i="475"/>
  <c r="K169" i="475"/>
  <c r="K170" i="475"/>
  <c r="K171" i="475"/>
  <c r="K172" i="475"/>
  <c r="K173" i="475"/>
  <c r="K174" i="475"/>
  <c r="K175" i="475"/>
  <c r="K176" i="475"/>
  <c r="K177" i="475"/>
  <c r="K178" i="475"/>
  <c r="K179" i="475"/>
  <c r="K180" i="475"/>
  <c r="K181" i="475"/>
  <c r="K182" i="475"/>
  <c r="K183" i="475"/>
  <c r="K184" i="475"/>
  <c r="K185" i="475"/>
  <c r="K186" i="475"/>
  <c r="K187" i="475"/>
  <c r="K188" i="475"/>
  <c r="K189" i="475"/>
  <c r="K190" i="475"/>
  <c r="K191" i="475"/>
  <c r="K192" i="475"/>
  <c r="K193" i="475"/>
  <c r="K194" i="475"/>
  <c r="K195" i="475"/>
  <c r="K196" i="475"/>
  <c r="K197" i="475"/>
  <c r="K198" i="475"/>
  <c r="K199" i="475"/>
  <c r="K200" i="475"/>
  <c r="K201" i="475"/>
  <c r="K202" i="475"/>
  <c r="K203" i="475"/>
  <c r="K204" i="475"/>
  <c r="K205" i="475"/>
  <c r="K206" i="475"/>
  <c r="K207" i="475"/>
  <c r="K208" i="475"/>
  <c r="K209" i="475"/>
  <c r="I247" i="475"/>
  <c r="H246" i="475"/>
  <c r="H245" i="475"/>
  <c r="K244" i="475"/>
  <c r="G243" i="475"/>
  <c r="G242" i="475"/>
  <c r="G241" i="475"/>
  <c r="G240" i="475"/>
  <c r="G239" i="475"/>
  <c r="G238" i="475"/>
  <c r="G237" i="475"/>
  <c r="G236" i="475"/>
  <c r="G235" i="475"/>
  <c r="K233" i="475"/>
  <c r="K231" i="475"/>
  <c r="K229" i="475"/>
  <c r="K227" i="475"/>
  <c r="K225" i="475"/>
  <c r="K223" i="475"/>
  <c r="K221" i="475"/>
  <c r="K219" i="475"/>
  <c r="K217" i="475"/>
  <c r="K215" i="475"/>
  <c r="K213" i="475"/>
  <c r="K211" i="475"/>
  <c r="J3" i="475"/>
  <c r="J4" i="475"/>
  <c r="J5" i="475"/>
  <c r="J6" i="475"/>
  <c r="J7" i="475"/>
  <c r="J8" i="475"/>
  <c r="J9" i="475"/>
  <c r="J10" i="475"/>
  <c r="J11" i="475"/>
  <c r="J12" i="475"/>
  <c r="J13" i="475"/>
  <c r="J14" i="475"/>
  <c r="J15" i="475"/>
  <c r="J16" i="475"/>
  <c r="J17" i="475"/>
  <c r="J18" i="475"/>
  <c r="J19" i="475"/>
  <c r="J20" i="475"/>
  <c r="J21" i="475"/>
  <c r="J22" i="475"/>
  <c r="J23" i="475"/>
  <c r="J24" i="475"/>
  <c r="J25" i="475"/>
  <c r="J26" i="475"/>
  <c r="J27" i="475"/>
  <c r="J28" i="475"/>
  <c r="J29" i="475"/>
  <c r="J30" i="475"/>
  <c r="J31" i="475"/>
  <c r="J32" i="475"/>
  <c r="J33" i="475"/>
  <c r="J34" i="475"/>
  <c r="J35" i="475"/>
  <c r="J36" i="475"/>
  <c r="J37" i="475"/>
  <c r="J38" i="475"/>
  <c r="J39" i="475"/>
  <c r="J40" i="475"/>
  <c r="J41" i="475"/>
  <c r="J42" i="475"/>
  <c r="J43" i="475"/>
  <c r="J44" i="475"/>
  <c r="J2" i="475"/>
  <c r="J70" i="475"/>
  <c r="J72" i="475"/>
  <c r="J74" i="475"/>
  <c r="J76" i="475"/>
  <c r="J78" i="475"/>
  <c r="J80" i="475"/>
  <c r="J45" i="475"/>
  <c r="J47" i="475"/>
  <c r="J49" i="475"/>
  <c r="J51" i="475"/>
  <c r="J53" i="475"/>
  <c r="J55" i="475"/>
  <c r="J57" i="475"/>
  <c r="J59" i="475"/>
  <c r="J61" i="475"/>
  <c r="J71" i="475"/>
  <c r="J73" i="475"/>
  <c r="J75" i="475"/>
  <c r="J77" i="475"/>
  <c r="J79" i="475"/>
  <c r="J81" i="475"/>
  <c r="J82" i="475"/>
  <c r="J83" i="475"/>
  <c r="J84" i="475"/>
  <c r="J85" i="475"/>
  <c r="J86" i="475"/>
  <c r="J87" i="475"/>
  <c r="J88" i="475"/>
  <c r="J89" i="475"/>
  <c r="J90" i="475"/>
  <c r="J91" i="475"/>
  <c r="J92" i="475"/>
  <c r="J93" i="475"/>
  <c r="J94" i="475"/>
  <c r="J95" i="475"/>
  <c r="J96" i="475"/>
  <c r="J97" i="475"/>
  <c r="J98" i="475"/>
  <c r="J99" i="475"/>
  <c r="J100" i="475"/>
  <c r="J101" i="475"/>
  <c r="J102" i="475"/>
  <c r="J103" i="475"/>
  <c r="J104" i="475"/>
  <c r="J105" i="475"/>
  <c r="J46" i="475"/>
  <c r="J48" i="475"/>
  <c r="J50" i="475"/>
  <c r="J52" i="475"/>
  <c r="J54" i="475"/>
  <c r="J56" i="475"/>
  <c r="J58" i="475"/>
  <c r="J60" i="475"/>
  <c r="J62" i="475"/>
  <c r="J63" i="475"/>
  <c r="J64" i="475"/>
  <c r="J65" i="475"/>
  <c r="J66" i="475"/>
  <c r="J67" i="475"/>
  <c r="J68" i="475"/>
  <c r="J69" i="475"/>
  <c r="J106" i="475"/>
  <c r="J107" i="475"/>
  <c r="J108" i="475"/>
  <c r="J109" i="475"/>
  <c r="J110" i="475"/>
  <c r="J111" i="475"/>
  <c r="J112" i="475"/>
  <c r="J113" i="475"/>
  <c r="J114" i="475"/>
  <c r="J115" i="475"/>
  <c r="J116" i="475"/>
  <c r="J117" i="475"/>
  <c r="J118" i="475"/>
  <c r="J119" i="475"/>
  <c r="J120" i="475"/>
  <c r="J121" i="475"/>
  <c r="J122" i="475"/>
  <c r="J123" i="475"/>
  <c r="J124" i="475"/>
  <c r="J125" i="475"/>
  <c r="J126" i="475"/>
  <c r="J127" i="475"/>
  <c r="J128" i="475"/>
  <c r="J129" i="475"/>
  <c r="J130" i="475"/>
  <c r="J131" i="475"/>
  <c r="J132" i="475"/>
  <c r="J133" i="475"/>
  <c r="J134" i="475"/>
  <c r="J135" i="475"/>
  <c r="J136" i="475"/>
  <c r="J137" i="475"/>
  <c r="J138" i="475"/>
  <c r="J139" i="475"/>
  <c r="J140" i="475"/>
  <c r="J141" i="475"/>
  <c r="J142" i="475"/>
  <c r="J143" i="475"/>
  <c r="J144" i="475"/>
  <c r="J145" i="475"/>
  <c r="J146" i="475"/>
  <c r="J147" i="475"/>
  <c r="J148" i="475"/>
  <c r="J149" i="475"/>
  <c r="J150" i="475"/>
  <c r="J151" i="475"/>
  <c r="J152" i="475"/>
  <c r="J153" i="475"/>
  <c r="J154" i="475"/>
  <c r="J155" i="475"/>
  <c r="J156" i="475"/>
  <c r="J157" i="475"/>
  <c r="J158" i="475"/>
  <c r="J159" i="475"/>
  <c r="J160" i="475"/>
  <c r="J161" i="475"/>
  <c r="J162" i="475"/>
  <c r="J163" i="475"/>
  <c r="J164" i="475"/>
  <c r="J165" i="475"/>
  <c r="J166" i="475"/>
  <c r="J167" i="475"/>
  <c r="J168" i="475"/>
  <c r="J169" i="475"/>
  <c r="J170" i="475"/>
  <c r="J171" i="475"/>
  <c r="J172" i="475"/>
  <c r="J173" i="475"/>
  <c r="J174" i="475"/>
  <c r="J175" i="475"/>
  <c r="J176" i="475"/>
  <c r="J177" i="475"/>
  <c r="J178" i="475"/>
  <c r="J179" i="475"/>
  <c r="J180" i="475"/>
  <c r="J181" i="475"/>
  <c r="J182" i="475"/>
  <c r="J183" i="475"/>
  <c r="J184" i="475"/>
  <c r="J185" i="475"/>
  <c r="J186" i="475"/>
  <c r="J187" i="475"/>
  <c r="J188" i="475"/>
  <c r="J189" i="475"/>
  <c r="J190" i="475"/>
  <c r="J191" i="475"/>
  <c r="J192" i="475"/>
  <c r="J193" i="475"/>
  <c r="J194" i="475"/>
  <c r="J195" i="475"/>
  <c r="J196" i="475"/>
  <c r="J197" i="475"/>
  <c r="J198" i="475"/>
  <c r="J199" i="475"/>
  <c r="J200" i="475"/>
  <c r="J201" i="475"/>
  <c r="J202" i="475"/>
  <c r="J203" i="475"/>
  <c r="J204" i="475"/>
  <c r="J205" i="475"/>
  <c r="J206" i="475"/>
  <c r="J207" i="475"/>
  <c r="J208" i="475"/>
  <c r="J209" i="475"/>
  <c r="J210" i="475"/>
  <c r="J211" i="475"/>
  <c r="J212" i="475"/>
  <c r="J213" i="475"/>
  <c r="J214" i="475"/>
  <c r="J215" i="475"/>
  <c r="J216" i="475"/>
  <c r="J217" i="475"/>
  <c r="J218" i="475"/>
  <c r="J219" i="475"/>
  <c r="J220" i="475"/>
  <c r="J221" i="475"/>
  <c r="J222" i="475"/>
  <c r="J223" i="475"/>
  <c r="J224" i="475"/>
  <c r="J225" i="475"/>
  <c r="J226" i="475"/>
  <c r="J227" i="475"/>
  <c r="J228" i="475"/>
  <c r="J229" i="475"/>
  <c r="J230" i="475"/>
  <c r="J231" i="475"/>
  <c r="J232" i="475"/>
  <c r="J233" i="475"/>
  <c r="J234" i="475"/>
  <c r="J235" i="475"/>
  <c r="J236" i="475"/>
  <c r="J237" i="475"/>
  <c r="J238" i="475"/>
  <c r="J239" i="475"/>
  <c r="J240" i="475"/>
  <c r="J241" i="475"/>
  <c r="J242" i="475"/>
  <c r="J243" i="475"/>
  <c r="J244" i="475"/>
  <c r="G231" i="475"/>
  <c r="G225" i="475"/>
  <c r="G223" i="475"/>
  <c r="G221" i="475"/>
  <c r="G219" i="475"/>
  <c r="G217" i="475"/>
  <c r="G215" i="475"/>
  <c r="G213" i="475"/>
  <c r="G211" i="475"/>
  <c r="G246" i="475"/>
  <c r="K247" i="475"/>
  <c r="K241" i="475"/>
  <c r="K238" i="475"/>
  <c r="K232" i="475"/>
  <c r="K245" i="474"/>
  <c r="K243" i="474"/>
  <c r="K241" i="474"/>
  <c r="K239" i="474"/>
  <c r="J3" i="474"/>
  <c r="J4" i="474"/>
  <c r="J5" i="474"/>
  <c r="J6" i="474"/>
  <c r="J7" i="474"/>
  <c r="J8" i="474"/>
  <c r="J9" i="474"/>
  <c r="J10" i="474"/>
  <c r="J11" i="474"/>
  <c r="J12" i="474"/>
  <c r="J13" i="474"/>
  <c r="J14" i="474"/>
  <c r="J15" i="474"/>
  <c r="J16" i="474"/>
  <c r="J17" i="474"/>
  <c r="J18" i="474"/>
  <c r="J19" i="474"/>
  <c r="J20" i="474"/>
  <c r="J21" i="474"/>
  <c r="J22" i="474"/>
  <c r="J23" i="474"/>
  <c r="J24" i="474"/>
  <c r="J25" i="474"/>
  <c r="J26" i="474"/>
  <c r="J27" i="474"/>
  <c r="J28" i="474"/>
  <c r="J29" i="474"/>
  <c r="J30" i="474"/>
  <c r="J31" i="474"/>
  <c r="J32" i="474"/>
  <c r="J33" i="474"/>
  <c r="J34" i="474"/>
  <c r="J35" i="474"/>
  <c r="J36" i="474"/>
  <c r="J37" i="474"/>
  <c r="J38" i="474"/>
  <c r="J39" i="474"/>
  <c r="J40" i="474"/>
  <c r="J41" i="474"/>
  <c r="J42" i="474"/>
  <c r="J43" i="474"/>
  <c r="J44" i="474"/>
  <c r="J2" i="474"/>
  <c r="J45" i="474"/>
  <c r="J46" i="474"/>
  <c r="J47" i="474"/>
  <c r="J48" i="474"/>
  <c r="J49" i="474"/>
  <c r="J50" i="474"/>
  <c r="J51" i="474"/>
  <c r="J52" i="474"/>
  <c r="J53" i="474"/>
  <c r="J54" i="474"/>
  <c r="J55" i="474"/>
  <c r="J56" i="474"/>
  <c r="J57" i="474"/>
  <c r="J58" i="474"/>
  <c r="J59" i="474"/>
  <c r="J60" i="474"/>
  <c r="J61" i="474"/>
  <c r="J62" i="474"/>
  <c r="J63" i="474"/>
  <c r="J64" i="474"/>
  <c r="J65" i="474"/>
  <c r="J66" i="474"/>
  <c r="J67" i="474"/>
  <c r="J68" i="474"/>
  <c r="J69" i="474"/>
  <c r="J70" i="474"/>
  <c r="J71" i="474"/>
  <c r="J72" i="474"/>
  <c r="J73" i="474"/>
  <c r="J74" i="474"/>
  <c r="J75" i="474"/>
  <c r="J76" i="474"/>
  <c r="J77" i="474"/>
  <c r="J78" i="474"/>
  <c r="J79" i="474"/>
  <c r="J81" i="474"/>
  <c r="J82" i="474"/>
  <c r="J83" i="474"/>
  <c r="J84" i="474"/>
  <c r="J85" i="474"/>
  <c r="J86" i="474"/>
  <c r="J87" i="474"/>
  <c r="J88" i="474"/>
  <c r="J89" i="474"/>
  <c r="J90" i="474"/>
  <c r="J91" i="474"/>
  <c r="J92" i="474"/>
  <c r="J93" i="474"/>
  <c r="J94" i="474"/>
  <c r="J95" i="474"/>
  <c r="J96" i="474"/>
  <c r="J97" i="474"/>
  <c r="J98" i="474"/>
  <c r="J99" i="474"/>
  <c r="J100" i="474"/>
  <c r="J80" i="474"/>
  <c r="J101" i="474"/>
  <c r="J102" i="474"/>
  <c r="J103" i="474"/>
  <c r="J104" i="474"/>
  <c r="J105" i="474"/>
  <c r="J107" i="474"/>
  <c r="J109" i="474"/>
  <c r="J111" i="474"/>
  <c r="J113" i="474"/>
  <c r="J115" i="474"/>
  <c r="J117" i="474"/>
  <c r="J119" i="474"/>
  <c r="J121" i="474"/>
  <c r="J123" i="474"/>
  <c r="J125" i="474"/>
  <c r="J127" i="474"/>
  <c r="J106" i="474"/>
  <c r="J108" i="474"/>
  <c r="J110" i="474"/>
  <c r="J112" i="474"/>
  <c r="J114" i="474"/>
  <c r="J116" i="474"/>
  <c r="J118" i="474"/>
  <c r="J120" i="474"/>
  <c r="J122" i="474"/>
  <c r="J124" i="474"/>
  <c r="J126" i="474"/>
  <c r="J128" i="474"/>
  <c r="J129" i="474"/>
  <c r="J130" i="474"/>
  <c r="J131" i="474"/>
  <c r="J132" i="474"/>
  <c r="J133" i="474"/>
  <c r="J134" i="474"/>
  <c r="J135" i="474"/>
  <c r="J136" i="474"/>
  <c r="J137" i="474"/>
  <c r="J138" i="474"/>
  <c r="J139" i="474"/>
  <c r="J140" i="474"/>
  <c r="J141" i="474"/>
  <c r="J142" i="474"/>
  <c r="J143" i="474"/>
  <c r="J144" i="474"/>
  <c r="J145" i="474"/>
  <c r="J146" i="474"/>
  <c r="J147" i="474"/>
  <c r="J148" i="474"/>
  <c r="J149" i="474"/>
  <c r="J150" i="474"/>
  <c r="J151" i="474"/>
  <c r="J152" i="474"/>
  <c r="J153" i="474"/>
  <c r="J154" i="474"/>
  <c r="J155" i="474"/>
  <c r="J156" i="474"/>
  <c r="J157" i="474"/>
  <c r="J158" i="474"/>
  <c r="J159" i="474"/>
  <c r="J160" i="474"/>
  <c r="J161" i="474"/>
  <c r="J162" i="474"/>
  <c r="J163" i="474"/>
  <c r="J164" i="474"/>
  <c r="J165" i="474"/>
  <c r="J166" i="474"/>
  <c r="J167" i="474"/>
  <c r="J168" i="474"/>
  <c r="J169" i="474"/>
  <c r="J170" i="474"/>
  <c r="J171" i="474"/>
  <c r="J172" i="474"/>
  <c r="J173" i="474"/>
  <c r="J174" i="474"/>
  <c r="J175" i="474"/>
  <c r="J176" i="474"/>
  <c r="J177" i="474"/>
  <c r="J178" i="474"/>
  <c r="J179" i="474"/>
  <c r="J180" i="474"/>
  <c r="J181" i="474"/>
  <c r="J182" i="474"/>
  <c r="J183" i="474"/>
  <c r="J184" i="474"/>
  <c r="J185" i="474"/>
  <c r="J186" i="474"/>
  <c r="J187" i="474"/>
  <c r="J188" i="474"/>
  <c r="J189" i="474"/>
  <c r="J190" i="474"/>
  <c r="J191" i="474"/>
  <c r="J192" i="474"/>
  <c r="J193" i="474"/>
  <c r="J207" i="474"/>
  <c r="J209" i="474"/>
  <c r="J211" i="474"/>
  <c r="J213" i="474"/>
  <c r="J215" i="474"/>
  <c r="J217" i="474"/>
  <c r="J219" i="474"/>
  <c r="J221" i="474"/>
  <c r="J223" i="474"/>
  <c r="J225" i="474"/>
  <c r="J194" i="474"/>
  <c r="J195" i="474"/>
  <c r="J196" i="474"/>
  <c r="J197" i="474"/>
  <c r="J198" i="474"/>
  <c r="J199" i="474"/>
  <c r="J200" i="474"/>
  <c r="J201" i="474"/>
  <c r="J202" i="474"/>
  <c r="J203" i="474"/>
  <c r="J204" i="474"/>
  <c r="J205" i="474"/>
  <c r="J206" i="474"/>
  <c r="J208" i="474"/>
  <c r="J210" i="474"/>
  <c r="J212" i="474"/>
  <c r="J214" i="474"/>
  <c r="J216" i="474"/>
  <c r="J218" i="474"/>
  <c r="J220" i="474"/>
  <c r="J222" i="474"/>
  <c r="J224" i="474"/>
  <c r="J226" i="474"/>
  <c r="K247" i="474"/>
  <c r="G246" i="474"/>
  <c r="J245" i="474"/>
  <c r="G244" i="474"/>
  <c r="J243" i="474"/>
  <c r="G242" i="474"/>
  <c r="J241" i="474"/>
  <c r="G240" i="474"/>
  <c r="J239" i="474"/>
  <c r="G238" i="474"/>
  <c r="J237" i="474"/>
  <c r="G236" i="474"/>
  <c r="J235" i="474"/>
  <c r="G234" i="474"/>
  <c r="J233" i="474"/>
  <c r="G232" i="474"/>
  <c r="J231" i="474"/>
  <c r="G230" i="474"/>
  <c r="J229" i="474"/>
  <c r="J227" i="474"/>
  <c r="K226" i="474"/>
  <c r="K225" i="474"/>
  <c r="K224" i="474"/>
  <c r="H223" i="474"/>
  <c r="H221" i="474"/>
  <c r="H219" i="474"/>
  <c r="H217" i="474"/>
  <c r="H215" i="474"/>
  <c r="H213" i="474"/>
  <c r="H211" i="474"/>
  <c r="H209" i="474"/>
  <c r="H207" i="474"/>
  <c r="G2" i="474"/>
  <c r="G3" i="474"/>
  <c r="G4" i="474"/>
  <c r="G5" i="474"/>
  <c r="G6" i="474"/>
  <c r="G7" i="474"/>
  <c r="G8" i="474"/>
  <c r="G9" i="474"/>
  <c r="G10" i="474"/>
  <c r="G11" i="474"/>
  <c r="G12" i="474"/>
  <c r="G13" i="474"/>
  <c r="G14" i="474"/>
  <c r="G15" i="474"/>
  <c r="G16" i="474"/>
  <c r="G17" i="474"/>
  <c r="G18" i="474"/>
  <c r="G19" i="474"/>
  <c r="G20" i="474"/>
  <c r="G21" i="474"/>
  <c r="G22" i="474"/>
  <c r="G23" i="474"/>
  <c r="G24" i="474"/>
  <c r="G26" i="474"/>
  <c r="G28" i="474"/>
  <c r="G30" i="474"/>
  <c r="G32" i="474"/>
  <c r="G34" i="474"/>
  <c r="G35" i="474"/>
  <c r="G36" i="474"/>
  <c r="G37" i="474"/>
  <c r="G38" i="474"/>
  <c r="G39" i="474"/>
  <c r="G40" i="474"/>
  <c r="G41" i="474"/>
  <c r="G42" i="474"/>
  <c r="G43" i="474"/>
  <c r="G44" i="474"/>
  <c r="G45" i="474"/>
  <c r="G25" i="474"/>
  <c r="G27" i="474"/>
  <c r="G29" i="474"/>
  <c r="G31" i="474"/>
  <c r="G33" i="474"/>
  <c r="G47" i="474"/>
  <c r="G48" i="474"/>
  <c r="G49" i="474"/>
  <c r="G50" i="474"/>
  <c r="G51" i="474"/>
  <c r="G52" i="474"/>
  <c r="G53" i="474"/>
  <c r="G54" i="474"/>
  <c r="G55" i="474"/>
  <c r="G56" i="474"/>
  <c r="G57" i="474"/>
  <c r="G58" i="474"/>
  <c r="G59" i="474"/>
  <c r="G60" i="474"/>
  <c r="G61" i="474"/>
  <c r="G62" i="474"/>
  <c r="G63" i="474"/>
  <c r="G64" i="474"/>
  <c r="G65" i="474"/>
  <c r="G66" i="474"/>
  <c r="G67" i="474"/>
  <c r="G68" i="474"/>
  <c r="G69" i="474"/>
  <c r="G70" i="474"/>
  <c r="G71" i="474"/>
  <c r="G72" i="474"/>
  <c r="G73" i="474"/>
  <c r="G74" i="474"/>
  <c r="G75" i="474"/>
  <c r="G76" i="474"/>
  <c r="G77" i="474"/>
  <c r="G78" i="474"/>
  <c r="G79" i="474"/>
  <c r="G46" i="474"/>
  <c r="G80" i="474"/>
  <c r="G82" i="474"/>
  <c r="G83" i="474"/>
  <c r="G84" i="474"/>
  <c r="G85" i="474"/>
  <c r="G86" i="474"/>
  <c r="G87" i="474"/>
  <c r="G88" i="474"/>
  <c r="G89" i="474"/>
  <c r="G90" i="474"/>
  <c r="G91" i="474"/>
  <c r="G92" i="474"/>
  <c r="G93" i="474"/>
  <c r="G94" i="474"/>
  <c r="G95" i="474"/>
  <c r="G96" i="474"/>
  <c r="G97" i="474"/>
  <c r="G98" i="474"/>
  <c r="G99" i="474"/>
  <c r="G81" i="474"/>
  <c r="G101" i="474"/>
  <c r="G102" i="474"/>
  <c r="G103" i="474"/>
  <c r="G104" i="474"/>
  <c r="G105" i="474"/>
  <c r="G129" i="474"/>
  <c r="G130" i="474"/>
  <c r="G131" i="474"/>
  <c r="G132" i="474"/>
  <c r="G133" i="474"/>
  <c r="G134" i="474"/>
  <c r="G135" i="474"/>
  <c r="G136" i="474"/>
  <c r="G137" i="474"/>
  <c r="G138" i="474"/>
  <c r="G139" i="474"/>
  <c r="G140" i="474"/>
  <c r="G141" i="474"/>
  <c r="G142" i="474"/>
  <c r="G143" i="474"/>
  <c r="G144" i="474"/>
  <c r="G145" i="474"/>
  <c r="G146" i="474"/>
  <c r="G147" i="474"/>
  <c r="G148" i="474"/>
  <c r="G149" i="474"/>
  <c r="G100" i="474"/>
  <c r="G106" i="474"/>
  <c r="G108" i="474"/>
  <c r="G110" i="474"/>
  <c r="G112" i="474"/>
  <c r="G114" i="474"/>
  <c r="G116" i="474"/>
  <c r="G118" i="474"/>
  <c r="G120" i="474"/>
  <c r="G122" i="474"/>
  <c r="G124" i="474"/>
  <c r="G126" i="474"/>
  <c r="G128" i="474"/>
  <c r="G107" i="474"/>
  <c r="G109" i="474"/>
  <c r="G111" i="474"/>
  <c r="G113" i="474"/>
  <c r="G115" i="474"/>
  <c r="G117" i="474"/>
  <c r="G119" i="474"/>
  <c r="G121" i="474"/>
  <c r="G123" i="474"/>
  <c r="G125" i="474"/>
  <c r="G127" i="474"/>
  <c r="G150" i="474"/>
  <c r="G152" i="474"/>
  <c r="G154" i="474"/>
  <c r="G156" i="474"/>
  <c r="G158" i="474"/>
  <c r="G160" i="474"/>
  <c r="G193" i="474"/>
  <c r="G151" i="474"/>
  <c r="G153" i="474"/>
  <c r="G155" i="474"/>
  <c r="G157" i="474"/>
  <c r="G159" i="474"/>
  <c r="G161" i="474"/>
  <c r="G162" i="474"/>
  <c r="G163" i="474"/>
  <c r="G164" i="474"/>
  <c r="G165" i="474"/>
  <c r="G166" i="474"/>
  <c r="G167" i="474"/>
  <c r="G168" i="474"/>
  <c r="G169" i="474"/>
  <c r="G170" i="474"/>
  <c r="G171" i="474"/>
  <c r="G172" i="474"/>
  <c r="G173" i="474"/>
  <c r="G174" i="474"/>
  <c r="G175" i="474"/>
  <c r="G176" i="474"/>
  <c r="G177" i="474"/>
  <c r="G178" i="474"/>
  <c r="G179" i="474"/>
  <c r="G180" i="474"/>
  <c r="G181" i="474"/>
  <c r="G182" i="474"/>
  <c r="G183" i="474"/>
  <c r="G184" i="474"/>
  <c r="G185" i="474"/>
  <c r="G186" i="474"/>
  <c r="G187" i="474"/>
  <c r="G188" i="474"/>
  <c r="G189" i="474"/>
  <c r="G190" i="474"/>
  <c r="G191" i="474"/>
  <c r="G192" i="474"/>
  <c r="G194" i="474"/>
  <c r="G195" i="474"/>
  <c r="G196" i="474"/>
  <c r="G197" i="474"/>
  <c r="G198" i="474"/>
  <c r="G199" i="474"/>
  <c r="G200" i="474"/>
  <c r="G201" i="474"/>
  <c r="G202" i="474"/>
  <c r="G203" i="474"/>
  <c r="G204" i="474"/>
  <c r="G205" i="474"/>
  <c r="G206" i="474"/>
  <c r="G207" i="474"/>
  <c r="G208" i="474"/>
  <c r="G209" i="474"/>
  <c r="G210" i="474"/>
  <c r="G211" i="474"/>
  <c r="G212" i="474"/>
  <c r="G213" i="474"/>
  <c r="G214" i="474"/>
  <c r="G215" i="474"/>
  <c r="G216" i="474"/>
  <c r="G217" i="474"/>
  <c r="G218" i="474"/>
  <c r="G219" i="474"/>
  <c r="G220" i="474"/>
  <c r="G221" i="474"/>
  <c r="G222" i="474"/>
  <c r="G223" i="474"/>
  <c r="G247" i="474"/>
  <c r="H243" i="474"/>
  <c r="H241" i="474"/>
  <c r="H239" i="474"/>
  <c r="H237" i="474"/>
  <c r="H235" i="474"/>
  <c r="K234" i="474"/>
  <c r="H233" i="474"/>
  <c r="K232" i="474"/>
  <c r="H231" i="474"/>
  <c r="K230" i="474"/>
  <c r="H229" i="474"/>
  <c r="K228" i="474"/>
  <c r="H227" i="474"/>
  <c r="H226" i="474"/>
  <c r="H225" i="474"/>
  <c r="H224" i="474"/>
  <c r="I3" i="474"/>
  <c r="I4" i="474"/>
  <c r="I5" i="474"/>
  <c r="I6" i="474"/>
  <c r="I7" i="474"/>
  <c r="I8" i="474"/>
  <c r="I9" i="474"/>
  <c r="I10" i="474"/>
  <c r="I11" i="474"/>
  <c r="I12" i="474"/>
  <c r="I13" i="474"/>
  <c r="I14" i="474"/>
  <c r="I15" i="474"/>
  <c r="I16" i="474"/>
  <c r="I17" i="474"/>
  <c r="I18" i="474"/>
  <c r="I19" i="474"/>
  <c r="I20" i="474"/>
  <c r="I21" i="474"/>
  <c r="I22" i="474"/>
  <c r="I23" i="474"/>
  <c r="I24" i="474"/>
  <c r="I25" i="474"/>
  <c r="I26" i="474"/>
  <c r="I27" i="474"/>
  <c r="I28" i="474"/>
  <c r="I29" i="474"/>
  <c r="I30" i="474"/>
  <c r="I31" i="474"/>
  <c r="I32" i="474"/>
  <c r="I33" i="474"/>
  <c r="I2" i="474"/>
  <c r="I34" i="474"/>
  <c r="I35" i="474"/>
  <c r="I36" i="474"/>
  <c r="I37" i="474"/>
  <c r="I38" i="474"/>
  <c r="I39" i="474"/>
  <c r="I40" i="474"/>
  <c r="I41" i="474"/>
  <c r="I42" i="474"/>
  <c r="I43" i="474"/>
  <c r="I44" i="474"/>
  <c r="I45" i="474"/>
  <c r="I46" i="474"/>
  <c r="I47" i="474"/>
  <c r="I48" i="474"/>
  <c r="I49" i="474"/>
  <c r="I50" i="474"/>
  <c r="I51" i="474"/>
  <c r="I52" i="474"/>
  <c r="I53" i="474"/>
  <c r="I54" i="474"/>
  <c r="I55" i="474"/>
  <c r="I56" i="474"/>
  <c r="I57" i="474"/>
  <c r="I58" i="474"/>
  <c r="I59" i="474"/>
  <c r="I60" i="474"/>
  <c r="I61" i="474"/>
  <c r="I62" i="474"/>
  <c r="I63" i="474"/>
  <c r="I64" i="474"/>
  <c r="I65" i="474"/>
  <c r="I66" i="474"/>
  <c r="I67" i="474"/>
  <c r="I68" i="474"/>
  <c r="I69" i="474"/>
  <c r="I70" i="474"/>
  <c r="I71" i="474"/>
  <c r="I72" i="474"/>
  <c r="I73" i="474"/>
  <c r="I74" i="474"/>
  <c r="I75" i="474"/>
  <c r="I76" i="474"/>
  <c r="I77" i="474"/>
  <c r="I78" i="474"/>
  <c r="I79" i="474"/>
  <c r="I80" i="474"/>
  <c r="I81" i="474"/>
  <c r="I82" i="474"/>
  <c r="I83" i="474"/>
  <c r="I84" i="474"/>
  <c r="I85" i="474"/>
  <c r="I86" i="474"/>
  <c r="I87" i="474"/>
  <c r="I88" i="474"/>
  <c r="I89" i="474"/>
  <c r="I90" i="474"/>
  <c r="I91" i="474"/>
  <c r="I92" i="474"/>
  <c r="I93" i="474"/>
  <c r="I94" i="474"/>
  <c r="I95" i="474"/>
  <c r="I96" i="474"/>
  <c r="I97" i="474"/>
  <c r="I98" i="474"/>
  <c r="I99" i="474"/>
  <c r="I100" i="474"/>
  <c r="I101" i="474"/>
  <c r="I102" i="474"/>
  <c r="I103" i="474"/>
  <c r="I104" i="474"/>
  <c r="I105" i="474"/>
  <c r="I107" i="474"/>
  <c r="I109" i="474"/>
  <c r="I111" i="474"/>
  <c r="I113" i="474"/>
  <c r="I115" i="474"/>
  <c r="I117" i="474"/>
  <c r="I119" i="474"/>
  <c r="I121" i="474"/>
  <c r="I123" i="474"/>
  <c r="I125" i="474"/>
  <c r="I127" i="474"/>
  <c r="I106" i="474"/>
  <c r="I108" i="474"/>
  <c r="I110" i="474"/>
  <c r="I112" i="474"/>
  <c r="I114" i="474"/>
  <c r="I116" i="474"/>
  <c r="I118" i="474"/>
  <c r="I120" i="474"/>
  <c r="I122" i="474"/>
  <c r="I124" i="474"/>
  <c r="I126" i="474"/>
  <c r="I128" i="474"/>
  <c r="I129" i="474"/>
  <c r="I130" i="474"/>
  <c r="I131" i="474"/>
  <c r="I132" i="474"/>
  <c r="I133" i="474"/>
  <c r="I134" i="474"/>
  <c r="I135" i="474"/>
  <c r="I136" i="474"/>
  <c r="I137" i="474"/>
  <c r="I138" i="474"/>
  <c r="I139" i="474"/>
  <c r="I140" i="474"/>
  <c r="I141" i="474"/>
  <c r="I142" i="474"/>
  <c r="I143" i="474"/>
  <c r="I144" i="474"/>
  <c r="I145" i="474"/>
  <c r="I146" i="474"/>
  <c r="I147" i="474"/>
  <c r="I148" i="474"/>
  <c r="I149" i="474"/>
  <c r="I150" i="474"/>
  <c r="I151" i="474"/>
  <c r="I152" i="474"/>
  <c r="I153" i="474"/>
  <c r="I154" i="474"/>
  <c r="I155" i="474"/>
  <c r="I156" i="474"/>
  <c r="I157" i="474"/>
  <c r="I158" i="474"/>
  <c r="I159" i="474"/>
  <c r="I160" i="474"/>
  <c r="I192" i="474"/>
  <c r="I194" i="474"/>
  <c r="I195" i="474"/>
  <c r="I196" i="474"/>
  <c r="I197" i="474"/>
  <c r="I198" i="474"/>
  <c r="I199" i="474"/>
  <c r="I200" i="474"/>
  <c r="I201" i="474"/>
  <c r="I202" i="474"/>
  <c r="I203" i="474"/>
  <c r="I204" i="474"/>
  <c r="I205" i="474"/>
  <c r="I206" i="474"/>
  <c r="I207" i="474"/>
  <c r="I208" i="474"/>
  <c r="I209" i="474"/>
  <c r="I210" i="474"/>
  <c r="I211" i="474"/>
  <c r="I212" i="474"/>
  <c r="I213" i="474"/>
  <c r="I214" i="474"/>
  <c r="I215" i="474"/>
  <c r="I216" i="474"/>
  <c r="I217" i="474"/>
  <c r="I218" i="474"/>
  <c r="I219" i="474"/>
  <c r="I220" i="474"/>
  <c r="I221" i="474"/>
  <c r="I222" i="474"/>
  <c r="I223" i="474"/>
  <c r="I224" i="474"/>
  <c r="I225" i="474"/>
  <c r="I226" i="474"/>
  <c r="I227" i="474"/>
  <c r="I228" i="474"/>
  <c r="I229" i="474"/>
  <c r="I230" i="474"/>
  <c r="I231" i="474"/>
  <c r="I232" i="474"/>
  <c r="I233" i="474"/>
  <c r="I234" i="474"/>
  <c r="I235" i="474"/>
  <c r="I236" i="474"/>
  <c r="I237" i="474"/>
  <c r="I238" i="474"/>
  <c r="I239" i="474"/>
  <c r="I240" i="474"/>
  <c r="I241" i="474"/>
  <c r="I242" i="474"/>
  <c r="I243" i="474"/>
  <c r="I244" i="474"/>
  <c r="I245" i="474"/>
  <c r="I246" i="474"/>
  <c r="I193" i="474"/>
  <c r="I161" i="474"/>
  <c r="I162" i="474"/>
  <c r="I163" i="474"/>
  <c r="I164" i="474"/>
  <c r="I165" i="474"/>
  <c r="I166" i="474"/>
  <c r="I167" i="474"/>
  <c r="I168" i="474"/>
  <c r="I169" i="474"/>
  <c r="I170" i="474"/>
  <c r="I171" i="474"/>
  <c r="I172" i="474"/>
  <c r="I173" i="474"/>
  <c r="I174" i="474"/>
  <c r="I175" i="474"/>
  <c r="I176" i="474"/>
  <c r="I177" i="474"/>
  <c r="I178" i="474"/>
  <c r="I179" i="474"/>
  <c r="I180" i="474"/>
  <c r="I181" i="474"/>
  <c r="I182" i="474"/>
  <c r="I183" i="474"/>
  <c r="I184" i="474"/>
  <c r="I185" i="474"/>
  <c r="I186" i="474"/>
  <c r="I187" i="474"/>
  <c r="I188" i="474"/>
  <c r="I189" i="474"/>
  <c r="I190" i="474"/>
  <c r="I191" i="474"/>
  <c r="K246" i="474"/>
  <c r="K244" i="474"/>
  <c r="K242" i="474"/>
  <c r="K240" i="474"/>
  <c r="K238" i="474"/>
  <c r="H192" i="474"/>
  <c r="I247" i="474"/>
  <c r="J246" i="474"/>
  <c r="G245" i="474"/>
  <c r="J244" i="474"/>
  <c r="G243" i="474"/>
  <c r="J242" i="474"/>
  <c r="G241" i="474"/>
  <c r="J240" i="474"/>
  <c r="G239" i="474"/>
  <c r="J238" i="474"/>
  <c r="G237" i="474"/>
  <c r="J236" i="474"/>
  <c r="G235" i="474"/>
  <c r="J234" i="474"/>
  <c r="G233" i="474"/>
  <c r="J232" i="474"/>
  <c r="G231" i="474"/>
  <c r="J230" i="474"/>
  <c r="G229" i="474"/>
  <c r="J228" i="474"/>
  <c r="G227" i="474"/>
  <c r="G226" i="474"/>
  <c r="G225" i="474"/>
  <c r="G224" i="474"/>
  <c r="H222" i="474"/>
  <c r="H220" i="474"/>
  <c r="H218" i="474"/>
  <c r="H216" i="474"/>
  <c r="H214" i="474"/>
  <c r="H212" i="474"/>
  <c r="H210" i="474"/>
  <c r="H208" i="474"/>
  <c r="K2" i="474"/>
  <c r="K3" i="474"/>
  <c r="K4" i="474"/>
  <c r="K5" i="474"/>
  <c r="K6" i="474"/>
  <c r="K7" i="474"/>
  <c r="K8" i="474"/>
  <c r="K9" i="474"/>
  <c r="K10" i="474"/>
  <c r="K11" i="474"/>
  <c r="K12" i="474"/>
  <c r="K13" i="474"/>
  <c r="K14" i="474"/>
  <c r="K15" i="474"/>
  <c r="K16" i="474"/>
  <c r="K17" i="474"/>
  <c r="K18" i="474"/>
  <c r="K19" i="474"/>
  <c r="K20" i="474"/>
  <c r="K21" i="474"/>
  <c r="K22" i="474"/>
  <c r="K23" i="474"/>
  <c r="K24" i="474"/>
  <c r="K26" i="474"/>
  <c r="K28" i="474"/>
  <c r="K30" i="474"/>
  <c r="K32" i="474"/>
  <c r="K34" i="474"/>
  <c r="K35" i="474"/>
  <c r="K36" i="474"/>
  <c r="K37" i="474"/>
  <c r="K38" i="474"/>
  <c r="K39" i="474"/>
  <c r="K40" i="474"/>
  <c r="K41" i="474"/>
  <c r="K42" i="474"/>
  <c r="K43" i="474"/>
  <c r="K44" i="474"/>
  <c r="K25" i="474"/>
  <c r="K27" i="474"/>
  <c r="K29" i="474"/>
  <c r="K31" i="474"/>
  <c r="K33" i="474"/>
  <c r="K45" i="474"/>
  <c r="K80" i="474"/>
  <c r="K46" i="474"/>
  <c r="K47" i="474"/>
  <c r="K48" i="474"/>
  <c r="K49" i="474"/>
  <c r="K50" i="474"/>
  <c r="K51" i="474"/>
  <c r="K52" i="474"/>
  <c r="K53" i="474"/>
  <c r="K54" i="474"/>
  <c r="K55" i="474"/>
  <c r="K56" i="474"/>
  <c r="K57" i="474"/>
  <c r="K58" i="474"/>
  <c r="K59" i="474"/>
  <c r="K60" i="474"/>
  <c r="K61" i="474"/>
  <c r="K62" i="474"/>
  <c r="K63" i="474"/>
  <c r="K64" i="474"/>
  <c r="K65" i="474"/>
  <c r="K66" i="474"/>
  <c r="K67" i="474"/>
  <c r="K68" i="474"/>
  <c r="K69" i="474"/>
  <c r="K70" i="474"/>
  <c r="K71" i="474"/>
  <c r="K72" i="474"/>
  <c r="K73" i="474"/>
  <c r="K74" i="474"/>
  <c r="K75" i="474"/>
  <c r="K76" i="474"/>
  <c r="K77" i="474"/>
  <c r="K78" i="474"/>
  <c r="K79" i="474"/>
  <c r="K81" i="474"/>
  <c r="K82" i="474"/>
  <c r="K83" i="474"/>
  <c r="K84" i="474"/>
  <c r="K85" i="474"/>
  <c r="K86" i="474"/>
  <c r="K87" i="474"/>
  <c r="K88" i="474"/>
  <c r="K89" i="474"/>
  <c r="K90" i="474"/>
  <c r="K91" i="474"/>
  <c r="K92" i="474"/>
  <c r="K93" i="474"/>
  <c r="K94" i="474"/>
  <c r="K95" i="474"/>
  <c r="K96" i="474"/>
  <c r="K97" i="474"/>
  <c r="K98" i="474"/>
  <c r="K99" i="474"/>
  <c r="K106" i="474"/>
  <c r="K108" i="474"/>
  <c r="K110" i="474"/>
  <c r="K112" i="474"/>
  <c r="K114" i="474"/>
  <c r="K116" i="474"/>
  <c r="K118" i="474"/>
  <c r="K120" i="474"/>
  <c r="K122" i="474"/>
  <c r="K124" i="474"/>
  <c r="K126" i="474"/>
  <c r="K128" i="474"/>
  <c r="K129" i="474"/>
  <c r="K130" i="474"/>
  <c r="K131" i="474"/>
  <c r="K132" i="474"/>
  <c r="K133" i="474"/>
  <c r="K134" i="474"/>
  <c r="K135" i="474"/>
  <c r="K136" i="474"/>
  <c r="K137" i="474"/>
  <c r="K138" i="474"/>
  <c r="K139" i="474"/>
  <c r="K140" i="474"/>
  <c r="K141" i="474"/>
  <c r="K142" i="474"/>
  <c r="K143" i="474"/>
  <c r="K144" i="474"/>
  <c r="K145" i="474"/>
  <c r="K146" i="474"/>
  <c r="K147" i="474"/>
  <c r="K148" i="474"/>
  <c r="K149" i="474"/>
  <c r="K100" i="474"/>
  <c r="K101" i="474"/>
  <c r="K102" i="474"/>
  <c r="K103" i="474"/>
  <c r="K104" i="474"/>
  <c r="K105" i="474"/>
  <c r="K107" i="474"/>
  <c r="K109" i="474"/>
  <c r="K111" i="474"/>
  <c r="K113" i="474"/>
  <c r="K115" i="474"/>
  <c r="K117" i="474"/>
  <c r="K119" i="474"/>
  <c r="K121" i="474"/>
  <c r="K123" i="474"/>
  <c r="K125" i="474"/>
  <c r="K127" i="474"/>
  <c r="K161" i="474"/>
  <c r="K162" i="474"/>
  <c r="K163" i="474"/>
  <c r="K164" i="474"/>
  <c r="K165" i="474"/>
  <c r="K166" i="474"/>
  <c r="K167" i="474"/>
  <c r="K168" i="474"/>
  <c r="K169" i="474"/>
  <c r="K170" i="474"/>
  <c r="K171" i="474"/>
  <c r="K172" i="474"/>
  <c r="K173" i="474"/>
  <c r="K174" i="474"/>
  <c r="K175" i="474"/>
  <c r="K176" i="474"/>
  <c r="K177" i="474"/>
  <c r="K178" i="474"/>
  <c r="K179" i="474"/>
  <c r="K180" i="474"/>
  <c r="K181" i="474"/>
  <c r="K182" i="474"/>
  <c r="K183" i="474"/>
  <c r="K184" i="474"/>
  <c r="K185" i="474"/>
  <c r="K186" i="474"/>
  <c r="K187" i="474"/>
  <c r="K188" i="474"/>
  <c r="K189" i="474"/>
  <c r="K190" i="474"/>
  <c r="K191" i="474"/>
  <c r="K150" i="474"/>
  <c r="K152" i="474"/>
  <c r="K154" i="474"/>
  <c r="K156" i="474"/>
  <c r="K158" i="474"/>
  <c r="K160" i="474"/>
  <c r="K192" i="474"/>
  <c r="K151" i="474"/>
  <c r="K153" i="474"/>
  <c r="K155" i="474"/>
  <c r="K157" i="474"/>
  <c r="K159" i="474"/>
  <c r="K193" i="474"/>
  <c r="K194" i="474"/>
  <c r="K195" i="474"/>
  <c r="K196" i="474"/>
  <c r="K197" i="474"/>
  <c r="K198" i="474"/>
  <c r="K199" i="474"/>
  <c r="K200" i="474"/>
  <c r="K201" i="474"/>
  <c r="K202" i="474"/>
  <c r="K203" i="474"/>
  <c r="K204" i="474"/>
  <c r="K205" i="474"/>
  <c r="K206" i="474"/>
  <c r="K207" i="474"/>
  <c r="K208" i="474"/>
  <c r="K209" i="474"/>
  <c r="K210" i="474"/>
  <c r="K211" i="474"/>
  <c r="K212" i="474"/>
  <c r="K213" i="474"/>
  <c r="K214" i="474"/>
  <c r="K215" i="474"/>
  <c r="K216" i="474"/>
  <c r="K217" i="474"/>
  <c r="K218" i="474"/>
  <c r="K219" i="474"/>
  <c r="K220" i="474"/>
  <c r="K221" i="474"/>
  <c r="K222" i="474"/>
  <c r="K223" i="474"/>
  <c r="H197" i="474"/>
  <c r="H198" i="474"/>
  <c r="H199" i="474"/>
  <c r="H200" i="474"/>
  <c r="H201" i="474"/>
  <c r="H202" i="474"/>
  <c r="H203" i="474"/>
  <c r="H204" i="474"/>
  <c r="H205" i="474"/>
  <c r="H246" i="474"/>
  <c r="H244" i="474"/>
  <c r="H242" i="474"/>
  <c r="H240" i="474"/>
  <c r="H238" i="474"/>
  <c r="K237" i="474"/>
  <c r="H236" i="474"/>
  <c r="K235" i="474"/>
  <c r="H234" i="474"/>
  <c r="K233" i="474"/>
  <c r="H232" i="474"/>
  <c r="K231" i="474"/>
  <c r="H230" i="474"/>
  <c r="K229" i="474"/>
  <c r="H228" i="474"/>
  <c r="K227" i="474"/>
  <c r="H2" i="474"/>
  <c r="H3" i="474"/>
  <c r="H4" i="474"/>
  <c r="H5" i="474"/>
  <c r="H6" i="474"/>
  <c r="H7" i="474"/>
  <c r="H8" i="474"/>
  <c r="H9" i="474"/>
  <c r="H10" i="474"/>
  <c r="H11" i="474"/>
  <c r="H12" i="474"/>
  <c r="H13" i="474"/>
  <c r="H14" i="474"/>
  <c r="H15" i="474"/>
  <c r="H16" i="474"/>
  <c r="H17" i="474"/>
  <c r="H18" i="474"/>
  <c r="H19" i="474"/>
  <c r="H20" i="474"/>
  <c r="H21" i="474"/>
  <c r="H22" i="474"/>
  <c r="H23" i="474"/>
  <c r="H24" i="474"/>
  <c r="H25" i="474"/>
  <c r="H26" i="474"/>
  <c r="H27" i="474"/>
  <c r="H28" i="474"/>
  <c r="H29" i="474"/>
  <c r="H30" i="474"/>
  <c r="H31" i="474"/>
  <c r="H32" i="474"/>
  <c r="H33" i="474"/>
  <c r="H34" i="474"/>
  <c r="H35" i="474"/>
  <c r="H36" i="474"/>
  <c r="H37" i="474"/>
  <c r="H38" i="474"/>
  <c r="H39" i="474"/>
  <c r="H40" i="474"/>
  <c r="H41" i="474"/>
  <c r="H42" i="474"/>
  <c r="H43" i="474"/>
  <c r="H44" i="474"/>
  <c r="H45" i="474"/>
  <c r="H46" i="474"/>
  <c r="H47" i="474"/>
  <c r="H48" i="474"/>
  <c r="H49" i="474"/>
  <c r="H50" i="474"/>
  <c r="H51" i="474"/>
  <c r="H52" i="474"/>
  <c r="H53" i="474"/>
  <c r="H54" i="474"/>
  <c r="H55" i="474"/>
  <c r="H56" i="474"/>
  <c r="H57" i="474"/>
  <c r="H58" i="474"/>
  <c r="H59" i="474"/>
  <c r="H60" i="474"/>
  <c r="H61" i="474"/>
  <c r="H62" i="474"/>
  <c r="H63" i="474"/>
  <c r="H64" i="474"/>
  <c r="H65" i="474"/>
  <c r="H66" i="474"/>
  <c r="H67" i="474"/>
  <c r="H68" i="474"/>
  <c r="H69" i="474"/>
  <c r="H70" i="474"/>
  <c r="H71" i="474"/>
  <c r="H72" i="474"/>
  <c r="H73" i="474"/>
  <c r="H74" i="474"/>
  <c r="H75" i="474"/>
  <c r="H76" i="474"/>
  <c r="H77" i="474"/>
  <c r="H78" i="474"/>
  <c r="H79" i="474"/>
  <c r="H81" i="474"/>
  <c r="H80" i="474"/>
  <c r="H82" i="474"/>
  <c r="H83" i="474"/>
  <c r="H84" i="474"/>
  <c r="H85" i="474"/>
  <c r="H86" i="474"/>
  <c r="H87" i="474"/>
  <c r="H88" i="474"/>
  <c r="H89" i="474"/>
  <c r="H90" i="474"/>
  <c r="H91" i="474"/>
  <c r="H92" i="474"/>
  <c r="H93" i="474"/>
  <c r="H94" i="474"/>
  <c r="H95" i="474"/>
  <c r="H96" i="474"/>
  <c r="H97" i="474"/>
  <c r="H98" i="474"/>
  <c r="H99" i="474"/>
  <c r="H100" i="474"/>
  <c r="H101" i="474"/>
  <c r="H102" i="474"/>
  <c r="H103" i="474"/>
  <c r="H104" i="474"/>
  <c r="H105" i="474"/>
  <c r="H106" i="474"/>
  <c r="H107" i="474"/>
  <c r="H108" i="474"/>
  <c r="H109" i="474"/>
  <c r="H110" i="474"/>
  <c r="H111" i="474"/>
  <c r="H112" i="474"/>
  <c r="H113" i="474"/>
  <c r="H114" i="474"/>
  <c r="H115" i="474"/>
  <c r="H116" i="474"/>
  <c r="H117" i="474"/>
  <c r="H118" i="474"/>
  <c r="H119" i="474"/>
  <c r="H120" i="474"/>
  <c r="H121" i="474"/>
  <c r="H122" i="474"/>
  <c r="H123" i="474"/>
  <c r="H124" i="474"/>
  <c r="H125" i="474"/>
  <c r="H126" i="474"/>
  <c r="H127" i="474"/>
  <c r="H128" i="474"/>
  <c r="H129" i="474"/>
  <c r="H130" i="474"/>
  <c r="H131" i="474"/>
  <c r="H132" i="474"/>
  <c r="H133" i="474"/>
  <c r="H134" i="474"/>
  <c r="H135" i="474"/>
  <c r="H136" i="474"/>
  <c r="H137" i="474"/>
  <c r="H138" i="474"/>
  <c r="H139" i="474"/>
  <c r="H140" i="474"/>
  <c r="H141" i="474"/>
  <c r="H142" i="474"/>
  <c r="H143" i="474"/>
  <c r="H144" i="474"/>
  <c r="H145" i="474"/>
  <c r="H146" i="474"/>
  <c r="H147" i="474"/>
  <c r="H148" i="474"/>
  <c r="H149" i="474"/>
  <c r="H150" i="474"/>
  <c r="H151" i="474"/>
  <c r="H152" i="474"/>
  <c r="H153" i="474"/>
  <c r="H154" i="474"/>
  <c r="H155" i="474"/>
  <c r="H156" i="474"/>
  <c r="H157" i="474"/>
  <c r="H158" i="474"/>
  <c r="H159" i="474"/>
  <c r="H160" i="474"/>
  <c r="H161" i="474"/>
  <c r="H162" i="474"/>
  <c r="H163" i="474"/>
  <c r="H164" i="474"/>
  <c r="H165" i="474"/>
  <c r="H166" i="474"/>
  <c r="H167" i="474"/>
  <c r="H168" i="474"/>
  <c r="H169" i="474"/>
  <c r="H170" i="474"/>
  <c r="H171" i="474"/>
  <c r="H172" i="474"/>
  <c r="H173" i="474"/>
  <c r="H174" i="474"/>
  <c r="H175" i="474"/>
  <c r="H176" i="474"/>
  <c r="H177" i="474"/>
  <c r="H178" i="474"/>
  <c r="H179" i="474"/>
  <c r="H180" i="474"/>
  <c r="H181" i="474"/>
  <c r="H182" i="474"/>
  <c r="H183" i="474"/>
  <c r="H184" i="474"/>
  <c r="H185" i="474"/>
  <c r="H186" i="474"/>
  <c r="H187" i="474"/>
  <c r="H188" i="474"/>
  <c r="H189" i="474"/>
  <c r="H190" i="474"/>
  <c r="H191" i="474"/>
  <c r="H247" i="474"/>
  <c r="H193" i="474"/>
  <c r="H196" i="474"/>
  <c r="H195" i="474"/>
  <c r="H194" i="474"/>
  <c r="H243" i="473"/>
  <c r="H238" i="473"/>
  <c r="H235" i="473"/>
  <c r="J3" i="473"/>
  <c r="J4" i="473"/>
  <c r="J5" i="473"/>
  <c r="J6" i="473"/>
  <c r="J7" i="473"/>
  <c r="J8" i="473"/>
  <c r="J9" i="473"/>
  <c r="J10" i="473"/>
  <c r="J11" i="473"/>
  <c r="J12" i="473"/>
  <c r="J13" i="473"/>
  <c r="J14" i="473"/>
  <c r="J15" i="473"/>
  <c r="J16" i="473"/>
  <c r="J17" i="473"/>
  <c r="J18" i="473"/>
  <c r="J19" i="473"/>
  <c r="J20" i="473"/>
  <c r="J21" i="473"/>
  <c r="J22" i="473"/>
  <c r="J23" i="473"/>
  <c r="J24" i="473"/>
  <c r="J25" i="473"/>
  <c r="J26" i="473"/>
  <c r="J27" i="473"/>
  <c r="J28" i="473"/>
  <c r="J29" i="473"/>
  <c r="J30" i="473"/>
  <c r="J31" i="473"/>
  <c r="J32" i="473"/>
  <c r="J33" i="473"/>
  <c r="J34" i="473"/>
  <c r="J35" i="473"/>
  <c r="J36" i="473"/>
  <c r="J37" i="473"/>
  <c r="J38" i="473"/>
  <c r="J39" i="473"/>
  <c r="J40" i="473"/>
  <c r="J41" i="473"/>
  <c r="J42" i="473"/>
  <c r="J43" i="473"/>
  <c r="J44" i="473"/>
  <c r="J2" i="473"/>
  <c r="J45" i="473"/>
  <c r="J46" i="473"/>
  <c r="J47" i="473"/>
  <c r="J48" i="473"/>
  <c r="J49" i="473"/>
  <c r="J50" i="473"/>
  <c r="J51" i="473"/>
  <c r="J52" i="473"/>
  <c r="J53" i="473"/>
  <c r="J54" i="473"/>
  <c r="J55" i="473"/>
  <c r="J56" i="473"/>
  <c r="J57" i="473"/>
  <c r="J58" i="473"/>
  <c r="J59" i="473"/>
  <c r="J60" i="473"/>
  <c r="J61" i="473"/>
  <c r="J62" i="473"/>
  <c r="J63" i="473"/>
  <c r="J64" i="473"/>
  <c r="J65" i="473"/>
  <c r="J66" i="473"/>
  <c r="J67" i="473"/>
  <c r="J68" i="473"/>
  <c r="J69" i="473"/>
  <c r="J70" i="473"/>
  <c r="J71" i="473"/>
  <c r="J72" i="473"/>
  <c r="J73" i="473"/>
  <c r="J74" i="473"/>
  <c r="J75" i="473"/>
  <c r="J76" i="473"/>
  <c r="J77" i="473"/>
  <c r="J78" i="473"/>
  <c r="J79" i="473"/>
  <c r="J80" i="473"/>
  <c r="J81" i="473"/>
  <c r="J82" i="473"/>
  <c r="J83" i="473"/>
  <c r="J84" i="473"/>
  <c r="J85" i="473"/>
  <c r="J86" i="473"/>
  <c r="J87" i="473"/>
  <c r="J88" i="473"/>
  <c r="J89" i="473"/>
  <c r="J90" i="473"/>
  <c r="J91" i="473"/>
  <c r="J92" i="473"/>
  <c r="J93" i="473"/>
  <c r="J94" i="473"/>
  <c r="J95" i="473"/>
  <c r="J96" i="473"/>
  <c r="J97" i="473"/>
  <c r="J98" i="473"/>
  <c r="J99" i="473"/>
  <c r="J100" i="473"/>
  <c r="J101" i="473"/>
  <c r="J102" i="473"/>
  <c r="J103" i="473"/>
  <c r="J104" i="473"/>
  <c r="J105" i="473"/>
  <c r="J106" i="473"/>
  <c r="J107" i="473"/>
  <c r="J108" i="473"/>
  <c r="J109" i="473"/>
  <c r="J110" i="473"/>
  <c r="J111" i="473"/>
  <c r="J112" i="473"/>
  <c r="J113" i="473"/>
  <c r="J114" i="473"/>
  <c r="J115" i="473"/>
  <c r="J116" i="473"/>
  <c r="J117" i="473"/>
  <c r="J118" i="473"/>
  <c r="J119" i="473"/>
  <c r="J120" i="473"/>
  <c r="J121" i="473"/>
  <c r="J122" i="473"/>
  <c r="J123" i="473"/>
  <c r="J124" i="473"/>
  <c r="J125" i="473"/>
  <c r="J126" i="473"/>
  <c r="J127" i="473"/>
  <c r="J128" i="473"/>
  <c r="J129" i="473"/>
  <c r="J130" i="473"/>
  <c r="J131" i="473"/>
  <c r="J132" i="473"/>
  <c r="J133" i="473"/>
  <c r="J134" i="473"/>
  <c r="J135" i="473"/>
  <c r="J136" i="473"/>
  <c r="J137" i="473"/>
  <c r="J138" i="473"/>
  <c r="J139" i="473"/>
  <c r="J140" i="473"/>
  <c r="J141" i="473"/>
  <c r="J142" i="473"/>
  <c r="J143" i="473"/>
  <c r="J144" i="473"/>
  <c r="J145" i="473"/>
  <c r="J146" i="473"/>
  <c r="J147" i="473"/>
  <c r="J148" i="473"/>
  <c r="J149" i="473"/>
  <c r="J150" i="473"/>
  <c r="J151" i="473"/>
  <c r="J152" i="473"/>
  <c r="J153" i="473"/>
  <c r="J154" i="473"/>
  <c r="J155" i="473"/>
  <c r="J156" i="473"/>
  <c r="J157" i="473"/>
  <c r="J158" i="473"/>
  <c r="J159" i="473"/>
  <c r="J160" i="473"/>
  <c r="J161" i="473"/>
  <c r="J162" i="473"/>
  <c r="J163" i="473"/>
  <c r="J164" i="473"/>
  <c r="J165" i="473"/>
  <c r="K246" i="473"/>
  <c r="G245" i="473"/>
  <c r="K243" i="473"/>
  <c r="G242" i="473"/>
  <c r="K240" i="473"/>
  <c r="G239" i="473"/>
  <c r="G2" i="473"/>
  <c r="G3" i="473"/>
  <c r="G4" i="473"/>
  <c r="G5" i="473"/>
  <c r="G6" i="473"/>
  <c r="G7" i="473"/>
  <c r="G8" i="473"/>
  <c r="G9" i="473"/>
  <c r="G10" i="473"/>
  <c r="G11" i="473"/>
  <c r="G12" i="473"/>
  <c r="G13" i="473"/>
  <c r="G14" i="473"/>
  <c r="G15" i="473"/>
  <c r="G16" i="473"/>
  <c r="G17" i="473"/>
  <c r="G18" i="473"/>
  <c r="G19" i="473"/>
  <c r="G20" i="473"/>
  <c r="G21" i="473"/>
  <c r="G22" i="473"/>
  <c r="G23" i="473"/>
  <c r="G24" i="473"/>
  <c r="G25" i="473"/>
  <c r="G26" i="473"/>
  <c r="G27" i="473"/>
  <c r="G28" i="473"/>
  <c r="G45" i="473"/>
  <c r="G46" i="473"/>
  <c r="G47" i="473"/>
  <c r="G48" i="473"/>
  <c r="G49" i="473"/>
  <c r="G50" i="473"/>
  <c r="G51" i="473"/>
  <c r="G52" i="473"/>
  <c r="G53" i="473"/>
  <c r="G54" i="473"/>
  <c r="G55" i="473"/>
  <c r="G56" i="473"/>
  <c r="G57" i="473"/>
  <c r="G58" i="473"/>
  <c r="G59" i="473"/>
  <c r="G60" i="473"/>
  <c r="G61" i="473"/>
  <c r="G62" i="473"/>
  <c r="G63" i="473"/>
  <c r="G64" i="473"/>
  <c r="G65" i="473"/>
  <c r="G66" i="473"/>
  <c r="G67" i="473"/>
  <c r="G68" i="473"/>
  <c r="G69" i="473"/>
  <c r="G29" i="473"/>
  <c r="G31" i="473"/>
  <c r="G33" i="473"/>
  <c r="G35" i="473"/>
  <c r="G37" i="473"/>
  <c r="G39" i="473"/>
  <c r="G41" i="473"/>
  <c r="G43" i="473"/>
  <c r="G30" i="473"/>
  <c r="G32" i="473"/>
  <c r="G34" i="473"/>
  <c r="G36" i="473"/>
  <c r="G38" i="473"/>
  <c r="G40" i="473"/>
  <c r="G42" i="473"/>
  <c r="G44" i="473"/>
  <c r="G70" i="473"/>
  <c r="G72" i="473"/>
  <c r="G74" i="473"/>
  <c r="G76" i="473"/>
  <c r="G78" i="473"/>
  <c r="G80" i="473"/>
  <c r="G82" i="473"/>
  <c r="G85" i="473"/>
  <c r="G86" i="473"/>
  <c r="G87" i="473"/>
  <c r="G88" i="473"/>
  <c r="G89" i="473"/>
  <c r="G90" i="473"/>
  <c r="G91" i="473"/>
  <c r="G92" i="473"/>
  <c r="G93" i="473"/>
  <c r="G94" i="473"/>
  <c r="G95" i="473"/>
  <c r="G96" i="473"/>
  <c r="G97" i="473"/>
  <c r="G98" i="473"/>
  <c r="G99" i="473"/>
  <c r="G100" i="473"/>
  <c r="G101" i="473"/>
  <c r="G102" i="473"/>
  <c r="G103" i="473"/>
  <c r="G104" i="473"/>
  <c r="G105" i="473"/>
  <c r="G106" i="473"/>
  <c r="G107" i="473"/>
  <c r="G71" i="473"/>
  <c r="G73" i="473"/>
  <c r="G75" i="473"/>
  <c r="G77" i="473"/>
  <c r="G79" i="473"/>
  <c r="G81" i="473"/>
  <c r="G83" i="473"/>
  <c r="G84" i="473"/>
  <c r="G121" i="473"/>
  <c r="G122" i="473"/>
  <c r="G108" i="473"/>
  <c r="G110" i="473"/>
  <c r="G112" i="473"/>
  <c r="G114" i="473"/>
  <c r="G116" i="473"/>
  <c r="G118" i="473"/>
  <c r="G120" i="473"/>
  <c r="G123" i="473"/>
  <c r="G124" i="473"/>
  <c r="G125" i="473"/>
  <c r="G126" i="473"/>
  <c r="G127" i="473"/>
  <c r="G128" i="473"/>
  <c r="G129" i="473"/>
  <c r="G130" i="473"/>
  <c r="G131" i="473"/>
  <c r="G132" i="473"/>
  <c r="G133" i="473"/>
  <c r="G134" i="473"/>
  <c r="G135" i="473"/>
  <c r="G136" i="473"/>
  <c r="G137" i="473"/>
  <c r="G138" i="473"/>
  <c r="G139" i="473"/>
  <c r="G140" i="473"/>
  <c r="G141" i="473"/>
  <c r="G142" i="473"/>
  <c r="G143" i="473"/>
  <c r="G144" i="473"/>
  <c r="G145" i="473"/>
  <c r="G146" i="473"/>
  <c r="G147" i="473"/>
  <c r="G148" i="473"/>
  <c r="G149" i="473"/>
  <c r="G150" i="473"/>
  <c r="G151" i="473"/>
  <c r="G152" i="473"/>
  <c r="G153" i="473"/>
  <c r="G154" i="473"/>
  <c r="G155" i="473"/>
  <c r="G156" i="473"/>
  <c r="G157" i="473"/>
  <c r="G158" i="473"/>
  <c r="G159" i="473"/>
  <c r="G160" i="473"/>
  <c r="G161" i="473"/>
  <c r="G162" i="473"/>
  <c r="G163" i="473"/>
  <c r="G164" i="473"/>
  <c r="G165" i="473"/>
  <c r="G166" i="473"/>
  <c r="G167" i="473"/>
  <c r="G168" i="473"/>
  <c r="G169" i="473"/>
  <c r="G170" i="473"/>
  <c r="G171" i="473"/>
  <c r="G172" i="473"/>
  <c r="G173" i="473"/>
  <c r="G174" i="473"/>
  <c r="G109" i="473"/>
  <c r="G111" i="473"/>
  <c r="G113" i="473"/>
  <c r="G115" i="473"/>
  <c r="G117" i="473"/>
  <c r="G119" i="473"/>
  <c r="I3" i="473"/>
  <c r="I4" i="473"/>
  <c r="I5" i="473"/>
  <c r="I6" i="473"/>
  <c r="I7" i="473"/>
  <c r="I8" i="473"/>
  <c r="I9" i="473"/>
  <c r="I10" i="473"/>
  <c r="I11" i="473"/>
  <c r="I12" i="473"/>
  <c r="I13" i="473"/>
  <c r="I14" i="473"/>
  <c r="I15" i="473"/>
  <c r="I16" i="473"/>
  <c r="I17" i="473"/>
  <c r="I18" i="473"/>
  <c r="I19" i="473"/>
  <c r="I20" i="473"/>
  <c r="I21" i="473"/>
  <c r="I22" i="473"/>
  <c r="I23" i="473"/>
  <c r="I24" i="473"/>
  <c r="I25" i="473"/>
  <c r="I26" i="473"/>
  <c r="I27" i="473"/>
  <c r="I28" i="473"/>
  <c r="I29" i="473"/>
  <c r="I30" i="473"/>
  <c r="I31" i="473"/>
  <c r="I32" i="473"/>
  <c r="I33" i="473"/>
  <c r="I34" i="473"/>
  <c r="I35" i="473"/>
  <c r="I36" i="473"/>
  <c r="I37" i="473"/>
  <c r="I38" i="473"/>
  <c r="I39" i="473"/>
  <c r="I40" i="473"/>
  <c r="I41" i="473"/>
  <c r="I42" i="473"/>
  <c r="I43" i="473"/>
  <c r="I2" i="473"/>
  <c r="I44" i="473"/>
  <c r="I45" i="473"/>
  <c r="I46" i="473"/>
  <c r="I47" i="473"/>
  <c r="I48" i="473"/>
  <c r="I49" i="473"/>
  <c r="I50" i="473"/>
  <c r="I51" i="473"/>
  <c r="I52" i="473"/>
  <c r="I53" i="473"/>
  <c r="I54" i="473"/>
  <c r="I55" i="473"/>
  <c r="I56" i="473"/>
  <c r="I57" i="473"/>
  <c r="I58" i="473"/>
  <c r="I59" i="473"/>
  <c r="I60" i="473"/>
  <c r="I61" i="473"/>
  <c r="I62" i="473"/>
  <c r="I63" i="473"/>
  <c r="I64" i="473"/>
  <c r="I65" i="473"/>
  <c r="I66" i="473"/>
  <c r="I67" i="473"/>
  <c r="I68" i="473"/>
  <c r="I69" i="473"/>
  <c r="I70" i="473"/>
  <c r="I71" i="473"/>
  <c r="I72" i="473"/>
  <c r="I73" i="473"/>
  <c r="I74" i="473"/>
  <c r="I75" i="473"/>
  <c r="I76" i="473"/>
  <c r="I77" i="473"/>
  <c r="I78" i="473"/>
  <c r="I79" i="473"/>
  <c r="I80" i="473"/>
  <c r="I81" i="473"/>
  <c r="I82" i="473"/>
  <c r="I83" i="473"/>
  <c r="I84" i="473"/>
  <c r="I85" i="473"/>
  <c r="I86" i="473"/>
  <c r="I87" i="473"/>
  <c r="I88" i="473"/>
  <c r="I89" i="473"/>
  <c r="I90" i="473"/>
  <c r="I91" i="473"/>
  <c r="I92" i="473"/>
  <c r="I93" i="473"/>
  <c r="I94" i="473"/>
  <c r="I95" i="473"/>
  <c r="I96" i="473"/>
  <c r="I97" i="473"/>
  <c r="I98" i="473"/>
  <c r="I99" i="473"/>
  <c r="I100" i="473"/>
  <c r="I101" i="473"/>
  <c r="I102" i="473"/>
  <c r="I103" i="473"/>
  <c r="I104" i="473"/>
  <c r="I105" i="473"/>
  <c r="I106" i="473"/>
  <c r="I107" i="473"/>
  <c r="I108" i="473"/>
  <c r="I109" i="473"/>
  <c r="I110" i="473"/>
  <c r="I111" i="473"/>
  <c r="I112" i="473"/>
  <c r="I113" i="473"/>
  <c r="I114" i="473"/>
  <c r="I115" i="473"/>
  <c r="I116" i="473"/>
  <c r="I117" i="473"/>
  <c r="I118" i="473"/>
  <c r="I119" i="473"/>
  <c r="I120" i="473"/>
  <c r="I121" i="473"/>
  <c r="I122" i="473"/>
  <c r="I123" i="473"/>
  <c r="I124" i="473"/>
  <c r="I125" i="473"/>
  <c r="I126" i="473"/>
  <c r="I127" i="473"/>
  <c r="I128" i="473"/>
  <c r="I129" i="473"/>
  <c r="I130" i="473"/>
  <c r="I131" i="473"/>
  <c r="I132" i="473"/>
  <c r="I133" i="473"/>
  <c r="I134" i="473"/>
  <c r="I135" i="473"/>
  <c r="I136" i="473"/>
  <c r="I137" i="473"/>
  <c r="I138" i="473"/>
  <c r="I139" i="473"/>
  <c r="I140" i="473"/>
  <c r="I141" i="473"/>
  <c r="I142" i="473"/>
  <c r="I143" i="473"/>
  <c r="I144" i="473"/>
  <c r="I145" i="473"/>
  <c r="I146" i="473"/>
  <c r="I147" i="473"/>
  <c r="I148" i="473"/>
  <c r="I149" i="473"/>
  <c r="I150" i="473"/>
  <c r="I151" i="473"/>
  <c r="I152" i="473"/>
  <c r="I153" i="473"/>
  <c r="I154" i="473"/>
  <c r="I155" i="473"/>
  <c r="I156" i="473"/>
  <c r="I157" i="473"/>
  <c r="I158" i="473"/>
  <c r="I159" i="473"/>
  <c r="I160" i="473"/>
  <c r="I161" i="473"/>
  <c r="I162" i="473"/>
  <c r="I163" i="473"/>
  <c r="I164" i="473"/>
  <c r="I165" i="473"/>
  <c r="I166" i="473"/>
  <c r="I167" i="473"/>
  <c r="I168" i="473"/>
  <c r="I169" i="473"/>
  <c r="I170" i="473"/>
  <c r="I171" i="473"/>
  <c r="I172" i="473"/>
  <c r="I173" i="473"/>
  <c r="I174" i="473"/>
  <c r="I175" i="473"/>
  <c r="I176" i="473"/>
  <c r="I177" i="473"/>
  <c r="I178" i="473"/>
  <c r="I179" i="473"/>
  <c r="I180" i="473"/>
  <c r="I181" i="473"/>
  <c r="I182" i="473"/>
  <c r="I183" i="473"/>
  <c r="I184" i="473"/>
  <c r="I185" i="473"/>
  <c r="I186" i="473"/>
  <c r="I187" i="473"/>
  <c r="I188" i="473"/>
  <c r="I189" i="473"/>
  <c r="I190" i="473"/>
  <c r="I191" i="473"/>
  <c r="I192" i="473"/>
  <c r="I193" i="473"/>
  <c r="I194" i="473"/>
  <c r="I195" i="473"/>
  <c r="I196" i="473"/>
  <c r="I197" i="473"/>
  <c r="I198" i="473"/>
  <c r="I199" i="473"/>
  <c r="I200" i="473"/>
  <c r="I201" i="473"/>
  <c r="I202" i="473"/>
  <c r="I203" i="473"/>
  <c r="K247" i="473"/>
  <c r="J245" i="473"/>
  <c r="J243" i="473"/>
  <c r="J241" i="473"/>
  <c r="J239" i="473"/>
  <c r="J238" i="473"/>
  <c r="J236" i="473"/>
  <c r="J234" i="473"/>
  <c r="J232" i="473"/>
  <c r="J230" i="473"/>
  <c r="J228" i="473"/>
  <c r="H2" i="473"/>
  <c r="H3" i="473"/>
  <c r="H4" i="473"/>
  <c r="H5" i="473"/>
  <c r="H6" i="473"/>
  <c r="H7" i="473"/>
  <c r="H8" i="473"/>
  <c r="H9" i="473"/>
  <c r="H10" i="473"/>
  <c r="H11" i="473"/>
  <c r="H12" i="473"/>
  <c r="H13" i="473"/>
  <c r="H14" i="473"/>
  <c r="H15" i="473"/>
  <c r="H16" i="473"/>
  <c r="H17" i="473"/>
  <c r="H18" i="473"/>
  <c r="H19" i="473"/>
  <c r="H20" i="473"/>
  <c r="H21" i="473"/>
  <c r="H22" i="473"/>
  <c r="H23" i="473"/>
  <c r="H24" i="473"/>
  <c r="H25" i="473"/>
  <c r="H26" i="473"/>
  <c r="H27" i="473"/>
  <c r="H28" i="473"/>
  <c r="H29" i="473"/>
  <c r="H30" i="473"/>
  <c r="H31" i="473"/>
  <c r="H32" i="473"/>
  <c r="H33" i="473"/>
  <c r="H34" i="473"/>
  <c r="H35" i="473"/>
  <c r="H36" i="473"/>
  <c r="H37" i="473"/>
  <c r="H38" i="473"/>
  <c r="H39" i="473"/>
  <c r="H40" i="473"/>
  <c r="H41" i="473"/>
  <c r="H42" i="473"/>
  <c r="H43" i="473"/>
  <c r="H44" i="473"/>
  <c r="H45" i="473"/>
  <c r="H46" i="473"/>
  <c r="H47" i="473"/>
  <c r="H48" i="473"/>
  <c r="H49" i="473"/>
  <c r="H50" i="473"/>
  <c r="H51" i="473"/>
  <c r="H52" i="473"/>
  <c r="H53" i="473"/>
  <c r="H54" i="473"/>
  <c r="H55" i="473"/>
  <c r="H56" i="473"/>
  <c r="H57" i="473"/>
  <c r="H58" i="473"/>
  <c r="H59" i="473"/>
  <c r="H60" i="473"/>
  <c r="H61" i="473"/>
  <c r="H62" i="473"/>
  <c r="H63" i="473"/>
  <c r="H64" i="473"/>
  <c r="H65" i="473"/>
  <c r="H66" i="473"/>
  <c r="H67" i="473"/>
  <c r="H68" i="473"/>
  <c r="H69" i="473"/>
  <c r="H70" i="473"/>
  <c r="H71" i="473"/>
  <c r="H72" i="473"/>
  <c r="H73" i="473"/>
  <c r="H74" i="473"/>
  <c r="H75" i="473"/>
  <c r="H76" i="473"/>
  <c r="H77" i="473"/>
  <c r="H78" i="473"/>
  <c r="H79" i="473"/>
  <c r="H80" i="473"/>
  <c r="H81" i="473"/>
  <c r="H82" i="473"/>
  <c r="H83" i="473"/>
  <c r="H84" i="473"/>
  <c r="H85" i="473"/>
  <c r="H86" i="473"/>
  <c r="H87" i="473"/>
  <c r="H88" i="473"/>
  <c r="H89" i="473"/>
  <c r="H90" i="473"/>
  <c r="H91" i="473"/>
  <c r="H92" i="473"/>
  <c r="H93" i="473"/>
  <c r="H94" i="473"/>
  <c r="H95" i="473"/>
  <c r="H96" i="473"/>
  <c r="H97" i="473"/>
  <c r="H98" i="473"/>
  <c r="H99" i="473"/>
  <c r="H100" i="473"/>
  <c r="H101" i="473"/>
  <c r="H102" i="473"/>
  <c r="H103" i="473"/>
  <c r="H104" i="473"/>
  <c r="H105" i="473"/>
  <c r="H106" i="473"/>
  <c r="H107" i="473"/>
  <c r="H108" i="473"/>
  <c r="H109" i="473"/>
  <c r="H110" i="473"/>
  <c r="H111" i="473"/>
  <c r="H112" i="473"/>
  <c r="H113" i="473"/>
  <c r="H114" i="473"/>
  <c r="H115" i="473"/>
  <c r="H116" i="473"/>
  <c r="H117" i="473"/>
  <c r="H118" i="473"/>
  <c r="H119" i="473"/>
  <c r="H120" i="473"/>
  <c r="H121" i="473"/>
  <c r="H122" i="473"/>
  <c r="H123" i="473"/>
  <c r="H124" i="473"/>
  <c r="H125" i="473"/>
  <c r="H126" i="473"/>
  <c r="H127" i="473"/>
  <c r="H128" i="473"/>
  <c r="H129" i="473"/>
  <c r="H130" i="473"/>
  <c r="H131" i="473"/>
  <c r="H132" i="473"/>
  <c r="H133" i="473"/>
  <c r="H134" i="473"/>
  <c r="H135" i="473"/>
  <c r="H136" i="473"/>
  <c r="H137" i="473"/>
  <c r="H138" i="473"/>
  <c r="H139" i="473"/>
  <c r="H140" i="473"/>
  <c r="H141" i="473"/>
  <c r="H142" i="473"/>
  <c r="H143" i="473"/>
  <c r="H144" i="473"/>
  <c r="H145" i="473"/>
  <c r="H146" i="473"/>
  <c r="H147" i="473"/>
  <c r="H148" i="473"/>
  <c r="H149" i="473"/>
  <c r="H150" i="473"/>
  <c r="H151" i="473"/>
  <c r="H152" i="473"/>
  <c r="H153" i="473"/>
  <c r="H154" i="473"/>
  <c r="H155" i="473"/>
  <c r="H156" i="473"/>
  <c r="H157" i="473"/>
  <c r="H158" i="473"/>
  <c r="H159" i="473"/>
  <c r="H160" i="473"/>
  <c r="H161" i="473"/>
  <c r="H162" i="473"/>
  <c r="H163" i="473"/>
  <c r="H164" i="473"/>
  <c r="H165" i="473"/>
  <c r="H247" i="473"/>
  <c r="I246" i="473"/>
  <c r="I245" i="473"/>
  <c r="I244" i="473"/>
  <c r="I243" i="473"/>
  <c r="I242" i="473"/>
  <c r="I241" i="473"/>
  <c r="I240" i="473"/>
  <c r="I239" i="473"/>
  <c r="I238" i="473"/>
  <c r="I237" i="473"/>
  <c r="I236" i="473"/>
  <c r="I235" i="473"/>
  <c r="I234" i="473"/>
  <c r="I233" i="473"/>
  <c r="I232" i="473"/>
  <c r="I231" i="473"/>
  <c r="I230" i="473"/>
  <c r="I229" i="473"/>
  <c r="I228" i="473"/>
  <c r="I227" i="473"/>
  <c r="I226" i="473"/>
  <c r="I225" i="473"/>
  <c r="I224" i="473"/>
  <c r="I223" i="473"/>
  <c r="I222" i="473"/>
  <c r="I221" i="473"/>
  <c r="I220" i="473"/>
  <c r="I219" i="473"/>
  <c r="I218" i="473"/>
  <c r="I217" i="473"/>
  <c r="I216" i="473"/>
  <c r="I215" i="473"/>
  <c r="I214" i="473"/>
  <c r="I213" i="473"/>
  <c r="I212" i="473"/>
  <c r="I211" i="473"/>
  <c r="I210" i="473"/>
  <c r="I209" i="473"/>
  <c r="I208" i="473"/>
  <c r="I207" i="473"/>
  <c r="I206" i="473"/>
  <c r="I205" i="473"/>
  <c r="I204" i="473"/>
  <c r="H203" i="473"/>
  <c r="K202" i="473"/>
  <c r="H201" i="473"/>
  <c r="K200" i="473"/>
  <c r="H199" i="473"/>
  <c r="K198" i="473"/>
  <c r="H197" i="473"/>
  <c r="K196" i="473"/>
  <c r="H195" i="473"/>
  <c r="K194" i="473"/>
  <c r="H193" i="473"/>
  <c r="K192" i="473"/>
  <c r="H191" i="473"/>
  <c r="K190" i="473"/>
  <c r="H189" i="473"/>
  <c r="K188" i="473"/>
  <c r="H187" i="473"/>
  <c r="K186" i="473"/>
  <c r="H185" i="473"/>
  <c r="K184" i="473"/>
  <c r="H183" i="473"/>
  <c r="K182" i="473"/>
  <c r="H181" i="473"/>
  <c r="K180" i="473"/>
  <c r="H179" i="473"/>
  <c r="K178" i="473"/>
  <c r="H177" i="473"/>
  <c r="K176" i="473"/>
  <c r="H175" i="473"/>
  <c r="H244" i="473"/>
  <c r="H240" i="473"/>
  <c r="H237" i="473"/>
  <c r="H233" i="473"/>
  <c r="H232" i="473"/>
  <c r="H231" i="473"/>
  <c r="H230" i="473"/>
  <c r="H229" i="473"/>
  <c r="H228" i="473"/>
  <c r="H227" i="473"/>
  <c r="H226" i="473"/>
  <c r="H225" i="473"/>
  <c r="H224" i="473"/>
  <c r="H223" i="473"/>
  <c r="H222" i="473"/>
  <c r="H221" i="473"/>
  <c r="H220" i="473"/>
  <c r="H219" i="473"/>
  <c r="H218" i="473"/>
  <c r="H217" i="473"/>
  <c r="H216" i="473"/>
  <c r="H215" i="473"/>
  <c r="H214" i="473"/>
  <c r="H213" i="473"/>
  <c r="H212" i="473"/>
  <c r="H211" i="473"/>
  <c r="H210" i="473"/>
  <c r="H209" i="473"/>
  <c r="H208" i="473"/>
  <c r="H207" i="473"/>
  <c r="H206" i="473"/>
  <c r="H205" i="473"/>
  <c r="H204" i="473"/>
  <c r="G203" i="473"/>
  <c r="J202" i="473"/>
  <c r="G201" i="473"/>
  <c r="J200" i="473"/>
  <c r="G199" i="473"/>
  <c r="J198" i="473"/>
  <c r="G197" i="473"/>
  <c r="J196" i="473"/>
  <c r="G195" i="473"/>
  <c r="J194" i="473"/>
  <c r="G193" i="473"/>
  <c r="J192" i="473"/>
  <c r="G191" i="473"/>
  <c r="J190" i="473"/>
  <c r="G189" i="473"/>
  <c r="J188" i="473"/>
  <c r="G187" i="473"/>
  <c r="J186" i="473"/>
  <c r="G185" i="473"/>
  <c r="J184" i="473"/>
  <c r="G183" i="473"/>
  <c r="J182" i="473"/>
  <c r="G181" i="473"/>
  <c r="J180" i="473"/>
  <c r="G179" i="473"/>
  <c r="J178" i="473"/>
  <c r="G177" i="473"/>
  <c r="J176" i="473"/>
  <c r="G175" i="473"/>
  <c r="J174" i="473"/>
  <c r="J173" i="473"/>
  <c r="J172" i="473"/>
  <c r="J171" i="473"/>
  <c r="J170" i="473"/>
  <c r="J169" i="473"/>
  <c r="J168" i="473"/>
  <c r="J167" i="473"/>
  <c r="J166" i="473"/>
  <c r="K2" i="473"/>
  <c r="K3" i="473"/>
  <c r="K4" i="473"/>
  <c r="K5" i="473"/>
  <c r="K6" i="473"/>
  <c r="K7" i="473"/>
  <c r="K8" i="473"/>
  <c r="K9" i="473"/>
  <c r="K10" i="473"/>
  <c r="K11" i="473"/>
  <c r="K12" i="473"/>
  <c r="K13" i="473"/>
  <c r="K14" i="473"/>
  <c r="K15" i="473"/>
  <c r="K16" i="473"/>
  <c r="K17" i="473"/>
  <c r="K18" i="473"/>
  <c r="K19" i="473"/>
  <c r="K20" i="473"/>
  <c r="K21" i="473"/>
  <c r="K22" i="473"/>
  <c r="K23" i="473"/>
  <c r="K24" i="473"/>
  <c r="K25" i="473"/>
  <c r="K26" i="473"/>
  <c r="K27" i="473"/>
  <c r="K28" i="473"/>
  <c r="K30" i="473"/>
  <c r="K32" i="473"/>
  <c r="K34" i="473"/>
  <c r="K36" i="473"/>
  <c r="K38" i="473"/>
  <c r="K40" i="473"/>
  <c r="K42" i="473"/>
  <c r="K45" i="473"/>
  <c r="K46" i="473"/>
  <c r="K47" i="473"/>
  <c r="K48" i="473"/>
  <c r="K49" i="473"/>
  <c r="K50" i="473"/>
  <c r="K51" i="473"/>
  <c r="K52" i="473"/>
  <c r="K53" i="473"/>
  <c r="K54" i="473"/>
  <c r="K55" i="473"/>
  <c r="K56" i="473"/>
  <c r="K57" i="473"/>
  <c r="K58" i="473"/>
  <c r="K59" i="473"/>
  <c r="K60" i="473"/>
  <c r="K61" i="473"/>
  <c r="K62" i="473"/>
  <c r="K63" i="473"/>
  <c r="K64" i="473"/>
  <c r="K65" i="473"/>
  <c r="K66" i="473"/>
  <c r="K67" i="473"/>
  <c r="K68" i="473"/>
  <c r="K44" i="473"/>
  <c r="K29" i="473"/>
  <c r="K31" i="473"/>
  <c r="K33" i="473"/>
  <c r="K35" i="473"/>
  <c r="K37" i="473"/>
  <c r="K39" i="473"/>
  <c r="K41" i="473"/>
  <c r="K43" i="473"/>
  <c r="K69" i="473"/>
  <c r="K71" i="473"/>
  <c r="K73" i="473"/>
  <c r="K75" i="473"/>
  <c r="K77" i="473"/>
  <c r="K79" i="473"/>
  <c r="K81" i="473"/>
  <c r="K83" i="473"/>
  <c r="K84" i="473"/>
  <c r="K85" i="473"/>
  <c r="K86" i="473"/>
  <c r="K87" i="473"/>
  <c r="K88" i="473"/>
  <c r="K89" i="473"/>
  <c r="K90" i="473"/>
  <c r="K91" i="473"/>
  <c r="K92" i="473"/>
  <c r="K93" i="473"/>
  <c r="K94" i="473"/>
  <c r="K95" i="473"/>
  <c r="K96" i="473"/>
  <c r="K97" i="473"/>
  <c r="K98" i="473"/>
  <c r="K99" i="473"/>
  <c r="K100" i="473"/>
  <c r="K101" i="473"/>
  <c r="K102" i="473"/>
  <c r="K103" i="473"/>
  <c r="K104" i="473"/>
  <c r="K105" i="473"/>
  <c r="K106" i="473"/>
  <c r="K70" i="473"/>
  <c r="K72" i="473"/>
  <c r="K74" i="473"/>
  <c r="K76" i="473"/>
  <c r="K78" i="473"/>
  <c r="K80" i="473"/>
  <c r="K82" i="473"/>
  <c r="K107" i="473"/>
  <c r="K109" i="473"/>
  <c r="K111" i="473"/>
  <c r="K113" i="473"/>
  <c r="K115" i="473"/>
  <c r="K117" i="473"/>
  <c r="K119" i="473"/>
  <c r="K123" i="473"/>
  <c r="K124" i="473"/>
  <c r="K125" i="473"/>
  <c r="K126" i="473"/>
  <c r="K127" i="473"/>
  <c r="K128" i="473"/>
  <c r="K129" i="473"/>
  <c r="K130" i="473"/>
  <c r="K131" i="473"/>
  <c r="K132" i="473"/>
  <c r="K133" i="473"/>
  <c r="K134" i="473"/>
  <c r="K135" i="473"/>
  <c r="K136" i="473"/>
  <c r="K137" i="473"/>
  <c r="K138" i="473"/>
  <c r="K139" i="473"/>
  <c r="K140" i="473"/>
  <c r="K141" i="473"/>
  <c r="K142" i="473"/>
  <c r="K143" i="473"/>
  <c r="K144" i="473"/>
  <c r="K145" i="473"/>
  <c r="K146" i="473"/>
  <c r="K147" i="473"/>
  <c r="K148" i="473"/>
  <c r="K149" i="473"/>
  <c r="K150" i="473"/>
  <c r="K151" i="473"/>
  <c r="K152" i="473"/>
  <c r="K153" i="473"/>
  <c r="K154" i="473"/>
  <c r="K155" i="473"/>
  <c r="K156" i="473"/>
  <c r="K157" i="473"/>
  <c r="K158" i="473"/>
  <c r="K159" i="473"/>
  <c r="K160" i="473"/>
  <c r="K161" i="473"/>
  <c r="K162" i="473"/>
  <c r="K163" i="473"/>
  <c r="K164" i="473"/>
  <c r="K165" i="473"/>
  <c r="K166" i="473"/>
  <c r="K167" i="473"/>
  <c r="K168" i="473"/>
  <c r="K169" i="473"/>
  <c r="K170" i="473"/>
  <c r="K171" i="473"/>
  <c r="K172" i="473"/>
  <c r="K173" i="473"/>
  <c r="K108" i="473"/>
  <c r="K110" i="473"/>
  <c r="K112" i="473"/>
  <c r="K114" i="473"/>
  <c r="K116" i="473"/>
  <c r="K118" i="473"/>
  <c r="K120" i="473"/>
  <c r="K121" i="473"/>
  <c r="K122" i="473"/>
  <c r="H246" i="473"/>
  <c r="H242" i="473"/>
  <c r="H239" i="473"/>
  <c r="H234" i="473"/>
  <c r="G246" i="473"/>
  <c r="K244" i="473"/>
  <c r="G243" i="473"/>
  <c r="K241" i="473"/>
  <c r="G240" i="473"/>
  <c r="K238" i="473"/>
  <c r="G238" i="473"/>
  <c r="K237" i="473"/>
  <c r="G237" i="473"/>
  <c r="K236" i="473"/>
  <c r="G236" i="473"/>
  <c r="K235" i="473"/>
  <c r="G235" i="473"/>
  <c r="K234" i="473"/>
  <c r="G234" i="473"/>
  <c r="K233" i="473"/>
  <c r="G233" i="473"/>
  <c r="K232" i="473"/>
  <c r="G232" i="473"/>
  <c r="K231" i="473"/>
  <c r="G231" i="473"/>
  <c r="K230" i="473"/>
  <c r="G230" i="473"/>
  <c r="K229" i="473"/>
  <c r="G229" i="473"/>
  <c r="K228" i="473"/>
  <c r="G228" i="473"/>
  <c r="K227" i="473"/>
  <c r="G227" i="473"/>
  <c r="K226" i="473"/>
  <c r="G226" i="473"/>
  <c r="K225" i="473"/>
  <c r="G225" i="473"/>
  <c r="K224" i="473"/>
  <c r="G224" i="473"/>
  <c r="K223" i="473"/>
  <c r="G223" i="473"/>
  <c r="K222" i="473"/>
  <c r="G222" i="473"/>
  <c r="K221" i="473"/>
  <c r="G221" i="473"/>
  <c r="K220" i="473"/>
  <c r="G220" i="473"/>
  <c r="K219" i="473"/>
  <c r="G219" i="473"/>
  <c r="K218" i="473"/>
  <c r="G218" i="473"/>
  <c r="K217" i="473"/>
  <c r="G217" i="473"/>
  <c r="K216" i="473"/>
  <c r="G216" i="473"/>
  <c r="K215" i="473"/>
  <c r="G215" i="473"/>
  <c r="K214" i="473"/>
  <c r="G214" i="473"/>
  <c r="K213" i="473"/>
  <c r="G213" i="473"/>
  <c r="K212" i="473"/>
  <c r="G212" i="473"/>
  <c r="K211" i="473"/>
  <c r="G211" i="473"/>
  <c r="K210" i="473"/>
  <c r="G210" i="473"/>
  <c r="K209" i="473"/>
  <c r="G209" i="473"/>
  <c r="K208" i="473"/>
  <c r="G208" i="473"/>
  <c r="K207" i="473"/>
  <c r="G207" i="473"/>
  <c r="K206" i="473"/>
  <c r="G206" i="473"/>
  <c r="K205" i="473"/>
  <c r="G205" i="473"/>
  <c r="K204" i="473"/>
  <c r="G204" i="473"/>
  <c r="K203" i="473"/>
  <c r="H202" i="473"/>
  <c r="K201" i="473"/>
  <c r="H200" i="473"/>
  <c r="K199" i="473"/>
  <c r="H198" i="473"/>
  <c r="K197" i="473"/>
  <c r="H196" i="473"/>
  <c r="K195" i="473"/>
  <c r="H194" i="473"/>
  <c r="K193" i="473"/>
  <c r="H192" i="473"/>
  <c r="K191" i="473"/>
  <c r="H190" i="473"/>
  <c r="K189" i="473"/>
  <c r="H188" i="473"/>
  <c r="K187" i="473"/>
  <c r="H186" i="473"/>
  <c r="K185" i="473"/>
  <c r="H184" i="473"/>
  <c r="K183" i="473"/>
  <c r="H182" i="473"/>
  <c r="K181" i="473"/>
  <c r="H180" i="473"/>
  <c r="K179" i="473"/>
  <c r="H178" i="473"/>
  <c r="K177" i="473"/>
  <c r="H176" i="473"/>
  <c r="K175" i="473"/>
  <c r="H174" i="473"/>
  <c r="H173" i="473"/>
  <c r="H172" i="473"/>
  <c r="H171" i="473"/>
  <c r="H170" i="473"/>
  <c r="H169" i="473"/>
  <c r="H168" i="473"/>
  <c r="H167" i="473"/>
  <c r="H166" i="473"/>
  <c r="H245" i="473"/>
  <c r="H241" i="473"/>
  <c r="J247" i="473"/>
  <c r="K245" i="473"/>
  <c r="G244" i="473"/>
  <c r="K242" i="473"/>
  <c r="K239" i="473"/>
  <c r="G247" i="473"/>
  <c r="J246" i="473"/>
  <c r="J244" i="473"/>
  <c r="J242" i="473"/>
  <c r="J240" i="473"/>
  <c r="J237" i="473"/>
  <c r="J235" i="473"/>
  <c r="J233" i="473"/>
  <c r="J231" i="473"/>
  <c r="J229" i="473"/>
  <c r="J227" i="473"/>
  <c r="J226" i="473"/>
  <c r="J225" i="473"/>
  <c r="J224" i="473"/>
  <c r="J223" i="473"/>
  <c r="J222" i="473"/>
  <c r="J221" i="473"/>
  <c r="J220" i="473"/>
  <c r="J219" i="473"/>
  <c r="J218" i="473"/>
  <c r="J217" i="473"/>
  <c r="J216" i="473"/>
  <c r="J215" i="473"/>
  <c r="J214" i="473"/>
  <c r="J213" i="473"/>
  <c r="J212" i="473"/>
  <c r="J211" i="473"/>
  <c r="J210" i="473"/>
  <c r="J209" i="473"/>
  <c r="J208" i="473"/>
  <c r="J207" i="473"/>
  <c r="J206" i="473"/>
  <c r="J205" i="473"/>
  <c r="J204" i="473"/>
  <c r="J203" i="473"/>
  <c r="G202" i="473"/>
  <c r="J201" i="473"/>
  <c r="G200" i="473"/>
  <c r="J199" i="473"/>
  <c r="G198" i="473"/>
  <c r="J197" i="473"/>
  <c r="G196" i="473"/>
  <c r="J195" i="473"/>
  <c r="G194" i="473"/>
  <c r="J193" i="473"/>
  <c r="G192" i="473"/>
  <c r="J191" i="473"/>
  <c r="G190" i="473"/>
  <c r="J189" i="473"/>
  <c r="G188" i="473"/>
  <c r="J187" i="473"/>
  <c r="G186" i="473"/>
  <c r="J185" i="473"/>
  <c r="G184" i="473"/>
  <c r="J183" i="473"/>
  <c r="G182" i="473"/>
  <c r="J181" i="473"/>
  <c r="G180" i="473"/>
  <c r="J179" i="473"/>
  <c r="G178" i="473"/>
  <c r="J177" i="473"/>
  <c r="G176" i="473"/>
  <c r="J175" i="473"/>
  <c r="G198" i="472"/>
  <c r="G197" i="472"/>
  <c r="G196" i="472"/>
  <c r="G195" i="472"/>
  <c r="G194" i="472"/>
  <c r="G193" i="472"/>
  <c r="G192" i="472"/>
  <c r="G191" i="472"/>
  <c r="G190" i="472"/>
  <c r="G189" i="472"/>
  <c r="G188" i="472"/>
  <c r="G187" i="472"/>
  <c r="G186" i="472"/>
  <c r="G185" i="472"/>
  <c r="G184" i="472"/>
  <c r="G183" i="472"/>
  <c r="G182" i="472"/>
  <c r="G181" i="472"/>
  <c r="G180" i="472"/>
  <c r="G179" i="472"/>
  <c r="G178" i="472"/>
  <c r="G177" i="472"/>
  <c r="G176" i="472"/>
  <c r="G175" i="472"/>
  <c r="G174" i="472"/>
  <c r="G173" i="472"/>
  <c r="G172" i="472"/>
  <c r="G171" i="472"/>
  <c r="J244" i="472"/>
  <c r="J238" i="472"/>
  <c r="J232" i="472"/>
  <c r="J224" i="472"/>
  <c r="J3" i="472"/>
  <c r="J4" i="472"/>
  <c r="J5" i="472"/>
  <c r="J6" i="472"/>
  <c r="J7" i="472"/>
  <c r="J8" i="472"/>
  <c r="J9" i="472"/>
  <c r="J10" i="472"/>
  <c r="J11" i="472"/>
  <c r="J12" i="472"/>
  <c r="J13" i="472"/>
  <c r="J14" i="472"/>
  <c r="J15" i="472"/>
  <c r="J16" i="472"/>
  <c r="J17" i="472"/>
  <c r="J18" i="472"/>
  <c r="J19" i="472"/>
  <c r="J20" i="472"/>
  <c r="J21" i="472"/>
  <c r="J22" i="472"/>
  <c r="J23" i="472"/>
  <c r="J24" i="472"/>
  <c r="J25" i="472"/>
  <c r="J26" i="472"/>
  <c r="J27" i="472"/>
  <c r="J28" i="472"/>
  <c r="J29" i="472"/>
  <c r="J30" i="472"/>
  <c r="J31" i="472"/>
  <c r="J32" i="472"/>
  <c r="J33" i="472"/>
  <c r="J34" i="472"/>
  <c r="J35" i="472"/>
  <c r="J36" i="472"/>
  <c r="J37" i="472"/>
  <c r="J38" i="472"/>
  <c r="J39" i="472"/>
  <c r="J40" i="472"/>
  <c r="J41" i="472"/>
  <c r="J42" i="472"/>
  <c r="J43" i="472"/>
  <c r="J44" i="472"/>
  <c r="J2" i="472"/>
  <c r="J45" i="472"/>
  <c r="J46" i="472"/>
  <c r="J47" i="472"/>
  <c r="J48" i="472"/>
  <c r="J49" i="472"/>
  <c r="J50" i="472"/>
  <c r="J51" i="472"/>
  <c r="J52" i="472"/>
  <c r="J53" i="472"/>
  <c r="J54" i="472"/>
  <c r="J55" i="472"/>
  <c r="J56" i="472"/>
  <c r="J57" i="472"/>
  <c r="J58" i="472"/>
  <c r="J59" i="472"/>
  <c r="J60" i="472"/>
  <c r="J61" i="472"/>
  <c r="J62" i="472"/>
  <c r="J63" i="472"/>
  <c r="J64" i="472"/>
  <c r="J65" i="472"/>
  <c r="J66" i="472"/>
  <c r="J67" i="472"/>
  <c r="J68" i="472"/>
  <c r="J69" i="472"/>
  <c r="J70" i="472"/>
  <c r="J71" i="472"/>
  <c r="J72" i="472"/>
  <c r="J73" i="472"/>
  <c r="J74" i="472"/>
  <c r="J75" i="472"/>
  <c r="J76" i="472"/>
  <c r="J77" i="472"/>
  <c r="J78" i="472"/>
  <c r="J79" i="472"/>
  <c r="J80" i="472"/>
  <c r="J81" i="472"/>
  <c r="J82" i="472"/>
  <c r="J83" i="472"/>
  <c r="J84" i="472"/>
  <c r="J85" i="472"/>
  <c r="J86" i="472"/>
  <c r="J87" i="472"/>
  <c r="J88" i="472"/>
  <c r="J89" i="472"/>
  <c r="J90" i="472"/>
  <c r="J91" i="472"/>
  <c r="J92" i="472"/>
  <c r="J93" i="472"/>
  <c r="J94" i="472"/>
  <c r="J95" i="472"/>
  <c r="J96" i="472"/>
  <c r="J97" i="472"/>
  <c r="J98" i="472"/>
  <c r="J99" i="472"/>
  <c r="J100" i="472"/>
  <c r="J101" i="472"/>
  <c r="J102" i="472"/>
  <c r="J103" i="472"/>
  <c r="J104" i="472"/>
  <c r="J105" i="472"/>
  <c r="J106" i="472"/>
  <c r="J107" i="472"/>
  <c r="J108" i="472"/>
  <c r="J109" i="472"/>
  <c r="J110" i="472"/>
  <c r="J111" i="472"/>
  <c r="J112" i="472"/>
  <c r="J113" i="472"/>
  <c r="J114" i="472"/>
  <c r="J115" i="472"/>
  <c r="J116" i="472"/>
  <c r="J117" i="472"/>
  <c r="J118" i="472"/>
  <c r="J119" i="472"/>
  <c r="J120" i="472"/>
  <c r="J121" i="472"/>
  <c r="J122" i="472"/>
  <c r="J123" i="472"/>
  <c r="J124" i="472"/>
  <c r="J125" i="472"/>
  <c r="J126" i="472"/>
  <c r="J127" i="472"/>
  <c r="J128" i="472"/>
  <c r="J129" i="472"/>
  <c r="J130" i="472"/>
  <c r="J131" i="472"/>
  <c r="J132" i="472"/>
  <c r="J133" i="472"/>
  <c r="J134" i="472"/>
  <c r="J135" i="472"/>
  <c r="J136" i="472"/>
  <c r="J137" i="472"/>
  <c r="J138" i="472"/>
  <c r="J139" i="472"/>
  <c r="J140" i="472"/>
  <c r="J141" i="472"/>
  <c r="J142" i="472"/>
  <c r="J143" i="472"/>
  <c r="J144" i="472"/>
  <c r="J145" i="472"/>
  <c r="J146" i="472"/>
  <c r="J147" i="472"/>
  <c r="J148" i="472"/>
  <c r="J149" i="472"/>
  <c r="J151" i="472"/>
  <c r="J150" i="472"/>
  <c r="J152" i="472"/>
  <c r="J153" i="472"/>
  <c r="J154" i="472"/>
  <c r="J155" i="472"/>
  <c r="J156" i="472"/>
  <c r="J157" i="472"/>
  <c r="J158" i="472"/>
  <c r="J159" i="472"/>
  <c r="J160" i="472"/>
  <c r="J161" i="472"/>
  <c r="J162" i="472"/>
  <c r="J163" i="472"/>
  <c r="J164" i="472"/>
  <c r="J165" i="472"/>
  <c r="J166" i="472"/>
  <c r="J167" i="472"/>
  <c r="J168" i="472"/>
  <c r="J169" i="472"/>
  <c r="J170" i="472"/>
  <c r="J171" i="472"/>
  <c r="J172" i="472"/>
  <c r="J173" i="472"/>
  <c r="J174" i="472"/>
  <c r="J175" i="472"/>
  <c r="J176" i="472"/>
  <c r="J177" i="472"/>
  <c r="J178" i="472"/>
  <c r="J179" i="472"/>
  <c r="J180" i="472"/>
  <c r="J181" i="472"/>
  <c r="J182" i="472"/>
  <c r="J183" i="472"/>
  <c r="J184" i="472"/>
  <c r="J185" i="472"/>
  <c r="J186" i="472"/>
  <c r="J187" i="472"/>
  <c r="J188" i="472"/>
  <c r="J189" i="472"/>
  <c r="J190" i="472"/>
  <c r="J191" i="472"/>
  <c r="J192" i="472"/>
  <c r="J193" i="472"/>
  <c r="J194" i="472"/>
  <c r="J195" i="472"/>
  <c r="J196" i="472"/>
  <c r="J197" i="472"/>
  <c r="J198" i="472"/>
  <c r="J199" i="472"/>
  <c r="J200" i="472"/>
  <c r="J201" i="472"/>
  <c r="J202" i="472"/>
  <c r="J203" i="472"/>
  <c r="J204" i="472"/>
  <c r="J205" i="472"/>
  <c r="J206" i="472"/>
  <c r="J207" i="472"/>
  <c r="J208" i="472"/>
  <c r="J209" i="472"/>
  <c r="J210" i="472"/>
  <c r="J247" i="472"/>
  <c r="K246" i="472"/>
  <c r="G246" i="472"/>
  <c r="K245" i="472"/>
  <c r="H244" i="472"/>
  <c r="K243" i="472"/>
  <c r="H242" i="472"/>
  <c r="K241" i="472"/>
  <c r="H240" i="472"/>
  <c r="K239" i="472"/>
  <c r="H238" i="472"/>
  <c r="K237" i="472"/>
  <c r="H236" i="472"/>
  <c r="K235" i="472"/>
  <c r="H234" i="472"/>
  <c r="K233" i="472"/>
  <c r="H232" i="472"/>
  <c r="K231" i="472"/>
  <c r="H230" i="472"/>
  <c r="K229" i="472"/>
  <c r="H228" i="472"/>
  <c r="K227" i="472"/>
  <c r="H226" i="472"/>
  <c r="K225" i="472"/>
  <c r="H224" i="472"/>
  <c r="K223" i="472"/>
  <c r="H222" i="472"/>
  <c r="K221" i="472"/>
  <c r="H220" i="472"/>
  <c r="K219" i="472"/>
  <c r="H218" i="472"/>
  <c r="K217" i="472"/>
  <c r="H216" i="472"/>
  <c r="K215" i="472"/>
  <c r="H214" i="472"/>
  <c r="K213" i="472"/>
  <c r="K211" i="472"/>
  <c r="G210" i="472"/>
  <c r="G209" i="472"/>
  <c r="G208" i="472"/>
  <c r="G207" i="472"/>
  <c r="G206" i="472"/>
  <c r="G205" i="472"/>
  <c r="G204" i="472"/>
  <c r="G203" i="472"/>
  <c r="G202" i="472"/>
  <c r="G201" i="472"/>
  <c r="G200" i="472"/>
  <c r="G2" i="472"/>
  <c r="G3" i="472"/>
  <c r="G4" i="472"/>
  <c r="G5" i="472"/>
  <c r="G6" i="472"/>
  <c r="G7" i="472"/>
  <c r="G8" i="472"/>
  <c r="G9" i="472"/>
  <c r="G10" i="472"/>
  <c r="G11" i="472"/>
  <c r="G12" i="472"/>
  <c r="G13" i="472"/>
  <c r="G14" i="472"/>
  <c r="G15" i="472"/>
  <c r="G16" i="472"/>
  <c r="G17" i="472"/>
  <c r="G18" i="472"/>
  <c r="G19" i="472"/>
  <c r="G20" i="472"/>
  <c r="G21" i="472"/>
  <c r="G22" i="472"/>
  <c r="G23" i="472"/>
  <c r="G24" i="472"/>
  <c r="G26" i="472"/>
  <c r="G28" i="472"/>
  <c r="G30" i="472"/>
  <c r="G32" i="472"/>
  <c r="G34" i="472"/>
  <c r="G35" i="472"/>
  <c r="G36" i="472"/>
  <c r="G37" i="472"/>
  <c r="G38" i="472"/>
  <c r="G39" i="472"/>
  <c r="G40" i="472"/>
  <c r="G41" i="472"/>
  <c r="G42" i="472"/>
  <c r="G43" i="472"/>
  <c r="G44" i="472"/>
  <c r="G25" i="472"/>
  <c r="G27" i="472"/>
  <c r="G29" i="472"/>
  <c r="G31" i="472"/>
  <c r="G33" i="472"/>
  <c r="G45" i="472"/>
  <c r="G46" i="472"/>
  <c r="G47" i="472"/>
  <c r="G48" i="472"/>
  <c r="G49" i="472"/>
  <c r="G50" i="472"/>
  <c r="G51" i="472"/>
  <c r="G52" i="472"/>
  <c r="G53" i="472"/>
  <c r="G54" i="472"/>
  <c r="G55" i="472"/>
  <c r="G56" i="472"/>
  <c r="G57" i="472"/>
  <c r="G58" i="472"/>
  <c r="G59" i="472"/>
  <c r="G60" i="472"/>
  <c r="G61" i="472"/>
  <c r="G62" i="472"/>
  <c r="G63" i="472"/>
  <c r="G64" i="472"/>
  <c r="G65" i="472"/>
  <c r="G67" i="472"/>
  <c r="G69" i="472"/>
  <c r="G71" i="472"/>
  <c r="G73" i="472"/>
  <c r="G75" i="472"/>
  <c r="G77" i="472"/>
  <c r="G79" i="472"/>
  <c r="G80" i="472"/>
  <c r="G81" i="472"/>
  <c r="G82" i="472"/>
  <c r="G83" i="472"/>
  <c r="G84" i="472"/>
  <c r="G85" i="472"/>
  <c r="G86" i="472"/>
  <c r="G87" i="472"/>
  <c r="G88" i="472"/>
  <c r="G89" i="472"/>
  <c r="G90" i="472"/>
  <c r="G91" i="472"/>
  <c r="G92" i="472"/>
  <c r="G93" i="472"/>
  <c r="G94" i="472"/>
  <c r="G95" i="472"/>
  <c r="G96" i="472"/>
  <c r="G97" i="472"/>
  <c r="G66" i="472"/>
  <c r="G68" i="472"/>
  <c r="G70" i="472"/>
  <c r="G72" i="472"/>
  <c r="G74" i="472"/>
  <c r="G76" i="472"/>
  <c r="G78" i="472"/>
  <c r="G98" i="472"/>
  <c r="G100" i="472"/>
  <c r="G102" i="472"/>
  <c r="G150" i="472"/>
  <c r="G152" i="472"/>
  <c r="G153" i="472"/>
  <c r="G154" i="472"/>
  <c r="G155" i="472"/>
  <c r="G156" i="472"/>
  <c r="G157" i="472"/>
  <c r="G158" i="472"/>
  <c r="G159" i="472"/>
  <c r="G160" i="472"/>
  <c r="G161" i="472"/>
  <c r="G162" i="472"/>
  <c r="G163" i="472"/>
  <c r="G164" i="472"/>
  <c r="G165" i="472"/>
  <c r="G166" i="472"/>
  <c r="G167" i="472"/>
  <c r="G99" i="472"/>
  <c r="G101" i="472"/>
  <c r="G151" i="472"/>
  <c r="G103" i="472"/>
  <c r="G104" i="472"/>
  <c r="G105" i="472"/>
  <c r="G106" i="472"/>
  <c r="G107" i="472"/>
  <c r="G108" i="472"/>
  <c r="G109" i="472"/>
  <c r="G110" i="472"/>
  <c r="G111" i="472"/>
  <c r="G112" i="472"/>
  <c r="G113" i="472"/>
  <c r="G114" i="472"/>
  <c r="G115" i="472"/>
  <c r="G116" i="472"/>
  <c r="G117" i="472"/>
  <c r="G118" i="472"/>
  <c r="G119" i="472"/>
  <c r="G120" i="472"/>
  <c r="G121" i="472"/>
  <c r="G122" i="472"/>
  <c r="G123" i="472"/>
  <c r="G124" i="472"/>
  <c r="G125" i="472"/>
  <c r="G126" i="472"/>
  <c r="G127" i="472"/>
  <c r="G128" i="472"/>
  <c r="G129" i="472"/>
  <c r="G130" i="472"/>
  <c r="G131" i="472"/>
  <c r="G132" i="472"/>
  <c r="G133" i="472"/>
  <c r="G134" i="472"/>
  <c r="G135" i="472"/>
  <c r="G136" i="472"/>
  <c r="G137" i="472"/>
  <c r="G138" i="472"/>
  <c r="G139" i="472"/>
  <c r="G140" i="472"/>
  <c r="G141" i="472"/>
  <c r="G142" i="472"/>
  <c r="G143" i="472"/>
  <c r="G144" i="472"/>
  <c r="G145" i="472"/>
  <c r="G146" i="472"/>
  <c r="G147" i="472"/>
  <c r="G148" i="472"/>
  <c r="G149" i="472"/>
  <c r="I3" i="472"/>
  <c r="I4" i="472"/>
  <c r="I5" i="472"/>
  <c r="I6" i="472"/>
  <c r="I7" i="472"/>
  <c r="I8" i="472"/>
  <c r="I9" i="472"/>
  <c r="I10" i="472"/>
  <c r="I11" i="472"/>
  <c r="I12" i="472"/>
  <c r="I13" i="472"/>
  <c r="I14" i="472"/>
  <c r="I15" i="472"/>
  <c r="I16" i="472"/>
  <c r="I17" i="472"/>
  <c r="I18" i="472"/>
  <c r="I19" i="472"/>
  <c r="I20" i="472"/>
  <c r="I21" i="472"/>
  <c r="I22" i="472"/>
  <c r="I23" i="472"/>
  <c r="I24" i="472"/>
  <c r="I25" i="472"/>
  <c r="I26" i="472"/>
  <c r="I27" i="472"/>
  <c r="I28" i="472"/>
  <c r="I29" i="472"/>
  <c r="I30" i="472"/>
  <c r="I31" i="472"/>
  <c r="I32" i="472"/>
  <c r="I33" i="472"/>
  <c r="I2" i="472"/>
  <c r="I45" i="472"/>
  <c r="I46" i="472"/>
  <c r="I47" i="472"/>
  <c r="I48" i="472"/>
  <c r="I49" i="472"/>
  <c r="I50" i="472"/>
  <c r="I51" i="472"/>
  <c r="I52" i="472"/>
  <c r="I53" i="472"/>
  <c r="I54" i="472"/>
  <c r="I55" i="472"/>
  <c r="I56" i="472"/>
  <c r="I57" i="472"/>
  <c r="I58" i="472"/>
  <c r="I59" i="472"/>
  <c r="I60" i="472"/>
  <c r="I61" i="472"/>
  <c r="I62" i="472"/>
  <c r="I63" i="472"/>
  <c r="I34" i="472"/>
  <c r="I35" i="472"/>
  <c r="I36" i="472"/>
  <c r="I37" i="472"/>
  <c r="I38" i="472"/>
  <c r="I39" i="472"/>
  <c r="I40" i="472"/>
  <c r="I41" i="472"/>
  <c r="I42" i="472"/>
  <c r="I43" i="472"/>
  <c r="I44" i="472"/>
  <c r="I66" i="472"/>
  <c r="I68" i="472"/>
  <c r="I70" i="472"/>
  <c r="I72" i="472"/>
  <c r="I74" i="472"/>
  <c r="I76" i="472"/>
  <c r="I78" i="472"/>
  <c r="I64" i="472"/>
  <c r="I65" i="472"/>
  <c r="I67" i="472"/>
  <c r="I69" i="472"/>
  <c r="I71" i="472"/>
  <c r="I73" i="472"/>
  <c r="I75" i="472"/>
  <c r="I77" i="472"/>
  <c r="I79" i="472"/>
  <c r="I80" i="472"/>
  <c r="I81" i="472"/>
  <c r="I82" i="472"/>
  <c r="I83" i="472"/>
  <c r="I84" i="472"/>
  <c r="I85" i="472"/>
  <c r="I86" i="472"/>
  <c r="I87" i="472"/>
  <c r="I88" i="472"/>
  <c r="I89" i="472"/>
  <c r="I90" i="472"/>
  <c r="I91" i="472"/>
  <c r="I92" i="472"/>
  <c r="I93" i="472"/>
  <c r="I94" i="472"/>
  <c r="I95" i="472"/>
  <c r="I96" i="472"/>
  <c r="I97" i="472"/>
  <c r="I98" i="472"/>
  <c r="I99" i="472"/>
  <c r="I100" i="472"/>
  <c r="I101" i="472"/>
  <c r="I102" i="472"/>
  <c r="I103" i="472"/>
  <c r="I104" i="472"/>
  <c r="I105" i="472"/>
  <c r="I106" i="472"/>
  <c r="I107" i="472"/>
  <c r="I108" i="472"/>
  <c r="I109" i="472"/>
  <c r="I110" i="472"/>
  <c r="I111" i="472"/>
  <c r="I112" i="472"/>
  <c r="I113" i="472"/>
  <c r="I114" i="472"/>
  <c r="I115" i="472"/>
  <c r="I116" i="472"/>
  <c r="I117" i="472"/>
  <c r="I118" i="472"/>
  <c r="I119" i="472"/>
  <c r="I120" i="472"/>
  <c r="I121" i="472"/>
  <c r="I122" i="472"/>
  <c r="I123" i="472"/>
  <c r="I124" i="472"/>
  <c r="I125" i="472"/>
  <c r="I126" i="472"/>
  <c r="I127" i="472"/>
  <c r="I128" i="472"/>
  <c r="I129" i="472"/>
  <c r="I130" i="472"/>
  <c r="I131" i="472"/>
  <c r="I132" i="472"/>
  <c r="I133" i="472"/>
  <c r="I134" i="472"/>
  <c r="I135" i="472"/>
  <c r="I136" i="472"/>
  <c r="I137" i="472"/>
  <c r="I138" i="472"/>
  <c r="I139" i="472"/>
  <c r="I140" i="472"/>
  <c r="I141" i="472"/>
  <c r="I142" i="472"/>
  <c r="I143" i="472"/>
  <c r="I144" i="472"/>
  <c r="I145" i="472"/>
  <c r="I146" i="472"/>
  <c r="I147" i="472"/>
  <c r="I148" i="472"/>
  <c r="I149" i="472"/>
  <c r="I150" i="472"/>
  <c r="I151" i="472"/>
  <c r="I152" i="472"/>
  <c r="I153" i="472"/>
  <c r="I154" i="472"/>
  <c r="I155" i="472"/>
  <c r="I156" i="472"/>
  <c r="I157" i="472"/>
  <c r="I158" i="472"/>
  <c r="I159" i="472"/>
  <c r="I160" i="472"/>
  <c r="I161" i="472"/>
  <c r="I162" i="472"/>
  <c r="I163" i="472"/>
  <c r="I164" i="472"/>
  <c r="I165" i="472"/>
  <c r="I166" i="472"/>
  <c r="I167" i="472"/>
  <c r="I168" i="472"/>
  <c r="I169" i="472"/>
  <c r="I170" i="472"/>
  <c r="I171" i="472"/>
  <c r="I172" i="472"/>
  <c r="I173" i="472"/>
  <c r="I174" i="472"/>
  <c r="I175" i="472"/>
  <c r="I176" i="472"/>
  <c r="I177" i="472"/>
  <c r="I178" i="472"/>
  <c r="I179" i="472"/>
  <c r="I180" i="472"/>
  <c r="I181" i="472"/>
  <c r="I182" i="472"/>
  <c r="I183" i="472"/>
  <c r="I184" i="472"/>
  <c r="I185" i="472"/>
  <c r="I186" i="472"/>
  <c r="I187" i="472"/>
  <c r="I188" i="472"/>
  <c r="I189" i="472"/>
  <c r="I190" i="472"/>
  <c r="I191" i="472"/>
  <c r="I192" i="472"/>
  <c r="I193" i="472"/>
  <c r="I194" i="472"/>
  <c r="I195" i="472"/>
  <c r="I196" i="472"/>
  <c r="I197" i="472"/>
  <c r="I198" i="472"/>
  <c r="I199" i="472"/>
  <c r="I200" i="472"/>
  <c r="I201" i="472"/>
  <c r="I202" i="472"/>
  <c r="I203" i="472"/>
  <c r="I204" i="472"/>
  <c r="I205" i="472"/>
  <c r="I206" i="472"/>
  <c r="I207" i="472"/>
  <c r="I208" i="472"/>
  <c r="I209" i="472"/>
  <c r="I210" i="472"/>
  <c r="I211" i="472"/>
  <c r="I212" i="472"/>
  <c r="I213" i="472"/>
  <c r="I214" i="472"/>
  <c r="I215" i="472"/>
  <c r="I216" i="472"/>
  <c r="I217" i="472"/>
  <c r="I218" i="472"/>
  <c r="I219" i="472"/>
  <c r="I220" i="472"/>
  <c r="I221" i="472"/>
  <c r="I222" i="472"/>
  <c r="I223" i="472"/>
  <c r="I224" i="472"/>
  <c r="I225" i="472"/>
  <c r="I226" i="472"/>
  <c r="I227" i="472"/>
  <c r="I228" i="472"/>
  <c r="I229" i="472"/>
  <c r="I230" i="472"/>
  <c r="I231" i="472"/>
  <c r="I232" i="472"/>
  <c r="I233" i="472"/>
  <c r="I234" i="472"/>
  <c r="I235" i="472"/>
  <c r="I236" i="472"/>
  <c r="I237" i="472"/>
  <c r="I238" i="472"/>
  <c r="I239" i="472"/>
  <c r="I240" i="472"/>
  <c r="I241" i="472"/>
  <c r="I242" i="472"/>
  <c r="I243" i="472"/>
  <c r="I244" i="472"/>
  <c r="I245" i="472"/>
  <c r="G247" i="472"/>
  <c r="K247" i="472"/>
  <c r="J246" i="472"/>
  <c r="J245" i="472"/>
  <c r="G244" i="472"/>
  <c r="J243" i="472"/>
  <c r="G242" i="472"/>
  <c r="J241" i="472"/>
  <c r="G240" i="472"/>
  <c r="J239" i="472"/>
  <c r="G238" i="472"/>
  <c r="J237" i="472"/>
  <c r="G236" i="472"/>
  <c r="J235" i="472"/>
  <c r="G234" i="472"/>
  <c r="J233" i="472"/>
  <c r="G232" i="472"/>
  <c r="J231" i="472"/>
  <c r="G230" i="472"/>
  <c r="J229" i="472"/>
  <c r="G228" i="472"/>
  <c r="J227" i="472"/>
  <c r="G226" i="472"/>
  <c r="J225" i="472"/>
  <c r="G224" i="472"/>
  <c r="J223" i="472"/>
  <c r="G222" i="472"/>
  <c r="J221" i="472"/>
  <c r="G220" i="472"/>
  <c r="J219" i="472"/>
  <c r="G218" i="472"/>
  <c r="J217" i="472"/>
  <c r="G216" i="472"/>
  <c r="J215" i="472"/>
  <c r="G214" i="472"/>
  <c r="J213" i="472"/>
  <c r="G212" i="472"/>
  <c r="J211" i="472"/>
  <c r="K170" i="472"/>
  <c r="K168" i="472"/>
  <c r="J242" i="472"/>
  <c r="J236" i="472"/>
  <c r="J230" i="472"/>
  <c r="J228" i="472"/>
  <c r="H2" i="472"/>
  <c r="H3" i="472"/>
  <c r="H4" i="472"/>
  <c r="H5" i="472"/>
  <c r="H6" i="472"/>
  <c r="H7" i="472"/>
  <c r="H8" i="472"/>
  <c r="H9" i="472"/>
  <c r="H10" i="472"/>
  <c r="H11" i="472"/>
  <c r="H12" i="472"/>
  <c r="H13" i="472"/>
  <c r="H14" i="472"/>
  <c r="H15" i="472"/>
  <c r="H16" i="472"/>
  <c r="H17" i="472"/>
  <c r="H18" i="472"/>
  <c r="H19" i="472"/>
  <c r="H20" i="472"/>
  <c r="H21" i="472"/>
  <c r="H22" i="472"/>
  <c r="H23" i="472"/>
  <c r="H24" i="472"/>
  <c r="H25" i="472"/>
  <c r="H26" i="472"/>
  <c r="H27" i="472"/>
  <c r="H28" i="472"/>
  <c r="H29" i="472"/>
  <c r="H30" i="472"/>
  <c r="H31" i="472"/>
  <c r="H32" i="472"/>
  <c r="H33" i="472"/>
  <c r="H34" i="472"/>
  <c r="H35" i="472"/>
  <c r="H36" i="472"/>
  <c r="H37" i="472"/>
  <c r="H38" i="472"/>
  <c r="H39" i="472"/>
  <c r="H40" i="472"/>
  <c r="H41" i="472"/>
  <c r="H42" i="472"/>
  <c r="H43" i="472"/>
  <c r="H44" i="472"/>
  <c r="H45" i="472"/>
  <c r="H46" i="472"/>
  <c r="H47" i="472"/>
  <c r="H48" i="472"/>
  <c r="H49" i="472"/>
  <c r="H50" i="472"/>
  <c r="H51" i="472"/>
  <c r="H52" i="472"/>
  <c r="H53" i="472"/>
  <c r="H54" i="472"/>
  <c r="H55" i="472"/>
  <c r="H56" i="472"/>
  <c r="H57" i="472"/>
  <c r="H58" i="472"/>
  <c r="H59" i="472"/>
  <c r="H60" i="472"/>
  <c r="H64" i="472"/>
  <c r="H61" i="472"/>
  <c r="H63" i="472"/>
  <c r="H65" i="472"/>
  <c r="H67" i="472"/>
  <c r="H69" i="472"/>
  <c r="H71" i="472"/>
  <c r="H73" i="472"/>
  <c r="H75" i="472"/>
  <c r="H77" i="472"/>
  <c r="H79" i="472"/>
  <c r="H80" i="472"/>
  <c r="H81" i="472"/>
  <c r="H82" i="472"/>
  <c r="H83" i="472"/>
  <c r="H84" i="472"/>
  <c r="H85" i="472"/>
  <c r="H86" i="472"/>
  <c r="H87" i="472"/>
  <c r="H88" i="472"/>
  <c r="H89" i="472"/>
  <c r="H90" i="472"/>
  <c r="H91" i="472"/>
  <c r="H92" i="472"/>
  <c r="H93" i="472"/>
  <c r="H94" i="472"/>
  <c r="H95" i="472"/>
  <c r="H96" i="472"/>
  <c r="H97" i="472"/>
  <c r="H98" i="472"/>
  <c r="H99" i="472"/>
  <c r="H100" i="472"/>
  <c r="H101" i="472"/>
  <c r="H102" i="472"/>
  <c r="H62" i="472"/>
  <c r="H66" i="472"/>
  <c r="H68" i="472"/>
  <c r="H70" i="472"/>
  <c r="H72" i="472"/>
  <c r="H74" i="472"/>
  <c r="H76" i="472"/>
  <c r="H78" i="472"/>
  <c r="H103" i="472"/>
  <c r="H104" i="472"/>
  <c r="H105" i="472"/>
  <c r="H106" i="472"/>
  <c r="H107" i="472"/>
  <c r="H108" i="472"/>
  <c r="H109" i="472"/>
  <c r="H110" i="472"/>
  <c r="H111" i="472"/>
  <c r="H112" i="472"/>
  <c r="H113" i="472"/>
  <c r="H114" i="472"/>
  <c r="H115" i="472"/>
  <c r="H116" i="472"/>
  <c r="H117" i="472"/>
  <c r="H118" i="472"/>
  <c r="H119" i="472"/>
  <c r="H120" i="472"/>
  <c r="H121" i="472"/>
  <c r="H122" i="472"/>
  <c r="H123" i="472"/>
  <c r="H124" i="472"/>
  <c r="H125" i="472"/>
  <c r="H126" i="472"/>
  <c r="H127" i="472"/>
  <c r="H128" i="472"/>
  <c r="H129" i="472"/>
  <c r="H130" i="472"/>
  <c r="H131" i="472"/>
  <c r="H132" i="472"/>
  <c r="H133" i="472"/>
  <c r="H134" i="472"/>
  <c r="H135" i="472"/>
  <c r="H136" i="472"/>
  <c r="H137" i="472"/>
  <c r="H138" i="472"/>
  <c r="H139" i="472"/>
  <c r="H140" i="472"/>
  <c r="H141" i="472"/>
  <c r="H142" i="472"/>
  <c r="H143" i="472"/>
  <c r="H144" i="472"/>
  <c r="H145" i="472"/>
  <c r="H146" i="472"/>
  <c r="H147" i="472"/>
  <c r="H148" i="472"/>
  <c r="H149" i="472"/>
  <c r="H150" i="472"/>
  <c r="H152" i="472"/>
  <c r="H153" i="472"/>
  <c r="H154" i="472"/>
  <c r="H155" i="472"/>
  <c r="H156" i="472"/>
  <c r="H157" i="472"/>
  <c r="H158" i="472"/>
  <c r="H159" i="472"/>
  <c r="H160" i="472"/>
  <c r="H161" i="472"/>
  <c r="H162" i="472"/>
  <c r="H163" i="472"/>
  <c r="H164" i="472"/>
  <c r="H165" i="472"/>
  <c r="H166" i="472"/>
  <c r="H167" i="472"/>
  <c r="H168" i="472"/>
  <c r="H169" i="472"/>
  <c r="H170" i="472"/>
  <c r="H151" i="472"/>
  <c r="H247" i="472"/>
  <c r="H245" i="472"/>
  <c r="K244" i="472"/>
  <c r="H243" i="472"/>
  <c r="K242" i="472"/>
  <c r="H241" i="472"/>
  <c r="K240" i="472"/>
  <c r="H239" i="472"/>
  <c r="K238" i="472"/>
  <c r="H237" i="472"/>
  <c r="K236" i="472"/>
  <c r="H235" i="472"/>
  <c r="K234" i="472"/>
  <c r="H233" i="472"/>
  <c r="K232" i="472"/>
  <c r="H231" i="472"/>
  <c r="K230" i="472"/>
  <c r="H229" i="472"/>
  <c r="K228" i="472"/>
  <c r="H227" i="472"/>
  <c r="K226" i="472"/>
  <c r="H225" i="472"/>
  <c r="K224" i="472"/>
  <c r="H223" i="472"/>
  <c r="K222" i="472"/>
  <c r="H221" i="472"/>
  <c r="K220" i="472"/>
  <c r="H219" i="472"/>
  <c r="K218" i="472"/>
  <c r="H217" i="472"/>
  <c r="K216" i="472"/>
  <c r="H215" i="472"/>
  <c r="K214" i="472"/>
  <c r="H213" i="472"/>
  <c r="K212" i="472"/>
  <c r="H211" i="472"/>
  <c r="K210" i="472"/>
  <c r="K209" i="472"/>
  <c r="K208" i="472"/>
  <c r="K207" i="472"/>
  <c r="K206" i="472"/>
  <c r="K205" i="472"/>
  <c r="K204" i="472"/>
  <c r="K203" i="472"/>
  <c r="K202" i="472"/>
  <c r="K201" i="472"/>
  <c r="K200" i="472"/>
  <c r="K199" i="472"/>
  <c r="K198" i="472"/>
  <c r="K197" i="472"/>
  <c r="K196" i="472"/>
  <c r="K195" i="472"/>
  <c r="K194" i="472"/>
  <c r="K193" i="472"/>
  <c r="K192" i="472"/>
  <c r="K191" i="472"/>
  <c r="K190" i="472"/>
  <c r="K189" i="472"/>
  <c r="K188" i="472"/>
  <c r="K187" i="472"/>
  <c r="K186" i="472"/>
  <c r="K185" i="472"/>
  <c r="K184" i="472"/>
  <c r="K183" i="472"/>
  <c r="K182" i="472"/>
  <c r="K181" i="472"/>
  <c r="K180" i="472"/>
  <c r="K179" i="472"/>
  <c r="K178" i="472"/>
  <c r="K177" i="472"/>
  <c r="K176" i="472"/>
  <c r="K175" i="472"/>
  <c r="K174" i="472"/>
  <c r="K173" i="472"/>
  <c r="K172" i="472"/>
  <c r="G170" i="472"/>
  <c r="G168" i="472"/>
  <c r="K2" i="472"/>
  <c r="K3" i="472"/>
  <c r="K4" i="472"/>
  <c r="K5" i="472"/>
  <c r="K6" i="472"/>
  <c r="K7" i="472"/>
  <c r="K8" i="472"/>
  <c r="K9" i="472"/>
  <c r="K10" i="472"/>
  <c r="K11" i="472"/>
  <c r="K12" i="472"/>
  <c r="K13" i="472"/>
  <c r="K14" i="472"/>
  <c r="K15" i="472"/>
  <c r="K16" i="472"/>
  <c r="K17" i="472"/>
  <c r="K18" i="472"/>
  <c r="K19" i="472"/>
  <c r="K20" i="472"/>
  <c r="K21" i="472"/>
  <c r="K22" i="472"/>
  <c r="K23" i="472"/>
  <c r="K25" i="472"/>
  <c r="K27" i="472"/>
  <c r="K29" i="472"/>
  <c r="K31" i="472"/>
  <c r="K33" i="472"/>
  <c r="K34" i="472"/>
  <c r="K35" i="472"/>
  <c r="K36" i="472"/>
  <c r="K37" i="472"/>
  <c r="K38" i="472"/>
  <c r="K39" i="472"/>
  <c r="K40" i="472"/>
  <c r="K41" i="472"/>
  <c r="K42" i="472"/>
  <c r="K43" i="472"/>
  <c r="K44" i="472"/>
  <c r="K24" i="472"/>
  <c r="K26" i="472"/>
  <c r="K28" i="472"/>
  <c r="K30" i="472"/>
  <c r="K32" i="472"/>
  <c r="K45" i="472"/>
  <c r="K46" i="472"/>
  <c r="K47" i="472"/>
  <c r="K48" i="472"/>
  <c r="K49" i="472"/>
  <c r="K50" i="472"/>
  <c r="K51" i="472"/>
  <c r="K52" i="472"/>
  <c r="K53" i="472"/>
  <c r="K54" i="472"/>
  <c r="K55" i="472"/>
  <c r="K56" i="472"/>
  <c r="K57" i="472"/>
  <c r="K58" i="472"/>
  <c r="K59" i="472"/>
  <c r="K60" i="472"/>
  <c r="K61" i="472"/>
  <c r="K62" i="472"/>
  <c r="K63" i="472"/>
  <c r="K64" i="472"/>
  <c r="K79" i="472"/>
  <c r="K80" i="472"/>
  <c r="K81" i="472"/>
  <c r="K82" i="472"/>
  <c r="K83" i="472"/>
  <c r="K84" i="472"/>
  <c r="K85" i="472"/>
  <c r="K86" i="472"/>
  <c r="K87" i="472"/>
  <c r="K88" i="472"/>
  <c r="K89" i="472"/>
  <c r="K90" i="472"/>
  <c r="K91" i="472"/>
  <c r="K92" i="472"/>
  <c r="K93" i="472"/>
  <c r="K94" i="472"/>
  <c r="K95" i="472"/>
  <c r="K96" i="472"/>
  <c r="K97" i="472"/>
  <c r="K66" i="472"/>
  <c r="K68" i="472"/>
  <c r="K70" i="472"/>
  <c r="K72" i="472"/>
  <c r="K74" i="472"/>
  <c r="K76" i="472"/>
  <c r="K78" i="472"/>
  <c r="K65" i="472"/>
  <c r="K67" i="472"/>
  <c r="K69" i="472"/>
  <c r="K71" i="472"/>
  <c r="K73" i="472"/>
  <c r="K75" i="472"/>
  <c r="K77" i="472"/>
  <c r="K152" i="472"/>
  <c r="K153" i="472"/>
  <c r="K154" i="472"/>
  <c r="K155" i="472"/>
  <c r="K156" i="472"/>
  <c r="K157" i="472"/>
  <c r="K158" i="472"/>
  <c r="K159" i="472"/>
  <c r="K160" i="472"/>
  <c r="K161" i="472"/>
  <c r="K162" i="472"/>
  <c r="K163" i="472"/>
  <c r="K164" i="472"/>
  <c r="K165" i="472"/>
  <c r="K166" i="472"/>
  <c r="K98" i="472"/>
  <c r="K100" i="472"/>
  <c r="K102" i="472"/>
  <c r="K103" i="472"/>
  <c r="K104" i="472"/>
  <c r="K105" i="472"/>
  <c r="K106" i="472"/>
  <c r="K107" i="472"/>
  <c r="K108" i="472"/>
  <c r="K109" i="472"/>
  <c r="K110" i="472"/>
  <c r="K111" i="472"/>
  <c r="K112" i="472"/>
  <c r="K113" i="472"/>
  <c r="K114" i="472"/>
  <c r="K115" i="472"/>
  <c r="K116" i="472"/>
  <c r="K117" i="472"/>
  <c r="K118" i="472"/>
  <c r="K119" i="472"/>
  <c r="K120" i="472"/>
  <c r="K121" i="472"/>
  <c r="K122" i="472"/>
  <c r="K123" i="472"/>
  <c r="K124" i="472"/>
  <c r="K125" i="472"/>
  <c r="K126" i="472"/>
  <c r="K127" i="472"/>
  <c r="K128" i="472"/>
  <c r="K129" i="472"/>
  <c r="K130" i="472"/>
  <c r="K131" i="472"/>
  <c r="K132" i="472"/>
  <c r="K133" i="472"/>
  <c r="K134" i="472"/>
  <c r="K135" i="472"/>
  <c r="K136" i="472"/>
  <c r="K137" i="472"/>
  <c r="K138" i="472"/>
  <c r="K139" i="472"/>
  <c r="K140" i="472"/>
  <c r="K141" i="472"/>
  <c r="K142" i="472"/>
  <c r="K143" i="472"/>
  <c r="K144" i="472"/>
  <c r="K145" i="472"/>
  <c r="K146" i="472"/>
  <c r="K147" i="472"/>
  <c r="K148" i="472"/>
  <c r="K149" i="472"/>
  <c r="K151" i="472"/>
  <c r="K99" i="472"/>
  <c r="K101" i="472"/>
  <c r="K150" i="472"/>
  <c r="J240" i="472"/>
  <c r="J234" i="472"/>
  <c r="J226" i="472"/>
  <c r="J222" i="472"/>
  <c r="G221" i="472"/>
  <c r="J220" i="472"/>
  <c r="G219" i="472"/>
  <c r="J218" i="472"/>
  <c r="G217" i="472"/>
  <c r="J216" i="472"/>
  <c r="G215" i="472"/>
  <c r="J212" i="472"/>
  <c r="H210" i="472"/>
  <c r="H209" i="472"/>
  <c r="H208" i="472"/>
  <c r="H207" i="472"/>
  <c r="H206" i="472"/>
  <c r="H205" i="472"/>
  <c r="H204" i="472"/>
  <c r="H203" i="472"/>
  <c r="H202" i="472"/>
  <c r="H201" i="472"/>
  <c r="H200" i="472"/>
  <c r="H199" i="472"/>
  <c r="H198" i="472"/>
  <c r="H197" i="472"/>
  <c r="H196" i="472"/>
  <c r="H195" i="472"/>
  <c r="H194" i="472"/>
  <c r="H193" i="472"/>
  <c r="H192" i="472"/>
  <c r="H191" i="472"/>
  <c r="H190" i="472"/>
  <c r="H189" i="472"/>
  <c r="H188" i="472"/>
  <c r="H187" i="472"/>
  <c r="H186" i="472"/>
  <c r="H185" i="472"/>
  <c r="H184" i="472"/>
  <c r="H183" i="472"/>
  <c r="H182" i="472"/>
  <c r="H181" i="472"/>
  <c r="H180" i="472"/>
  <c r="H179" i="472"/>
  <c r="H178" i="472"/>
  <c r="H177" i="472"/>
  <c r="H176" i="472"/>
  <c r="H175" i="472"/>
  <c r="H174" i="472"/>
  <c r="H173" i="472"/>
  <c r="H172" i="472"/>
  <c r="H171" i="472"/>
  <c r="K169" i="472"/>
  <c r="K167" i="472"/>
  <c r="K245" i="471"/>
  <c r="K243" i="471"/>
  <c r="G242" i="471"/>
  <c r="K240" i="471"/>
  <c r="G239" i="471"/>
  <c r="K237" i="471"/>
  <c r="G236" i="471"/>
  <c r="G234" i="471"/>
  <c r="K232" i="471"/>
  <c r="K231" i="471"/>
  <c r="K229" i="471"/>
  <c r="K227" i="471"/>
  <c r="K226" i="471"/>
  <c r="K223" i="471"/>
  <c r="K220" i="471"/>
  <c r="K217" i="471"/>
  <c r="G2" i="471"/>
  <c r="G3" i="471"/>
  <c r="G4" i="471"/>
  <c r="G5" i="471"/>
  <c r="G6" i="471"/>
  <c r="G7" i="471"/>
  <c r="G8" i="471"/>
  <c r="G9" i="471"/>
  <c r="G10" i="471"/>
  <c r="G11" i="471"/>
  <c r="G12" i="471"/>
  <c r="G13" i="471"/>
  <c r="G14" i="471"/>
  <c r="G15" i="471"/>
  <c r="G16" i="471"/>
  <c r="G17" i="471"/>
  <c r="G18" i="471"/>
  <c r="G19" i="471"/>
  <c r="G20" i="471"/>
  <c r="G21" i="471"/>
  <c r="G22" i="471"/>
  <c r="G23" i="471"/>
  <c r="G24" i="471"/>
  <c r="G25" i="471"/>
  <c r="G26" i="471"/>
  <c r="G27" i="471"/>
  <c r="G28" i="471"/>
  <c r="G29" i="471"/>
  <c r="G30" i="471"/>
  <c r="G31" i="471"/>
  <c r="G32" i="471"/>
  <c r="G33" i="471"/>
  <c r="G34" i="471"/>
  <c r="G35" i="471"/>
  <c r="G36" i="471"/>
  <c r="G37" i="471"/>
  <c r="G38" i="471"/>
  <c r="G39" i="471"/>
  <c r="G40" i="471"/>
  <c r="G41" i="471"/>
  <c r="G42" i="471"/>
  <c r="G43" i="471"/>
  <c r="G45" i="471"/>
  <c r="G46" i="471"/>
  <c r="G47" i="471"/>
  <c r="G48" i="471"/>
  <c r="G49" i="471"/>
  <c r="G50" i="471"/>
  <c r="G51" i="471"/>
  <c r="G52" i="471"/>
  <c r="G53" i="471"/>
  <c r="G54" i="471"/>
  <c r="G55" i="471"/>
  <c r="G56" i="471"/>
  <c r="G57" i="471"/>
  <c r="G58" i="471"/>
  <c r="G59" i="471"/>
  <c r="G60" i="471"/>
  <c r="G61" i="471"/>
  <c r="G62" i="471"/>
  <c r="G63" i="471"/>
  <c r="G64" i="471"/>
  <c r="G65" i="471"/>
  <c r="G73" i="471"/>
  <c r="G75" i="471"/>
  <c r="G76" i="471"/>
  <c r="G77" i="471"/>
  <c r="G78" i="471"/>
  <c r="G79" i="471"/>
  <c r="G80" i="471"/>
  <c r="G81" i="471"/>
  <c r="G82" i="471"/>
  <c r="G83" i="471"/>
  <c r="G84" i="471"/>
  <c r="G85" i="471"/>
  <c r="G86" i="471"/>
  <c r="G87" i="471"/>
  <c r="G88" i="471"/>
  <c r="G74" i="471"/>
  <c r="G69" i="471"/>
  <c r="G89" i="471"/>
  <c r="G90" i="471"/>
  <c r="G91" i="471"/>
  <c r="G92" i="471"/>
  <c r="G93" i="471"/>
  <c r="G94" i="471"/>
  <c r="G95" i="471"/>
  <c r="G96" i="471"/>
  <c r="G97" i="471"/>
  <c r="G98" i="471"/>
  <c r="G99" i="471"/>
  <c r="G100" i="471"/>
  <c r="G101" i="471"/>
  <c r="G102" i="471"/>
  <c r="G104" i="471"/>
  <c r="G105" i="471"/>
  <c r="G106" i="471"/>
  <c r="G107" i="471"/>
  <c r="G108" i="471"/>
  <c r="G109" i="471"/>
  <c r="G110" i="471"/>
  <c r="G111" i="471"/>
  <c r="G112" i="471"/>
  <c r="G113" i="471"/>
  <c r="G114" i="471"/>
  <c r="G115" i="471"/>
  <c r="G116" i="471"/>
  <c r="G117" i="471"/>
  <c r="G118" i="471"/>
  <c r="G119" i="471"/>
  <c r="G120" i="471"/>
  <c r="G121" i="471"/>
  <c r="G122" i="471"/>
  <c r="G123" i="471"/>
  <c r="G124" i="471"/>
  <c r="G125" i="471"/>
  <c r="G126" i="471"/>
  <c r="G127" i="471"/>
  <c r="G128" i="471"/>
  <c r="G129" i="471"/>
  <c r="G130" i="471"/>
  <c r="G131" i="471"/>
  <c r="G132" i="471"/>
  <c r="G133" i="471"/>
  <c r="G134" i="471"/>
  <c r="G135" i="471"/>
  <c r="G136" i="471"/>
  <c r="G137" i="471"/>
  <c r="G138" i="471"/>
  <c r="G139" i="471"/>
  <c r="G140" i="471"/>
  <c r="G66" i="471"/>
  <c r="G70" i="471"/>
  <c r="G103" i="471"/>
  <c r="G44" i="471"/>
  <c r="G67" i="471"/>
  <c r="G71" i="471"/>
  <c r="G68" i="471"/>
  <c r="G141" i="471"/>
  <c r="G142" i="471"/>
  <c r="G143" i="471"/>
  <c r="G144" i="471"/>
  <c r="G145" i="471"/>
  <c r="G146" i="471"/>
  <c r="G147" i="471"/>
  <c r="G148" i="471"/>
  <c r="G149" i="471"/>
  <c r="G150" i="471"/>
  <c r="G151" i="471"/>
  <c r="G152" i="471"/>
  <c r="G153" i="471"/>
  <c r="G154" i="471"/>
  <c r="G155" i="471"/>
  <c r="G156" i="471"/>
  <c r="G157" i="471"/>
  <c r="G158" i="471"/>
  <c r="G159" i="471"/>
  <c r="G160" i="471"/>
  <c r="G161" i="471"/>
  <c r="G162" i="471"/>
  <c r="G163" i="471"/>
  <c r="G72" i="471"/>
  <c r="G164" i="471"/>
  <c r="G166" i="471"/>
  <c r="G168" i="471"/>
  <c r="G170" i="471"/>
  <c r="G172" i="471"/>
  <c r="G174" i="471"/>
  <c r="G175" i="471"/>
  <c r="G176" i="471"/>
  <c r="G177" i="471"/>
  <c r="G178" i="471"/>
  <c r="G179" i="471"/>
  <c r="G180" i="471"/>
  <c r="G181" i="471"/>
  <c r="G182" i="471"/>
  <c r="G183" i="471"/>
  <c r="G184" i="471"/>
  <c r="G185" i="471"/>
  <c r="G186" i="471"/>
  <c r="G187" i="471"/>
  <c r="G188" i="471"/>
  <c r="G189" i="471"/>
  <c r="G190" i="471"/>
  <c r="G191" i="471"/>
  <c r="G192" i="471"/>
  <c r="G193" i="471"/>
  <c r="G194" i="471"/>
  <c r="G195" i="471"/>
  <c r="G196" i="471"/>
  <c r="G197" i="471"/>
  <c r="G198" i="471"/>
  <c r="G199" i="471"/>
  <c r="G200" i="471"/>
  <c r="G201" i="471"/>
  <c r="G202" i="471"/>
  <c r="G203" i="471"/>
  <c r="G204" i="471"/>
  <c r="G205" i="471"/>
  <c r="G206" i="471"/>
  <c r="G207" i="471"/>
  <c r="G208" i="471"/>
  <c r="G209" i="471"/>
  <c r="G210" i="471"/>
  <c r="G211" i="471"/>
  <c r="G212" i="471"/>
  <c r="G213" i="471"/>
  <c r="G214" i="471"/>
  <c r="G215" i="471"/>
  <c r="G247" i="471"/>
  <c r="J246" i="471"/>
  <c r="J245" i="471"/>
  <c r="J244" i="471"/>
  <c r="J243" i="471"/>
  <c r="J242" i="471"/>
  <c r="J241" i="471"/>
  <c r="J240" i="471"/>
  <c r="J239" i="471"/>
  <c r="J238" i="471"/>
  <c r="J237" i="471"/>
  <c r="J236" i="471"/>
  <c r="J235" i="471"/>
  <c r="J234" i="471"/>
  <c r="J233" i="471"/>
  <c r="J232" i="471"/>
  <c r="J231" i="471"/>
  <c r="J230" i="471"/>
  <c r="J229" i="471"/>
  <c r="J228" i="471"/>
  <c r="J227" i="471"/>
  <c r="I226" i="471"/>
  <c r="I225" i="471"/>
  <c r="I224" i="471"/>
  <c r="I223" i="471"/>
  <c r="I222" i="471"/>
  <c r="I221" i="471"/>
  <c r="I220" i="471"/>
  <c r="I219" i="471"/>
  <c r="I218" i="471"/>
  <c r="I217" i="471"/>
  <c r="I216" i="471"/>
  <c r="I215" i="471"/>
  <c r="I213" i="471"/>
  <c r="I211" i="471"/>
  <c r="I209" i="471"/>
  <c r="I207" i="471"/>
  <c r="I205" i="471"/>
  <c r="I203" i="471"/>
  <c r="I201" i="471"/>
  <c r="I199" i="471"/>
  <c r="I197" i="471"/>
  <c r="I195" i="471"/>
  <c r="I193" i="471"/>
  <c r="I191" i="471"/>
  <c r="I189" i="471"/>
  <c r="I187" i="471"/>
  <c r="I185" i="471"/>
  <c r="I183" i="471"/>
  <c r="I181" i="471"/>
  <c r="I179" i="471"/>
  <c r="I177" i="471"/>
  <c r="G173" i="471"/>
  <c r="G165" i="471"/>
  <c r="J3" i="471"/>
  <c r="J4" i="471"/>
  <c r="J5" i="471"/>
  <c r="J6" i="471"/>
  <c r="J7" i="471"/>
  <c r="J8" i="471"/>
  <c r="J9" i="471"/>
  <c r="J10" i="471"/>
  <c r="J11" i="471"/>
  <c r="J12" i="471"/>
  <c r="J13" i="471"/>
  <c r="J14" i="471"/>
  <c r="J15" i="471"/>
  <c r="J16" i="471"/>
  <c r="J17" i="471"/>
  <c r="J18" i="471"/>
  <c r="J19" i="471"/>
  <c r="J20" i="471"/>
  <c r="J21" i="471"/>
  <c r="J22" i="471"/>
  <c r="J23" i="471"/>
  <c r="J24" i="471"/>
  <c r="J25" i="471"/>
  <c r="J26" i="471"/>
  <c r="J27" i="471"/>
  <c r="J28" i="471"/>
  <c r="J29" i="471"/>
  <c r="J30" i="471"/>
  <c r="J31" i="471"/>
  <c r="J32" i="471"/>
  <c r="J33" i="471"/>
  <c r="J34" i="471"/>
  <c r="J35" i="471"/>
  <c r="J36" i="471"/>
  <c r="J37" i="471"/>
  <c r="J38" i="471"/>
  <c r="J39" i="471"/>
  <c r="J40" i="471"/>
  <c r="J41" i="471"/>
  <c r="J42" i="471"/>
  <c r="J43" i="471"/>
  <c r="J44" i="471"/>
  <c r="J2" i="471"/>
  <c r="J45" i="471"/>
  <c r="J46" i="471"/>
  <c r="J47" i="471"/>
  <c r="J48" i="471"/>
  <c r="J49" i="471"/>
  <c r="J50" i="471"/>
  <c r="J51" i="471"/>
  <c r="J52" i="471"/>
  <c r="J53" i="471"/>
  <c r="J54" i="471"/>
  <c r="J55" i="471"/>
  <c r="J56" i="471"/>
  <c r="J57" i="471"/>
  <c r="J58" i="471"/>
  <c r="J59" i="471"/>
  <c r="J60" i="471"/>
  <c r="J61" i="471"/>
  <c r="J62" i="471"/>
  <c r="J63" i="471"/>
  <c r="J64" i="471"/>
  <c r="J65" i="471"/>
  <c r="J66" i="471"/>
  <c r="J67" i="471"/>
  <c r="J68" i="471"/>
  <c r="J69" i="471"/>
  <c r="J70" i="471"/>
  <c r="J71" i="471"/>
  <c r="J72" i="471"/>
  <c r="J73" i="471"/>
  <c r="J74" i="471"/>
  <c r="J75" i="471"/>
  <c r="J76" i="471"/>
  <c r="J77" i="471"/>
  <c r="J78" i="471"/>
  <c r="J79" i="471"/>
  <c r="J80" i="471"/>
  <c r="J81" i="471"/>
  <c r="J82" i="471"/>
  <c r="J83" i="471"/>
  <c r="J84" i="471"/>
  <c r="J85" i="471"/>
  <c r="J86" i="471"/>
  <c r="J87" i="471"/>
  <c r="J88" i="471"/>
  <c r="J89" i="471"/>
  <c r="J90" i="471"/>
  <c r="J91" i="471"/>
  <c r="J92" i="471"/>
  <c r="J93" i="471"/>
  <c r="J94" i="471"/>
  <c r="J95" i="471"/>
  <c r="J96" i="471"/>
  <c r="J97" i="471"/>
  <c r="J98" i="471"/>
  <c r="J99" i="471"/>
  <c r="J100" i="471"/>
  <c r="J101" i="471"/>
  <c r="J102" i="471"/>
  <c r="J103" i="471"/>
  <c r="J105" i="471"/>
  <c r="J107" i="471"/>
  <c r="J109" i="471"/>
  <c r="J111" i="471"/>
  <c r="J113" i="471"/>
  <c r="J115" i="471"/>
  <c r="J117" i="471"/>
  <c r="J119" i="471"/>
  <c r="J121" i="471"/>
  <c r="J123" i="471"/>
  <c r="J125" i="471"/>
  <c r="J127" i="471"/>
  <c r="J129" i="471"/>
  <c r="J131" i="471"/>
  <c r="J133" i="471"/>
  <c r="J135" i="471"/>
  <c r="J137" i="471"/>
  <c r="J139" i="471"/>
  <c r="J174" i="471"/>
  <c r="J175" i="471"/>
  <c r="J176" i="471"/>
  <c r="J177" i="471"/>
  <c r="J178" i="471"/>
  <c r="J179" i="471"/>
  <c r="J180" i="471"/>
  <c r="J181" i="471"/>
  <c r="J182" i="471"/>
  <c r="J183" i="471"/>
  <c r="J184" i="471"/>
  <c r="J185" i="471"/>
  <c r="J186" i="471"/>
  <c r="J187" i="471"/>
  <c r="J188" i="471"/>
  <c r="J189" i="471"/>
  <c r="J190" i="471"/>
  <c r="J191" i="471"/>
  <c r="J192" i="471"/>
  <c r="J193" i="471"/>
  <c r="J194" i="471"/>
  <c r="J195" i="471"/>
  <c r="J196" i="471"/>
  <c r="J197" i="471"/>
  <c r="J198" i="471"/>
  <c r="J199" i="471"/>
  <c r="J200" i="471"/>
  <c r="J201" i="471"/>
  <c r="J202" i="471"/>
  <c r="J203" i="471"/>
  <c r="J204" i="471"/>
  <c r="J205" i="471"/>
  <c r="J206" i="471"/>
  <c r="J207" i="471"/>
  <c r="J208" i="471"/>
  <c r="J209" i="471"/>
  <c r="J210" i="471"/>
  <c r="J211" i="471"/>
  <c r="J212" i="471"/>
  <c r="J213" i="471"/>
  <c r="J214" i="471"/>
  <c r="J215" i="471"/>
  <c r="J216" i="471"/>
  <c r="J217" i="471"/>
  <c r="J218" i="471"/>
  <c r="J219" i="471"/>
  <c r="J220" i="471"/>
  <c r="J221" i="471"/>
  <c r="J222" i="471"/>
  <c r="J223" i="471"/>
  <c r="J224" i="471"/>
  <c r="J225" i="471"/>
  <c r="J226" i="471"/>
  <c r="J141" i="471"/>
  <c r="J142" i="471"/>
  <c r="J143" i="471"/>
  <c r="J144" i="471"/>
  <c r="J145" i="471"/>
  <c r="J146" i="471"/>
  <c r="J147" i="471"/>
  <c r="J148" i="471"/>
  <c r="J149" i="471"/>
  <c r="J150" i="471"/>
  <c r="J151" i="471"/>
  <c r="J152" i="471"/>
  <c r="J153" i="471"/>
  <c r="J154" i="471"/>
  <c r="J155" i="471"/>
  <c r="J156" i="471"/>
  <c r="J157" i="471"/>
  <c r="J158" i="471"/>
  <c r="J159" i="471"/>
  <c r="J160" i="471"/>
  <c r="J161" i="471"/>
  <c r="J162" i="471"/>
  <c r="J163" i="471"/>
  <c r="J165" i="471"/>
  <c r="J167" i="471"/>
  <c r="J169" i="471"/>
  <c r="J171" i="471"/>
  <c r="J173" i="471"/>
  <c r="J104" i="471"/>
  <c r="J106" i="471"/>
  <c r="J108" i="471"/>
  <c r="J110" i="471"/>
  <c r="J112" i="471"/>
  <c r="J114" i="471"/>
  <c r="J116" i="471"/>
  <c r="J118" i="471"/>
  <c r="J120" i="471"/>
  <c r="J122" i="471"/>
  <c r="J124" i="471"/>
  <c r="J126" i="471"/>
  <c r="J128" i="471"/>
  <c r="J130" i="471"/>
  <c r="J132" i="471"/>
  <c r="J134" i="471"/>
  <c r="J136" i="471"/>
  <c r="J138" i="471"/>
  <c r="J140" i="471"/>
  <c r="K246" i="471"/>
  <c r="G245" i="471"/>
  <c r="K244" i="471"/>
  <c r="G243" i="471"/>
  <c r="K241" i="471"/>
  <c r="G240" i="471"/>
  <c r="K238" i="471"/>
  <c r="G237" i="471"/>
  <c r="K235" i="471"/>
  <c r="K234" i="471"/>
  <c r="K233" i="471"/>
  <c r="G232" i="471"/>
  <c r="K230" i="471"/>
  <c r="G229" i="471"/>
  <c r="K228" i="471"/>
  <c r="G227" i="471"/>
  <c r="K224" i="471"/>
  <c r="K221" i="471"/>
  <c r="K219" i="471"/>
  <c r="K215" i="471"/>
  <c r="G171" i="471"/>
  <c r="I3" i="471"/>
  <c r="I4" i="471"/>
  <c r="I5" i="471"/>
  <c r="I6" i="471"/>
  <c r="I7" i="471"/>
  <c r="I8" i="471"/>
  <c r="I9" i="471"/>
  <c r="I10" i="471"/>
  <c r="I11" i="471"/>
  <c r="I12" i="471"/>
  <c r="I13" i="471"/>
  <c r="I14" i="471"/>
  <c r="I15" i="471"/>
  <c r="I16" i="471"/>
  <c r="I17" i="471"/>
  <c r="I18" i="471"/>
  <c r="I19" i="471"/>
  <c r="I20" i="471"/>
  <c r="I21" i="471"/>
  <c r="I22" i="471"/>
  <c r="I23" i="471"/>
  <c r="I24" i="471"/>
  <c r="I25" i="471"/>
  <c r="I26" i="471"/>
  <c r="I27" i="471"/>
  <c r="I28" i="471"/>
  <c r="I29" i="471"/>
  <c r="I30" i="471"/>
  <c r="I31" i="471"/>
  <c r="I32" i="471"/>
  <c r="I33" i="471"/>
  <c r="I34" i="471"/>
  <c r="I35" i="471"/>
  <c r="I36" i="471"/>
  <c r="I37" i="471"/>
  <c r="I38" i="471"/>
  <c r="I39" i="471"/>
  <c r="I40" i="471"/>
  <c r="I41" i="471"/>
  <c r="I42" i="471"/>
  <c r="I43" i="471"/>
  <c r="I2" i="471"/>
  <c r="I45" i="471"/>
  <c r="I46" i="471"/>
  <c r="I47" i="471"/>
  <c r="I48" i="471"/>
  <c r="I49" i="471"/>
  <c r="I50" i="471"/>
  <c r="I51" i="471"/>
  <c r="I52" i="471"/>
  <c r="I53" i="471"/>
  <c r="I54" i="471"/>
  <c r="I55" i="471"/>
  <c r="I56" i="471"/>
  <c r="I57" i="471"/>
  <c r="I58" i="471"/>
  <c r="I59" i="471"/>
  <c r="I60" i="471"/>
  <c r="I61" i="471"/>
  <c r="I62" i="471"/>
  <c r="I63" i="471"/>
  <c r="I64" i="471"/>
  <c r="I65" i="471"/>
  <c r="I66" i="471"/>
  <c r="I67" i="471"/>
  <c r="I68" i="471"/>
  <c r="I69" i="471"/>
  <c r="I70" i="471"/>
  <c r="I71" i="471"/>
  <c r="I72" i="471"/>
  <c r="I44" i="471"/>
  <c r="I74" i="471"/>
  <c r="I73" i="471"/>
  <c r="I75" i="471"/>
  <c r="I77" i="471"/>
  <c r="I79" i="471"/>
  <c r="I81" i="471"/>
  <c r="I83" i="471"/>
  <c r="I85" i="471"/>
  <c r="I87" i="471"/>
  <c r="I89" i="471"/>
  <c r="I90" i="471"/>
  <c r="I91" i="471"/>
  <c r="I92" i="471"/>
  <c r="I93" i="471"/>
  <c r="I94" i="471"/>
  <c r="I95" i="471"/>
  <c r="I96" i="471"/>
  <c r="I97" i="471"/>
  <c r="I98" i="471"/>
  <c r="I99" i="471"/>
  <c r="I100" i="471"/>
  <c r="I101" i="471"/>
  <c r="I102" i="471"/>
  <c r="I76" i="471"/>
  <c r="I78" i="471"/>
  <c r="I80" i="471"/>
  <c r="I82" i="471"/>
  <c r="I84" i="471"/>
  <c r="I86" i="471"/>
  <c r="I88" i="471"/>
  <c r="I103" i="471"/>
  <c r="I104" i="471"/>
  <c r="I105" i="471"/>
  <c r="I106" i="471"/>
  <c r="I107" i="471"/>
  <c r="I108" i="471"/>
  <c r="I109" i="471"/>
  <c r="I110" i="471"/>
  <c r="I111" i="471"/>
  <c r="I112" i="471"/>
  <c r="I113" i="471"/>
  <c r="I114" i="471"/>
  <c r="I115" i="471"/>
  <c r="I116" i="471"/>
  <c r="I117" i="471"/>
  <c r="I118" i="471"/>
  <c r="I119" i="471"/>
  <c r="I120" i="471"/>
  <c r="I121" i="471"/>
  <c r="I122" i="471"/>
  <c r="I123" i="471"/>
  <c r="I124" i="471"/>
  <c r="I125" i="471"/>
  <c r="I126" i="471"/>
  <c r="I127" i="471"/>
  <c r="I128" i="471"/>
  <c r="I129" i="471"/>
  <c r="I130" i="471"/>
  <c r="I131" i="471"/>
  <c r="I132" i="471"/>
  <c r="I133" i="471"/>
  <c r="I134" i="471"/>
  <c r="I135" i="471"/>
  <c r="I136" i="471"/>
  <c r="I137" i="471"/>
  <c r="I138" i="471"/>
  <c r="I139" i="471"/>
  <c r="I140" i="471"/>
  <c r="I141" i="471"/>
  <c r="I142" i="471"/>
  <c r="I143" i="471"/>
  <c r="I144" i="471"/>
  <c r="I145" i="471"/>
  <c r="I146" i="471"/>
  <c r="I147" i="471"/>
  <c r="I148" i="471"/>
  <c r="I149" i="471"/>
  <c r="I150" i="471"/>
  <c r="I151" i="471"/>
  <c r="I152" i="471"/>
  <c r="I153" i="471"/>
  <c r="I154" i="471"/>
  <c r="I155" i="471"/>
  <c r="I156" i="471"/>
  <c r="I157" i="471"/>
  <c r="I158" i="471"/>
  <c r="I159" i="471"/>
  <c r="I160" i="471"/>
  <c r="I161" i="471"/>
  <c r="I162" i="471"/>
  <c r="I163" i="471"/>
  <c r="I165" i="471"/>
  <c r="I167" i="471"/>
  <c r="I169" i="471"/>
  <c r="I171" i="471"/>
  <c r="I173" i="471"/>
  <c r="I164" i="471"/>
  <c r="I166" i="471"/>
  <c r="I168" i="471"/>
  <c r="I170" i="471"/>
  <c r="I172" i="471"/>
  <c r="H2" i="471"/>
  <c r="H44" i="471"/>
  <c r="H3" i="471"/>
  <c r="H5" i="471"/>
  <c r="H7" i="471"/>
  <c r="H9" i="471"/>
  <c r="H11" i="471"/>
  <c r="H13" i="471"/>
  <c r="H15" i="471"/>
  <c r="H17" i="471"/>
  <c r="H19" i="471"/>
  <c r="H21" i="471"/>
  <c r="H23" i="471"/>
  <c r="H25" i="471"/>
  <c r="H27" i="471"/>
  <c r="H29" i="471"/>
  <c r="H4" i="471"/>
  <c r="H12" i="471"/>
  <c r="H20" i="471"/>
  <c r="H28" i="471"/>
  <c r="H33" i="471"/>
  <c r="H37" i="471"/>
  <c r="H41" i="471"/>
  <c r="H66" i="471"/>
  <c r="H67" i="471"/>
  <c r="H68" i="471"/>
  <c r="H69" i="471"/>
  <c r="H70" i="471"/>
  <c r="H71" i="471"/>
  <c r="H72" i="471"/>
  <c r="H6" i="471"/>
  <c r="H14" i="471"/>
  <c r="H22" i="471"/>
  <c r="H30" i="471"/>
  <c r="H34" i="471"/>
  <c r="H38" i="471"/>
  <c r="H42" i="471"/>
  <c r="H45" i="471"/>
  <c r="H47" i="471"/>
  <c r="H49" i="471"/>
  <c r="H51" i="471"/>
  <c r="H53" i="471"/>
  <c r="H55" i="471"/>
  <c r="H57" i="471"/>
  <c r="H59" i="471"/>
  <c r="H61" i="471"/>
  <c r="H63" i="471"/>
  <c r="H65" i="471"/>
  <c r="H73" i="471"/>
  <c r="H8" i="471"/>
  <c r="H16" i="471"/>
  <c r="H24" i="471"/>
  <c r="H31" i="471"/>
  <c r="H35" i="471"/>
  <c r="H39" i="471"/>
  <c r="H43" i="471"/>
  <c r="H75" i="471"/>
  <c r="H76" i="471"/>
  <c r="H77" i="471"/>
  <c r="H78" i="471"/>
  <c r="H79" i="471"/>
  <c r="H80" i="471"/>
  <c r="H81" i="471"/>
  <c r="H82" i="471"/>
  <c r="H83" i="471"/>
  <c r="H84" i="471"/>
  <c r="H85" i="471"/>
  <c r="H86" i="471"/>
  <c r="H87" i="471"/>
  <c r="H88" i="471"/>
  <c r="H89" i="471"/>
  <c r="H90" i="471"/>
  <c r="H91" i="471"/>
  <c r="H92" i="471"/>
  <c r="H93" i="471"/>
  <c r="H94" i="471"/>
  <c r="H95" i="471"/>
  <c r="H96" i="471"/>
  <c r="H97" i="471"/>
  <c r="H98" i="471"/>
  <c r="H99" i="471"/>
  <c r="H100" i="471"/>
  <c r="H101" i="471"/>
  <c r="H102" i="471"/>
  <c r="H103" i="471"/>
  <c r="H10" i="471"/>
  <c r="H36" i="471"/>
  <c r="H48" i="471"/>
  <c r="H56" i="471"/>
  <c r="H64" i="471"/>
  <c r="H18" i="471"/>
  <c r="H40" i="471"/>
  <c r="H50" i="471"/>
  <c r="H58" i="471"/>
  <c r="H104" i="471"/>
  <c r="H105" i="471"/>
  <c r="H106" i="471"/>
  <c r="H107" i="471"/>
  <c r="H108" i="471"/>
  <c r="H109" i="471"/>
  <c r="H110" i="471"/>
  <c r="H111" i="471"/>
  <c r="H112" i="471"/>
  <c r="H113" i="471"/>
  <c r="H114" i="471"/>
  <c r="H115" i="471"/>
  <c r="H116" i="471"/>
  <c r="H117" i="471"/>
  <c r="H118" i="471"/>
  <c r="H119" i="471"/>
  <c r="H120" i="471"/>
  <c r="H121" i="471"/>
  <c r="H122" i="471"/>
  <c r="H123" i="471"/>
  <c r="H124" i="471"/>
  <c r="H125" i="471"/>
  <c r="H126" i="471"/>
  <c r="H127" i="471"/>
  <c r="H128" i="471"/>
  <c r="H129" i="471"/>
  <c r="H130" i="471"/>
  <c r="H131" i="471"/>
  <c r="H132" i="471"/>
  <c r="H133" i="471"/>
  <c r="H134" i="471"/>
  <c r="H135" i="471"/>
  <c r="H136" i="471"/>
  <c r="H137" i="471"/>
  <c r="H138" i="471"/>
  <c r="H139" i="471"/>
  <c r="H140" i="471"/>
  <c r="H141" i="471"/>
  <c r="H142" i="471"/>
  <c r="H143" i="471"/>
  <c r="H144" i="471"/>
  <c r="H145" i="471"/>
  <c r="H146" i="471"/>
  <c r="H147" i="471"/>
  <c r="H148" i="471"/>
  <c r="H149" i="471"/>
  <c r="H150" i="471"/>
  <c r="H151" i="471"/>
  <c r="H152" i="471"/>
  <c r="H153" i="471"/>
  <c r="H154" i="471"/>
  <c r="H155" i="471"/>
  <c r="H156" i="471"/>
  <c r="H157" i="471"/>
  <c r="H158" i="471"/>
  <c r="H159" i="471"/>
  <c r="H160" i="471"/>
  <c r="H161" i="471"/>
  <c r="H162" i="471"/>
  <c r="H163" i="471"/>
  <c r="H164" i="471"/>
  <c r="H165" i="471"/>
  <c r="H166" i="471"/>
  <c r="H167" i="471"/>
  <c r="H168" i="471"/>
  <c r="H169" i="471"/>
  <c r="H170" i="471"/>
  <c r="H171" i="471"/>
  <c r="H172" i="471"/>
  <c r="H173" i="471"/>
  <c r="H26" i="471"/>
  <c r="H52" i="471"/>
  <c r="H60" i="471"/>
  <c r="H74" i="471"/>
  <c r="H32" i="471"/>
  <c r="H46" i="471"/>
  <c r="H54" i="471"/>
  <c r="H174" i="471"/>
  <c r="H175" i="471"/>
  <c r="H176" i="471"/>
  <c r="H177" i="471"/>
  <c r="H178" i="471"/>
  <c r="H179" i="471"/>
  <c r="H180" i="471"/>
  <c r="H181" i="471"/>
  <c r="H182" i="471"/>
  <c r="H183" i="471"/>
  <c r="H184" i="471"/>
  <c r="H185" i="471"/>
  <c r="H186" i="471"/>
  <c r="H187" i="471"/>
  <c r="H188" i="471"/>
  <c r="H189" i="471"/>
  <c r="H190" i="471"/>
  <c r="H191" i="471"/>
  <c r="H192" i="471"/>
  <c r="H193" i="471"/>
  <c r="H194" i="471"/>
  <c r="H195" i="471"/>
  <c r="H196" i="471"/>
  <c r="H197" i="471"/>
  <c r="H198" i="471"/>
  <c r="H199" i="471"/>
  <c r="H200" i="471"/>
  <c r="H201" i="471"/>
  <c r="H202" i="471"/>
  <c r="H203" i="471"/>
  <c r="H204" i="471"/>
  <c r="H205" i="471"/>
  <c r="H206" i="471"/>
  <c r="H207" i="471"/>
  <c r="H208" i="471"/>
  <c r="H209" i="471"/>
  <c r="H210" i="471"/>
  <c r="H211" i="471"/>
  <c r="H212" i="471"/>
  <c r="H213" i="471"/>
  <c r="H214" i="471"/>
  <c r="H215" i="471"/>
  <c r="H216" i="471"/>
  <c r="H217" i="471"/>
  <c r="H218" i="471"/>
  <c r="H219" i="471"/>
  <c r="H220" i="471"/>
  <c r="H221" i="471"/>
  <c r="H222" i="471"/>
  <c r="H223" i="471"/>
  <c r="H224" i="471"/>
  <c r="H225" i="471"/>
  <c r="H226" i="471"/>
  <c r="H247" i="471"/>
  <c r="I246" i="471"/>
  <c r="I245" i="471"/>
  <c r="I244" i="471"/>
  <c r="I243" i="471"/>
  <c r="I242" i="471"/>
  <c r="I241" i="471"/>
  <c r="I240" i="471"/>
  <c r="I239" i="471"/>
  <c r="I238" i="471"/>
  <c r="I237" i="471"/>
  <c r="I236" i="471"/>
  <c r="I235" i="471"/>
  <c r="I234" i="471"/>
  <c r="I233" i="471"/>
  <c r="I232" i="471"/>
  <c r="I231" i="471"/>
  <c r="I230" i="471"/>
  <c r="I229" i="471"/>
  <c r="I228" i="471"/>
  <c r="I227" i="471"/>
  <c r="G226" i="471"/>
  <c r="G225" i="471"/>
  <c r="G224" i="471"/>
  <c r="G223" i="471"/>
  <c r="G222" i="471"/>
  <c r="G221" i="471"/>
  <c r="G220" i="471"/>
  <c r="G219" i="471"/>
  <c r="G218" i="471"/>
  <c r="G217" i="471"/>
  <c r="G216" i="471"/>
  <c r="J172" i="471"/>
  <c r="G167" i="471"/>
  <c r="J164" i="471"/>
  <c r="J247" i="471"/>
  <c r="G246" i="471"/>
  <c r="G244" i="471"/>
  <c r="K242" i="471"/>
  <c r="G241" i="471"/>
  <c r="K239" i="471"/>
  <c r="G238" i="471"/>
  <c r="K236" i="471"/>
  <c r="G235" i="471"/>
  <c r="G233" i="471"/>
  <c r="G231" i="471"/>
  <c r="G230" i="471"/>
  <c r="K225" i="471"/>
  <c r="K222" i="471"/>
  <c r="K218" i="471"/>
  <c r="K216" i="471"/>
  <c r="J168" i="471"/>
  <c r="K2" i="471"/>
  <c r="K3" i="471"/>
  <c r="K4" i="471"/>
  <c r="K5" i="471"/>
  <c r="K6" i="471"/>
  <c r="K7" i="471"/>
  <c r="K8" i="471"/>
  <c r="K9" i="471"/>
  <c r="K10" i="471"/>
  <c r="K11" i="471"/>
  <c r="K12" i="471"/>
  <c r="K13" i="471"/>
  <c r="K14" i="471"/>
  <c r="K15" i="471"/>
  <c r="K16" i="471"/>
  <c r="K17" i="471"/>
  <c r="K18" i="471"/>
  <c r="K19" i="471"/>
  <c r="K20" i="471"/>
  <c r="K21" i="471"/>
  <c r="K22" i="471"/>
  <c r="K23" i="471"/>
  <c r="K24" i="471"/>
  <c r="K25" i="471"/>
  <c r="K26" i="471"/>
  <c r="K27" i="471"/>
  <c r="K28" i="471"/>
  <c r="K29" i="471"/>
  <c r="K30" i="471"/>
  <c r="K31" i="471"/>
  <c r="K32" i="471"/>
  <c r="K33" i="471"/>
  <c r="K34" i="471"/>
  <c r="K35" i="471"/>
  <c r="K36" i="471"/>
  <c r="K37" i="471"/>
  <c r="K38" i="471"/>
  <c r="K39" i="471"/>
  <c r="K40" i="471"/>
  <c r="K41" i="471"/>
  <c r="K42" i="471"/>
  <c r="K43" i="471"/>
  <c r="K44" i="471"/>
  <c r="K45" i="471"/>
  <c r="K46" i="471"/>
  <c r="K47" i="471"/>
  <c r="K48" i="471"/>
  <c r="K49" i="471"/>
  <c r="K50" i="471"/>
  <c r="K51" i="471"/>
  <c r="K52" i="471"/>
  <c r="K53" i="471"/>
  <c r="K54" i="471"/>
  <c r="K55" i="471"/>
  <c r="K56" i="471"/>
  <c r="K57" i="471"/>
  <c r="K58" i="471"/>
  <c r="K59" i="471"/>
  <c r="K60" i="471"/>
  <c r="K61" i="471"/>
  <c r="K62" i="471"/>
  <c r="K63" i="471"/>
  <c r="K64" i="471"/>
  <c r="K65" i="471"/>
  <c r="K66" i="471"/>
  <c r="K67" i="471"/>
  <c r="K68" i="471"/>
  <c r="K69" i="471"/>
  <c r="K70" i="471"/>
  <c r="K71" i="471"/>
  <c r="K72" i="471"/>
  <c r="K74" i="471"/>
  <c r="K75" i="471"/>
  <c r="K76" i="471"/>
  <c r="K77" i="471"/>
  <c r="K78" i="471"/>
  <c r="K79" i="471"/>
  <c r="K80" i="471"/>
  <c r="K81" i="471"/>
  <c r="K82" i="471"/>
  <c r="K83" i="471"/>
  <c r="K84" i="471"/>
  <c r="K85" i="471"/>
  <c r="K86" i="471"/>
  <c r="K87" i="471"/>
  <c r="K88" i="471"/>
  <c r="K103" i="471"/>
  <c r="K104" i="471"/>
  <c r="K105" i="471"/>
  <c r="K106" i="471"/>
  <c r="K107" i="471"/>
  <c r="K108" i="471"/>
  <c r="K109" i="471"/>
  <c r="K110" i="471"/>
  <c r="K111" i="471"/>
  <c r="K112" i="471"/>
  <c r="K113" i="471"/>
  <c r="K114" i="471"/>
  <c r="K115" i="471"/>
  <c r="K116" i="471"/>
  <c r="K117" i="471"/>
  <c r="K118" i="471"/>
  <c r="K119" i="471"/>
  <c r="K120" i="471"/>
  <c r="K121" i="471"/>
  <c r="K122" i="471"/>
  <c r="K123" i="471"/>
  <c r="K124" i="471"/>
  <c r="K125" i="471"/>
  <c r="K126" i="471"/>
  <c r="K127" i="471"/>
  <c r="K128" i="471"/>
  <c r="K129" i="471"/>
  <c r="K130" i="471"/>
  <c r="K131" i="471"/>
  <c r="K132" i="471"/>
  <c r="K133" i="471"/>
  <c r="K134" i="471"/>
  <c r="K135" i="471"/>
  <c r="K136" i="471"/>
  <c r="K137" i="471"/>
  <c r="K138" i="471"/>
  <c r="K139" i="471"/>
  <c r="K140" i="471"/>
  <c r="K73" i="471"/>
  <c r="K89" i="471"/>
  <c r="K90" i="471"/>
  <c r="K91" i="471"/>
  <c r="K92" i="471"/>
  <c r="K93" i="471"/>
  <c r="K94" i="471"/>
  <c r="K95" i="471"/>
  <c r="K96" i="471"/>
  <c r="K97" i="471"/>
  <c r="K98" i="471"/>
  <c r="K99" i="471"/>
  <c r="K100" i="471"/>
  <c r="K101" i="471"/>
  <c r="K102" i="471"/>
  <c r="K164" i="471"/>
  <c r="K166" i="471"/>
  <c r="K168" i="471"/>
  <c r="K170" i="471"/>
  <c r="K172" i="471"/>
  <c r="K174" i="471"/>
  <c r="K175" i="471"/>
  <c r="K176" i="471"/>
  <c r="K177" i="471"/>
  <c r="K178" i="471"/>
  <c r="K179" i="471"/>
  <c r="K180" i="471"/>
  <c r="K181" i="471"/>
  <c r="K182" i="471"/>
  <c r="K183" i="471"/>
  <c r="K184" i="471"/>
  <c r="K185" i="471"/>
  <c r="K186" i="471"/>
  <c r="K187" i="471"/>
  <c r="K188" i="471"/>
  <c r="K189" i="471"/>
  <c r="K190" i="471"/>
  <c r="K191" i="471"/>
  <c r="K192" i="471"/>
  <c r="K193" i="471"/>
  <c r="K194" i="471"/>
  <c r="K195" i="471"/>
  <c r="K196" i="471"/>
  <c r="K197" i="471"/>
  <c r="K198" i="471"/>
  <c r="K199" i="471"/>
  <c r="K200" i="471"/>
  <c r="K201" i="471"/>
  <c r="K202" i="471"/>
  <c r="K203" i="471"/>
  <c r="K204" i="471"/>
  <c r="K205" i="471"/>
  <c r="K206" i="471"/>
  <c r="K207" i="471"/>
  <c r="K208" i="471"/>
  <c r="K209" i="471"/>
  <c r="K210" i="471"/>
  <c r="K211" i="471"/>
  <c r="K212" i="471"/>
  <c r="K213" i="471"/>
  <c r="K214" i="471"/>
  <c r="K141" i="471"/>
  <c r="K142" i="471"/>
  <c r="K143" i="471"/>
  <c r="K144" i="471"/>
  <c r="K145" i="471"/>
  <c r="K146" i="471"/>
  <c r="K147" i="471"/>
  <c r="K148" i="471"/>
  <c r="K149" i="471"/>
  <c r="K150" i="471"/>
  <c r="K151" i="471"/>
  <c r="K152" i="471"/>
  <c r="K153" i="471"/>
  <c r="K154" i="471"/>
  <c r="K155" i="471"/>
  <c r="K156" i="471"/>
  <c r="K157" i="471"/>
  <c r="K158" i="471"/>
  <c r="K159" i="471"/>
  <c r="K160" i="471"/>
  <c r="K161" i="471"/>
  <c r="K162" i="471"/>
  <c r="K163" i="471"/>
  <c r="K165" i="471"/>
  <c r="K167" i="471"/>
  <c r="K169" i="471"/>
  <c r="K171" i="471"/>
  <c r="K173" i="471"/>
  <c r="I247" i="471"/>
  <c r="H246" i="471"/>
  <c r="H245" i="471"/>
  <c r="H244" i="471"/>
  <c r="H243" i="471"/>
  <c r="H242" i="471"/>
  <c r="H241" i="471"/>
  <c r="H240" i="471"/>
  <c r="H239" i="471"/>
  <c r="H238" i="471"/>
  <c r="H237" i="471"/>
  <c r="H236" i="471"/>
  <c r="H235" i="471"/>
  <c r="H234" i="471"/>
  <c r="H233" i="471"/>
  <c r="H232" i="471"/>
  <c r="H231" i="471"/>
  <c r="H230" i="471"/>
  <c r="H229" i="471"/>
  <c r="H228" i="471"/>
  <c r="H227" i="471"/>
  <c r="I214" i="471"/>
  <c r="I212" i="471"/>
  <c r="I210" i="471"/>
  <c r="I208" i="471"/>
  <c r="I206" i="471"/>
  <c r="I204" i="471"/>
  <c r="I202" i="471"/>
  <c r="I200" i="471"/>
  <c r="I198" i="471"/>
  <c r="I196" i="471"/>
  <c r="I194" i="471"/>
  <c r="I192" i="471"/>
  <c r="I190" i="471"/>
  <c r="I188" i="471"/>
  <c r="I186" i="471"/>
  <c r="I184" i="471"/>
  <c r="I182" i="471"/>
  <c r="I180" i="471"/>
  <c r="I178" i="471"/>
  <c r="I176" i="471"/>
  <c r="I174" i="471"/>
  <c r="G169" i="471"/>
  <c r="J166" i="471"/>
  <c r="H62" i="471"/>
  <c r="J3" i="470"/>
  <c r="J4" i="470"/>
  <c r="J5" i="470"/>
  <c r="J6" i="470"/>
  <c r="J7" i="470"/>
  <c r="J8" i="470"/>
  <c r="J9" i="470"/>
  <c r="J10" i="470"/>
  <c r="J11" i="470"/>
  <c r="J12" i="470"/>
  <c r="J13" i="470"/>
  <c r="J14" i="470"/>
  <c r="J15" i="470"/>
  <c r="J16" i="470"/>
  <c r="J17" i="470"/>
  <c r="J18" i="470"/>
  <c r="J19" i="470"/>
  <c r="J20" i="470"/>
  <c r="J21" i="470"/>
  <c r="J22" i="470"/>
  <c r="J23" i="470"/>
  <c r="J24" i="470"/>
  <c r="J25" i="470"/>
  <c r="J26" i="470"/>
  <c r="J27" i="470"/>
  <c r="J28" i="470"/>
  <c r="J29" i="470"/>
  <c r="J30" i="470"/>
  <c r="J31" i="470"/>
  <c r="J32" i="470"/>
  <c r="J33" i="470"/>
  <c r="J34" i="470"/>
  <c r="J35" i="470"/>
  <c r="J36" i="470"/>
  <c r="J37" i="470"/>
  <c r="J38" i="470"/>
  <c r="J39" i="470"/>
  <c r="J40" i="470"/>
  <c r="J41" i="470"/>
  <c r="J42" i="470"/>
  <c r="J43" i="470"/>
  <c r="J44" i="470"/>
  <c r="J2" i="470"/>
  <c r="J45" i="470"/>
  <c r="J46" i="470"/>
  <c r="J47" i="470"/>
  <c r="J48" i="470"/>
  <c r="J49" i="470"/>
  <c r="J50" i="470"/>
  <c r="J51" i="470"/>
  <c r="J52" i="470"/>
  <c r="J67" i="470"/>
  <c r="J69" i="470"/>
  <c r="J71" i="470"/>
  <c r="J73" i="470"/>
  <c r="J75" i="470"/>
  <c r="J53" i="470"/>
  <c r="J55" i="470"/>
  <c r="J57" i="470"/>
  <c r="J59" i="470"/>
  <c r="J61" i="470"/>
  <c r="J63" i="470"/>
  <c r="J65" i="470"/>
  <c r="J68" i="470"/>
  <c r="J70" i="470"/>
  <c r="J72" i="470"/>
  <c r="J74" i="470"/>
  <c r="J76" i="470"/>
  <c r="J77" i="470"/>
  <c r="J78" i="470"/>
  <c r="J79" i="470"/>
  <c r="J80" i="470"/>
  <c r="J81" i="470"/>
  <c r="J82" i="470"/>
  <c r="J83" i="470"/>
  <c r="J84" i="470"/>
  <c r="J85" i="470"/>
  <c r="J86" i="470"/>
  <c r="J87" i="470"/>
  <c r="J88" i="470"/>
  <c r="J89" i="470"/>
  <c r="J90" i="470"/>
  <c r="J91" i="470"/>
  <c r="J92" i="470"/>
  <c r="J93" i="470"/>
  <c r="J94" i="470"/>
  <c r="J95" i="470"/>
  <c r="J96" i="470"/>
  <c r="J97" i="470"/>
  <c r="J98" i="470"/>
  <c r="J99" i="470"/>
  <c r="J100" i="470"/>
  <c r="J101" i="470"/>
  <c r="J102" i="470"/>
  <c r="J103" i="470"/>
  <c r="J104" i="470"/>
  <c r="J105" i="470"/>
  <c r="J106" i="470"/>
  <c r="J107" i="470"/>
  <c r="J54" i="470"/>
  <c r="J56" i="470"/>
  <c r="J58" i="470"/>
  <c r="J60" i="470"/>
  <c r="J62" i="470"/>
  <c r="J64" i="470"/>
  <c r="J66" i="470"/>
  <c r="J108" i="470"/>
  <c r="J109" i="470"/>
  <c r="J110" i="470"/>
  <c r="J111" i="470"/>
  <c r="J112" i="470"/>
  <c r="J113" i="470"/>
  <c r="J114" i="470"/>
  <c r="J115" i="470"/>
  <c r="J116" i="470"/>
  <c r="J117" i="470"/>
  <c r="J118" i="470"/>
  <c r="J119" i="470"/>
  <c r="J120" i="470"/>
  <c r="J121" i="470"/>
  <c r="J122" i="470"/>
  <c r="J123" i="470"/>
  <c r="J124" i="470"/>
  <c r="J125" i="470"/>
  <c r="J126" i="470"/>
  <c r="J127" i="470"/>
  <c r="J128" i="470"/>
  <c r="J129" i="470"/>
  <c r="J130" i="470"/>
  <c r="J131" i="470"/>
  <c r="J132" i="470"/>
  <c r="J133" i="470"/>
  <c r="J134" i="470"/>
  <c r="J157" i="470"/>
  <c r="J159" i="470"/>
  <c r="J161" i="470"/>
  <c r="J163" i="470"/>
  <c r="J165" i="470"/>
  <c r="J167" i="470"/>
  <c r="J169" i="470"/>
  <c r="J171" i="470"/>
  <c r="J173" i="470"/>
  <c r="J175" i="470"/>
  <c r="J177" i="470"/>
  <c r="J135" i="470"/>
  <c r="J137" i="470"/>
  <c r="J138" i="470"/>
  <c r="J139" i="470"/>
  <c r="J140" i="470"/>
  <c r="J141" i="470"/>
  <c r="J142" i="470"/>
  <c r="J143" i="470"/>
  <c r="J144" i="470"/>
  <c r="J145" i="470"/>
  <c r="J146" i="470"/>
  <c r="J147" i="470"/>
  <c r="J148" i="470"/>
  <c r="J149" i="470"/>
  <c r="J150" i="470"/>
  <c r="J151" i="470"/>
  <c r="J152" i="470"/>
  <c r="J153" i="470"/>
  <c r="J154" i="470"/>
  <c r="J155" i="470"/>
  <c r="J156" i="470"/>
  <c r="J158" i="470"/>
  <c r="J160" i="470"/>
  <c r="J162" i="470"/>
  <c r="J164" i="470"/>
  <c r="J166" i="470"/>
  <c r="J168" i="470"/>
  <c r="J170" i="470"/>
  <c r="J172" i="470"/>
  <c r="J174" i="470"/>
  <c r="J176" i="470"/>
  <c r="J178" i="470"/>
  <c r="J179" i="470"/>
  <c r="J180" i="470"/>
  <c r="J181" i="470"/>
  <c r="J182" i="470"/>
  <c r="J183" i="470"/>
  <c r="J184" i="470"/>
  <c r="J185" i="470"/>
  <c r="J186" i="470"/>
  <c r="J187" i="470"/>
  <c r="J188" i="470"/>
  <c r="J189" i="470"/>
  <c r="J190" i="470"/>
  <c r="J191" i="470"/>
  <c r="J192" i="470"/>
  <c r="J193" i="470"/>
  <c r="J194" i="470"/>
  <c r="J195" i="470"/>
  <c r="J196" i="470"/>
  <c r="J197" i="470"/>
  <c r="J198" i="470"/>
  <c r="J199" i="470"/>
  <c r="J200" i="470"/>
  <c r="J201" i="470"/>
  <c r="J202" i="470"/>
  <c r="J203" i="470"/>
  <c r="J204" i="470"/>
  <c r="J205" i="470"/>
  <c r="J206" i="470"/>
  <c r="J207" i="470"/>
  <c r="J208" i="470"/>
  <c r="J209" i="470"/>
  <c r="J210" i="470"/>
  <c r="J211" i="470"/>
  <c r="J212" i="470"/>
  <c r="J213" i="470"/>
  <c r="J214" i="470"/>
  <c r="J215" i="470"/>
  <c r="J216" i="470"/>
  <c r="J217" i="470"/>
  <c r="J218" i="470"/>
  <c r="J219" i="470"/>
  <c r="J220" i="470"/>
  <c r="J221" i="470"/>
  <c r="J222" i="470"/>
  <c r="J223" i="470"/>
  <c r="J224" i="470"/>
  <c r="J225" i="470"/>
  <c r="J226" i="470"/>
  <c r="J227" i="470"/>
  <c r="J228" i="470"/>
  <c r="J229" i="470"/>
  <c r="J230" i="470"/>
  <c r="J231" i="470"/>
  <c r="J232" i="470"/>
  <c r="J233" i="470"/>
  <c r="J234" i="470"/>
  <c r="J235" i="470"/>
  <c r="J236" i="470"/>
  <c r="J136" i="470"/>
  <c r="K246" i="470"/>
  <c r="K244" i="470"/>
  <c r="K242" i="470"/>
  <c r="G240" i="470"/>
  <c r="G2" i="470"/>
  <c r="G3" i="470"/>
  <c r="G4" i="470"/>
  <c r="G5" i="470"/>
  <c r="G6" i="470"/>
  <c r="G7" i="470"/>
  <c r="G8" i="470"/>
  <c r="G9" i="470"/>
  <c r="G10" i="470"/>
  <c r="G11" i="470"/>
  <c r="G12" i="470"/>
  <c r="G13" i="470"/>
  <c r="G14" i="470"/>
  <c r="G15" i="470"/>
  <c r="G16" i="470"/>
  <c r="G17" i="470"/>
  <c r="G18" i="470"/>
  <c r="G19" i="470"/>
  <c r="G21" i="470"/>
  <c r="G23" i="470"/>
  <c r="G25" i="470"/>
  <c r="G27" i="470"/>
  <c r="G28" i="470"/>
  <c r="G29" i="470"/>
  <c r="G30" i="470"/>
  <c r="G31" i="470"/>
  <c r="G32" i="470"/>
  <c r="G33" i="470"/>
  <c r="G34" i="470"/>
  <c r="G35" i="470"/>
  <c r="G36" i="470"/>
  <c r="G37" i="470"/>
  <c r="G38" i="470"/>
  <c r="G39" i="470"/>
  <c r="G40" i="470"/>
  <c r="G41" i="470"/>
  <c r="G42" i="470"/>
  <c r="G43" i="470"/>
  <c r="G44" i="470"/>
  <c r="G20" i="470"/>
  <c r="G22" i="470"/>
  <c r="G24" i="470"/>
  <c r="G26" i="470"/>
  <c r="G45" i="470"/>
  <c r="G46" i="470"/>
  <c r="G47" i="470"/>
  <c r="G48" i="470"/>
  <c r="G49" i="470"/>
  <c r="G50" i="470"/>
  <c r="G51" i="470"/>
  <c r="G52" i="470"/>
  <c r="G53" i="470"/>
  <c r="G54" i="470"/>
  <c r="G55" i="470"/>
  <c r="G56" i="470"/>
  <c r="G57" i="470"/>
  <c r="G58" i="470"/>
  <c r="G59" i="470"/>
  <c r="G60" i="470"/>
  <c r="G61" i="470"/>
  <c r="G62" i="470"/>
  <c r="G63" i="470"/>
  <c r="G64" i="470"/>
  <c r="G65" i="470"/>
  <c r="G66" i="470"/>
  <c r="G68" i="470"/>
  <c r="G70" i="470"/>
  <c r="G72" i="470"/>
  <c r="G74" i="470"/>
  <c r="G76" i="470"/>
  <c r="G67" i="470"/>
  <c r="G69" i="470"/>
  <c r="G71" i="470"/>
  <c r="G73" i="470"/>
  <c r="G75" i="470"/>
  <c r="G77" i="470"/>
  <c r="G78" i="470"/>
  <c r="G79" i="470"/>
  <c r="G80" i="470"/>
  <c r="G81" i="470"/>
  <c r="G82" i="470"/>
  <c r="G83" i="470"/>
  <c r="G84" i="470"/>
  <c r="G85" i="470"/>
  <c r="G86" i="470"/>
  <c r="G87" i="470"/>
  <c r="G88" i="470"/>
  <c r="G89" i="470"/>
  <c r="G90" i="470"/>
  <c r="G91" i="470"/>
  <c r="G92" i="470"/>
  <c r="G95" i="470"/>
  <c r="G97" i="470"/>
  <c r="G99" i="470"/>
  <c r="G101" i="470"/>
  <c r="G103" i="470"/>
  <c r="G105" i="470"/>
  <c r="G107" i="470"/>
  <c r="G96" i="470"/>
  <c r="G98" i="470"/>
  <c r="G100" i="470"/>
  <c r="G102" i="470"/>
  <c r="G104" i="470"/>
  <c r="G106" i="470"/>
  <c r="G108" i="470"/>
  <c r="G109" i="470"/>
  <c r="G110" i="470"/>
  <c r="G111" i="470"/>
  <c r="G112" i="470"/>
  <c r="G113" i="470"/>
  <c r="G114" i="470"/>
  <c r="G115" i="470"/>
  <c r="G116" i="470"/>
  <c r="G117" i="470"/>
  <c r="G118" i="470"/>
  <c r="G119" i="470"/>
  <c r="G120" i="470"/>
  <c r="G121" i="470"/>
  <c r="G122" i="470"/>
  <c r="G123" i="470"/>
  <c r="G124" i="470"/>
  <c r="G125" i="470"/>
  <c r="G126" i="470"/>
  <c r="G127" i="470"/>
  <c r="G128" i="470"/>
  <c r="G129" i="470"/>
  <c r="G130" i="470"/>
  <c r="G131" i="470"/>
  <c r="G132" i="470"/>
  <c r="G133" i="470"/>
  <c r="G134" i="470"/>
  <c r="G135" i="470"/>
  <c r="G136" i="470"/>
  <c r="G137" i="470"/>
  <c r="G138" i="470"/>
  <c r="G139" i="470"/>
  <c r="G140" i="470"/>
  <c r="G141" i="470"/>
  <c r="G142" i="470"/>
  <c r="G143" i="470"/>
  <c r="G144" i="470"/>
  <c r="G145" i="470"/>
  <c r="G146" i="470"/>
  <c r="G147" i="470"/>
  <c r="G148" i="470"/>
  <c r="G149" i="470"/>
  <c r="G150" i="470"/>
  <c r="G151" i="470"/>
  <c r="G152" i="470"/>
  <c r="G153" i="470"/>
  <c r="G154" i="470"/>
  <c r="G155" i="470"/>
  <c r="G93" i="470"/>
  <c r="G94" i="470"/>
  <c r="G156" i="470"/>
  <c r="G158" i="470"/>
  <c r="G160" i="470"/>
  <c r="G162" i="470"/>
  <c r="G164" i="470"/>
  <c r="G166" i="470"/>
  <c r="G168" i="470"/>
  <c r="G170" i="470"/>
  <c r="G172" i="470"/>
  <c r="G174" i="470"/>
  <c r="G176" i="470"/>
  <c r="G178" i="470"/>
  <c r="G157" i="470"/>
  <c r="G159" i="470"/>
  <c r="G161" i="470"/>
  <c r="G163" i="470"/>
  <c r="G165" i="470"/>
  <c r="G167" i="470"/>
  <c r="G169" i="470"/>
  <c r="G171" i="470"/>
  <c r="G173" i="470"/>
  <c r="G175" i="470"/>
  <c r="G177" i="470"/>
  <c r="G179" i="470"/>
  <c r="G180" i="470"/>
  <c r="G181" i="470"/>
  <c r="G182" i="470"/>
  <c r="G183" i="470"/>
  <c r="G184" i="470"/>
  <c r="G185" i="470"/>
  <c r="G186" i="470"/>
  <c r="G187" i="470"/>
  <c r="G188" i="470"/>
  <c r="G189" i="470"/>
  <c r="G190" i="470"/>
  <c r="G191" i="470"/>
  <c r="G192" i="470"/>
  <c r="G193" i="470"/>
  <c r="G194" i="470"/>
  <c r="G195" i="470"/>
  <c r="G196" i="470"/>
  <c r="G197" i="470"/>
  <c r="G198" i="470"/>
  <c r="G199" i="470"/>
  <c r="G200" i="470"/>
  <c r="G201" i="470"/>
  <c r="G202" i="470"/>
  <c r="G203" i="470"/>
  <c r="G204" i="470"/>
  <c r="G205" i="470"/>
  <c r="G206" i="470"/>
  <c r="G207" i="470"/>
  <c r="G208" i="470"/>
  <c r="G209" i="470"/>
  <c r="G210" i="470"/>
  <c r="G211" i="470"/>
  <c r="G212" i="470"/>
  <c r="G213" i="470"/>
  <c r="K247" i="470"/>
  <c r="J242" i="470"/>
  <c r="J240" i="470"/>
  <c r="H2" i="470"/>
  <c r="H3" i="470"/>
  <c r="H4" i="470"/>
  <c r="H5" i="470"/>
  <c r="H6" i="470"/>
  <c r="H7" i="470"/>
  <c r="H8" i="470"/>
  <c r="H9" i="470"/>
  <c r="H10" i="470"/>
  <c r="H11" i="470"/>
  <c r="H12" i="470"/>
  <c r="H13" i="470"/>
  <c r="H14" i="470"/>
  <c r="H15" i="470"/>
  <c r="H16" i="470"/>
  <c r="H17" i="470"/>
  <c r="H18" i="470"/>
  <c r="H19" i="470"/>
  <c r="H20" i="470"/>
  <c r="H21" i="470"/>
  <c r="H22" i="470"/>
  <c r="H23" i="470"/>
  <c r="H24" i="470"/>
  <c r="H25" i="470"/>
  <c r="H26" i="470"/>
  <c r="H27" i="470"/>
  <c r="H28" i="470"/>
  <c r="H29" i="470"/>
  <c r="H30" i="470"/>
  <c r="H31" i="470"/>
  <c r="H32" i="470"/>
  <c r="H33" i="470"/>
  <c r="H34" i="470"/>
  <c r="H35" i="470"/>
  <c r="H36" i="470"/>
  <c r="H37" i="470"/>
  <c r="H38" i="470"/>
  <c r="H39" i="470"/>
  <c r="H40" i="470"/>
  <c r="H41" i="470"/>
  <c r="H42" i="470"/>
  <c r="H43" i="470"/>
  <c r="H44" i="470"/>
  <c r="H45" i="470"/>
  <c r="H46" i="470"/>
  <c r="H47" i="470"/>
  <c r="H48" i="470"/>
  <c r="H49" i="470"/>
  <c r="H50" i="470"/>
  <c r="H51" i="470"/>
  <c r="H52" i="470"/>
  <c r="H53" i="470"/>
  <c r="H54" i="470"/>
  <c r="H55" i="470"/>
  <c r="H56" i="470"/>
  <c r="H57" i="470"/>
  <c r="H58" i="470"/>
  <c r="H59" i="470"/>
  <c r="H60" i="470"/>
  <c r="H61" i="470"/>
  <c r="H62" i="470"/>
  <c r="H63" i="470"/>
  <c r="H64" i="470"/>
  <c r="H65" i="470"/>
  <c r="H66" i="470"/>
  <c r="H67" i="470"/>
  <c r="H68" i="470"/>
  <c r="H69" i="470"/>
  <c r="H70" i="470"/>
  <c r="H71" i="470"/>
  <c r="H72" i="470"/>
  <c r="H73" i="470"/>
  <c r="H74" i="470"/>
  <c r="H75" i="470"/>
  <c r="H76" i="470"/>
  <c r="H77" i="470"/>
  <c r="H78" i="470"/>
  <c r="H79" i="470"/>
  <c r="H80" i="470"/>
  <c r="H81" i="470"/>
  <c r="H82" i="470"/>
  <c r="H83" i="470"/>
  <c r="H84" i="470"/>
  <c r="H85" i="470"/>
  <c r="H86" i="470"/>
  <c r="H87" i="470"/>
  <c r="H88" i="470"/>
  <c r="H89" i="470"/>
  <c r="H90" i="470"/>
  <c r="H91" i="470"/>
  <c r="H92" i="470"/>
  <c r="H93" i="470"/>
  <c r="H94" i="470"/>
  <c r="H95" i="470"/>
  <c r="H97" i="470"/>
  <c r="H99" i="470"/>
  <c r="H101" i="470"/>
  <c r="H103" i="470"/>
  <c r="H105" i="470"/>
  <c r="H107" i="470"/>
  <c r="H96" i="470"/>
  <c r="H98" i="470"/>
  <c r="H100" i="470"/>
  <c r="H102" i="470"/>
  <c r="H104" i="470"/>
  <c r="H106" i="470"/>
  <c r="H108" i="470"/>
  <c r="H109" i="470"/>
  <c r="H110" i="470"/>
  <c r="H111" i="470"/>
  <c r="H112" i="470"/>
  <c r="H113" i="470"/>
  <c r="H114" i="470"/>
  <c r="H115" i="470"/>
  <c r="H116" i="470"/>
  <c r="H117" i="470"/>
  <c r="H118" i="470"/>
  <c r="H119" i="470"/>
  <c r="H120" i="470"/>
  <c r="H121" i="470"/>
  <c r="H122" i="470"/>
  <c r="H123" i="470"/>
  <c r="H124" i="470"/>
  <c r="H125" i="470"/>
  <c r="H126" i="470"/>
  <c r="H127" i="470"/>
  <c r="H128" i="470"/>
  <c r="H129" i="470"/>
  <c r="H130" i="470"/>
  <c r="H131" i="470"/>
  <c r="H132" i="470"/>
  <c r="H133" i="470"/>
  <c r="H134" i="470"/>
  <c r="H135" i="470"/>
  <c r="H136" i="470"/>
  <c r="H137" i="470"/>
  <c r="H138" i="470"/>
  <c r="H139" i="470"/>
  <c r="H140" i="470"/>
  <c r="H141" i="470"/>
  <c r="H142" i="470"/>
  <c r="H143" i="470"/>
  <c r="H144" i="470"/>
  <c r="H145" i="470"/>
  <c r="H146" i="470"/>
  <c r="H147" i="470"/>
  <c r="H148" i="470"/>
  <c r="H149" i="470"/>
  <c r="H150" i="470"/>
  <c r="H151" i="470"/>
  <c r="H152" i="470"/>
  <c r="H153" i="470"/>
  <c r="H154" i="470"/>
  <c r="H155" i="470"/>
  <c r="H156" i="470"/>
  <c r="H157" i="470"/>
  <c r="H158" i="470"/>
  <c r="H159" i="470"/>
  <c r="H160" i="470"/>
  <c r="H161" i="470"/>
  <c r="H162" i="470"/>
  <c r="H163" i="470"/>
  <c r="H164" i="470"/>
  <c r="H165" i="470"/>
  <c r="H166" i="470"/>
  <c r="H167" i="470"/>
  <c r="H168" i="470"/>
  <c r="H169" i="470"/>
  <c r="H170" i="470"/>
  <c r="H171" i="470"/>
  <c r="H172" i="470"/>
  <c r="H173" i="470"/>
  <c r="H174" i="470"/>
  <c r="H175" i="470"/>
  <c r="H176" i="470"/>
  <c r="H177" i="470"/>
  <c r="H178" i="470"/>
  <c r="H179" i="470"/>
  <c r="H180" i="470"/>
  <c r="H247" i="470"/>
  <c r="I246" i="470"/>
  <c r="I245" i="470"/>
  <c r="I244" i="470"/>
  <c r="I243" i="470"/>
  <c r="I242" i="470"/>
  <c r="I241" i="470"/>
  <c r="I240" i="470"/>
  <c r="I239" i="470"/>
  <c r="I238" i="470"/>
  <c r="I237" i="470"/>
  <c r="H236" i="470"/>
  <c r="K235" i="470"/>
  <c r="H234" i="470"/>
  <c r="K233" i="470"/>
  <c r="H232" i="470"/>
  <c r="K231" i="470"/>
  <c r="H230" i="470"/>
  <c r="K229" i="470"/>
  <c r="H228" i="470"/>
  <c r="K227" i="470"/>
  <c r="H226" i="470"/>
  <c r="K225" i="470"/>
  <c r="H224" i="470"/>
  <c r="K223" i="470"/>
  <c r="H222" i="470"/>
  <c r="K221" i="470"/>
  <c r="H220" i="470"/>
  <c r="K219" i="470"/>
  <c r="H218" i="470"/>
  <c r="K217" i="470"/>
  <c r="H216" i="470"/>
  <c r="H214" i="470"/>
  <c r="I213" i="470"/>
  <c r="I212" i="470"/>
  <c r="I211" i="470"/>
  <c r="I210" i="470"/>
  <c r="I209" i="470"/>
  <c r="I208" i="470"/>
  <c r="I207" i="470"/>
  <c r="I206" i="470"/>
  <c r="I205" i="470"/>
  <c r="I204" i="470"/>
  <c r="I203" i="470"/>
  <c r="I202" i="470"/>
  <c r="I201" i="470"/>
  <c r="I200" i="470"/>
  <c r="I199" i="470"/>
  <c r="I198" i="470"/>
  <c r="I197" i="470"/>
  <c r="I196" i="470"/>
  <c r="I195" i="470"/>
  <c r="I194" i="470"/>
  <c r="I193" i="470"/>
  <c r="I192" i="470"/>
  <c r="I191" i="470"/>
  <c r="I190" i="470"/>
  <c r="I189" i="470"/>
  <c r="I188" i="470"/>
  <c r="I187" i="470"/>
  <c r="I186" i="470"/>
  <c r="I185" i="470"/>
  <c r="I184" i="470"/>
  <c r="I183" i="470"/>
  <c r="I182" i="470"/>
  <c r="I181" i="470"/>
  <c r="I180" i="470"/>
  <c r="I178" i="470"/>
  <c r="G246" i="470"/>
  <c r="G244" i="470"/>
  <c r="G242" i="470"/>
  <c r="K239" i="470"/>
  <c r="G247" i="470"/>
  <c r="J245" i="470"/>
  <c r="J243" i="470"/>
  <c r="J238" i="470"/>
  <c r="K2" i="470"/>
  <c r="K3" i="470"/>
  <c r="K4" i="470"/>
  <c r="K5" i="470"/>
  <c r="K6" i="470"/>
  <c r="K7" i="470"/>
  <c r="K8" i="470"/>
  <c r="K9" i="470"/>
  <c r="K10" i="470"/>
  <c r="K11" i="470"/>
  <c r="K12" i="470"/>
  <c r="K13" i="470"/>
  <c r="K14" i="470"/>
  <c r="K15" i="470"/>
  <c r="K16" i="470"/>
  <c r="K17" i="470"/>
  <c r="K18" i="470"/>
  <c r="K19" i="470"/>
  <c r="K21" i="470"/>
  <c r="K23" i="470"/>
  <c r="K25" i="470"/>
  <c r="K45" i="470"/>
  <c r="K46" i="470"/>
  <c r="K47" i="470"/>
  <c r="K48" i="470"/>
  <c r="K49" i="470"/>
  <c r="K50" i="470"/>
  <c r="K51" i="470"/>
  <c r="K52" i="470"/>
  <c r="K53" i="470"/>
  <c r="K54" i="470"/>
  <c r="K55" i="470"/>
  <c r="K56" i="470"/>
  <c r="K57" i="470"/>
  <c r="K58" i="470"/>
  <c r="K59" i="470"/>
  <c r="K60" i="470"/>
  <c r="K61" i="470"/>
  <c r="K62" i="470"/>
  <c r="K63" i="470"/>
  <c r="K64" i="470"/>
  <c r="K65" i="470"/>
  <c r="K66" i="470"/>
  <c r="K20" i="470"/>
  <c r="K22" i="470"/>
  <c r="K24" i="470"/>
  <c r="K26" i="470"/>
  <c r="K27" i="470"/>
  <c r="K28" i="470"/>
  <c r="K29" i="470"/>
  <c r="K30" i="470"/>
  <c r="K31" i="470"/>
  <c r="K32" i="470"/>
  <c r="K33" i="470"/>
  <c r="K34" i="470"/>
  <c r="K35" i="470"/>
  <c r="K36" i="470"/>
  <c r="K37" i="470"/>
  <c r="K38" i="470"/>
  <c r="K39" i="470"/>
  <c r="K40" i="470"/>
  <c r="K41" i="470"/>
  <c r="K42" i="470"/>
  <c r="K43" i="470"/>
  <c r="K44" i="470"/>
  <c r="K67" i="470"/>
  <c r="K69" i="470"/>
  <c r="K71" i="470"/>
  <c r="K73" i="470"/>
  <c r="K75" i="470"/>
  <c r="K68" i="470"/>
  <c r="K70" i="470"/>
  <c r="K72" i="470"/>
  <c r="K74" i="470"/>
  <c r="K76" i="470"/>
  <c r="K77" i="470"/>
  <c r="K78" i="470"/>
  <c r="K79" i="470"/>
  <c r="K80" i="470"/>
  <c r="K81" i="470"/>
  <c r="K82" i="470"/>
  <c r="K83" i="470"/>
  <c r="K84" i="470"/>
  <c r="K85" i="470"/>
  <c r="K86" i="470"/>
  <c r="K87" i="470"/>
  <c r="K88" i="470"/>
  <c r="K89" i="470"/>
  <c r="K90" i="470"/>
  <c r="K91" i="470"/>
  <c r="K92" i="470"/>
  <c r="K93" i="470"/>
  <c r="K94" i="470"/>
  <c r="K96" i="470"/>
  <c r="K98" i="470"/>
  <c r="K100" i="470"/>
  <c r="K102" i="470"/>
  <c r="K104" i="470"/>
  <c r="K106" i="470"/>
  <c r="K108" i="470"/>
  <c r="K109" i="470"/>
  <c r="K110" i="470"/>
  <c r="K111" i="470"/>
  <c r="K112" i="470"/>
  <c r="K113" i="470"/>
  <c r="K114" i="470"/>
  <c r="K115" i="470"/>
  <c r="K116" i="470"/>
  <c r="K117" i="470"/>
  <c r="K118" i="470"/>
  <c r="K119" i="470"/>
  <c r="K120" i="470"/>
  <c r="K121" i="470"/>
  <c r="K122" i="470"/>
  <c r="K123" i="470"/>
  <c r="K124" i="470"/>
  <c r="K125" i="470"/>
  <c r="K126" i="470"/>
  <c r="K127" i="470"/>
  <c r="K128" i="470"/>
  <c r="K129" i="470"/>
  <c r="K130" i="470"/>
  <c r="K131" i="470"/>
  <c r="K132" i="470"/>
  <c r="K133" i="470"/>
  <c r="K134" i="470"/>
  <c r="K135" i="470"/>
  <c r="K136" i="470"/>
  <c r="K137" i="470"/>
  <c r="K138" i="470"/>
  <c r="K139" i="470"/>
  <c r="K140" i="470"/>
  <c r="K141" i="470"/>
  <c r="K142" i="470"/>
  <c r="K143" i="470"/>
  <c r="K144" i="470"/>
  <c r="K145" i="470"/>
  <c r="K146" i="470"/>
  <c r="K147" i="470"/>
  <c r="K148" i="470"/>
  <c r="K149" i="470"/>
  <c r="K150" i="470"/>
  <c r="K151" i="470"/>
  <c r="K152" i="470"/>
  <c r="K153" i="470"/>
  <c r="K154" i="470"/>
  <c r="K155" i="470"/>
  <c r="K95" i="470"/>
  <c r="K97" i="470"/>
  <c r="K99" i="470"/>
  <c r="K101" i="470"/>
  <c r="K103" i="470"/>
  <c r="K105" i="470"/>
  <c r="K107" i="470"/>
  <c r="K157" i="470"/>
  <c r="K159" i="470"/>
  <c r="K161" i="470"/>
  <c r="K163" i="470"/>
  <c r="K165" i="470"/>
  <c r="K167" i="470"/>
  <c r="K169" i="470"/>
  <c r="K171" i="470"/>
  <c r="K173" i="470"/>
  <c r="K175" i="470"/>
  <c r="K156" i="470"/>
  <c r="K158" i="470"/>
  <c r="K160" i="470"/>
  <c r="K162" i="470"/>
  <c r="K164" i="470"/>
  <c r="K166" i="470"/>
  <c r="K168" i="470"/>
  <c r="K170" i="470"/>
  <c r="K172" i="470"/>
  <c r="K174" i="470"/>
  <c r="K176" i="470"/>
  <c r="K178" i="470"/>
  <c r="K179" i="470"/>
  <c r="K180" i="470"/>
  <c r="K181" i="470"/>
  <c r="K182" i="470"/>
  <c r="K183" i="470"/>
  <c r="K184" i="470"/>
  <c r="K185" i="470"/>
  <c r="K186" i="470"/>
  <c r="K187" i="470"/>
  <c r="K188" i="470"/>
  <c r="K189" i="470"/>
  <c r="K190" i="470"/>
  <c r="K191" i="470"/>
  <c r="K192" i="470"/>
  <c r="K193" i="470"/>
  <c r="K194" i="470"/>
  <c r="K195" i="470"/>
  <c r="K196" i="470"/>
  <c r="K197" i="470"/>
  <c r="K198" i="470"/>
  <c r="K199" i="470"/>
  <c r="K200" i="470"/>
  <c r="K201" i="470"/>
  <c r="K202" i="470"/>
  <c r="K203" i="470"/>
  <c r="K204" i="470"/>
  <c r="K205" i="470"/>
  <c r="K206" i="470"/>
  <c r="K207" i="470"/>
  <c r="K208" i="470"/>
  <c r="K209" i="470"/>
  <c r="K210" i="470"/>
  <c r="K211" i="470"/>
  <c r="K212" i="470"/>
  <c r="K213" i="470"/>
  <c r="I247" i="470"/>
  <c r="H246" i="470"/>
  <c r="H245" i="470"/>
  <c r="H244" i="470"/>
  <c r="H243" i="470"/>
  <c r="H242" i="470"/>
  <c r="H241" i="470"/>
  <c r="H240" i="470"/>
  <c r="H239" i="470"/>
  <c r="H238" i="470"/>
  <c r="H237" i="470"/>
  <c r="G236" i="470"/>
  <c r="I235" i="470"/>
  <c r="G234" i="470"/>
  <c r="I233" i="470"/>
  <c r="G232" i="470"/>
  <c r="I231" i="470"/>
  <c r="G230" i="470"/>
  <c r="I229" i="470"/>
  <c r="G228" i="470"/>
  <c r="I227" i="470"/>
  <c r="G226" i="470"/>
  <c r="I225" i="470"/>
  <c r="G224" i="470"/>
  <c r="I223" i="470"/>
  <c r="G222" i="470"/>
  <c r="I221" i="470"/>
  <c r="G220" i="470"/>
  <c r="I219" i="470"/>
  <c r="G218" i="470"/>
  <c r="I217" i="470"/>
  <c r="G216" i="470"/>
  <c r="I215" i="470"/>
  <c r="G214" i="470"/>
  <c r="H213" i="470"/>
  <c r="H212" i="470"/>
  <c r="H211" i="470"/>
  <c r="H210" i="470"/>
  <c r="H209" i="470"/>
  <c r="H208" i="470"/>
  <c r="H207" i="470"/>
  <c r="H206" i="470"/>
  <c r="H205" i="470"/>
  <c r="H204" i="470"/>
  <c r="H203" i="470"/>
  <c r="H202" i="470"/>
  <c r="H201" i="470"/>
  <c r="H200" i="470"/>
  <c r="H199" i="470"/>
  <c r="H198" i="470"/>
  <c r="H197" i="470"/>
  <c r="H196" i="470"/>
  <c r="H195" i="470"/>
  <c r="H194" i="470"/>
  <c r="H193" i="470"/>
  <c r="H192" i="470"/>
  <c r="H191" i="470"/>
  <c r="H190" i="470"/>
  <c r="H189" i="470"/>
  <c r="H188" i="470"/>
  <c r="H187" i="470"/>
  <c r="H186" i="470"/>
  <c r="H185" i="470"/>
  <c r="H184" i="470"/>
  <c r="H183" i="470"/>
  <c r="H182" i="470"/>
  <c r="H181" i="470"/>
  <c r="K177" i="470"/>
  <c r="K245" i="470"/>
  <c r="K243" i="470"/>
  <c r="K241" i="470"/>
  <c r="K240" i="470"/>
  <c r="G239" i="470"/>
  <c r="K238" i="470"/>
  <c r="G238" i="470"/>
  <c r="K237" i="470"/>
  <c r="G237" i="470"/>
  <c r="K236" i="470"/>
  <c r="H235" i="470"/>
  <c r="K232" i="470"/>
  <c r="H231" i="470"/>
  <c r="K230" i="470"/>
  <c r="H229" i="470"/>
  <c r="K228" i="470"/>
  <c r="H227" i="470"/>
  <c r="K226" i="470"/>
  <c r="H225" i="470"/>
  <c r="K224" i="470"/>
  <c r="H223" i="470"/>
  <c r="K222" i="470"/>
  <c r="H221" i="470"/>
  <c r="K220" i="470"/>
  <c r="H219" i="470"/>
  <c r="K218" i="470"/>
  <c r="H217" i="470"/>
  <c r="K216" i="470"/>
  <c r="H215" i="470"/>
  <c r="K214" i="470"/>
  <c r="J247" i="470"/>
  <c r="G245" i="470"/>
  <c r="G243" i="470"/>
  <c r="I3" i="470"/>
  <c r="I4" i="470"/>
  <c r="I5" i="470"/>
  <c r="I6" i="470"/>
  <c r="I7" i="470"/>
  <c r="I8" i="470"/>
  <c r="I9" i="470"/>
  <c r="I10" i="470"/>
  <c r="I11" i="470"/>
  <c r="I12" i="470"/>
  <c r="I13" i="470"/>
  <c r="I14" i="470"/>
  <c r="I15" i="470"/>
  <c r="I16" i="470"/>
  <c r="I17" i="470"/>
  <c r="I18" i="470"/>
  <c r="I19" i="470"/>
  <c r="I20" i="470"/>
  <c r="I21" i="470"/>
  <c r="I22" i="470"/>
  <c r="I23" i="470"/>
  <c r="I24" i="470"/>
  <c r="I25" i="470"/>
  <c r="I26" i="470"/>
  <c r="I2" i="470"/>
  <c r="I45" i="470"/>
  <c r="I46" i="470"/>
  <c r="I47" i="470"/>
  <c r="I48" i="470"/>
  <c r="I49" i="470"/>
  <c r="I50" i="470"/>
  <c r="I51" i="470"/>
  <c r="I52" i="470"/>
  <c r="I53" i="470"/>
  <c r="I54" i="470"/>
  <c r="I55" i="470"/>
  <c r="I56" i="470"/>
  <c r="I57" i="470"/>
  <c r="I58" i="470"/>
  <c r="I59" i="470"/>
  <c r="I60" i="470"/>
  <c r="I61" i="470"/>
  <c r="I62" i="470"/>
  <c r="I63" i="470"/>
  <c r="I64" i="470"/>
  <c r="I65" i="470"/>
  <c r="I66" i="470"/>
  <c r="I27" i="470"/>
  <c r="I28" i="470"/>
  <c r="I29" i="470"/>
  <c r="I30" i="470"/>
  <c r="I31" i="470"/>
  <c r="I32" i="470"/>
  <c r="I33" i="470"/>
  <c r="I34" i="470"/>
  <c r="I35" i="470"/>
  <c r="I36" i="470"/>
  <c r="I37" i="470"/>
  <c r="I38" i="470"/>
  <c r="I39" i="470"/>
  <c r="I40" i="470"/>
  <c r="I41" i="470"/>
  <c r="I42" i="470"/>
  <c r="I43" i="470"/>
  <c r="I44" i="470"/>
  <c r="I68" i="470"/>
  <c r="I70" i="470"/>
  <c r="I72" i="470"/>
  <c r="I74" i="470"/>
  <c r="I76" i="470"/>
  <c r="I77" i="470"/>
  <c r="I78" i="470"/>
  <c r="I79" i="470"/>
  <c r="I80" i="470"/>
  <c r="I81" i="470"/>
  <c r="I82" i="470"/>
  <c r="I83" i="470"/>
  <c r="I84" i="470"/>
  <c r="I85" i="470"/>
  <c r="I67" i="470"/>
  <c r="I69" i="470"/>
  <c r="I71" i="470"/>
  <c r="I73" i="470"/>
  <c r="I75" i="470"/>
  <c r="I86" i="470"/>
  <c r="I88" i="470"/>
  <c r="I90" i="470"/>
  <c r="I92" i="470"/>
  <c r="I93" i="470"/>
  <c r="I94" i="470"/>
  <c r="I96" i="470"/>
  <c r="I98" i="470"/>
  <c r="I100" i="470"/>
  <c r="I102" i="470"/>
  <c r="I104" i="470"/>
  <c r="I106" i="470"/>
  <c r="I108" i="470"/>
  <c r="I109" i="470"/>
  <c r="I110" i="470"/>
  <c r="I111" i="470"/>
  <c r="I112" i="470"/>
  <c r="I113" i="470"/>
  <c r="I114" i="470"/>
  <c r="I115" i="470"/>
  <c r="I116" i="470"/>
  <c r="I117" i="470"/>
  <c r="I118" i="470"/>
  <c r="I119" i="470"/>
  <c r="I120" i="470"/>
  <c r="I121" i="470"/>
  <c r="I122" i="470"/>
  <c r="I123" i="470"/>
  <c r="I124" i="470"/>
  <c r="I125" i="470"/>
  <c r="I126" i="470"/>
  <c r="I127" i="470"/>
  <c r="I128" i="470"/>
  <c r="I129" i="470"/>
  <c r="I130" i="470"/>
  <c r="I131" i="470"/>
  <c r="I132" i="470"/>
  <c r="I133" i="470"/>
  <c r="I134" i="470"/>
  <c r="I135" i="470"/>
  <c r="I136" i="470"/>
  <c r="I137" i="470"/>
  <c r="I87" i="470"/>
  <c r="I89" i="470"/>
  <c r="I91" i="470"/>
  <c r="I95" i="470"/>
  <c r="I97" i="470"/>
  <c r="I99" i="470"/>
  <c r="I101" i="470"/>
  <c r="I103" i="470"/>
  <c r="I105" i="470"/>
  <c r="I107" i="470"/>
  <c r="I138" i="470"/>
  <c r="I139" i="470"/>
  <c r="I140" i="470"/>
  <c r="I141" i="470"/>
  <c r="I142" i="470"/>
  <c r="I143" i="470"/>
  <c r="I144" i="470"/>
  <c r="I145" i="470"/>
  <c r="I146" i="470"/>
  <c r="I147" i="470"/>
  <c r="I148" i="470"/>
  <c r="I149" i="470"/>
  <c r="I150" i="470"/>
  <c r="I151" i="470"/>
  <c r="I152" i="470"/>
  <c r="I153" i="470"/>
  <c r="I154" i="470"/>
  <c r="I155" i="470"/>
  <c r="I156" i="470"/>
  <c r="I158" i="470"/>
  <c r="I160" i="470"/>
  <c r="I162" i="470"/>
  <c r="I164" i="470"/>
  <c r="I166" i="470"/>
  <c r="I168" i="470"/>
  <c r="I170" i="470"/>
  <c r="I172" i="470"/>
  <c r="I174" i="470"/>
  <c r="I157" i="470"/>
  <c r="I159" i="470"/>
  <c r="I161" i="470"/>
  <c r="I163" i="470"/>
  <c r="I165" i="470"/>
  <c r="I167" i="470"/>
  <c r="I169" i="470"/>
  <c r="I171" i="470"/>
  <c r="I173" i="470"/>
  <c r="I175" i="470"/>
  <c r="I177" i="470"/>
  <c r="J246" i="470"/>
  <c r="J244" i="470"/>
  <c r="J241" i="470"/>
  <c r="J239" i="470"/>
  <c r="J237" i="470"/>
  <c r="I236" i="470"/>
  <c r="G235" i="470"/>
  <c r="I234" i="470"/>
  <c r="G233" i="470"/>
  <c r="I232" i="470"/>
  <c r="G231" i="470"/>
  <c r="I230" i="470"/>
  <c r="G229" i="470"/>
  <c r="I228" i="470"/>
  <c r="G227" i="470"/>
  <c r="I226" i="470"/>
  <c r="G225" i="470"/>
  <c r="I224" i="470"/>
  <c r="G223" i="470"/>
  <c r="I222" i="470"/>
  <c r="G221" i="470"/>
  <c r="I220" i="470"/>
  <c r="G219" i="470"/>
  <c r="I218" i="470"/>
  <c r="G217" i="470"/>
  <c r="I216" i="470"/>
  <c r="G215" i="470"/>
  <c r="I214" i="470"/>
  <c r="I176" i="470"/>
  <c r="L180" i="479" l="1"/>
  <c r="M180" i="479" s="1"/>
  <c r="N180" i="479" s="1"/>
  <c r="L164" i="479"/>
  <c r="M164" i="479" s="1"/>
  <c r="N164" i="479" s="1"/>
  <c r="L181" i="479"/>
  <c r="M181" i="479" s="1"/>
  <c r="N181" i="479" s="1"/>
  <c r="L185" i="479"/>
  <c r="M185" i="479" s="1"/>
  <c r="N185" i="479" s="1"/>
  <c r="L189" i="479"/>
  <c r="M189" i="479" s="1"/>
  <c r="N189" i="479" s="1"/>
  <c r="L193" i="479"/>
  <c r="M193" i="479" s="1"/>
  <c r="N193" i="479" s="1"/>
  <c r="L197" i="479"/>
  <c r="M197" i="479" s="1"/>
  <c r="N197" i="479" s="1"/>
  <c r="L201" i="479"/>
  <c r="M201" i="479" s="1"/>
  <c r="N201" i="479" s="1"/>
  <c r="L161" i="479"/>
  <c r="M161" i="479" s="1"/>
  <c r="N161" i="479" s="1"/>
  <c r="L184" i="479"/>
  <c r="M184" i="479" s="1"/>
  <c r="N184" i="479" s="1"/>
  <c r="L188" i="479"/>
  <c r="M188" i="479" s="1"/>
  <c r="N188" i="479" s="1"/>
  <c r="L192" i="479"/>
  <c r="M192" i="479" s="1"/>
  <c r="N192" i="479" s="1"/>
  <c r="L196" i="479"/>
  <c r="M196" i="479" s="1"/>
  <c r="N196" i="479" s="1"/>
  <c r="L200" i="479"/>
  <c r="M200" i="479" s="1"/>
  <c r="N200" i="479" s="1"/>
  <c r="L244" i="479"/>
  <c r="M244" i="479" s="1"/>
  <c r="N244" i="479" s="1"/>
  <c r="L172" i="479"/>
  <c r="M172" i="479" s="1"/>
  <c r="N172" i="479" s="1"/>
  <c r="L160" i="479"/>
  <c r="M160" i="479" s="1"/>
  <c r="N160" i="479" s="1"/>
  <c r="L168" i="479"/>
  <c r="M168" i="479" s="1"/>
  <c r="N168" i="479" s="1"/>
  <c r="L176" i="479"/>
  <c r="M176" i="479" s="1"/>
  <c r="N176" i="479" s="1"/>
  <c r="L166" i="479"/>
  <c r="M166" i="479" s="1"/>
  <c r="N166" i="479" s="1"/>
  <c r="L174" i="479"/>
  <c r="M174" i="479" s="1"/>
  <c r="N174" i="479" s="1"/>
  <c r="L182" i="479"/>
  <c r="M182" i="479" s="1"/>
  <c r="N182" i="479" s="1"/>
  <c r="L186" i="479"/>
  <c r="M186" i="479" s="1"/>
  <c r="N186" i="479" s="1"/>
  <c r="L190" i="479"/>
  <c r="M190" i="479" s="1"/>
  <c r="N190" i="479" s="1"/>
  <c r="L194" i="479"/>
  <c r="M194" i="479" s="1"/>
  <c r="N194" i="479" s="1"/>
  <c r="L198" i="479"/>
  <c r="M198" i="479" s="1"/>
  <c r="N198" i="479" s="1"/>
  <c r="L202" i="479"/>
  <c r="M202" i="479" s="1"/>
  <c r="N202" i="479" s="1"/>
  <c r="L183" i="479"/>
  <c r="M183" i="479" s="1"/>
  <c r="N183" i="479" s="1"/>
  <c r="L187" i="479"/>
  <c r="M187" i="479" s="1"/>
  <c r="N187" i="479" s="1"/>
  <c r="L191" i="479"/>
  <c r="M191" i="479" s="1"/>
  <c r="N191" i="479" s="1"/>
  <c r="L195" i="479"/>
  <c r="M195" i="479" s="1"/>
  <c r="N195" i="479" s="1"/>
  <c r="L199" i="479"/>
  <c r="M199" i="479" s="1"/>
  <c r="N199" i="479" s="1"/>
  <c r="L162" i="479"/>
  <c r="M162" i="479" s="1"/>
  <c r="N162" i="479" s="1"/>
  <c r="L170" i="479"/>
  <c r="M170" i="479" s="1"/>
  <c r="N170" i="479" s="1"/>
  <c r="L178" i="479"/>
  <c r="M178" i="479" s="1"/>
  <c r="N178" i="479" s="1"/>
  <c r="L119" i="479"/>
  <c r="M119" i="479" s="1"/>
  <c r="N119" i="479" s="1"/>
  <c r="L111" i="479"/>
  <c r="M111" i="479" s="1"/>
  <c r="N111" i="479" s="1"/>
  <c r="L158" i="479"/>
  <c r="M158" i="479" s="1"/>
  <c r="N158" i="479" s="1"/>
  <c r="L154" i="479"/>
  <c r="M154" i="479" s="1"/>
  <c r="N154" i="479" s="1"/>
  <c r="L150" i="479"/>
  <c r="M150" i="479" s="1"/>
  <c r="N150" i="479" s="1"/>
  <c r="L146" i="479"/>
  <c r="M146" i="479" s="1"/>
  <c r="N146" i="479" s="1"/>
  <c r="L142" i="479"/>
  <c r="M142" i="479" s="1"/>
  <c r="N142" i="479" s="1"/>
  <c r="L138" i="479"/>
  <c r="M138" i="479" s="1"/>
  <c r="N138" i="479" s="1"/>
  <c r="L134" i="479"/>
  <c r="M134" i="479" s="1"/>
  <c r="N134" i="479" s="1"/>
  <c r="L130" i="479"/>
  <c r="M130" i="479" s="1"/>
  <c r="N130" i="479" s="1"/>
  <c r="L126" i="479"/>
  <c r="M126" i="479" s="1"/>
  <c r="N126" i="479" s="1"/>
  <c r="L118" i="479"/>
  <c r="M118" i="479" s="1"/>
  <c r="N118" i="479" s="1"/>
  <c r="L110" i="479"/>
  <c r="M110" i="479" s="1"/>
  <c r="N110" i="479" s="1"/>
  <c r="L87" i="479"/>
  <c r="M87" i="479" s="1"/>
  <c r="N87" i="479" s="1"/>
  <c r="L83" i="479"/>
  <c r="M83" i="479" s="1"/>
  <c r="N83" i="479" s="1"/>
  <c r="L79" i="479"/>
  <c r="M79" i="479" s="1"/>
  <c r="N79" i="479" s="1"/>
  <c r="L75" i="479"/>
  <c r="M75" i="479" s="1"/>
  <c r="N75" i="479" s="1"/>
  <c r="L71" i="479"/>
  <c r="M71" i="479" s="1"/>
  <c r="N71" i="479" s="1"/>
  <c r="L63" i="479"/>
  <c r="M63" i="479" s="1"/>
  <c r="N63" i="479" s="1"/>
  <c r="L55" i="479"/>
  <c r="M55" i="479" s="1"/>
  <c r="N55" i="479" s="1"/>
  <c r="L105" i="479"/>
  <c r="M105" i="479" s="1"/>
  <c r="N105" i="479" s="1"/>
  <c r="L101" i="479"/>
  <c r="M101" i="479" s="1"/>
  <c r="N101" i="479" s="1"/>
  <c r="L97" i="479"/>
  <c r="M97" i="479" s="1"/>
  <c r="N97" i="479" s="1"/>
  <c r="L93" i="479"/>
  <c r="M93" i="479" s="1"/>
  <c r="N93" i="479" s="1"/>
  <c r="L89" i="479"/>
  <c r="M89" i="479" s="1"/>
  <c r="N89" i="479" s="1"/>
  <c r="L64" i="479"/>
  <c r="M64" i="479" s="1"/>
  <c r="N64" i="479" s="1"/>
  <c r="L56" i="479"/>
  <c r="M56" i="479" s="1"/>
  <c r="N56" i="479" s="1"/>
  <c r="L48" i="479"/>
  <c r="M48" i="479" s="1"/>
  <c r="N48" i="479" s="1"/>
  <c r="L41" i="479"/>
  <c r="M41" i="479" s="1"/>
  <c r="N41" i="479" s="1"/>
  <c r="L37" i="479"/>
  <c r="M37" i="479" s="1"/>
  <c r="N37" i="479" s="1"/>
  <c r="L33" i="479"/>
  <c r="M33" i="479" s="1"/>
  <c r="N33" i="479" s="1"/>
  <c r="L29" i="479"/>
  <c r="M29" i="479" s="1"/>
  <c r="N29" i="479" s="1"/>
  <c r="L25" i="479"/>
  <c r="M25" i="479" s="1"/>
  <c r="N25" i="479" s="1"/>
  <c r="L21" i="479"/>
  <c r="M21" i="479" s="1"/>
  <c r="N21" i="479" s="1"/>
  <c r="L17" i="479"/>
  <c r="M17" i="479" s="1"/>
  <c r="N17" i="479" s="1"/>
  <c r="L13" i="479"/>
  <c r="M13" i="479" s="1"/>
  <c r="N13" i="479" s="1"/>
  <c r="L45" i="479"/>
  <c r="M45" i="479" s="1"/>
  <c r="N45" i="479" s="1"/>
  <c r="L8" i="479"/>
  <c r="M8" i="479" s="1"/>
  <c r="N8" i="479" s="1"/>
  <c r="L4" i="479"/>
  <c r="M4" i="479" s="1"/>
  <c r="N4" i="479" s="1"/>
  <c r="L165" i="479"/>
  <c r="M165" i="479" s="1"/>
  <c r="N165" i="479" s="1"/>
  <c r="L173" i="479"/>
  <c r="M173" i="479" s="1"/>
  <c r="N173" i="479" s="1"/>
  <c r="L203" i="479"/>
  <c r="M203" i="479" s="1"/>
  <c r="N203" i="479" s="1"/>
  <c r="L207" i="479"/>
  <c r="M207" i="479" s="1"/>
  <c r="N207" i="479" s="1"/>
  <c r="L211" i="479"/>
  <c r="M211" i="479" s="1"/>
  <c r="N211" i="479" s="1"/>
  <c r="L215" i="479"/>
  <c r="M215" i="479" s="1"/>
  <c r="N215" i="479" s="1"/>
  <c r="L219" i="479"/>
  <c r="M219" i="479" s="1"/>
  <c r="N219" i="479" s="1"/>
  <c r="L223" i="479"/>
  <c r="M223" i="479" s="1"/>
  <c r="N223" i="479" s="1"/>
  <c r="L227" i="479"/>
  <c r="M227" i="479" s="1"/>
  <c r="N227" i="479" s="1"/>
  <c r="L231" i="479"/>
  <c r="M231" i="479" s="1"/>
  <c r="N231" i="479" s="1"/>
  <c r="L235" i="479"/>
  <c r="M235" i="479" s="1"/>
  <c r="N235" i="479" s="1"/>
  <c r="L239" i="479"/>
  <c r="M239" i="479" s="1"/>
  <c r="N239" i="479" s="1"/>
  <c r="L243" i="479"/>
  <c r="M243" i="479" s="1"/>
  <c r="N243" i="479" s="1"/>
  <c r="L125" i="479"/>
  <c r="M125" i="479" s="1"/>
  <c r="N125" i="479" s="1"/>
  <c r="L117" i="479"/>
  <c r="M117" i="479" s="1"/>
  <c r="N117" i="479" s="1"/>
  <c r="L109" i="479"/>
  <c r="M109" i="479" s="1"/>
  <c r="N109" i="479" s="1"/>
  <c r="L157" i="479"/>
  <c r="M157" i="479" s="1"/>
  <c r="N157" i="479" s="1"/>
  <c r="L153" i="479"/>
  <c r="M153" i="479" s="1"/>
  <c r="N153" i="479" s="1"/>
  <c r="L149" i="479"/>
  <c r="M149" i="479" s="1"/>
  <c r="N149" i="479" s="1"/>
  <c r="L145" i="479"/>
  <c r="M145" i="479" s="1"/>
  <c r="N145" i="479" s="1"/>
  <c r="L141" i="479"/>
  <c r="M141" i="479" s="1"/>
  <c r="N141" i="479" s="1"/>
  <c r="L137" i="479"/>
  <c r="M137" i="479" s="1"/>
  <c r="N137" i="479" s="1"/>
  <c r="L133" i="479"/>
  <c r="M133" i="479" s="1"/>
  <c r="N133" i="479" s="1"/>
  <c r="L129" i="479"/>
  <c r="M129" i="479" s="1"/>
  <c r="N129" i="479" s="1"/>
  <c r="L124" i="479"/>
  <c r="M124" i="479" s="1"/>
  <c r="N124" i="479" s="1"/>
  <c r="L116" i="479"/>
  <c r="M116" i="479" s="1"/>
  <c r="N116" i="479" s="1"/>
  <c r="L108" i="479"/>
  <c r="M108" i="479" s="1"/>
  <c r="N108" i="479" s="1"/>
  <c r="L86" i="479"/>
  <c r="M86" i="479" s="1"/>
  <c r="N86" i="479" s="1"/>
  <c r="L82" i="479"/>
  <c r="M82" i="479" s="1"/>
  <c r="N82" i="479" s="1"/>
  <c r="L78" i="479"/>
  <c r="M78" i="479" s="1"/>
  <c r="N78" i="479" s="1"/>
  <c r="L74" i="479"/>
  <c r="M74" i="479" s="1"/>
  <c r="N74" i="479" s="1"/>
  <c r="L69" i="479"/>
  <c r="M69" i="479" s="1"/>
  <c r="N69" i="479" s="1"/>
  <c r="L61" i="479"/>
  <c r="M61" i="479" s="1"/>
  <c r="N61" i="479" s="1"/>
  <c r="L53" i="479"/>
  <c r="M53" i="479" s="1"/>
  <c r="N53" i="479" s="1"/>
  <c r="L104" i="479"/>
  <c r="M104" i="479" s="1"/>
  <c r="N104" i="479" s="1"/>
  <c r="L100" i="479"/>
  <c r="M100" i="479" s="1"/>
  <c r="N100" i="479" s="1"/>
  <c r="L96" i="479"/>
  <c r="M96" i="479" s="1"/>
  <c r="N96" i="479" s="1"/>
  <c r="L92" i="479"/>
  <c r="M92" i="479" s="1"/>
  <c r="N92" i="479" s="1"/>
  <c r="L70" i="479"/>
  <c r="M70" i="479" s="1"/>
  <c r="N70" i="479" s="1"/>
  <c r="L62" i="479"/>
  <c r="M62" i="479" s="1"/>
  <c r="N62" i="479" s="1"/>
  <c r="L54" i="479"/>
  <c r="M54" i="479" s="1"/>
  <c r="N54" i="479" s="1"/>
  <c r="L44" i="479"/>
  <c r="M44" i="479" s="1"/>
  <c r="N44" i="479" s="1"/>
  <c r="L40" i="479"/>
  <c r="M40" i="479" s="1"/>
  <c r="N40" i="479" s="1"/>
  <c r="L36" i="479"/>
  <c r="M36" i="479" s="1"/>
  <c r="N36" i="479" s="1"/>
  <c r="L32" i="479"/>
  <c r="M32" i="479" s="1"/>
  <c r="N32" i="479" s="1"/>
  <c r="L28" i="479"/>
  <c r="M28" i="479" s="1"/>
  <c r="N28" i="479" s="1"/>
  <c r="L24" i="479"/>
  <c r="M24" i="479" s="1"/>
  <c r="N24" i="479" s="1"/>
  <c r="L20" i="479"/>
  <c r="M20" i="479" s="1"/>
  <c r="N20" i="479" s="1"/>
  <c r="L16" i="479"/>
  <c r="M16" i="479" s="1"/>
  <c r="N16" i="479" s="1"/>
  <c r="L11" i="479"/>
  <c r="M11" i="479" s="1"/>
  <c r="N11" i="479" s="1"/>
  <c r="L12" i="479"/>
  <c r="M12" i="479" s="1"/>
  <c r="N12" i="479" s="1"/>
  <c r="L7" i="479"/>
  <c r="M7" i="479" s="1"/>
  <c r="N7" i="479" s="1"/>
  <c r="L3" i="479"/>
  <c r="M3" i="479" s="1"/>
  <c r="N3" i="479" s="1"/>
  <c r="L167" i="479"/>
  <c r="M167" i="479" s="1"/>
  <c r="N167" i="479" s="1"/>
  <c r="L175" i="479"/>
  <c r="M175" i="479" s="1"/>
  <c r="N175" i="479" s="1"/>
  <c r="L247" i="479"/>
  <c r="M247" i="479" s="1"/>
  <c r="N247" i="479" s="1"/>
  <c r="L204" i="479"/>
  <c r="M204" i="479" s="1"/>
  <c r="N204" i="479" s="1"/>
  <c r="L208" i="479"/>
  <c r="M208" i="479" s="1"/>
  <c r="N208" i="479" s="1"/>
  <c r="L212" i="479"/>
  <c r="M212" i="479" s="1"/>
  <c r="N212" i="479" s="1"/>
  <c r="L216" i="479"/>
  <c r="M216" i="479" s="1"/>
  <c r="N216" i="479" s="1"/>
  <c r="L220" i="479"/>
  <c r="M220" i="479" s="1"/>
  <c r="N220" i="479" s="1"/>
  <c r="L224" i="479"/>
  <c r="M224" i="479" s="1"/>
  <c r="N224" i="479" s="1"/>
  <c r="L228" i="479"/>
  <c r="M228" i="479" s="1"/>
  <c r="N228" i="479" s="1"/>
  <c r="L232" i="479"/>
  <c r="M232" i="479" s="1"/>
  <c r="N232" i="479" s="1"/>
  <c r="L236" i="479"/>
  <c r="M236" i="479" s="1"/>
  <c r="N236" i="479" s="1"/>
  <c r="L240" i="479"/>
  <c r="M240" i="479" s="1"/>
  <c r="N240" i="479" s="1"/>
  <c r="L246" i="479"/>
  <c r="M246" i="479" s="1"/>
  <c r="N246" i="479" s="1"/>
  <c r="L123" i="479"/>
  <c r="M123" i="479" s="1"/>
  <c r="N123" i="479" s="1"/>
  <c r="L115" i="479"/>
  <c r="M115" i="479" s="1"/>
  <c r="N115" i="479" s="1"/>
  <c r="L107" i="479"/>
  <c r="M107" i="479" s="1"/>
  <c r="N107" i="479" s="1"/>
  <c r="L156" i="479"/>
  <c r="M156" i="479" s="1"/>
  <c r="N156" i="479" s="1"/>
  <c r="L152" i="479"/>
  <c r="M152" i="479" s="1"/>
  <c r="N152" i="479" s="1"/>
  <c r="L148" i="479"/>
  <c r="M148" i="479" s="1"/>
  <c r="N148" i="479" s="1"/>
  <c r="L144" i="479"/>
  <c r="M144" i="479" s="1"/>
  <c r="N144" i="479" s="1"/>
  <c r="L140" i="479"/>
  <c r="M140" i="479" s="1"/>
  <c r="N140" i="479" s="1"/>
  <c r="L136" i="479"/>
  <c r="M136" i="479" s="1"/>
  <c r="N136" i="479" s="1"/>
  <c r="L132" i="479"/>
  <c r="M132" i="479" s="1"/>
  <c r="N132" i="479" s="1"/>
  <c r="L128" i="479"/>
  <c r="M128" i="479" s="1"/>
  <c r="N128" i="479" s="1"/>
  <c r="L122" i="479"/>
  <c r="M122" i="479" s="1"/>
  <c r="N122" i="479" s="1"/>
  <c r="L114" i="479"/>
  <c r="M114" i="479" s="1"/>
  <c r="N114" i="479" s="1"/>
  <c r="L106" i="479"/>
  <c r="M106" i="479" s="1"/>
  <c r="N106" i="479" s="1"/>
  <c r="L85" i="479"/>
  <c r="M85" i="479" s="1"/>
  <c r="N85" i="479" s="1"/>
  <c r="L81" i="479"/>
  <c r="M81" i="479" s="1"/>
  <c r="N81" i="479" s="1"/>
  <c r="L77" i="479"/>
  <c r="M77" i="479" s="1"/>
  <c r="N77" i="479" s="1"/>
  <c r="L73" i="479"/>
  <c r="M73" i="479" s="1"/>
  <c r="N73" i="479" s="1"/>
  <c r="L67" i="479"/>
  <c r="M67" i="479" s="1"/>
  <c r="N67" i="479" s="1"/>
  <c r="L59" i="479"/>
  <c r="M59" i="479" s="1"/>
  <c r="N59" i="479" s="1"/>
  <c r="L51" i="479"/>
  <c r="M51" i="479" s="1"/>
  <c r="N51" i="479" s="1"/>
  <c r="L103" i="479"/>
  <c r="M103" i="479" s="1"/>
  <c r="N103" i="479" s="1"/>
  <c r="L99" i="479"/>
  <c r="M99" i="479" s="1"/>
  <c r="N99" i="479" s="1"/>
  <c r="L95" i="479"/>
  <c r="M95" i="479" s="1"/>
  <c r="N95" i="479" s="1"/>
  <c r="L91" i="479"/>
  <c r="M91" i="479" s="1"/>
  <c r="N91" i="479" s="1"/>
  <c r="L68" i="479"/>
  <c r="M68" i="479" s="1"/>
  <c r="N68" i="479" s="1"/>
  <c r="L60" i="479"/>
  <c r="M60" i="479" s="1"/>
  <c r="N60" i="479" s="1"/>
  <c r="L52" i="479"/>
  <c r="M52" i="479" s="1"/>
  <c r="N52" i="479" s="1"/>
  <c r="L43" i="479"/>
  <c r="M43" i="479" s="1"/>
  <c r="N43" i="479" s="1"/>
  <c r="L39" i="479"/>
  <c r="M39" i="479" s="1"/>
  <c r="N39" i="479" s="1"/>
  <c r="L35" i="479"/>
  <c r="M35" i="479" s="1"/>
  <c r="N35" i="479" s="1"/>
  <c r="L31" i="479"/>
  <c r="M31" i="479" s="1"/>
  <c r="N31" i="479" s="1"/>
  <c r="L27" i="479"/>
  <c r="M27" i="479" s="1"/>
  <c r="N27" i="479" s="1"/>
  <c r="L23" i="479"/>
  <c r="M23" i="479" s="1"/>
  <c r="N23" i="479" s="1"/>
  <c r="L19" i="479"/>
  <c r="M19" i="479" s="1"/>
  <c r="N19" i="479" s="1"/>
  <c r="L15" i="479"/>
  <c r="M15" i="479" s="1"/>
  <c r="N15" i="479" s="1"/>
  <c r="L47" i="479"/>
  <c r="M47" i="479" s="1"/>
  <c r="N47" i="479" s="1"/>
  <c r="L10" i="479"/>
  <c r="M10" i="479" s="1"/>
  <c r="N10" i="479" s="1"/>
  <c r="L6" i="479"/>
  <c r="M6" i="479" s="1"/>
  <c r="N6" i="479" s="1"/>
  <c r="L2" i="479"/>
  <c r="L169" i="479"/>
  <c r="M169" i="479" s="1"/>
  <c r="N169" i="479" s="1"/>
  <c r="L177" i="479"/>
  <c r="M177" i="479" s="1"/>
  <c r="N177" i="479" s="1"/>
  <c r="L245" i="479"/>
  <c r="M245" i="479" s="1"/>
  <c r="N245" i="479" s="1"/>
  <c r="L205" i="479"/>
  <c r="M205" i="479" s="1"/>
  <c r="N205" i="479" s="1"/>
  <c r="L209" i="479"/>
  <c r="M209" i="479" s="1"/>
  <c r="N209" i="479" s="1"/>
  <c r="L213" i="479"/>
  <c r="M213" i="479" s="1"/>
  <c r="N213" i="479" s="1"/>
  <c r="L217" i="479"/>
  <c r="M217" i="479" s="1"/>
  <c r="N217" i="479" s="1"/>
  <c r="L221" i="479"/>
  <c r="M221" i="479" s="1"/>
  <c r="N221" i="479" s="1"/>
  <c r="L225" i="479"/>
  <c r="M225" i="479" s="1"/>
  <c r="N225" i="479" s="1"/>
  <c r="L229" i="479"/>
  <c r="M229" i="479" s="1"/>
  <c r="N229" i="479" s="1"/>
  <c r="L233" i="479"/>
  <c r="M233" i="479" s="1"/>
  <c r="N233" i="479" s="1"/>
  <c r="L237" i="479"/>
  <c r="M237" i="479" s="1"/>
  <c r="N237" i="479" s="1"/>
  <c r="L241" i="479"/>
  <c r="M241" i="479" s="1"/>
  <c r="N241" i="479" s="1"/>
  <c r="L121" i="479"/>
  <c r="M121" i="479" s="1"/>
  <c r="N121" i="479" s="1"/>
  <c r="L113" i="479"/>
  <c r="M113" i="479" s="1"/>
  <c r="N113" i="479" s="1"/>
  <c r="L159" i="479"/>
  <c r="M159" i="479" s="1"/>
  <c r="N159" i="479" s="1"/>
  <c r="L155" i="479"/>
  <c r="M155" i="479" s="1"/>
  <c r="N155" i="479" s="1"/>
  <c r="L151" i="479"/>
  <c r="M151" i="479" s="1"/>
  <c r="N151" i="479" s="1"/>
  <c r="L147" i="479"/>
  <c r="M147" i="479" s="1"/>
  <c r="N147" i="479" s="1"/>
  <c r="L143" i="479"/>
  <c r="M143" i="479" s="1"/>
  <c r="N143" i="479" s="1"/>
  <c r="L139" i="479"/>
  <c r="M139" i="479" s="1"/>
  <c r="N139" i="479" s="1"/>
  <c r="L135" i="479"/>
  <c r="M135" i="479" s="1"/>
  <c r="N135" i="479" s="1"/>
  <c r="L131" i="479"/>
  <c r="M131" i="479" s="1"/>
  <c r="N131" i="479" s="1"/>
  <c r="L127" i="479"/>
  <c r="M127" i="479" s="1"/>
  <c r="N127" i="479" s="1"/>
  <c r="L120" i="479"/>
  <c r="M120" i="479" s="1"/>
  <c r="N120" i="479" s="1"/>
  <c r="L112" i="479"/>
  <c r="M112" i="479" s="1"/>
  <c r="N112" i="479" s="1"/>
  <c r="L88" i="479"/>
  <c r="M88" i="479" s="1"/>
  <c r="N88" i="479" s="1"/>
  <c r="L84" i="479"/>
  <c r="M84" i="479" s="1"/>
  <c r="N84" i="479" s="1"/>
  <c r="L80" i="479"/>
  <c r="M80" i="479" s="1"/>
  <c r="N80" i="479" s="1"/>
  <c r="L76" i="479"/>
  <c r="M76" i="479" s="1"/>
  <c r="N76" i="479" s="1"/>
  <c r="L72" i="479"/>
  <c r="M72" i="479" s="1"/>
  <c r="N72" i="479" s="1"/>
  <c r="L65" i="479"/>
  <c r="M65" i="479" s="1"/>
  <c r="N65" i="479" s="1"/>
  <c r="L57" i="479"/>
  <c r="M57" i="479" s="1"/>
  <c r="N57" i="479" s="1"/>
  <c r="L49" i="479"/>
  <c r="M49" i="479" s="1"/>
  <c r="N49" i="479" s="1"/>
  <c r="L102" i="479"/>
  <c r="M102" i="479" s="1"/>
  <c r="N102" i="479" s="1"/>
  <c r="L98" i="479"/>
  <c r="M98" i="479" s="1"/>
  <c r="N98" i="479" s="1"/>
  <c r="L94" i="479"/>
  <c r="M94" i="479" s="1"/>
  <c r="N94" i="479" s="1"/>
  <c r="L90" i="479"/>
  <c r="M90" i="479" s="1"/>
  <c r="N90" i="479" s="1"/>
  <c r="L66" i="479"/>
  <c r="M66" i="479" s="1"/>
  <c r="N66" i="479" s="1"/>
  <c r="L58" i="479"/>
  <c r="M58" i="479" s="1"/>
  <c r="N58" i="479" s="1"/>
  <c r="L50" i="479"/>
  <c r="M50" i="479" s="1"/>
  <c r="N50" i="479" s="1"/>
  <c r="L42" i="479"/>
  <c r="M42" i="479" s="1"/>
  <c r="N42" i="479" s="1"/>
  <c r="L38" i="479"/>
  <c r="M38" i="479" s="1"/>
  <c r="N38" i="479" s="1"/>
  <c r="L34" i="479"/>
  <c r="M34" i="479" s="1"/>
  <c r="N34" i="479" s="1"/>
  <c r="L30" i="479"/>
  <c r="M30" i="479" s="1"/>
  <c r="N30" i="479" s="1"/>
  <c r="L26" i="479"/>
  <c r="M26" i="479" s="1"/>
  <c r="N26" i="479" s="1"/>
  <c r="L22" i="479"/>
  <c r="M22" i="479" s="1"/>
  <c r="N22" i="479" s="1"/>
  <c r="L18" i="479"/>
  <c r="M18" i="479" s="1"/>
  <c r="N18" i="479" s="1"/>
  <c r="L14" i="479"/>
  <c r="M14" i="479" s="1"/>
  <c r="N14" i="479" s="1"/>
  <c r="L46" i="479"/>
  <c r="M46" i="479" s="1"/>
  <c r="N46" i="479" s="1"/>
  <c r="L9" i="479"/>
  <c r="M9" i="479" s="1"/>
  <c r="N9" i="479" s="1"/>
  <c r="L5" i="479"/>
  <c r="M5" i="479" s="1"/>
  <c r="N5" i="479" s="1"/>
  <c r="L163" i="479"/>
  <c r="M163" i="479" s="1"/>
  <c r="N163" i="479" s="1"/>
  <c r="L171" i="479"/>
  <c r="M171" i="479" s="1"/>
  <c r="N171" i="479" s="1"/>
  <c r="L179" i="479"/>
  <c r="M179" i="479" s="1"/>
  <c r="N179" i="479" s="1"/>
  <c r="L206" i="479"/>
  <c r="M206" i="479" s="1"/>
  <c r="N206" i="479" s="1"/>
  <c r="L210" i="479"/>
  <c r="M210" i="479" s="1"/>
  <c r="N210" i="479" s="1"/>
  <c r="L214" i="479"/>
  <c r="M214" i="479" s="1"/>
  <c r="N214" i="479" s="1"/>
  <c r="L218" i="479"/>
  <c r="M218" i="479" s="1"/>
  <c r="N218" i="479" s="1"/>
  <c r="L222" i="479"/>
  <c r="M222" i="479" s="1"/>
  <c r="N222" i="479" s="1"/>
  <c r="L226" i="479"/>
  <c r="M226" i="479" s="1"/>
  <c r="N226" i="479" s="1"/>
  <c r="L230" i="479"/>
  <c r="M230" i="479" s="1"/>
  <c r="N230" i="479" s="1"/>
  <c r="L234" i="479"/>
  <c r="M234" i="479" s="1"/>
  <c r="N234" i="479" s="1"/>
  <c r="L238" i="479"/>
  <c r="M238" i="479" s="1"/>
  <c r="N238" i="479" s="1"/>
  <c r="L242" i="479"/>
  <c r="M242" i="479" s="1"/>
  <c r="N242" i="479" s="1"/>
  <c r="L240" i="478"/>
  <c r="M240" i="478" s="1"/>
  <c r="N240" i="478" s="1"/>
  <c r="L222" i="478"/>
  <c r="M222" i="478" s="1"/>
  <c r="N222" i="478" s="1"/>
  <c r="L206" i="478"/>
  <c r="M206" i="478" s="1"/>
  <c r="N206" i="478" s="1"/>
  <c r="L213" i="478"/>
  <c r="M213" i="478" s="1"/>
  <c r="N213" i="478" s="1"/>
  <c r="L208" i="478"/>
  <c r="M208" i="478" s="1"/>
  <c r="N208" i="478" s="1"/>
  <c r="L236" i="478"/>
  <c r="M236" i="478" s="1"/>
  <c r="N236" i="478" s="1"/>
  <c r="L209" i="478"/>
  <c r="M209" i="478" s="1"/>
  <c r="N209" i="478" s="1"/>
  <c r="L217" i="478"/>
  <c r="M217" i="478" s="1"/>
  <c r="N217" i="478" s="1"/>
  <c r="L223" i="478"/>
  <c r="M223" i="478" s="1"/>
  <c r="N223" i="478" s="1"/>
  <c r="L227" i="478"/>
  <c r="M227" i="478" s="1"/>
  <c r="N227" i="478" s="1"/>
  <c r="L231" i="478"/>
  <c r="M231" i="478" s="1"/>
  <c r="N231" i="478" s="1"/>
  <c r="L239" i="478"/>
  <c r="M239" i="478" s="1"/>
  <c r="N239" i="478" s="1"/>
  <c r="L211" i="478"/>
  <c r="M211" i="478" s="1"/>
  <c r="N211" i="478" s="1"/>
  <c r="L219" i="478"/>
  <c r="M219" i="478" s="1"/>
  <c r="N219" i="478" s="1"/>
  <c r="L224" i="478"/>
  <c r="M224" i="478" s="1"/>
  <c r="N224" i="478" s="1"/>
  <c r="L228" i="478"/>
  <c r="M228" i="478" s="1"/>
  <c r="N228" i="478" s="1"/>
  <c r="L221" i="478"/>
  <c r="M221" i="478" s="1"/>
  <c r="N221" i="478" s="1"/>
  <c r="L225" i="478"/>
  <c r="M225" i="478" s="1"/>
  <c r="N225" i="478" s="1"/>
  <c r="L229" i="478"/>
  <c r="M229" i="478" s="1"/>
  <c r="N229" i="478" s="1"/>
  <c r="L233" i="478"/>
  <c r="M233" i="478" s="1"/>
  <c r="N233" i="478" s="1"/>
  <c r="L237" i="478"/>
  <c r="M237" i="478" s="1"/>
  <c r="N237" i="478" s="1"/>
  <c r="L207" i="478"/>
  <c r="M207" i="478" s="1"/>
  <c r="N207" i="478" s="1"/>
  <c r="L215" i="478"/>
  <c r="M215" i="478" s="1"/>
  <c r="N215" i="478" s="1"/>
  <c r="L226" i="478"/>
  <c r="M226" i="478" s="1"/>
  <c r="N226" i="478" s="1"/>
  <c r="L246" i="478"/>
  <c r="M246" i="478" s="1"/>
  <c r="N246" i="478" s="1"/>
  <c r="L241" i="478"/>
  <c r="M241" i="478" s="1"/>
  <c r="N241" i="478" s="1"/>
  <c r="L245" i="478"/>
  <c r="M245" i="478" s="1"/>
  <c r="N245" i="478" s="1"/>
  <c r="L203" i="478"/>
  <c r="M203" i="478" s="1"/>
  <c r="N203" i="478" s="1"/>
  <c r="L199" i="478"/>
  <c r="M199" i="478" s="1"/>
  <c r="N199" i="478" s="1"/>
  <c r="L195" i="478"/>
  <c r="M195" i="478" s="1"/>
  <c r="N195" i="478" s="1"/>
  <c r="L191" i="478"/>
  <c r="M191" i="478" s="1"/>
  <c r="N191" i="478" s="1"/>
  <c r="L187" i="478"/>
  <c r="M187" i="478" s="1"/>
  <c r="N187" i="478" s="1"/>
  <c r="L183" i="478"/>
  <c r="M183" i="478" s="1"/>
  <c r="N183" i="478" s="1"/>
  <c r="L179" i="478"/>
  <c r="M179" i="478" s="1"/>
  <c r="N179" i="478" s="1"/>
  <c r="L175" i="478"/>
  <c r="M175" i="478" s="1"/>
  <c r="N175" i="478" s="1"/>
  <c r="L171" i="478"/>
  <c r="M171" i="478" s="1"/>
  <c r="N171" i="478" s="1"/>
  <c r="L167" i="478"/>
  <c r="M167" i="478" s="1"/>
  <c r="N167" i="478" s="1"/>
  <c r="L163" i="478"/>
  <c r="M163" i="478" s="1"/>
  <c r="N163" i="478" s="1"/>
  <c r="L159" i="478"/>
  <c r="M159" i="478" s="1"/>
  <c r="N159" i="478" s="1"/>
  <c r="L155" i="478"/>
  <c r="M155" i="478" s="1"/>
  <c r="N155" i="478" s="1"/>
  <c r="L145" i="478"/>
  <c r="M145" i="478" s="1"/>
  <c r="N145" i="478" s="1"/>
  <c r="L132" i="478"/>
  <c r="M132" i="478" s="1"/>
  <c r="N132" i="478" s="1"/>
  <c r="L116" i="478"/>
  <c r="M116" i="478" s="1"/>
  <c r="N116" i="478" s="1"/>
  <c r="L135" i="478"/>
  <c r="M135" i="478" s="1"/>
  <c r="N135" i="478" s="1"/>
  <c r="L119" i="478"/>
  <c r="M119" i="478" s="1"/>
  <c r="N119" i="478" s="1"/>
  <c r="L152" i="478"/>
  <c r="M152" i="478" s="1"/>
  <c r="N152" i="478" s="1"/>
  <c r="L144" i="478"/>
  <c r="M144" i="478" s="1"/>
  <c r="N144" i="478" s="1"/>
  <c r="L126" i="478"/>
  <c r="M126" i="478" s="1"/>
  <c r="N126" i="478" s="1"/>
  <c r="L110" i="478"/>
  <c r="M110" i="478" s="1"/>
  <c r="N110" i="478" s="1"/>
  <c r="L141" i="478"/>
  <c r="M141" i="478" s="1"/>
  <c r="N141" i="478" s="1"/>
  <c r="L125" i="478"/>
  <c r="M125" i="478" s="1"/>
  <c r="N125" i="478" s="1"/>
  <c r="L109" i="478"/>
  <c r="M109" i="478" s="1"/>
  <c r="N109" i="478" s="1"/>
  <c r="L103" i="478"/>
  <c r="M103" i="478" s="1"/>
  <c r="N103" i="478" s="1"/>
  <c r="L99" i="478"/>
  <c r="M99" i="478" s="1"/>
  <c r="N99" i="478" s="1"/>
  <c r="L95" i="478"/>
  <c r="M95" i="478" s="1"/>
  <c r="N95" i="478" s="1"/>
  <c r="L91" i="478"/>
  <c r="M91" i="478" s="1"/>
  <c r="N91" i="478" s="1"/>
  <c r="L87" i="478"/>
  <c r="M87" i="478" s="1"/>
  <c r="N87" i="478" s="1"/>
  <c r="L83" i="478"/>
  <c r="M83" i="478" s="1"/>
  <c r="N83" i="478" s="1"/>
  <c r="L71" i="478"/>
  <c r="M71" i="478" s="1"/>
  <c r="N71" i="478" s="1"/>
  <c r="L74" i="478"/>
  <c r="M74" i="478" s="1"/>
  <c r="N74" i="478" s="1"/>
  <c r="L66" i="478"/>
  <c r="M66" i="478" s="1"/>
  <c r="N66" i="478" s="1"/>
  <c r="L78" i="478"/>
  <c r="M78" i="478" s="1"/>
  <c r="N78" i="478" s="1"/>
  <c r="L63" i="478"/>
  <c r="M63" i="478" s="1"/>
  <c r="N63" i="478" s="1"/>
  <c r="L59" i="478"/>
  <c r="M59" i="478" s="1"/>
  <c r="N59" i="478" s="1"/>
  <c r="L55" i="478"/>
  <c r="M55" i="478" s="1"/>
  <c r="N55" i="478" s="1"/>
  <c r="L51" i="478"/>
  <c r="M51" i="478" s="1"/>
  <c r="N51" i="478" s="1"/>
  <c r="L47" i="478"/>
  <c r="M47" i="478" s="1"/>
  <c r="N47" i="478" s="1"/>
  <c r="L25" i="478"/>
  <c r="M25" i="478" s="1"/>
  <c r="N25" i="478" s="1"/>
  <c r="L43" i="478"/>
  <c r="M43" i="478" s="1"/>
  <c r="N43" i="478" s="1"/>
  <c r="L39" i="478"/>
  <c r="M39" i="478" s="1"/>
  <c r="N39" i="478" s="1"/>
  <c r="L35" i="478"/>
  <c r="M35" i="478" s="1"/>
  <c r="N35" i="478" s="1"/>
  <c r="L31" i="478"/>
  <c r="M31" i="478" s="1"/>
  <c r="N31" i="478" s="1"/>
  <c r="L26" i="478"/>
  <c r="M26" i="478" s="1"/>
  <c r="N26" i="478" s="1"/>
  <c r="L19" i="478"/>
  <c r="M19" i="478" s="1"/>
  <c r="N19" i="478" s="1"/>
  <c r="L15" i="478"/>
  <c r="M15" i="478" s="1"/>
  <c r="N15" i="478" s="1"/>
  <c r="L11" i="478"/>
  <c r="M11" i="478" s="1"/>
  <c r="N11" i="478" s="1"/>
  <c r="L7" i="478"/>
  <c r="M7" i="478" s="1"/>
  <c r="N7" i="478" s="1"/>
  <c r="L3" i="478"/>
  <c r="M3" i="478" s="1"/>
  <c r="N3" i="478" s="1"/>
  <c r="L210" i="478"/>
  <c r="M210" i="478" s="1"/>
  <c r="N210" i="478" s="1"/>
  <c r="L218" i="478"/>
  <c r="M218" i="478" s="1"/>
  <c r="N218" i="478" s="1"/>
  <c r="L232" i="478"/>
  <c r="M232" i="478" s="1"/>
  <c r="N232" i="478" s="1"/>
  <c r="L230" i="478"/>
  <c r="M230" i="478" s="1"/>
  <c r="N230" i="478" s="1"/>
  <c r="L202" i="478"/>
  <c r="M202" i="478" s="1"/>
  <c r="N202" i="478" s="1"/>
  <c r="L198" i="478"/>
  <c r="M198" i="478" s="1"/>
  <c r="N198" i="478" s="1"/>
  <c r="L194" i="478"/>
  <c r="M194" i="478" s="1"/>
  <c r="N194" i="478" s="1"/>
  <c r="L190" i="478"/>
  <c r="M190" i="478" s="1"/>
  <c r="N190" i="478" s="1"/>
  <c r="L186" i="478"/>
  <c r="M186" i="478" s="1"/>
  <c r="N186" i="478" s="1"/>
  <c r="L182" i="478"/>
  <c r="M182" i="478" s="1"/>
  <c r="N182" i="478" s="1"/>
  <c r="L178" i="478"/>
  <c r="M178" i="478" s="1"/>
  <c r="N178" i="478" s="1"/>
  <c r="L174" i="478"/>
  <c r="M174" i="478" s="1"/>
  <c r="N174" i="478" s="1"/>
  <c r="L170" i="478"/>
  <c r="M170" i="478" s="1"/>
  <c r="N170" i="478" s="1"/>
  <c r="L166" i="478"/>
  <c r="M166" i="478" s="1"/>
  <c r="N166" i="478" s="1"/>
  <c r="L162" i="478"/>
  <c r="M162" i="478" s="1"/>
  <c r="N162" i="478" s="1"/>
  <c r="L158" i="478"/>
  <c r="M158" i="478" s="1"/>
  <c r="N158" i="478" s="1"/>
  <c r="L151" i="478"/>
  <c r="M151" i="478" s="1"/>
  <c r="N151" i="478" s="1"/>
  <c r="L143" i="478"/>
  <c r="M143" i="478" s="1"/>
  <c r="N143" i="478" s="1"/>
  <c r="L128" i="478"/>
  <c r="M128" i="478" s="1"/>
  <c r="N128" i="478" s="1"/>
  <c r="L112" i="478"/>
  <c r="M112" i="478" s="1"/>
  <c r="N112" i="478" s="1"/>
  <c r="L131" i="478"/>
  <c r="M131" i="478" s="1"/>
  <c r="N131" i="478" s="1"/>
  <c r="L115" i="478"/>
  <c r="M115" i="478" s="1"/>
  <c r="N115" i="478" s="1"/>
  <c r="L150" i="478"/>
  <c r="M150" i="478" s="1"/>
  <c r="N150" i="478" s="1"/>
  <c r="L138" i="478"/>
  <c r="M138" i="478" s="1"/>
  <c r="N138" i="478" s="1"/>
  <c r="L122" i="478"/>
  <c r="M122" i="478" s="1"/>
  <c r="N122" i="478" s="1"/>
  <c r="L106" i="478"/>
  <c r="M106" i="478" s="1"/>
  <c r="N106" i="478" s="1"/>
  <c r="L137" i="478"/>
  <c r="M137" i="478" s="1"/>
  <c r="N137" i="478" s="1"/>
  <c r="L121" i="478"/>
  <c r="M121" i="478" s="1"/>
  <c r="N121" i="478" s="1"/>
  <c r="L105" i="478"/>
  <c r="M105" i="478" s="1"/>
  <c r="N105" i="478" s="1"/>
  <c r="L102" i="478"/>
  <c r="M102" i="478" s="1"/>
  <c r="N102" i="478" s="1"/>
  <c r="L98" i="478"/>
  <c r="M98" i="478" s="1"/>
  <c r="N98" i="478" s="1"/>
  <c r="L94" i="478"/>
  <c r="M94" i="478" s="1"/>
  <c r="N94" i="478" s="1"/>
  <c r="L90" i="478"/>
  <c r="M90" i="478" s="1"/>
  <c r="N90" i="478" s="1"/>
  <c r="L86" i="478"/>
  <c r="M86" i="478" s="1"/>
  <c r="N86" i="478" s="1"/>
  <c r="L82" i="478"/>
  <c r="M82" i="478" s="1"/>
  <c r="N82" i="478" s="1"/>
  <c r="L69" i="478"/>
  <c r="M69" i="478" s="1"/>
  <c r="N69" i="478" s="1"/>
  <c r="L72" i="478"/>
  <c r="M72" i="478" s="1"/>
  <c r="N72" i="478" s="1"/>
  <c r="L81" i="478"/>
  <c r="M81" i="478" s="1"/>
  <c r="N81" i="478" s="1"/>
  <c r="L77" i="478"/>
  <c r="M77" i="478" s="1"/>
  <c r="N77" i="478" s="1"/>
  <c r="L62" i="478"/>
  <c r="M62" i="478" s="1"/>
  <c r="N62" i="478" s="1"/>
  <c r="L58" i="478"/>
  <c r="M58" i="478" s="1"/>
  <c r="N58" i="478" s="1"/>
  <c r="L54" i="478"/>
  <c r="M54" i="478" s="1"/>
  <c r="N54" i="478" s="1"/>
  <c r="L50" i="478"/>
  <c r="M50" i="478" s="1"/>
  <c r="N50" i="478" s="1"/>
  <c r="L46" i="478"/>
  <c r="M46" i="478" s="1"/>
  <c r="N46" i="478" s="1"/>
  <c r="L23" i="478"/>
  <c r="M23" i="478" s="1"/>
  <c r="N23" i="478" s="1"/>
  <c r="L42" i="478"/>
  <c r="M42" i="478" s="1"/>
  <c r="N42" i="478" s="1"/>
  <c r="L38" i="478"/>
  <c r="M38" i="478" s="1"/>
  <c r="N38" i="478" s="1"/>
  <c r="L34" i="478"/>
  <c r="M34" i="478" s="1"/>
  <c r="N34" i="478" s="1"/>
  <c r="L30" i="478"/>
  <c r="M30" i="478" s="1"/>
  <c r="N30" i="478" s="1"/>
  <c r="L24" i="478"/>
  <c r="M24" i="478" s="1"/>
  <c r="N24" i="478" s="1"/>
  <c r="L18" i="478"/>
  <c r="M18" i="478" s="1"/>
  <c r="N18" i="478" s="1"/>
  <c r="L14" i="478"/>
  <c r="M14" i="478" s="1"/>
  <c r="N14" i="478" s="1"/>
  <c r="L10" i="478"/>
  <c r="M10" i="478" s="1"/>
  <c r="N10" i="478" s="1"/>
  <c r="L6" i="478"/>
  <c r="M6" i="478" s="1"/>
  <c r="N6" i="478" s="1"/>
  <c r="L2" i="478"/>
  <c r="L212" i="478"/>
  <c r="M212" i="478" s="1"/>
  <c r="N212" i="478" s="1"/>
  <c r="L220" i="478"/>
  <c r="M220" i="478" s="1"/>
  <c r="N220" i="478" s="1"/>
  <c r="L247" i="478"/>
  <c r="M247" i="478" s="1"/>
  <c r="N247" i="478" s="1"/>
  <c r="L235" i="478"/>
  <c r="M235" i="478" s="1"/>
  <c r="N235" i="478" s="1"/>
  <c r="L243" i="478"/>
  <c r="M243" i="478" s="1"/>
  <c r="N243" i="478" s="1"/>
  <c r="L242" i="478"/>
  <c r="M242" i="478" s="1"/>
  <c r="N242" i="478" s="1"/>
  <c r="L205" i="478"/>
  <c r="M205" i="478" s="1"/>
  <c r="N205" i="478" s="1"/>
  <c r="L201" i="478"/>
  <c r="M201" i="478" s="1"/>
  <c r="N201" i="478" s="1"/>
  <c r="L197" i="478"/>
  <c r="M197" i="478" s="1"/>
  <c r="N197" i="478" s="1"/>
  <c r="L193" i="478"/>
  <c r="M193" i="478" s="1"/>
  <c r="N193" i="478" s="1"/>
  <c r="L189" i="478"/>
  <c r="M189" i="478" s="1"/>
  <c r="N189" i="478" s="1"/>
  <c r="L185" i="478"/>
  <c r="M185" i="478" s="1"/>
  <c r="N185" i="478" s="1"/>
  <c r="L181" i="478"/>
  <c r="M181" i="478" s="1"/>
  <c r="N181" i="478" s="1"/>
  <c r="L177" i="478"/>
  <c r="M177" i="478" s="1"/>
  <c r="N177" i="478" s="1"/>
  <c r="L173" i="478"/>
  <c r="M173" i="478" s="1"/>
  <c r="N173" i="478" s="1"/>
  <c r="L169" i="478"/>
  <c r="M169" i="478" s="1"/>
  <c r="N169" i="478" s="1"/>
  <c r="L165" i="478"/>
  <c r="M165" i="478" s="1"/>
  <c r="N165" i="478" s="1"/>
  <c r="L161" i="478"/>
  <c r="M161" i="478" s="1"/>
  <c r="N161" i="478" s="1"/>
  <c r="L157" i="478"/>
  <c r="M157" i="478" s="1"/>
  <c r="N157" i="478" s="1"/>
  <c r="L149" i="478"/>
  <c r="M149" i="478" s="1"/>
  <c r="N149" i="478" s="1"/>
  <c r="L140" i="478"/>
  <c r="M140" i="478" s="1"/>
  <c r="N140" i="478" s="1"/>
  <c r="L124" i="478"/>
  <c r="M124" i="478" s="1"/>
  <c r="N124" i="478" s="1"/>
  <c r="L108" i="478"/>
  <c r="M108" i="478" s="1"/>
  <c r="N108" i="478" s="1"/>
  <c r="L127" i="478"/>
  <c r="M127" i="478" s="1"/>
  <c r="N127" i="478" s="1"/>
  <c r="L111" i="478"/>
  <c r="M111" i="478" s="1"/>
  <c r="N111" i="478" s="1"/>
  <c r="L148" i="478"/>
  <c r="M148" i="478" s="1"/>
  <c r="N148" i="478" s="1"/>
  <c r="L134" i="478"/>
  <c r="M134" i="478" s="1"/>
  <c r="N134" i="478" s="1"/>
  <c r="L118" i="478"/>
  <c r="M118" i="478" s="1"/>
  <c r="N118" i="478" s="1"/>
  <c r="L154" i="478"/>
  <c r="M154" i="478" s="1"/>
  <c r="N154" i="478" s="1"/>
  <c r="L133" i="478"/>
  <c r="M133" i="478" s="1"/>
  <c r="N133" i="478" s="1"/>
  <c r="L117" i="478"/>
  <c r="M117" i="478" s="1"/>
  <c r="N117" i="478" s="1"/>
  <c r="L142" i="478"/>
  <c r="M142" i="478" s="1"/>
  <c r="N142" i="478" s="1"/>
  <c r="L101" i="478"/>
  <c r="M101" i="478" s="1"/>
  <c r="N101" i="478" s="1"/>
  <c r="L97" i="478"/>
  <c r="M97" i="478" s="1"/>
  <c r="N97" i="478" s="1"/>
  <c r="L93" i="478"/>
  <c r="M93" i="478" s="1"/>
  <c r="N93" i="478" s="1"/>
  <c r="L89" i="478"/>
  <c r="M89" i="478" s="1"/>
  <c r="N89" i="478" s="1"/>
  <c r="L85" i="478"/>
  <c r="M85" i="478" s="1"/>
  <c r="N85" i="478" s="1"/>
  <c r="L75" i="478"/>
  <c r="M75" i="478" s="1"/>
  <c r="N75" i="478" s="1"/>
  <c r="L67" i="478"/>
  <c r="M67" i="478" s="1"/>
  <c r="N67" i="478" s="1"/>
  <c r="L70" i="478"/>
  <c r="M70" i="478" s="1"/>
  <c r="N70" i="478" s="1"/>
  <c r="L80" i="478"/>
  <c r="M80" i="478" s="1"/>
  <c r="N80" i="478" s="1"/>
  <c r="L65" i="478"/>
  <c r="M65" i="478" s="1"/>
  <c r="N65" i="478" s="1"/>
  <c r="L61" i="478"/>
  <c r="M61" i="478" s="1"/>
  <c r="N61" i="478" s="1"/>
  <c r="L57" i="478"/>
  <c r="M57" i="478" s="1"/>
  <c r="N57" i="478" s="1"/>
  <c r="L53" i="478"/>
  <c r="M53" i="478" s="1"/>
  <c r="N53" i="478" s="1"/>
  <c r="L49" i="478"/>
  <c r="M49" i="478" s="1"/>
  <c r="N49" i="478" s="1"/>
  <c r="L45" i="478"/>
  <c r="M45" i="478" s="1"/>
  <c r="N45" i="478" s="1"/>
  <c r="L21" i="478"/>
  <c r="M21" i="478" s="1"/>
  <c r="N21" i="478" s="1"/>
  <c r="L41" i="478"/>
  <c r="M41" i="478" s="1"/>
  <c r="N41" i="478" s="1"/>
  <c r="L37" i="478"/>
  <c r="M37" i="478" s="1"/>
  <c r="N37" i="478" s="1"/>
  <c r="L33" i="478"/>
  <c r="M33" i="478" s="1"/>
  <c r="N33" i="478" s="1"/>
  <c r="L29" i="478"/>
  <c r="M29" i="478" s="1"/>
  <c r="N29" i="478" s="1"/>
  <c r="L22" i="478"/>
  <c r="M22" i="478" s="1"/>
  <c r="N22" i="478" s="1"/>
  <c r="L17" i="478"/>
  <c r="M17" i="478" s="1"/>
  <c r="N17" i="478" s="1"/>
  <c r="L13" i="478"/>
  <c r="M13" i="478" s="1"/>
  <c r="N13" i="478" s="1"/>
  <c r="L9" i="478"/>
  <c r="M9" i="478" s="1"/>
  <c r="N9" i="478" s="1"/>
  <c r="L5" i="478"/>
  <c r="M5" i="478" s="1"/>
  <c r="N5" i="478" s="1"/>
  <c r="L214" i="478"/>
  <c r="M214" i="478" s="1"/>
  <c r="N214" i="478" s="1"/>
  <c r="L238" i="478"/>
  <c r="M238" i="478" s="1"/>
  <c r="N238" i="478" s="1"/>
  <c r="L234" i="478"/>
  <c r="M234" i="478" s="1"/>
  <c r="N234" i="478" s="1"/>
  <c r="L244" i="478"/>
  <c r="M244" i="478" s="1"/>
  <c r="N244" i="478" s="1"/>
  <c r="L204" i="478"/>
  <c r="M204" i="478" s="1"/>
  <c r="N204" i="478" s="1"/>
  <c r="L200" i="478"/>
  <c r="M200" i="478" s="1"/>
  <c r="N200" i="478" s="1"/>
  <c r="L196" i="478"/>
  <c r="M196" i="478" s="1"/>
  <c r="N196" i="478" s="1"/>
  <c r="L192" i="478"/>
  <c r="M192" i="478" s="1"/>
  <c r="N192" i="478" s="1"/>
  <c r="L188" i="478"/>
  <c r="M188" i="478" s="1"/>
  <c r="N188" i="478" s="1"/>
  <c r="L184" i="478"/>
  <c r="M184" i="478" s="1"/>
  <c r="N184" i="478" s="1"/>
  <c r="L180" i="478"/>
  <c r="M180" i="478" s="1"/>
  <c r="N180" i="478" s="1"/>
  <c r="L176" i="478"/>
  <c r="M176" i="478" s="1"/>
  <c r="N176" i="478" s="1"/>
  <c r="L172" i="478"/>
  <c r="M172" i="478" s="1"/>
  <c r="N172" i="478" s="1"/>
  <c r="L168" i="478"/>
  <c r="M168" i="478" s="1"/>
  <c r="N168" i="478" s="1"/>
  <c r="L164" i="478"/>
  <c r="M164" i="478" s="1"/>
  <c r="N164" i="478" s="1"/>
  <c r="L160" i="478"/>
  <c r="M160" i="478" s="1"/>
  <c r="N160" i="478" s="1"/>
  <c r="L156" i="478"/>
  <c r="M156" i="478" s="1"/>
  <c r="N156" i="478" s="1"/>
  <c r="L147" i="478"/>
  <c r="M147" i="478" s="1"/>
  <c r="N147" i="478" s="1"/>
  <c r="L136" i="478"/>
  <c r="M136" i="478" s="1"/>
  <c r="N136" i="478" s="1"/>
  <c r="L120" i="478"/>
  <c r="M120" i="478" s="1"/>
  <c r="N120" i="478" s="1"/>
  <c r="L139" i="478"/>
  <c r="M139" i="478" s="1"/>
  <c r="N139" i="478" s="1"/>
  <c r="L123" i="478"/>
  <c r="M123" i="478" s="1"/>
  <c r="N123" i="478" s="1"/>
  <c r="L107" i="478"/>
  <c r="M107" i="478" s="1"/>
  <c r="N107" i="478" s="1"/>
  <c r="L146" i="478"/>
  <c r="M146" i="478" s="1"/>
  <c r="N146" i="478" s="1"/>
  <c r="L130" i="478"/>
  <c r="M130" i="478" s="1"/>
  <c r="N130" i="478" s="1"/>
  <c r="L114" i="478"/>
  <c r="M114" i="478" s="1"/>
  <c r="N114" i="478" s="1"/>
  <c r="L153" i="478"/>
  <c r="M153" i="478" s="1"/>
  <c r="N153" i="478" s="1"/>
  <c r="L129" i="478"/>
  <c r="M129" i="478" s="1"/>
  <c r="N129" i="478" s="1"/>
  <c r="L113" i="478"/>
  <c r="M113" i="478" s="1"/>
  <c r="N113" i="478" s="1"/>
  <c r="L104" i="478"/>
  <c r="M104" i="478" s="1"/>
  <c r="N104" i="478" s="1"/>
  <c r="L100" i="478"/>
  <c r="M100" i="478" s="1"/>
  <c r="N100" i="478" s="1"/>
  <c r="L96" i="478"/>
  <c r="M96" i="478" s="1"/>
  <c r="N96" i="478" s="1"/>
  <c r="L92" i="478"/>
  <c r="M92" i="478" s="1"/>
  <c r="N92" i="478" s="1"/>
  <c r="L88" i="478"/>
  <c r="M88" i="478" s="1"/>
  <c r="N88" i="478" s="1"/>
  <c r="L84" i="478"/>
  <c r="M84" i="478" s="1"/>
  <c r="N84" i="478" s="1"/>
  <c r="L73" i="478"/>
  <c r="M73" i="478" s="1"/>
  <c r="N73" i="478" s="1"/>
  <c r="L76" i="478"/>
  <c r="M76" i="478" s="1"/>
  <c r="N76" i="478" s="1"/>
  <c r="L68" i="478"/>
  <c r="M68" i="478" s="1"/>
  <c r="N68" i="478" s="1"/>
  <c r="L79" i="478"/>
  <c r="M79" i="478" s="1"/>
  <c r="N79" i="478" s="1"/>
  <c r="L64" i="478"/>
  <c r="M64" i="478" s="1"/>
  <c r="N64" i="478" s="1"/>
  <c r="L60" i="478"/>
  <c r="M60" i="478" s="1"/>
  <c r="N60" i="478" s="1"/>
  <c r="L56" i="478"/>
  <c r="M56" i="478" s="1"/>
  <c r="N56" i="478" s="1"/>
  <c r="L52" i="478"/>
  <c r="M52" i="478" s="1"/>
  <c r="N52" i="478" s="1"/>
  <c r="L48" i="478"/>
  <c r="M48" i="478" s="1"/>
  <c r="N48" i="478" s="1"/>
  <c r="L27" i="478"/>
  <c r="M27" i="478" s="1"/>
  <c r="N27" i="478" s="1"/>
  <c r="L44" i="478"/>
  <c r="M44" i="478" s="1"/>
  <c r="N44" i="478" s="1"/>
  <c r="L40" i="478"/>
  <c r="M40" i="478" s="1"/>
  <c r="N40" i="478" s="1"/>
  <c r="L36" i="478"/>
  <c r="M36" i="478" s="1"/>
  <c r="N36" i="478" s="1"/>
  <c r="L32" i="478"/>
  <c r="M32" i="478" s="1"/>
  <c r="N32" i="478" s="1"/>
  <c r="L28" i="478"/>
  <c r="M28" i="478" s="1"/>
  <c r="N28" i="478" s="1"/>
  <c r="L20" i="478"/>
  <c r="M20" i="478" s="1"/>
  <c r="N20" i="478" s="1"/>
  <c r="L16" i="478"/>
  <c r="M16" i="478" s="1"/>
  <c r="N16" i="478" s="1"/>
  <c r="L12" i="478"/>
  <c r="M12" i="478" s="1"/>
  <c r="N12" i="478" s="1"/>
  <c r="L8" i="478"/>
  <c r="M8" i="478" s="1"/>
  <c r="N8" i="478" s="1"/>
  <c r="L4" i="478"/>
  <c r="M4" i="478" s="1"/>
  <c r="N4" i="478" s="1"/>
  <c r="L216" i="478"/>
  <c r="M216" i="478" s="1"/>
  <c r="N216" i="478" s="1"/>
  <c r="L235" i="477"/>
  <c r="M235" i="477" s="1"/>
  <c r="N235" i="477" s="1"/>
  <c r="L239" i="477"/>
  <c r="M239" i="477" s="1"/>
  <c r="N239" i="477" s="1"/>
  <c r="L237" i="477"/>
  <c r="M237" i="477" s="1"/>
  <c r="N237" i="477" s="1"/>
  <c r="L236" i="477"/>
  <c r="M236" i="477" s="1"/>
  <c r="N236" i="477" s="1"/>
  <c r="L238" i="477"/>
  <c r="M238" i="477" s="1"/>
  <c r="N238" i="477" s="1"/>
  <c r="L234" i="477"/>
  <c r="M234" i="477" s="1"/>
  <c r="N234" i="477" s="1"/>
  <c r="L244" i="477"/>
  <c r="M244" i="477" s="1"/>
  <c r="N244" i="477" s="1"/>
  <c r="L223" i="477"/>
  <c r="M223" i="477" s="1"/>
  <c r="N223" i="477" s="1"/>
  <c r="L227" i="477"/>
  <c r="M227" i="477" s="1"/>
  <c r="N227" i="477" s="1"/>
  <c r="L231" i="477"/>
  <c r="M231" i="477" s="1"/>
  <c r="N231" i="477" s="1"/>
  <c r="L247" i="477"/>
  <c r="M247" i="477" s="1"/>
  <c r="N247" i="477" s="1"/>
  <c r="L220" i="477"/>
  <c r="M220" i="477" s="1"/>
  <c r="N220" i="477" s="1"/>
  <c r="L216" i="477"/>
  <c r="M216" i="477" s="1"/>
  <c r="N216" i="477" s="1"/>
  <c r="L212" i="477"/>
  <c r="M212" i="477" s="1"/>
  <c r="N212" i="477" s="1"/>
  <c r="L208" i="477"/>
  <c r="M208" i="477" s="1"/>
  <c r="N208" i="477" s="1"/>
  <c r="L204" i="477"/>
  <c r="M204" i="477" s="1"/>
  <c r="N204" i="477" s="1"/>
  <c r="L200" i="477"/>
  <c r="M200" i="477" s="1"/>
  <c r="N200" i="477" s="1"/>
  <c r="L194" i="477"/>
  <c r="M194" i="477" s="1"/>
  <c r="N194" i="477" s="1"/>
  <c r="L186" i="477"/>
  <c r="M186" i="477" s="1"/>
  <c r="N186" i="477" s="1"/>
  <c r="L180" i="477"/>
  <c r="M180" i="477" s="1"/>
  <c r="N180" i="477" s="1"/>
  <c r="L176" i="477"/>
  <c r="M176" i="477" s="1"/>
  <c r="N176" i="477" s="1"/>
  <c r="L172" i="477"/>
  <c r="M172" i="477" s="1"/>
  <c r="N172" i="477" s="1"/>
  <c r="L168" i="477"/>
  <c r="M168" i="477" s="1"/>
  <c r="N168" i="477" s="1"/>
  <c r="L164" i="477"/>
  <c r="M164" i="477" s="1"/>
  <c r="N164" i="477" s="1"/>
  <c r="L160" i="477"/>
  <c r="M160" i="477" s="1"/>
  <c r="N160" i="477" s="1"/>
  <c r="L156" i="477"/>
  <c r="M156" i="477" s="1"/>
  <c r="N156" i="477" s="1"/>
  <c r="L152" i="477"/>
  <c r="M152" i="477" s="1"/>
  <c r="N152" i="477" s="1"/>
  <c r="L148" i="477"/>
  <c r="M148" i="477" s="1"/>
  <c r="N148" i="477" s="1"/>
  <c r="L144" i="477"/>
  <c r="M144" i="477" s="1"/>
  <c r="N144" i="477" s="1"/>
  <c r="L193" i="477"/>
  <c r="M193" i="477" s="1"/>
  <c r="N193" i="477" s="1"/>
  <c r="L185" i="477"/>
  <c r="M185" i="477" s="1"/>
  <c r="N185" i="477" s="1"/>
  <c r="L123" i="477"/>
  <c r="M123" i="477" s="1"/>
  <c r="N123" i="477" s="1"/>
  <c r="L115" i="477"/>
  <c r="M115" i="477" s="1"/>
  <c r="N115" i="477" s="1"/>
  <c r="L126" i="477"/>
  <c r="M126" i="477" s="1"/>
  <c r="N126" i="477" s="1"/>
  <c r="L118" i="477"/>
  <c r="M118" i="477" s="1"/>
  <c r="N118" i="477" s="1"/>
  <c r="L142" i="477"/>
  <c r="M142" i="477" s="1"/>
  <c r="N142" i="477" s="1"/>
  <c r="L138" i="477"/>
  <c r="M138" i="477" s="1"/>
  <c r="N138" i="477" s="1"/>
  <c r="L134" i="477"/>
  <c r="M134" i="477" s="1"/>
  <c r="N134" i="477" s="1"/>
  <c r="L130" i="477"/>
  <c r="M130" i="477" s="1"/>
  <c r="N130" i="477" s="1"/>
  <c r="L108" i="477"/>
  <c r="M108" i="477" s="1"/>
  <c r="N108" i="477" s="1"/>
  <c r="L104" i="477"/>
  <c r="M104" i="477" s="1"/>
  <c r="N104" i="477" s="1"/>
  <c r="L100" i="477"/>
  <c r="M100" i="477" s="1"/>
  <c r="N100" i="477" s="1"/>
  <c r="L96" i="477"/>
  <c r="M96" i="477" s="1"/>
  <c r="N96" i="477" s="1"/>
  <c r="L92" i="477"/>
  <c r="M92" i="477" s="1"/>
  <c r="N92" i="477" s="1"/>
  <c r="L88" i="477"/>
  <c r="M88" i="477" s="1"/>
  <c r="N88" i="477" s="1"/>
  <c r="L84" i="477"/>
  <c r="M84" i="477" s="1"/>
  <c r="N84" i="477" s="1"/>
  <c r="L80" i="477"/>
  <c r="M80" i="477" s="1"/>
  <c r="N80" i="477" s="1"/>
  <c r="L76" i="477"/>
  <c r="M76" i="477" s="1"/>
  <c r="N76" i="477" s="1"/>
  <c r="L72" i="477"/>
  <c r="M72" i="477" s="1"/>
  <c r="N72" i="477" s="1"/>
  <c r="L65" i="477"/>
  <c r="M65" i="477" s="1"/>
  <c r="N65" i="477" s="1"/>
  <c r="L57" i="477"/>
  <c r="M57" i="477" s="1"/>
  <c r="N57" i="477" s="1"/>
  <c r="L49" i="477"/>
  <c r="M49" i="477" s="1"/>
  <c r="N49" i="477" s="1"/>
  <c r="L38" i="477"/>
  <c r="M38" i="477" s="1"/>
  <c r="N38" i="477" s="1"/>
  <c r="L30" i="477"/>
  <c r="M30" i="477" s="1"/>
  <c r="N30" i="477" s="1"/>
  <c r="L22" i="477"/>
  <c r="M22" i="477" s="1"/>
  <c r="N22" i="477" s="1"/>
  <c r="L14" i="477"/>
  <c r="M14" i="477" s="1"/>
  <c r="N14" i="477" s="1"/>
  <c r="L64" i="477"/>
  <c r="M64" i="477" s="1"/>
  <c r="N64" i="477" s="1"/>
  <c r="L56" i="477"/>
  <c r="M56" i="477" s="1"/>
  <c r="N56" i="477" s="1"/>
  <c r="L43" i="477"/>
  <c r="M43" i="477" s="1"/>
  <c r="N43" i="477" s="1"/>
  <c r="L35" i="477"/>
  <c r="M35" i="477" s="1"/>
  <c r="N35" i="477" s="1"/>
  <c r="L27" i="477"/>
  <c r="M27" i="477" s="1"/>
  <c r="N27" i="477" s="1"/>
  <c r="L19" i="477"/>
  <c r="M19" i="477" s="1"/>
  <c r="N19" i="477" s="1"/>
  <c r="L11" i="477"/>
  <c r="M11" i="477" s="1"/>
  <c r="N11" i="477" s="1"/>
  <c r="L45" i="477"/>
  <c r="M45" i="477" s="1"/>
  <c r="N45" i="477" s="1"/>
  <c r="L8" i="477"/>
  <c r="M8" i="477" s="1"/>
  <c r="N8" i="477" s="1"/>
  <c r="L4" i="477"/>
  <c r="M4" i="477" s="1"/>
  <c r="N4" i="477" s="1"/>
  <c r="L243" i="477"/>
  <c r="M243" i="477" s="1"/>
  <c r="N243" i="477" s="1"/>
  <c r="L246" i="477"/>
  <c r="M246" i="477" s="1"/>
  <c r="N246" i="477" s="1"/>
  <c r="L224" i="477"/>
  <c r="M224" i="477" s="1"/>
  <c r="N224" i="477" s="1"/>
  <c r="L228" i="477"/>
  <c r="M228" i="477" s="1"/>
  <c r="N228" i="477" s="1"/>
  <c r="L232" i="477"/>
  <c r="M232" i="477" s="1"/>
  <c r="N232" i="477" s="1"/>
  <c r="L219" i="477"/>
  <c r="M219" i="477" s="1"/>
  <c r="N219" i="477" s="1"/>
  <c r="L215" i="477"/>
  <c r="M215" i="477" s="1"/>
  <c r="N215" i="477" s="1"/>
  <c r="L211" i="477"/>
  <c r="M211" i="477" s="1"/>
  <c r="N211" i="477" s="1"/>
  <c r="L207" i="477"/>
  <c r="M207" i="477" s="1"/>
  <c r="N207" i="477" s="1"/>
  <c r="L203" i="477"/>
  <c r="M203" i="477" s="1"/>
  <c r="N203" i="477" s="1"/>
  <c r="L199" i="477"/>
  <c r="M199" i="477" s="1"/>
  <c r="N199" i="477" s="1"/>
  <c r="L192" i="477"/>
  <c r="M192" i="477" s="1"/>
  <c r="N192" i="477" s="1"/>
  <c r="L184" i="477"/>
  <c r="M184" i="477" s="1"/>
  <c r="N184" i="477" s="1"/>
  <c r="L179" i="477"/>
  <c r="M179" i="477" s="1"/>
  <c r="N179" i="477" s="1"/>
  <c r="L175" i="477"/>
  <c r="M175" i="477" s="1"/>
  <c r="N175" i="477" s="1"/>
  <c r="L171" i="477"/>
  <c r="M171" i="477" s="1"/>
  <c r="N171" i="477" s="1"/>
  <c r="L167" i="477"/>
  <c r="M167" i="477" s="1"/>
  <c r="N167" i="477" s="1"/>
  <c r="L163" i="477"/>
  <c r="M163" i="477" s="1"/>
  <c r="N163" i="477" s="1"/>
  <c r="L159" i="477"/>
  <c r="M159" i="477" s="1"/>
  <c r="N159" i="477" s="1"/>
  <c r="L155" i="477"/>
  <c r="M155" i="477" s="1"/>
  <c r="N155" i="477" s="1"/>
  <c r="L151" i="477"/>
  <c r="M151" i="477" s="1"/>
  <c r="N151" i="477" s="1"/>
  <c r="L147" i="477"/>
  <c r="M147" i="477" s="1"/>
  <c r="N147" i="477" s="1"/>
  <c r="L143" i="477"/>
  <c r="M143" i="477" s="1"/>
  <c r="N143" i="477" s="1"/>
  <c r="L191" i="477"/>
  <c r="M191" i="477" s="1"/>
  <c r="N191" i="477" s="1"/>
  <c r="L183" i="477"/>
  <c r="M183" i="477" s="1"/>
  <c r="N183" i="477" s="1"/>
  <c r="L121" i="477"/>
  <c r="M121" i="477" s="1"/>
  <c r="N121" i="477" s="1"/>
  <c r="L113" i="477"/>
  <c r="M113" i="477" s="1"/>
  <c r="N113" i="477" s="1"/>
  <c r="L124" i="477"/>
  <c r="M124" i="477" s="1"/>
  <c r="N124" i="477" s="1"/>
  <c r="L116" i="477"/>
  <c r="M116" i="477" s="1"/>
  <c r="N116" i="477" s="1"/>
  <c r="L141" i="477"/>
  <c r="M141" i="477" s="1"/>
  <c r="N141" i="477" s="1"/>
  <c r="L137" i="477"/>
  <c r="M137" i="477" s="1"/>
  <c r="N137" i="477" s="1"/>
  <c r="L133" i="477"/>
  <c r="M133" i="477" s="1"/>
  <c r="N133" i="477" s="1"/>
  <c r="L129" i="477"/>
  <c r="M129" i="477" s="1"/>
  <c r="N129" i="477" s="1"/>
  <c r="L107" i="477"/>
  <c r="M107" i="477" s="1"/>
  <c r="N107" i="477" s="1"/>
  <c r="L103" i="477"/>
  <c r="M103" i="477" s="1"/>
  <c r="N103" i="477" s="1"/>
  <c r="L99" i="477"/>
  <c r="M99" i="477" s="1"/>
  <c r="N99" i="477" s="1"/>
  <c r="L95" i="477"/>
  <c r="M95" i="477" s="1"/>
  <c r="N95" i="477" s="1"/>
  <c r="L91" i="477"/>
  <c r="M91" i="477" s="1"/>
  <c r="N91" i="477" s="1"/>
  <c r="L87" i="477"/>
  <c r="M87" i="477" s="1"/>
  <c r="N87" i="477" s="1"/>
  <c r="L83" i="477"/>
  <c r="M83" i="477" s="1"/>
  <c r="N83" i="477" s="1"/>
  <c r="L79" i="477"/>
  <c r="M79" i="477" s="1"/>
  <c r="N79" i="477" s="1"/>
  <c r="L75" i="477"/>
  <c r="M75" i="477" s="1"/>
  <c r="N75" i="477" s="1"/>
  <c r="L71" i="477"/>
  <c r="M71" i="477" s="1"/>
  <c r="N71" i="477" s="1"/>
  <c r="L63" i="477"/>
  <c r="M63" i="477" s="1"/>
  <c r="N63" i="477" s="1"/>
  <c r="L55" i="477"/>
  <c r="M55" i="477" s="1"/>
  <c r="N55" i="477" s="1"/>
  <c r="L44" i="477"/>
  <c r="M44" i="477" s="1"/>
  <c r="N44" i="477" s="1"/>
  <c r="L36" i="477"/>
  <c r="M36" i="477" s="1"/>
  <c r="N36" i="477" s="1"/>
  <c r="L28" i="477"/>
  <c r="M28" i="477" s="1"/>
  <c r="N28" i="477" s="1"/>
  <c r="L20" i="477"/>
  <c r="M20" i="477" s="1"/>
  <c r="N20" i="477" s="1"/>
  <c r="L70" i="477"/>
  <c r="M70" i="477" s="1"/>
  <c r="N70" i="477" s="1"/>
  <c r="L62" i="477"/>
  <c r="M62" i="477" s="1"/>
  <c r="N62" i="477" s="1"/>
  <c r="L54" i="477"/>
  <c r="M54" i="477" s="1"/>
  <c r="N54" i="477" s="1"/>
  <c r="L41" i="477"/>
  <c r="M41" i="477" s="1"/>
  <c r="N41" i="477" s="1"/>
  <c r="L33" i="477"/>
  <c r="M33" i="477" s="1"/>
  <c r="N33" i="477" s="1"/>
  <c r="L25" i="477"/>
  <c r="M25" i="477" s="1"/>
  <c r="N25" i="477" s="1"/>
  <c r="L17" i="477"/>
  <c r="M17" i="477" s="1"/>
  <c r="N17" i="477" s="1"/>
  <c r="L48" i="477"/>
  <c r="M48" i="477" s="1"/>
  <c r="N48" i="477" s="1"/>
  <c r="L12" i="477"/>
  <c r="M12" i="477" s="1"/>
  <c r="N12" i="477" s="1"/>
  <c r="L7" i="477"/>
  <c r="M7" i="477" s="1"/>
  <c r="N7" i="477" s="1"/>
  <c r="L3" i="477"/>
  <c r="M3" i="477" s="1"/>
  <c r="N3" i="477" s="1"/>
  <c r="L245" i="477"/>
  <c r="M245" i="477" s="1"/>
  <c r="N245" i="477" s="1"/>
  <c r="L240" i="477"/>
  <c r="M240" i="477" s="1"/>
  <c r="N240" i="477" s="1"/>
  <c r="L225" i="477"/>
  <c r="M225" i="477" s="1"/>
  <c r="N225" i="477" s="1"/>
  <c r="L229" i="477"/>
  <c r="M229" i="477" s="1"/>
  <c r="N229" i="477" s="1"/>
  <c r="L233" i="477"/>
  <c r="M233" i="477" s="1"/>
  <c r="N233" i="477" s="1"/>
  <c r="L222" i="477"/>
  <c r="M222" i="477" s="1"/>
  <c r="N222" i="477" s="1"/>
  <c r="L218" i="477"/>
  <c r="M218" i="477" s="1"/>
  <c r="N218" i="477" s="1"/>
  <c r="L214" i="477"/>
  <c r="M214" i="477" s="1"/>
  <c r="N214" i="477" s="1"/>
  <c r="L210" i="477"/>
  <c r="M210" i="477" s="1"/>
  <c r="N210" i="477" s="1"/>
  <c r="L206" i="477"/>
  <c r="M206" i="477" s="1"/>
  <c r="N206" i="477" s="1"/>
  <c r="L202" i="477"/>
  <c r="M202" i="477" s="1"/>
  <c r="N202" i="477" s="1"/>
  <c r="L198" i="477"/>
  <c r="M198" i="477" s="1"/>
  <c r="N198" i="477" s="1"/>
  <c r="L190" i="477"/>
  <c r="M190" i="477" s="1"/>
  <c r="N190" i="477" s="1"/>
  <c r="L182" i="477"/>
  <c r="M182" i="477" s="1"/>
  <c r="N182" i="477" s="1"/>
  <c r="L178" i="477"/>
  <c r="M178" i="477" s="1"/>
  <c r="N178" i="477" s="1"/>
  <c r="L174" i="477"/>
  <c r="M174" i="477" s="1"/>
  <c r="N174" i="477" s="1"/>
  <c r="L170" i="477"/>
  <c r="M170" i="477" s="1"/>
  <c r="N170" i="477" s="1"/>
  <c r="L166" i="477"/>
  <c r="M166" i="477" s="1"/>
  <c r="N166" i="477" s="1"/>
  <c r="L162" i="477"/>
  <c r="M162" i="477" s="1"/>
  <c r="N162" i="477" s="1"/>
  <c r="L158" i="477"/>
  <c r="M158" i="477" s="1"/>
  <c r="N158" i="477" s="1"/>
  <c r="L154" i="477"/>
  <c r="M154" i="477" s="1"/>
  <c r="N154" i="477" s="1"/>
  <c r="L150" i="477"/>
  <c r="M150" i="477" s="1"/>
  <c r="N150" i="477" s="1"/>
  <c r="L146" i="477"/>
  <c r="M146" i="477" s="1"/>
  <c r="N146" i="477" s="1"/>
  <c r="L197" i="477"/>
  <c r="M197" i="477" s="1"/>
  <c r="N197" i="477" s="1"/>
  <c r="L189" i="477"/>
  <c r="M189" i="477" s="1"/>
  <c r="N189" i="477" s="1"/>
  <c r="L127" i="477"/>
  <c r="M127" i="477" s="1"/>
  <c r="N127" i="477" s="1"/>
  <c r="L119" i="477"/>
  <c r="M119" i="477" s="1"/>
  <c r="N119" i="477" s="1"/>
  <c r="L111" i="477"/>
  <c r="M111" i="477" s="1"/>
  <c r="N111" i="477" s="1"/>
  <c r="L122" i="477"/>
  <c r="M122" i="477" s="1"/>
  <c r="N122" i="477" s="1"/>
  <c r="L114" i="477"/>
  <c r="M114" i="477" s="1"/>
  <c r="N114" i="477" s="1"/>
  <c r="L140" i="477"/>
  <c r="M140" i="477" s="1"/>
  <c r="N140" i="477" s="1"/>
  <c r="L136" i="477"/>
  <c r="M136" i="477" s="1"/>
  <c r="N136" i="477" s="1"/>
  <c r="L132" i="477"/>
  <c r="M132" i="477" s="1"/>
  <c r="N132" i="477" s="1"/>
  <c r="L110" i="477"/>
  <c r="M110" i="477" s="1"/>
  <c r="N110" i="477" s="1"/>
  <c r="L106" i="477"/>
  <c r="M106" i="477" s="1"/>
  <c r="N106" i="477" s="1"/>
  <c r="L102" i="477"/>
  <c r="M102" i="477" s="1"/>
  <c r="N102" i="477" s="1"/>
  <c r="L98" i="477"/>
  <c r="M98" i="477" s="1"/>
  <c r="N98" i="477" s="1"/>
  <c r="L94" i="477"/>
  <c r="M94" i="477" s="1"/>
  <c r="N94" i="477" s="1"/>
  <c r="L90" i="477"/>
  <c r="M90" i="477" s="1"/>
  <c r="N90" i="477" s="1"/>
  <c r="L86" i="477"/>
  <c r="M86" i="477" s="1"/>
  <c r="N86" i="477" s="1"/>
  <c r="L82" i="477"/>
  <c r="M82" i="477" s="1"/>
  <c r="N82" i="477" s="1"/>
  <c r="L78" i="477"/>
  <c r="M78" i="477" s="1"/>
  <c r="N78" i="477" s="1"/>
  <c r="L74" i="477"/>
  <c r="M74" i="477" s="1"/>
  <c r="N74" i="477" s="1"/>
  <c r="L69" i="477"/>
  <c r="M69" i="477" s="1"/>
  <c r="N69" i="477" s="1"/>
  <c r="L61" i="477"/>
  <c r="M61" i="477" s="1"/>
  <c r="N61" i="477" s="1"/>
  <c r="L53" i="477"/>
  <c r="M53" i="477" s="1"/>
  <c r="N53" i="477" s="1"/>
  <c r="L42" i="477"/>
  <c r="M42" i="477" s="1"/>
  <c r="N42" i="477" s="1"/>
  <c r="L34" i="477"/>
  <c r="M34" i="477" s="1"/>
  <c r="N34" i="477" s="1"/>
  <c r="L26" i="477"/>
  <c r="M26" i="477" s="1"/>
  <c r="N26" i="477" s="1"/>
  <c r="L18" i="477"/>
  <c r="M18" i="477" s="1"/>
  <c r="N18" i="477" s="1"/>
  <c r="L68" i="477"/>
  <c r="M68" i="477" s="1"/>
  <c r="N68" i="477" s="1"/>
  <c r="L60" i="477"/>
  <c r="M60" i="477" s="1"/>
  <c r="N60" i="477" s="1"/>
  <c r="L52" i="477"/>
  <c r="M52" i="477" s="1"/>
  <c r="N52" i="477" s="1"/>
  <c r="L39" i="477"/>
  <c r="M39" i="477" s="1"/>
  <c r="N39" i="477" s="1"/>
  <c r="L31" i="477"/>
  <c r="M31" i="477" s="1"/>
  <c r="N31" i="477" s="1"/>
  <c r="L23" i="477"/>
  <c r="M23" i="477" s="1"/>
  <c r="N23" i="477" s="1"/>
  <c r="L15" i="477"/>
  <c r="M15" i="477" s="1"/>
  <c r="N15" i="477" s="1"/>
  <c r="L47" i="477"/>
  <c r="M47" i="477" s="1"/>
  <c r="N47" i="477" s="1"/>
  <c r="L10" i="477"/>
  <c r="M10" i="477" s="1"/>
  <c r="N10" i="477" s="1"/>
  <c r="L6" i="477"/>
  <c r="M6" i="477" s="1"/>
  <c r="N6" i="477" s="1"/>
  <c r="L2" i="477"/>
  <c r="L242" i="477"/>
  <c r="M242" i="477" s="1"/>
  <c r="N242" i="477" s="1"/>
  <c r="L226" i="477"/>
  <c r="M226" i="477" s="1"/>
  <c r="N226" i="477" s="1"/>
  <c r="L230" i="477"/>
  <c r="M230" i="477" s="1"/>
  <c r="N230" i="477" s="1"/>
  <c r="L221" i="477"/>
  <c r="M221" i="477" s="1"/>
  <c r="N221" i="477" s="1"/>
  <c r="L217" i="477"/>
  <c r="M217" i="477" s="1"/>
  <c r="N217" i="477" s="1"/>
  <c r="L213" i="477"/>
  <c r="M213" i="477" s="1"/>
  <c r="N213" i="477" s="1"/>
  <c r="L209" i="477"/>
  <c r="M209" i="477" s="1"/>
  <c r="N209" i="477" s="1"/>
  <c r="L205" i="477"/>
  <c r="M205" i="477" s="1"/>
  <c r="N205" i="477" s="1"/>
  <c r="L201" i="477"/>
  <c r="M201" i="477" s="1"/>
  <c r="N201" i="477" s="1"/>
  <c r="L196" i="477"/>
  <c r="M196" i="477" s="1"/>
  <c r="N196" i="477" s="1"/>
  <c r="L188" i="477"/>
  <c r="M188" i="477" s="1"/>
  <c r="N188" i="477" s="1"/>
  <c r="L181" i="477"/>
  <c r="M181" i="477" s="1"/>
  <c r="N181" i="477" s="1"/>
  <c r="L177" i="477"/>
  <c r="M177" i="477" s="1"/>
  <c r="N177" i="477" s="1"/>
  <c r="L173" i="477"/>
  <c r="M173" i="477" s="1"/>
  <c r="N173" i="477" s="1"/>
  <c r="L169" i="477"/>
  <c r="M169" i="477" s="1"/>
  <c r="N169" i="477" s="1"/>
  <c r="L165" i="477"/>
  <c r="M165" i="477" s="1"/>
  <c r="N165" i="477" s="1"/>
  <c r="L161" i="477"/>
  <c r="M161" i="477" s="1"/>
  <c r="N161" i="477" s="1"/>
  <c r="L157" i="477"/>
  <c r="M157" i="477" s="1"/>
  <c r="N157" i="477" s="1"/>
  <c r="L153" i="477"/>
  <c r="M153" i="477" s="1"/>
  <c r="N153" i="477" s="1"/>
  <c r="L149" i="477"/>
  <c r="M149" i="477" s="1"/>
  <c r="N149" i="477" s="1"/>
  <c r="L145" i="477"/>
  <c r="M145" i="477" s="1"/>
  <c r="N145" i="477" s="1"/>
  <c r="L195" i="477"/>
  <c r="M195" i="477" s="1"/>
  <c r="N195" i="477" s="1"/>
  <c r="L187" i="477"/>
  <c r="M187" i="477" s="1"/>
  <c r="N187" i="477" s="1"/>
  <c r="L125" i="477"/>
  <c r="M125" i="477" s="1"/>
  <c r="N125" i="477" s="1"/>
  <c r="L117" i="477"/>
  <c r="M117" i="477" s="1"/>
  <c r="N117" i="477" s="1"/>
  <c r="L128" i="477"/>
  <c r="M128" i="477" s="1"/>
  <c r="N128" i="477" s="1"/>
  <c r="L120" i="477"/>
  <c r="M120" i="477" s="1"/>
  <c r="N120" i="477" s="1"/>
  <c r="L112" i="477"/>
  <c r="M112" i="477" s="1"/>
  <c r="N112" i="477" s="1"/>
  <c r="L139" i="477"/>
  <c r="M139" i="477" s="1"/>
  <c r="N139" i="477" s="1"/>
  <c r="L135" i="477"/>
  <c r="M135" i="477" s="1"/>
  <c r="N135" i="477" s="1"/>
  <c r="L131" i="477"/>
  <c r="M131" i="477" s="1"/>
  <c r="N131" i="477" s="1"/>
  <c r="L109" i="477"/>
  <c r="M109" i="477" s="1"/>
  <c r="N109" i="477" s="1"/>
  <c r="L105" i="477"/>
  <c r="M105" i="477" s="1"/>
  <c r="N105" i="477" s="1"/>
  <c r="L101" i="477"/>
  <c r="M101" i="477" s="1"/>
  <c r="N101" i="477" s="1"/>
  <c r="L97" i="477"/>
  <c r="M97" i="477" s="1"/>
  <c r="N97" i="477" s="1"/>
  <c r="L93" i="477"/>
  <c r="M93" i="477" s="1"/>
  <c r="N93" i="477" s="1"/>
  <c r="L89" i="477"/>
  <c r="M89" i="477" s="1"/>
  <c r="N89" i="477" s="1"/>
  <c r="L85" i="477"/>
  <c r="M85" i="477" s="1"/>
  <c r="N85" i="477" s="1"/>
  <c r="L81" i="477"/>
  <c r="M81" i="477" s="1"/>
  <c r="N81" i="477" s="1"/>
  <c r="L77" i="477"/>
  <c r="M77" i="477" s="1"/>
  <c r="N77" i="477" s="1"/>
  <c r="L73" i="477"/>
  <c r="M73" i="477" s="1"/>
  <c r="N73" i="477" s="1"/>
  <c r="L67" i="477"/>
  <c r="M67" i="477" s="1"/>
  <c r="N67" i="477" s="1"/>
  <c r="L59" i="477"/>
  <c r="M59" i="477" s="1"/>
  <c r="N59" i="477" s="1"/>
  <c r="L51" i="477"/>
  <c r="M51" i="477" s="1"/>
  <c r="N51" i="477" s="1"/>
  <c r="L40" i="477"/>
  <c r="M40" i="477" s="1"/>
  <c r="N40" i="477" s="1"/>
  <c r="L32" i="477"/>
  <c r="M32" i="477" s="1"/>
  <c r="N32" i="477" s="1"/>
  <c r="L24" i="477"/>
  <c r="M24" i="477" s="1"/>
  <c r="N24" i="477" s="1"/>
  <c r="L16" i="477"/>
  <c r="M16" i="477" s="1"/>
  <c r="N16" i="477" s="1"/>
  <c r="L66" i="477"/>
  <c r="M66" i="477" s="1"/>
  <c r="N66" i="477" s="1"/>
  <c r="L58" i="477"/>
  <c r="M58" i="477" s="1"/>
  <c r="N58" i="477" s="1"/>
  <c r="L50" i="477"/>
  <c r="M50" i="477" s="1"/>
  <c r="N50" i="477" s="1"/>
  <c r="L37" i="477"/>
  <c r="M37" i="477" s="1"/>
  <c r="N37" i="477" s="1"/>
  <c r="L29" i="477"/>
  <c r="M29" i="477" s="1"/>
  <c r="N29" i="477" s="1"/>
  <c r="L21" i="477"/>
  <c r="M21" i="477" s="1"/>
  <c r="N21" i="477" s="1"/>
  <c r="L13" i="477"/>
  <c r="M13" i="477" s="1"/>
  <c r="N13" i="477" s="1"/>
  <c r="L46" i="477"/>
  <c r="M46" i="477" s="1"/>
  <c r="N46" i="477" s="1"/>
  <c r="L9" i="477"/>
  <c r="M9" i="477" s="1"/>
  <c r="N9" i="477" s="1"/>
  <c r="L5" i="477"/>
  <c r="M5" i="477" s="1"/>
  <c r="N5" i="477" s="1"/>
  <c r="L241" i="477"/>
  <c r="M241" i="477" s="1"/>
  <c r="N241" i="477" s="1"/>
  <c r="L160" i="476"/>
  <c r="M160" i="476" s="1"/>
  <c r="N160" i="476" s="1"/>
  <c r="L156" i="476"/>
  <c r="M156" i="476" s="1"/>
  <c r="N156" i="476" s="1"/>
  <c r="L226" i="476"/>
  <c r="M226" i="476" s="1"/>
  <c r="N226" i="476" s="1"/>
  <c r="L154" i="476"/>
  <c r="M154" i="476" s="1"/>
  <c r="N154" i="476" s="1"/>
  <c r="L162" i="476"/>
  <c r="M162" i="476" s="1"/>
  <c r="N162" i="476" s="1"/>
  <c r="L247" i="476"/>
  <c r="M247" i="476" s="1"/>
  <c r="N247" i="476" s="1"/>
  <c r="L155" i="476"/>
  <c r="M155" i="476" s="1"/>
  <c r="N155" i="476" s="1"/>
  <c r="L163" i="476"/>
  <c r="M163" i="476" s="1"/>
  <c r="N163" i="476" s="1"/>
  <c r="L164" i="476"/>
  <c r="M164" i="476" s="1"/>
  <c r="N164" i="476" s="1"/>
  <c r="L168" i="476"/>
  <c r="M168" i="476" s="1"/>
  <c r="N168" i="476" s="1"/>
  <c r="L172" i="476"/>
  <c r="M172" i="476" s="1"/>
  <c r="N172" i="476" s="1"/>
  <c r="L120" i="476"/>
  <c r="M120" i="476" s="1"/>
  <c r="N120" i="476" s="1"/>
  <c r="L116" i="476"/>
  <c r="M116" i="476" s="1"/>
  <c r="N116" i="476" s="1"/>
  <c r="L112" i="476"/>
  <c r="M112" i="476" s="1"/>
  <c r="N112" i="476" s="1"/>
  <c r="L108" i="476"/>
  <c r="M108" i="476" s="1"/>
  <c r="N108" i="476" s="1"/>
  <c r="L104" i="476"/>
  <c r="M104" i="476" s="1"/>
  <c r="N104" i="476" s="1"/>
  <c r="L100" i="476"/>
  <c r="M100" i="476" s="1"/>
  <c r="N100" i="476" s="1"/>
  <c r="L66" i="476"/>
  <c r="M66" i="476" s="1"/>
  <c r="N66" i="476" s="1"/>
  <c r="L26" i="476"/>
  <c r="M26" i="476" s="1"/>
  <c r="N26" i="476" s="1"/>
  <c r="L157" i="476"/>
  <c r="M157" i="476" s="1"/>
  <c r="N157" i="476" s="1"/>
  <c r="L158" i="476"/>
  <c r="M158" i="476" s="1"/>
  <c r="N158" i="476" s="1"/>
  <c r="L145" i="476"/>
  <c r="M145" i="476" s="1"/>
  <c r="N145" i="476" s="1"/>
  <c r="L133" i="476"/>
  <c r="M133" i="476" s="1"/>
  <c r="N133" i="476" s="1"/>
  <c r="L125" i="476"/>
  <c r="M125" i="476" s="1"/>
  <c r="N125" i="476" s="1"/>
  <c r="L99" i="476"/>
  <c r="M99" i="476" s="1"/>
  <c r="N99" i="476" s="1"/>
  <c r="L87" i="476"/>
  <c r="M87" i="476" s="1"/>
  <c r="N87" i="476" s="1"/>
  <c r="L75" i="476"/>
  <c r="M75" i="476" s="1"/>
  <c r="N75" i="476" s="1"/>
  <c r="L70" i="476"/>
  <c r="M70" i="476" s="1"/>
  <c r="N70" i="476" s="1"/>
  <c r="L52" i="476"/>
  <c r="M52" i="476" s="1"/>
  <c r="N52" i="476" s="1"/>
  <c r="L43" i="476"/>
  <c r="M43" i="476" s="1"/>
  <c r="N43" i="476" s="1"/>
  <c r="L34" i="476"/>
  <c r="M34" i="476" s="1"/>
  <c r="N34" i="476" s="1"/>
  <c r="L153" i="476"/>
  <c r="M153" i="476" s="1"/>
  <c r="N153" i="476" s="1"/>
  <c r="L161" i="476"/>
  <c r="M161" i="476" s="1"/>
  <c r="N161" i="476" s="1"/>
  <c r="L174" i="476"/>
  <c r="M174" i="476" s="1"/>
  <c r="N174" i="476" s="1"/>
  <c r="L176" i="476"/>
  <c r="M176" i="476" s="1"/>
  <c r="N176" i="476" s="1"/>
  <c r="L178" i="476"/>
  <c r="M178" i="476" s="1"/>
  <c r="N178" i="476" s="1"/>
  <c r="L180" i="476"/>
  <c r="M180" i="476" s="1"/>
  <c r="N180" i="476" s="1"/>
  <c r="L182" i="476"/>
  <c r="M182" i="476" s="1"/>
  <c r="N182" i="476" s="1"/>
  <c r="L184" i="476"/>
  <c r="M184" i="476" s="1"/>
  <c r="N184" i="476" s="1"/>
  <c r="L186" i="476"/>
  <c r="M186" i="476" s="1"/>
  <c r="N186" i="476" s="1"/>
  <c r="L188" i="476"/>
  <c r="M188" i="476" s="1"/>
  <c r="N188" i="476" s="1"/>
  <c r="L190" i="476"/>
  <c r="M190" i="476" s="1"/>
  <c r="N190" i="476" s="1"/>
  <c r="L192" i="476"/>
  <c r="M192" i="476" s="1"/>
  <c r="N192" i="476" s="1"/>
  <c r="L194" i="476"/>
  <c r="M194" i="476" s="1"/>
  <c r="N194" i="476" s="1"/>
  <c r="L196" i="476"/>
  <c r="M196" i="476" s="1"/>
  <c r="N196" i="476" s="1"/>
  <c r="L198" i="476"/>
  <c r="M198" i="476" s="1"/>
  <c r="N198" i="476" s="1"/>
  <c r="L200" i="476"/>
  <c r="M200" i="476" s="1"/>
  <c r="N200" i="476" s="1"/>
  <c r="L202" i="476"/>
  <c r="M202" i="476" s="1"/>
  <c r="N202" i="476" s="1"/>
  <c r="L204" i="476"/>
  <c r="M204" i="476" s="1"/>
  <c r="N204" i="476" s="1"/>
  <c r="L206" i="476"/>
  <c r="M206" i="476" s="1"/>
  <c r="N206" i="476" s="1"/>
  <c r="L208" i="476"/>
  <c r="M208" i="476" s="1"/>
  <c r="N208" i="476" s="1"/>
  <c r="L210" i="476"/>
  <c r="M210" i="476" s="1"/>
  <c r="N210" i="476" s="1"/>
  <c r="L212" i="476"/>
  <c r="M212" i="476" s="1"/>
  <c r="N212" i="476" s="1"/>
  <c r="L214" i="476"/>
  <c r="M214" i="476" s="1"/>
  <c r="N214" i="476" s="1"/>
  <c r="L216" i="476"/>
  <c r="M216" i="476" s="1"/>
  <c r="N216" i="476" s="1"/>
  <c r="L218" i="476"/>
  <c r="M218" i="476" s="1"/>
  <c r="N218" i="476" s="1"/>
  <c r="L220" i="476"/>
  <c r="M220" i="476" s="1"/>
  <c r="N220" i="476" s="1"/>
  <c r="L222" i="476"/>
  <c r="M222" i="476" s="1"/>
  <c r="N222" i="476" s="1"/>
  <c r="L224" i="476"/>
  <c r="M224" i="476" s="1"/>
  <c r="N224" i="476" s="1"/>
  <c r="L167" i="476"/>
  <c r="M167" i="476" s="1"/>
  <c r="N167" i="476" s="1"/>
  <c r="L171" i="476"/>
  <c r="M171" i="476" s="1"/>
  <c r="N171" i="476" s="1"/>
  <c r="L122" i="476"/>
  <c r="M122" i="476" s="1"/>
  <c r="N122" i="476" s="1"/>
  <c r="L150" i="476"/>
  <c r="M150" i="476" s="1"/>
  <c r="N150" i="476" s="1"/>
  <c r="L146" i="476"/>
  <c r="M146" i="476" s="1"/>
  <c r="N146" i="476" s="1"/>
  <c r="L142" i="476"/>
  <c r="M142" i="476" s="1"/>
  <c r="N142" i="476" s="1"/>
  <c r="L138" i="476"/>
  <c r="M138" i="476" s="1"/>
  <c r="N138" i="476" s="1"/>
  <c r="L134" i="476"/>
  <c r="M134" i="476" s="1"/>
  <c r="N134" i="476" s="1"/>
  <c r="L130" i="476"/>
  <c r="M130" i="476" s="1"/>
  <c r="N130" i="476" s="1"/>
  <c r="L126" i="476"/>
  <c r="M126" i="476" s="1"/>
  <c r="N126" i="476" s="1"/>
  <c r="L117" i="476"/>
  <c r="M117" i="476" s="1"/>
  <c r="N117" i="476" s="1"/>
  <c r="L113" i="476"/>
  <c r="M113" i="476" s="1"/>
  <c r="N113" i="476" s="1"/>
  <c r="L109" i="476"/>
  <c r="M109" i="476" s="1"/>
  <c r="N109" i="476" s="1"/>
  <c r="L105" i="476"/>
  <c r="M105" i="476" s="1"/>
  <c r="N105" i="476" s="1"/>
  <c r="L101" i="476"/>
  <c r="M101" i="476" s="1"/>
  <c r="N101" i="476" s="1"/>
  <c r="L121" i="476"/>
  <c r="M121" i="476" s="1"/>
  <c r="N121" i="476" s="1"/>
  <c r="L96" i="476"/>
  <c r="M96" i="476" s="1"/>
  <c r="N96" i="476" s="1"/>
  <c r="L92" i="476"/>
  <c r="M92" i="476" s="1"/>
  <c r="N92" i="476" s="1"/>
  <c r="L88" i="476"/>
  <c r="M88" i="476" s="1"/>
  <c r="N88" i="476" s="1"/>
  <c r="L84" i="476"/>
  <c r="M84" i="476" s="1"/>
  <c r="N84" i="476" s="1"/>
  <c r="L80" i="476"/>
  <c r="M80" i="476" s="1"/>
  <c r="N80" i="476" s="1"/>
  <c r="L76" i="476"/>
  <c r="M76" i="476" s="1"/>
  <c r="N76" i="476" s="1"/>
  <c r="L72" i="476"/>
  <c r="M72" i="476" s="1"/>
  <c r="N72" i="476" s="1"/>
  <c r="L44" i="476"/>
  <c r="M44" i="476" s="1"/>
  <c r="N44" i="476" s="1"/>
  <c r="L63" i="476"/>
  <c r="M63" i="476" s="1"/>
  <c r="N63" i="476" s="1"/>
  <c r="L61" i="476"/>
  <c r="M61" i="476" s="1"/>
  <c r="N61" i="476" s="1"/>
  <c r="L57" i="476"/>
  <c r="M57" i="476" s="1"/>
  <c r="N57" i="476" s="1"/>
  <c r="L53" i="476"/>
  <c r="M53" i="476" s="1"/>
  <c r="N53" i="476" s="1"/>
  <c r="L49" i="476"/>
  <c r="M49" i="476" s="1"/>
  <c r="N49" i="476" s="1"/>
  <c r="L45" i="476"/>
  <c r="M45" i="476" s="1"/>
  <c r="N45" i="476" s="1"/>
  <c r="L39" i="476"/>
  <c r="M39" i="476" s="1"/>
  <c r="N39" i="476" s="1"/>
  <c r="L35" i="476"/>
  <c r="M35" i="476" s="1"/>
  <c r="N35" i="476" s="1"/>
  <c r="L31" i="476"/>
  <c r="M31" i="476" s="1"/>
  <c r="N31" i="476" s="1"/>
  <c r="L27" i="476"/>
  <c r="M27" i="476" s="1"/>
  <c r="N27" i="476" s="1"/>
  <c r="L23" i="476"/>
  <c r="M23" i="476" s="1"/>
  <c r="N23" i="476" s="1"/>
  <c r="L19" i="476"/>
  <c r="M19" i="476" s="1"/>
  <c r="N19" i="476" s="1"/>
  <c r="L15" i="476"/>
  <c r="M15" i="476" s="1"/>
  <c r="N15" i="476" s="1"/>
  <c r="L11" i="476"/>
  <c r="M11" i="476" s="1"/>
  <c r="N11" i="476" s="1"/>
  <c r="L7" i="476"/>
  <c r="M7" i="476" s="1"/>
  <c r="N7" i="476" s="1"/>
  <c r="L3" i="476"/>
  <c r="M3" i="476" s="1"/>
  <c r="N3" i="476" s="1"/>
  <c r="L239" i="476"/>
  <c r="M239" i="476" s="1"/>
  <c r="N239" i="476" s="1"/>
  <c r="L244" i="476"/>
  <c r="M244" i="476" s="1"/>
  <c r="N244" i="476" s="1"/>
  <c r="L233" i="476"/>
  <c r="M233" i="476" s="1"/>
  <c r="N233" i="476" s="1"/>
  <c r="L236" i="476"/>
  <c r="M236" i="476" s="1"/>
  <c r="N236" i="476" s="1"/>
  <c r="L238" i="476"/>
  <c r="M238" i="476" s="1"/>
  <c r="N238" i="476" s="1"/>
  <c r="L22" i="476"/>
  <c r="M22" i="476" s="1"/>
  <c r="N22" i="476" s="1"/>
  <c r="L18" i="476"/>
  <c r="M18" i="476" s="1"/>
  <c r="N18" i="476" s="1"/>
  <c r="L14" i="476"/>
  <c r="M14" i="476" s="1"/>
  <c r="N14" i="476" s="1"/>
  <c r="L10" i="476"/>
  <c r="M10" i="476" s="1"/>
  <c r="N10" i="476" s="1"/>
  <c r="L6" i="476"/>
  <c r="M6" i="476" s="1"/>
  <c r="N6" i="476" s="1"/>
  <c r="L2" i="476"/>
  <c r="L241" i="476"/>
  <c r="M241" i="476" s="1"/>
  <c r="N241" i="476" s="1"/>
  <c r="L246" i="476"/>
  <c r="M246" i="476" s="1"/>
  <c r="N246" i="476" s="1"/>
  <c r="L231" i="476"/>
  <c r="M231" i="476" s="1"/>
  <c r="N231" i="476" s="1"/>
  <c r="L234" i="476"/>
  <c r="M234" i="476" s="1"/>
  <c r="N234" i="476" s="1"/>
  <c r="L228" i="476"/>
  <c r="M228" i="476" s="1"/>
  <c r="N228" i="476" s="1"/>
  <c r="L149" i="476"/>
  <c r="M149" i="476" s="1"/>
  <c r="N149" i="476" s="1"/>
  <c r="L137" i="476"/>
  <c r="M137" i="476" s="1"/>
  <c r="N137" i="476" s="1"/>
  <c r="L95" i="476"/>
  <c r="M95" i="476" s="1"/>
  <c r="N95" i="476" s="1"/>
  <c r="L83" i="476"/>
  <c r="M83" i="476" s="1"/>
  <c r="N83" i="476" s="1"/>
  <c r="L56" i="476"/>
  <c r="M56" i="476" s="1"/>
  <c r="N56" i="476" s="1"/>
  <c r="L48" i="476"/>
  <c r="M48" i="476" s="1"/>
  <c r="N48" i="476" s="1"/>
  <c r="L30" i="476"/>
  <c r="M30" i="476" s="1"/>
  <c r="N30" i="476" s="1"/>
  <c r="L175" i="476"/>
  <c r="M175" i="476" s="1"/>
  <c r="N175" i="476" s="1"/>
  <c r="L177" i="476"/>
  <c r="M177" i="476" s="1"/>
  <c r="N177" i="476" s="1"/>
  <c r="L179" i="476"/>
  <c r="M179" i="476" s="1"/>
  <c r="N179" i="476" s="1"/>
  <c r="L181" i="476"/>
  <c r="M181" i="476" s="1"/>
  <c r="N181" i="476" s="1"/>
  <c r="L183" i="476"/>
  <c r="M183" i="476" s="1"/>
  <c r="N183" i="476" s="1"/>
  <c r="L185" i="476"/>
  <c r="M185" i="476" s="1"/>
  <c r="N185" i="476" s="1"/>
  <c r="L187" i="476"/>
  <c r="M187" i="476" s="1"/>
  <c r="N187" i="476" s="1"/>
  <c r="L189" i="476"/>
  <c r="M189" i="476" s="1"/>
  <c r="N189" i="476" s="1"/>
  <c r="L191" i="476"/>
  <c r="M191" i="476" s="1"/>
  <c r="N191" i="476" s="1"/>
  <c r="L193" i="476"/>
  <c r="M193" i="476" s="1"/>
  <c r="N193" i="476" s="1"/>
  <c r="L195" i="476"/>
  <c r="M195" i="476" s="1"/>
  <c r="N195" i="476" s="1"/>
  <c r="L197" i="476"/>
  <c r="M197" i="476" s="1"/>
  <c r="N197" i="476" s="1"/>
  <c r="L199" i="476"/>
  <c r="M199" i="476" s="1"/>
  <c r="N199" i="476" s="1"/>
  <c r="L201" i="476"/>
  <c r="M201" i="476" s="1"/>
  <c r="N201" i="476" s="1"/>
  <c r="L203" i="476"/>
  <c r="M203" i="476" s="1"/>
  <c r="N203" i="476" s="1"/>
  <c r="L205" i="476"/>
  <c r="M205" i="476" s="1"/>
  <c r="N205" i="476" s="1"/>
  <c r="L207" i="476"/>
  <c r="M207" i="476" s="1"/>
  <c r="N207" i="476" s="1"/>
  <c r="L209" i="476"/>
  <c r="M209" i="476" s="1"/>
  <c r="N209" i="476" s="1"/>
  <c r="L211" i="476"/>
  <c r="M211" i="476" s="1"/>
  <c r="N211" i="476" s="1"/>
  <c r="L213" i="476"/>
  <c r="M213" i="476" s="1"/>
  <c r="N213" i="476" s="1"/>
  <c r="L215" i="476"/>
  <c r="M215" i="476" s="1"/>
  <c r="N215" i="476" s="1"/>
  <c r="L217" i="476"/>
  <c r="M217" i="476" s="1"/>
  <c r="N217" i="476" s="1"/>
  <c r="L219" i="476"/>
  <c r="M219" i="476" s="1"/>
  <c r="N219" i="476" s="1"/>
  <c r="L221" i="476"/>
  <c r="M221" i="476" s="1"/>
  <c r="N221" i="476" s="1"/>
  <c r="L223" i="476"/>
  <c r="M223" i="476" s="1"/>
  <c r="N223" i="476" s="1"/>
  <c r="L225" i="476"/>
  <c r="M225" i="476" s="1"/>
  <c r="N225" i="476" s="1"/>
  <c r="L165" i="476"/>
  <c r="M165" i="476" s="1"/>
  <c r="N165" i="476" s="1"/>
  <c r="L169" i="476"/>
  <c r="M169" i="476" s="1"/>
  <c r="N169" i="476" s="1"/>
  <c r="L173" i="476"/>
  <c r="M173" i="476" s="1"/>
  <c r="N173" i="476" s="1"/>
  <c r="L152" i="476"/>
  <c r="M152" i="476" s="1"/>
  <c r="N152" i="476" s="1"/>
  <c r="L148" i="476"/>
  <c r="M148" i="476" s="1"/>
  <c r="N148" i="476" s="1"/>
  <c r="L144" i="476"/>
  <c r="M144" i="476" s="1"/>
  <c r="N144" i="476" s="1"/>
  <c r="L140" i="476"/>
  <c r="M140" i="476" s="1"/>
  <c r="N140" i="476" s="1"/>
  <c r="L136" i="476"/>
  <c r="M136" i="476" s="1"/>
  <c r="N136" i="476" s="1"/>
  <c r="L132" i="476"/>
  <c r="M132" i="476" s="1"/>
  <c r="N132" i="476" s="1"/>
  <c r="L128" i="476"/>
  <c r="M128" i="476" s="1"/>
  <c r="N128" i="476" s="1"/>
  <c r="L119" i="476"/>
  <c r="M119" i="476" s="1"/>
  <c r="N119" i="476" s="1"/>
  <c r="L115" i="476"/>
  <c r="M115" i="476" s="1"/>
  <c r="N115" i="476" s="1"/>
  <c r="L111" i="476"/>
  <c r="M111" i="476" s="1"/>
  <c r="N111" i="476" s="1"/>
  <c r="L107" i="476"/>
  <c r="M107" i="476" s="1"/>
  <c r="N107" i="476" s="1"/>
  <c r="L103" i="476"/>
  <c r="M103" i="476" s="1"/>
  <c r="N103" i="476" s="1"/>
  <c r="L98" i="476"/>
  <c r="M98" i="476" s="1"/>
  <c r="N98" i="476" s="1"/>
  <c r="L97" i="476"/>
  <c r="M97" i="476" s="1"/>
  <c r="N97" i="476" s="1"/>
  <c r="L94" i="476"/>
  <c r="M94" i="476" s="1"/>
  <c r="N94" i="476" s="1"/>
  <c r="L90" i="476"/>
  <c r="M90" i="476" s="1"/>
  <c r="N90" i="476" s="1"/>
  <c r="L86" i="476"/>
  <c r="M86" i="476" s="1"/>
  <c r="N86" i="476" s="1"/>
  <c r="L82" i="476"/>
  <c r="M82" i="476" s="1"/>
  <c r="N82" i="476" s="1"/>
  <c r="L78" i="476"/>
  <c r="M78" i="476" s="1"/>
  <c r="N78" i="476" s="1"/>
  <c r="L74" i="476"/>
  <c r="M74" i="476" s="1"/>
  <c r="N74" i="476" s="1"/>
  <c r="L69" i="476"/>
  <c r="M69" i="476" s="1"/>
  <c r="N69" i="476" s="1"/>
  <c r="L65" i="476"/>
  <c r="M65" i="476" s="1"/>
  <c r="N65" i="476" s="1"/>
  <c r="L68" i="476"/>
  <c r="M68" i="476" s="1"/>
  <c r="N68" i="476" s="1"/>
  <c r="L59" i="476"/>
  <c r="M59" i="476" s="1"/>
  <c r="N59" i="476" s="1"/>
  <c r="L55" i="476"/>
  <c r="M55" i="476" s="1"/>
  <c r="N55" i="476" s="1"/>
  <c r="L51" i="476"/>
  <c r="M51" i="476" s="1"/>
  <c r="N51" i="476" s="1"/>
  <c r="L47" i="476"/>
  <c r="M47" i="476" s="1"/>
  <c r="N47" i="476" s="1"/>
  <c r="L41" i="476"/>
  <c r="M41" i="476" s="1"/>
  <c r="N41" i="476" s="1"/>
  <c r="L37" i="476"/>
  <c r="M37" i="476" s="1"/>
  <c r="N37" i="476" s="1"/>
  <c r="L33" i="476"/>
  <c r="M33" i="476" s="1"/>
  <c r="N33" i="476" s="1"/>
  <c r="L29" i="476"/>
  <c r="M29" i="476" s="1"/>
  <c r="N29" i="476" s="1"/>
  <c r="L25" i="476"/>
  <c r="M25" i="476" s="1"/>
  <c r="N25" i="476" s="1"/>
  <c r="L21" i="476"/>
  <c r="M21" i="476" s="1"/>
  <c r="N21" i="476" s="1"/>
  <c r="L17" i="476"/>
  <c r="M17" i="476" s="1"/>
  <c r="N17" i="476" s="1"/>
  <c r="L13" i="476"/>
  <c r="M13" i="476" s="1"/>
  <c r="N13" i="476" s="1"/>
  <c r="L9" i="476"/>
  <c r="M9" i="476" s="1"/>
  <c r="N9" i="476" s="1"/>
  <c r="L5" i="476"/>
  <c r="M5" i="476" s="1"/>
  <c r="N5" i="476" s="1"/>
  <c r="L243" i="476"/>
  <c r="M243" i="476" s="1"/>
  <c r="N243" i="476" s="1"/>
  <c r="L240" i="476"/>
  <c r="M240" i="476" s="1"/>
  <c r="N240" i="476" s="1"/>
  <c r="L237" i="476"/>
  <c r="M237" i="476" s="1"/>
  <c r="N237" i="476" s="1"/>
  <c r="L230" i="476"/>
  <c r="M230" i="476" s="1"/>
  <c r="N230" i="476" s="1"/>
  <c r="L232" i="476"/>
  <c r="M232" i="476" s="1"/>
  <c r="N232" i="476" s="1"/>
  <c r="L141" i="476"/>
  <c r="M141" i="476" s="1"/>
  <c r="N141" i="476" s="1"/>
  <c r="L129" i="476"/>
  <c r="M129" i="476" s="1"/>
  <c r="N129" i="476" s="1"/>
  <c r="L91" i="476"/>
  <c r="M91" i="476" s="1"/>
  <c r="N91" i="476" s="1"/>
  <c r="L79" i="476"/>
  <c r="M79" i="476" s="1"/>
  <c r="N79" i="476" s="1"/>
  <c r="L71" i="476"/>
  <c r="M71" i="476" s="1"/>
  <c r="N71" i="476" s="1"/>
  <c r="L60" i="476"/>
  <c r="M60" i="476" s="1"/>
  <c r="N60" i="476" s="1"/>
  <c r="L38" i="476"/>
  <c r="M38" i="476" s="1"/>
  <c r="N38" i="476" s="1"/>
  <c r="L159" i="476"/>
  <c r="M159" i="476" s="1"/>
  <c r="N159" i="476" s="1"/>
  <c r="L166" i="476"/>
  <c r="M166" i="476" s="1"/>
  <c r="N166" i="476" s="1"/>
  <c r="L170" i="476"/>
  <c r="M170" i="476" s="1"/>
  <c r="N170" i="476" s="1"/>
  <c r="L124" i="476"/>
  <c r="M124" i="476" s="1"/>
  <c r="N124" i="476" s="1"/>
  <c r="L151" i="476"/>
  <c r="M151" i="476" s="1"/>
  <c r="N151" i="476" s="1"/>
  <c r="L147" i="476"/>
  <c r="M147" i="476" s="1"/>
  <c r="N147" i="476" s="1"/>
  <c r="L143" i="476"/>
  <c r="M143" i="476" s="1"/>
  <c r="N143" i="476" s="1"/>
  <c r="L139" i="476"/>
  <c r="M139" i="476" s="1"/>
  <c r="N139" i="476" s="1"/>
  <c r="L135" i="476"/>
  <c r="M135" i="476" s="1"/>
  <c r="N135" i="476" s="1"/>
  <c r="L131" i="476"/>
  <c r="M131" i="476" s="1"/>
  <c r="N131" i="476" s="1"/>
  <c r="L127" i="476"/>
  <c r="M127" i="476" s="1"/>
  <c r="N127" i="476" s="1"/>
  <c r="L118" i="476"/>
  <c r="M118" i="476" s="1"/>
  <c r="N118" i="476" s="1"/>
  <c r="L114" i="476"/>
  <c r="M114" i="476" s="1"/>
  <c r="N114" i="476" s="1"/>
  <c r="L110" i="476"/>
  <c r="M110" i="476" s="1"/>
  <c r="N110" i="476" s="1"/>
  <c r="L106" i="476"/>
  <c r="M106" i="476" s="1"/>
  <c r="N106" i="476" s="1"/>
  <c r="L102" i="476"/>
  <c r="M102" i="476" s="1"/>
  <c r="N102" i="476" s="1"/>
  <c r="L123" i="476"/>
  <c r="M123" i="476" s="1"/>
  <c r="N123" i="476" s="1"/>
  <c r="L42" i="476"/>
  <c r="M42" i="476" s="1"/>
  <c r="N42" i="476" s="1"/>
  <c r="L93" i="476"/>
  <c r="M93" i="476" s="1"/>
  <c r="N93" i="476" s="1"/>
  <c r="L89" i="476"/>
  <c r="M89" i="476" s="1"/>
  <c r="N89" i="476" s="1"/>
  <c r="L85" i="476"/>
  <c r="M85" i="476" s="1"/>
  <c r="N85" i="476" s="1"/>
  <c r="L81" i="476"/>
  <c r="M81" i="476" s="1"/>
  <c r="N81" i="476" s="1"/>
  <c r="L77" i="476"/>
  <c r="M77" i="476" s="1"/>
  <c r="N77" i="476" s="1"/>
  <c r="L73" i="476"/>
  <c r="M73" i="476" s="1"/>
  <c r="N73" i="476" s="1"/>
  <c r="L67" i="476"/>
  <c r="M67" i="476" s="1"/>
  <c r="N67" i="476" s="1"/>
  <c r="L64" i="476"/>
  <c r="M64" i="476" s="1"/>
  <c r="N64" i="476" s="1"/>
  <c r="L62" i="476"/>
  <c r="M62" i="476" s="1"/>
  <c r="N62" i="476" s="1"/>
  <c r="L58" i="476"/>
  <c r="M58" i="476" s="1"/>
  <c r="N58" i="476" s="1"/>
  <c r="L54" i="476"/>
  <c r="M54" i="476" s="1"/>
  <c r="N54" i="476" s="1"/>
  <c r="L50" i="476"/>
  <c r="M50" i="476" s="1"/>
  <c r="N50" i="476" s="1"/>
  <c r="L46" i="476"/>
  <c r="M46" i="476" s="1"/>
  <c r="N46" i="476" s="1"/>
  <c r="L40" i="476"/>
  <c r="M40" i="476" s="1"/>
  <c r="N40" i="476" s="1"/>
  <c r="L36" i="476"/>
  <c r="M36" i="476" s="1"/>
  <c r="N36" i="476" s="1"/>
  <c r="L32" i="476"/>
  <c r="M32" i="476" s="1"/>
  <c r="N32" i="476" s="1"/>
  <c r="L28" i="476"/>
  <c r="M28" i="476" s="1"/>
  <c r="N28" i="476" s="1"/>
  <c r="L24" i="476"/>
  <c r="M24" i="476" s="1"/>
  <c r="N24" i="476" s="1"/>
  <c r="L20" i="476"/>
  <c r="M20" i="476" s="1"/>
  <c r="N20" i="476" s="1"/>
  <c r="L16" i="476"/>
  <c r="M16" i="476" s="1"/>
  <c r="N16" i="476" s="1"/>
  <c r="L12" i="476"/>
  <c r="M12" i="476" s="1"/>
  <c r="N12" i="476" s="1"/>
  <c r="L8" i="476"/>
  <c r="M8" i="476" s="1"/>
  <c r="N8" i="476" s="1"/>
  <c r="L4" i="476"/>
  <c r="M4" i="476" s="1"/>
  <c r="N4" i="476" s="1"/>
  <c r="L245" i="476"/>
  <c r="M245" i="476" s="1"/>
  <c r="N245" i="476" s="1"/>
  <c r="L242" i="476"/>
  <c r="M242" i="476" s="1"/>
  <c r="N242" i="476" s="1"/>
  <c r="L235" i="476"/>
  <c r="M235" i="476" s="1"/>
  <c r="N235" i="476" s="1"/>
  <c r="L227" i="476"/>
  <c r="M227" i="476" s="1"/>
  <c r="N227" i="476" s="1"/>
  <c r="L229" i="476"/>
  <c r="M229" i="476" s="1"/>
  <c r="N229" i="476" s="1"/>
  <c r="L223" i="475"/>
  <c r="M223" i="475" s="1"/>
  <c r="N223" i="475" s="1"/>
  <c r="L215" i="475"/>
  <c r="M215" i="475" s="1"/>
  <c r="N215" i="475" s="1"/>
  <c r="L217" i="475"/>
  <c r="M217" i="475" s="1"/>
  <c r="N217" i="475" s="1"/>
  <c r="L246" i="475"/>
  <c r="M246" i="475" s="1"/>
  <c r="N246" i="475" s="1"/>
  <c r="L225" i="475"/>
  <c r="M225" i="475" s="1"/>
  <c r="N225" i="475" s="1"/>
  <c r="L233" i="475"/>
  <c r="M233" i="475" s="1"/>
  <c r="N233" i="475" s="1"/>
  <c r="L212" i="475"/>
  <c r="M212" i="475" s="1"/>
  <c r="N212" i="475" s="1"/>
  <c r="L211" i="475"/>
  <c r="M211" i="475" s="1"/>
  <c r="N211" i="475" s="1"/>
  <c r="L219" i="475"/>
  <c r="M219" i="475" s="1"/>
  <c r="N219" i="475" s="1"/>
  <c r="L231" i="475"/>
  <c r="M231" i="475" s="1"/>
  <c r="N231" i="475" s="1"/>
  <c r="L235" i="475"/>
  <c r="M235" i="475" s="1"/>
  <c r="N235" i="475" s="1"/>
  <c r="L239" i="475"/>
  <c r="M239" i="475" s="1"/>
  <c r="N239" i="475" s="1"/>
  <c r="L243" i="475"/>
  <c r="M243" i="475" s="1"/>
  <c r="N243" i="475" s="1"/>
  <c r="L209" i="475"/>
  <c r="M209" i="475" s="1"/>
  <c r="N209" i="475" s="1"/>
  <c r="L205" i="475"/>
  <c r="M205" i="475" s="1"/>
  <c r="N205" i="475" s="1"/>
  <c r="L201" i="475"/>
  <c r="M201" i="475" s="1"/>
  <c r="N201" i="475" s="1"/>
  <c r="L197" i="475"/>
  <c r="M197" i="475" s="1"/>
  <c r="N197" i="475" s="1"/>
  <c r="L193" i="475"/>
  <c r="M193" i="475" s="1"/>
  <c r="N193" i="475" s="1"/>
  <c r="L189" i="475"/>
  <c r="M189" i="475" s="1"/>
  <c r="N189" i="475" s="1"/>
  <c r="L185" i="475"/>
  <c r="M185" i="475" s="1"/>
  <c r="N185" i="475" s="1"/>
  <c r="L181" i="475"/>
  <c r="M181" i="475" s="1"/>
  <c r="N181" i="475" s="1"/>
  <c r="L177" i="475"/>
  <c r="M177" i="475" s="1"/>
  <c r="N177" i="475" s="1"/>
  <c r="L173" i="475"/>
  <c r="M173" i="475" s="1"/>
  <c r="N173" i="475" s="1"/>
  <c r="L169" i="475"/>
  <c r="M169" i="475" s="1"/>
  <c r="N169" i="475" s="1"/>
  <c r="L164" i="475"/>
  <c r="M164" i="475" s="1"/>
  <c r="N164" i="475" s="1"/>
  <c r="L156" i="475"/>
  <c r="M156" i="475" s="1"/>
  <c r="N156" i="475" s="1"/>
  <c r="L148" i="475"/>
  <c r="M148" i="475" s="1"/>
  <c r="N148" i="475" s="1"/>
  <c r="L161" i="475"/>
  <c r="M161" i="475" s="1"/>
  <c r="N161" i="475" s="1"/>
  <c r="L153" i="475"/>
  <c r="M153" i="475" s="1"/>
  <c r="N153" i="475" s="1"/>
  <c r="L145" i="475"/>
  <c r="M145" i="475" s="1"/>
  <c r="N145" i="475" s="1"/>
  <c r="L142" i="475"/>
  <c r="M142" i="475" s="1"/>
  <c r="N142" i="475" s="1"/>
  <c r="L138" i="475"/>
  <c r="M138" i="475" s="1"/>
  <c r="N138" i="475" s="1"/>
  <c r="L134" i="475"/>
  <c r="M134" i="475" s="1"/>
  <c r="N134" i="475" s="1"/>
  <c r="L130" i="475"/>
  <c r="M130" i="475" s="1"/>
  <c r="N130" i="475" s="1"/>
  <c r="L126" i="475"/>
  <c r="M126" i="475" s="1"/>
  <c r="N126" i="475" s="1"/>
  <c r="L122" i="475"/>
  <c r="M122" i="475" s="1"/>
  <c r="N122" i="475" s="1"/>
  <c r="L118" i="475"/>
  <c r="M118" i="475" s="1"/>
  <c r="N118" i="475" s="1"/>
  <c r="L114" i="475"/>
  <c r="M114" i="475" s="1"/>
  <c r="N114" i="475" s="1"/>
  <c r="L110" i="475"/>
  <c r="M110" i="475" s="1"/>
  <c r="N110" i="475" s="1"/>
  <c r="L105" i="475"/>
  <c r="M105" i="475" s="1"/>
  <c r="N105" i="475" s="1"/>
  <c r="L99" i="475"/>
  <c r="M99" i="475" s="1"/>
  <c r="N99" i="475" s="1"/>
  <c r="L102" i="475"/>
  <c r="M102" i="475" s="1"/>
  <c r="N102" i="475" s="1"/>
  <c r="L94" i="475"/>
  <c r="M94" i="475" s="1"/>
  <c r="N94" i="475" s="1"/>
  <c r="L89" i="475"/>
  <c r="M89" i="475" s="1"/>
  <c r="N89" i="475" s="1"/>
  <c r="L85" i="475"/>
  <c r="M85" i="475" s="1"/>
  <c r="N85" i="475" s="1"/>
  <c r="L80" i="475"/>
  <c r="M80" i="475" s="1"/>
  <c r="N80" i="475" s="1"/>
  <c r="L72" i="475"/>
  <c r="M72" i="475" s="1"/>
  <c r="N72" i="475" s="1"/>
  <c r="L77" i="475"/>
  <c r="M77" i="475" s="1"/>
  <c r="N77" i="475" s="1"/>
  <c r="L69" i="475"/>
  <c r="M69" i="475" s="1"/>
  <c r="N69" i="475" s="1"/>
  <c r="L65" i="475"/>
  <c r="M65" i="475" s="1"/>
  <c r="N65" i="475" s="1"/>
  <c r="L61" i="475"/>
  <c r="M61" i="475" s="1"/>
  <c r="N61" i="475" s="1"/>
  <c r="L57" i="475"/>
  <c r="M57" i="475" s="1"/>
  <c r="N57" i="475" s="1"/>
  <c r="L53" i="475"/>
  <c r="M53" i="475" s="1"/>
  <c r="N53" i="475" s="1"/>
  <c r="L49" i="475"/>
  <c r="M49" i="475" s="1"/>
  <c r="N49" i="475" s="1"/>
  <c r="L45" i="475"/>
  <c r="M45" i="475" s="1"/>
  <c r="N45" i="475" s="1"/>
  <c r="L42" i="475"/>
  <c r="M42" i="475" s="1"/>
  <c r="N42" i="475" s="1"/>
  <c r="L38" i="475"/>
  <c r="M38" i="475" s="1"/>
  <c r="N38" i="475" s="1"/>
  <c r="L34" i="475"/>
  <c r="M34" i="475" s="1"/>
  <c r="N34" i="475" s="1"/>
  <c r="L30" i="475"/>
  <c r="M30" i="475" s="1"/>
  <c r="N30" i="475" s="1"/>
  <c r="L26" i="475"/>
  <c r="M26" i="475" s="1"/>
  <c r="N26" i="475" s="1"/>
  <c r="L22" i="475"/>
  <c r="M22" i="475" s="1"/>
  <c r="N22" i="475" s="1"/>
  <c r="L18" i="475"/>
  <c r="M18" i="475" s="1"/>
  <c r="N18" i="475" s="1"/>
  <c r="L14" i="475"/>
  <c r="M14" i="475" s="1"/>
  <c r="N14" i="475" s="1"/>
  <c r="L9" i="475"/>
  <c r="M9" i="475" s="1"/>
  <c r="N9" i="475" s="1"/>
  <c r="L5" i="475"/>
  <c r="M5" i="475" s="1"/>
  <c r="N5" i="475" s="1"/>
  <c r="L229" i="475"/>
  <c r="M229" i="475" s="1"/>
  <c r="N229" i="475" s="1"/>
  <c r="L216" i="475"/>
  <c r="M216" i="475" s="1"/>
  <c r="N216" i="475" s="1"/>
  <c r="L224" i="475"/>
  <c r="M224" i="475" s="1"/>
  <c r="N224" i="475" s="1"/>
  <c r="L232" i="475"/>
  <c r="M232" i="475" s="1"/>
  <c r="N232" i="475" s="1"/>
  <c r="L213" i="475"/>
  <c r="M213" i="475" s="1"/>
  <c r="N213" i="475" s="1"/>
  <c r="L221" i="475"/>
  <c r="M221" i="475" s="1"/>
  <c r="N221" i="475" s="1"/>
  <c r="L236" i="475"/>
  <c r="M236" i="475" s="1"/>
  <c r="N236" i="475" s="1"/>
  <c r="L240" i="475"/>
  <c r="M240" i="475" s="1"/>
  <c r="N240" i="475" s="1"/>
  <c r="L208" i="475"/>
  <c r="M208" i="475" s="1"/>
  <c r="N208" i="475" s="1"/>
  <c r="L204" i="475"/>
  <c r="M204" i="475" s="1"/>
  <c r="N204" i="475" s="1"/>
  <c r="L200" i="475"/>
  <c r="M200" i="475" s="1"/>
  <c r="N200" i="475" s="1"/>
  <c r="L196" i="475"/>
  <c r="M196" i="475" s="1"/>
  <c r="N196" i="475" s="1"/>
  <c r="L192" i="475"/>
  <c r="M192" i="475" s="1"/>
  <c r="N192" i="475" s="1"/>
  <c r="L188" i="475"/>
  <c r="M188" i="475" s="1"/>
  <c r="N188" i="475" s="1"/>
  <c r="L184" i="475"/>
  <c r="M184" i="475" s="1"/>
  <c r="N184" i="475" s="1"/>
  <c r="L180" i="475"/>
  <c r="M180" i="475" s="1"/>
  <c r="N180" i="475" s="1"/>
  <c r="L176" i="475"/>
  <c r="M176" i="475" s="1"/>
  <c r="N176" i="475" s="1"/>
  <c r="L172" i="475"/>
  <c r="M172" i="475" s="1"/>
  <c r="N172" i="475" s="1"/>
  <c r="L168" i="475"/>
  <c r="M168" i="475" s="1"/>
  <c r="N168" i="475" s="1"/>
  <c r="L162" i="475"/>
  <c r="M162" i="475" s="1"/>
  <c r="N162" i="475" s="1"/>
  <c r="L154" i="475"/>
  <c r="M154" i="475" s="1"/>
  <c r="N154" i="475" s="1"/>
  <c r="L146" i="475"/>
  <c r="M146" i="475" s="1"/>
  <c r="N146" i="475" s="1"/>
  <c r="L159" i="475"/>
  <c r="M159" i="475" s="1"/>
  <c r="N159" i="475" s="1"/>
  <c r="L151" i="475"/>
  <c r="M151" i="475" s="1"/>
  <c r="N151" i="475" s="1"/>
  <c r="L106" i="475"/>
  <c r="M106" i="475" s="1"/>
  <c r="N106" i="475" s="1"/>
  <c r="L141" i="475"/>
  <c r="M141" i="475" s="1"/>
  <c r="N141" i="475" s="1"/>
  <c r="L137" i="475"/>
  <c r="M137" i="475" s="1"/>
  <c r="N137" i="475" s="1"/>
  <c r="L133" i="475"/>
  <c r="M133" i="475" s="1"/>
  <c r="N133" i="475" s="1"/>
  <c r="L129" i="475"/>
  <c r="M129" i="475" s="1"/>
  <c r="N129" i="475" s="1"/>
  <c r="L125" i="475"/>
  <c r="M125" i="475" s="1"/>
  <c r="N125" i="475" s="1"/>
  <c r="L121" i="475"/>
  <c r="M121" i="475" s="1"/>
  <c r="N121" i="475" s="1"/>
  <c r="L117" i="475"/>
  <c r="M117" i="475" s="1"/>
  <c r="N117" i="475" s="1"/>
  <c r="L113" i="475"/>
  <c r="M113" i="475" s="1"/>
  <c r="N113" i="475" s="1"/>
  <c r="L109" i="475"/>
  <c r="M109" i="475" s="1"/>
  <c r="N109" i="475" s="1"/>
  <c r="L104" i="475"/>
  <c r="M104" i="475" s="1"/>
  <c r="N104" i="475" s="1"/>
  <c r="L97" i="475"/>
  <c r="M97" i="475" s="1"/>
  <c r="N97" i="475" s="1"/>
  <c r="L100" i="475"/>
  <c r="M100" i="475" s="1"/>
  <c r="N100" i="475" s="1"/>
  <c r="L92" i="475"/>
  <c r="M92" i="475" s="1"/>
  <c r="N92" i="475" s="1"/>
  <c r="L88" i="475"/>
  <c r="M88" i="475" s="1"/>
  <c r="N88" i="475" s="1"/>
  <c r="L84" i="475"/>
  <c r="M84" i="475" s="1"/>
  <c r="N84" i="475" s="1"/>
  <c r="L78" i="475"/>
  <c r="M78" i="475" s="1"/>
  <c r="N78" i="475" s="1"/>
  <c r="L70" i="475"/>
  <c r="M70" i="475" s="1"/>
  <c r="N70" i="475" s="1"/>
  <c r="L75" i="475"/>
  <c r="M75" i="475" s="1"/>
  <c r="N75" i="475" s="1"/>
  <c r="L68" i="475"/>
  <c r="M68" i="475" s="1"/>
  <c r="N68" i="475" s="1"/>
  <c r="L64" i="475"/>
  <c r="M64" i="475" s="1"/>
  <c r="N64" i="475" s="1"/>
  <c r="L60" i="475"/>
  <c r="M60" i="475" s="1"/>
  <c r="N60" i="475" s="1"/>
  <c r="L56" i="475"/>
  <c r="M56" i="475" s="1"/>
  <c r="N56" i="475" s="1"/>
  <c r="L52" i="475"/>
  <c r="M52" i="475" s="1"/>
  <c r="N52" i="475" s="1"/>
  <c r="L48" i="475"/>
  <c r="M48" i="475" s="1"/>
  <c r="N48" i="475" s="1"/>
  <c r="L10" i="475"/>
  <c r="M10" i="475" s="1"/>
  <c r="N10" i="475" s="1"/>
  <c r="L41" i="475"/>
  <c r="M41" i="475" s="1"/>
  <c r="N41" i="475" s="1"/>
  <c r="L37" i="475"/>
  <c r="M37" i="475" s="1"/>
  <c r="N37" i="475" s="1"/>
  <c r="L33" i="475"/>
  <c r="M33" i="475" s="1"/>
  <c r="N33" i="475" s="1"/>
  <c r="L29" i="475"/>
  <c r="M29" i="475" s="1"/>
  <c r="N29" i="475" s="1"/>
  <c r="L25" i="475"/>
  <c r="M25" i="475" s="1"/>
  <c r="N25" i="475" s="1"/>
  <c r="L21" i="475"/>
  <c r="M21" i="475" s="1"/>
  <c r="N21" i="475" s="1"/>
  <c r="L17" i="475"/>
  <c r="M17" i="475" s="1"/>
  <c r="N17" i="475" s="1"/>
  <c r="L13" i="475"/>
  <c r="M13" i="475" s="1"/>
  <c r="N13" i="475" s="1"/>
  <c r="L8" i="475"/>
  <c r="M8" i="475" s="1"/>
  <c r="N8" i="475" s="1"/>
  <c r="L4" i="475"/>
  <c r="M4" i="475" s="1"/>
  <c r="N4" i="475" s="1"/>
  <c r="L245" i="475"/>
  <c r="M245" i="475" s="1"/>
  <c r="N245" i="475" s="1"/>
  <c r="L218" i="475"/>
  <c r="M218" i="475" s="1"/>
  <c r="N218" i="475" s="1"/>
  <c r="L226" i="475"/>
  <c r="M226" i="475" s="1"/>
  <c r="N226" i="475" s="1"/>
  <c r="L234" i="475"/>
  <c r="M234" i="475" s="1"/>
  <c r="N234" i="475" s="1"/>
  <c r="L237" i="475"/>
  <c r="M237" i="475" s="1"/>
  <c r="N237" i="475" s="1"/>
  <c r="L241" i="475"/>
  <c r="M241" i="475" s="1"/>
  <c r="N241" i="475" s="1"/>
  <c r="L207" i="475"/>
  <c r="M207" i="475" s="1"/>
  <c r="N207" i="475" s="1"/>
  <c r="L203" i="475"/>
  <c r="M203" i="475" s="1"/>
  <c r="N203" i="475" s="1"/>
  <c r="L199" i="475"/>
  <c r="M199" i="475" s="1"/>
  <c r="N199" i="475" s="1"/>
  <c r="L195" i="475"/>
  <c r="M195" i="475" s="1"/>
  <c r="N195" i="475" s="1"/>
  <c r="L191" i="475"/>
  <c r="M191" i="475" s="1"/>
  <c r="N191" i="475" s="1"/>
  <c r="L187" i="475"/>
  <c r="M187" i="475" s="1"/>
  <c r="N187" i="475" s="1"/>
  <c r="L183" i="475"/>
  <c r="M183" i="475" s="1"/>
  <c r="N183" i="475" s="1"/>
  <c r="L179" i="475"/>
  <c r="M179" i="475" s="1"/>
  <c r="N179" i="475" s="1"/>
  <c r="L175" i="475"/>
  <c r="M175" i="475" s="1"/>
  <c r="N175" i="475" s="1"/>
  <c r="L171" i="475"/>
  <c r="M171" i="475" s="1"/>
  <c r="N171" i="475" s="1"/>
  <c r="L167" i="475"/>
  <c r="M167" i="475" s="1"/>
  <c r="N167" i="475" s="1"/>
  <c r="L160" i="475"/>
  <c r="M160" i="475" s="1"/>
  <c r="N160" i="475" s="1"/>
  <c r="L152" i="475"/>
  <c r="M152" i="475" s="1"/>
  <c r="N152" i="475" s="1"/>
  <c r="L165" i="475"/>
  <c r="M165" i="475" s="1"/>
  <c r="N165" i="475" s="1"/>
  <c r="L157" i="475"/>
  <c r="M157" i="475" s="1"/>
  <c r="N157" i="475" s="1"/>
  <c r="L149" i="475"/>
  <c r="M149" i="475" s="1"/>
  <c r="N149" i="475" s="1"/>
  <c r="L144" i="475"/>
  <c r="M144" i="475" s="1"/>
  <c r="N144" i="475" s="1"/>
  <c r="L140" i="475"/>
  <c r="M140" i="475" s="1"/>
  <c r="N140" i="475" s="1"/>
  <c r="L136" i="475"/>
  <c r="M136" i="475" s="1"/>
  <c r="N136" i="475" s="1"/>
  <c r="L132" i="475"/>
  <c r="M132" i="475" s="1"/>
  <c r="N132" i="475" s="1"/>
  <c r="L128" i="475"/>
  <c r="M128" i="475" s="1"/>
  <c r="N128" i="475" s="1"/>
  <c r="L124" i="475"/>
  <c r="M124" i="475" s="1"/>
  <c r="N124" i="475" s="1"/>
  <c r="L120" i="475"/>
  <c r="M120" i="475" s="1"/>
  <c r="N120" i="475" s="1"/>
  <c r="L116" i="475"/>
  <c r="M116" i="475" s="1"/>
  <c r="N116" i="475" s="1"/>
  <c r="L112" i="475"/>
  <c r="M112" i="475" s="1"/>
  <c r="N112" i="475" s="1"/>
  <c r="L108" i="475"/>
  <c r="M108" i="475" s="1"/>
  <c r="N108" i="475" s="1"/>
  <c r="L103" i="475"/>
  <c r="M103" i="475" s="1"/>
  <c r="N103" i="475" s="1"/>
  <c r="L95" i="475"/>
  <c r="M95" i="475" s="1"/>
  <c r="N95" i="475" s="1"/>
  <c r="L98" i="475"/>
  <c r="M98" i="475" s="1"/>
  <c r="N98" i="475" s="1"/>
  <c r="L91" i="475"/>
  <c r="M91" i="475" s="1"/>
  <c r="N91" i="475" s="1"/>
  <c r="L87" i="475"/>
  <c r="M87" i="475" s="1"/>
  <c r="N87" i="475" s="1"/>
  <c r="L83" i="475"/>
  <c r="M83" i="475" s="1"/>
  <c r="N83" i="475" s="1"/>
  <c r="L76" i="475"/>
  <c r="M76" i="475" s="1"/>
  <c r="N76" i="475" s="1"/>
  <c r="L81" i="475"/>
  <c r="M81" i="475" s="1"/>
  <c r="N81" i="475" s="1"/>
  <c r="L73" i="475"/>
  <c r="M73" i="475" s="1"/>
  <c r="N73" i="475" s="1"/>
  <c r="L67" i="475"/>
  <c r="M67" i="475" s="1"/>
  <c r="N67" i="475" s="1"/>
  <c r="L63" i="475"/>
  <c r="M63" i="475" s="1"/>
  <c r="N63" i="475" s="1"/>
  <c r="L59" i="475"/>
  <c r="M59" i="475" s="1"/>
  <c r="N59" i="475" s="1"/>
  <c r="L55" i="475"/>
  <c r="M55" i="475" s="1"/>
  <c r="N55" i="475" s="1"/>
  <c r="L51" i="475"/>
  <c r="M51" i="475" s="1"/>
  <c r="N51" i="475" s="1"/>
  <c r="L47" i="475"/>
  <c r="M47" i="475" s="1"/>
  <c r="N47" i="475" s="1"/>
  <c r="L44" i="475"/>
  <c r="M44" i="475" s="1"/>
  <c r="N44" i="475" s="1"/>
  <c r="L40" i="475"/>
  <c r="M40" i="475" s="1"/>
  <c r="N40" i="475" s="1"/>
  <c r="L36" i="475"/>
  <c r="M36" i="475" s="1"/>
  <c r="N36" i="475" s="1"/>
  <c r="L32" i="475"/>
  <c r="M32" i="475" s="1"/>
  <c r="N32" i="475" s="1"/>
  <c r="L28" i="475"/>
  <c r="M28" i="475" s="1"/>
  <c r="N28" i="475" s="1"/>
  <c r="L24" i="475"/>
  <c r="M24" i="475" s="1"/>
  <c r="N24" i="475" s="1"/>
  <c r="L20" i="475"/>
  <c r="M20" i="475" s="1"/>
  <c r="N20" i="475" s="1"/>
  <c r="L16" i="475"/>
  <c r="M16" i="475" s="1"/>
  <c r="N16" i="475" s="1"/>
  <c r="L12" i="475"/>
  <c r="M12" i="475" s="1"/>
  <c r="N12" i="475" s="1"/>
  <c r="L7" i="475"/>
  <c r="M7" i="475" s="1"/>
  <c r="N7" i="475" s="1"/>
  <c r="L3" i="475"/>
  <c r="M3" i="475" s="1"/>
  <c r="N3" i="475" s="1"/>
  <c r="L220" i="475"/>
  <c r="M220" i="475" s="1"/>
  <c r="N220" i="475" s="1"/>
  <c r="L228" i="475"/>
  <c r="M228" i="475" s="1"/>
  <c r="N228" i="475" s="1"/>
  <c r="L244" i="475"/>
  <c r="M244" i="475" s="1"/>
  <c r="N244" i="475" s="1"/>
  <c r="L247" i="475"/>
  <c r="M247" i="475" s="1"/>
  <c r="N247" i="475" s="1"/>
  <c r="L238" i="475"/>
  <c r="M238" i="475" s="1"/>
  <c r="N238" i="475" s="1"/>
  <c r="L242" i="475"/>
  <c r="M242" i="475" s="1"/>
  <c r="N242" i="475" s="1"/>
  <c r="L210" i="475"/>
  <c r="M210" i="475" s="1"/>
  <c r="N210" i="475" s="1"/>
  <c r="L206" i="475"/>
  <c r="M206" i="475" s="1"/>
  <c r="N206" i="475" s="1"/>
  <c r="L202" i="475"/>
  <c r="M202" i="475" s="1"/>
  <c r="N202" i="475" s="1"/>
  <c r="L198" i="475"/>
  <c r="M198" i="475" s="1"/>
  <c r="N198" i="475" s="1"/>
  <c r="L194" i="475"/>
  <c r="M194" i="475" s="1"/>
  <c r="N194" i="475" s="1"/>
  <c r="L190" i="475"/>
  <c r="M190" i="475" s="1"/>
  <c r="N190" i="475" s="1"/>
  <c r="L186" i="475"/>
  <c r="M186" i="475" s="1"/>
  <c r="N186" i="475" s="1"/>
  <c r="L182" i="475"/>
  <c r="M182" i="475" s="1"/>
  <c r="N182" i="475" s="1"/>
  <c r="L178" i="475"/>
  <c r="M178" i="475" s="1"/>
  <c r="N178" i="475" s="1"/>
  <c r="L174" i="475"/>
  <c r="M174" i="475" s="1"/>
  <c r="N174" i="475" s="1"/>
  <c r="L170" i="475"/>
  <c r="M170" i="475" s="1"/>
  <c r="N170" i="475" s="1"/>
  <c r="L166" i="475"/>
  <c r="M166" i="475" s="1"/>
  <c r="N166" i="475" s="1"/>
  <c r="L158" i="475"/>
  <c r="M158" i="475" s="1"/>
  <c r="N158" i="475" s="1"/>
  <c r="L150" i="475"/>
  <c r="M150" i="475" s="1"/>
  <c r="N150" i="475" s="1"/>
  <c r="L163" i="475"/>
  <c r="M163" i="475" s="1"/>
  <c r="N163" i="475" s="1"/>
  <c r="L155" i="475"/>
  <c r="M155" i="475" s="1"/>
  <c r="N155" i="475" s="1"/>
  <c r="L147" i="475"/>
  <c r="M147" i="475" s="1"/>
  <c r="N147" i="475" s="1"/>
  <c r="L143" i="475"/>
  <c r="M143" i="475" s="1"/>
  <c r="N143" i="475" s="1"/>
  <c r="L139" i="475"/>
  <c r="M139" i="475" s="1"/>
  <c r="N139" i="475" s="1"/>
  <c r="L135" i="475"/>
  <c r="M135" i="475" s="1"/>
  <c r="N135" i="475" s="1"/>
  <c r="L131" i="475"/>
  <c r="M131" i="475" s="1"/>
  <c r="N131" i="475" s="1"/>
  <c r="L127" i="475"/>
  <c r="M127" i="475" s="1"/>
  <c r="N127" i="475" s="1"/>
  <c r="L123" i="475"/>
  <c r="M123" i="475" s="1"/>
  <c r="N123" i="475" s="1"/>
  <c r="L119" i="475"/>
  <c r="M119" i="475" s="1"/>
  <c r="N119" i="475" s="1"/>
  <c r="L115" i="475"/>
  <c r="M115" i="475" s="1"/>
  <c r="N115" i="475" s="1"/>
  <c r="L111" i="475"/>
  <c r="M111" i="475" s="1"/>
  <c r="N111" i="475" s="1"/>
  <c r="L107" i="475"/>
  <c r="M107" i="475" s="1"/>
  <c r="N107" i="475" s="1"/>
  <c r="L101" i="475"/>
  <c r="M101" i="475" s="1"/>
  <c r="N101" i="475" s="1"/>
  <c r="L93" i="475"/>
  <c r="M93" i="475" s="1"/>
  <c r="N93" i="475" s="1"/>
  <c r="L96" i="475"/>
  <c r="M96" i="475" s="1"/>
  <c r="N96" i="475" s="1"/>
  <c r="L90" i="475"/>
  <c r="M90" i="475" s="1"/>
  <c r="N90" i="475" s="1"/>
  <c r="L86" i="475"/>
  <c r="M86" i="475" s="1"/>
  <c r="N86" i="475" s="1"/>
  <c r="L82" i="475"/>
  <c r="M82" i="475" s="1"/>
  <c r="N82" i="475" s="1"/>
  <c r="L74" i="475"/>
  <c r="M74" i="475" s="1"/>
  <c r="N74" i="475" s="1"/>
  <c r="L79" i="475"/>
  <c r="M79" i="475" s="1"/>
  <c r="N79" i="475" s="1"/>
  <c r="L71" i="475"/>
  <c r="M71" i="475" s="1"/>
  <c r="N71" i="475" s="1"/>
  <c r="L66" i="475"/>
  <c r="M66" i="475" s="1"/>
  <c r="N66" i="475" s="1"/>
  <c r="L62" i="475"/>
  <c r="M62" i="475" s="1"/>
  <c r="N62" i="475" s="1"/>
  <c r="L58" i="475"/>
  <c r="M58" i="475" s="1"/>
  <c r="N58" i="475" s="1"/>
  <c r="L54" i="475"/>
  <c r="M54" i="475" s="1"/>
  <c r="N54" i="475" s="1"/>
  <c r="L50" i="475"/>
  <c r="M50" i="475" s="1"/>
  <c r="N50" i="475" s="1"/>
  <c r="L46" i="475"/>
  <c r="M46" i="475" s="1"/>
  <c r="N46" i="475" s="1"/>
  <c r="L43" i="475"/>
  <c r="M43" i="475" s="1"/>
  <c r="N43" i="475" s="1"/>
  <c r="L39" i="475"/>
  <c r="M39" i="475" s="1"/>
  <c r="N39" i="475" s="1"/>
  <c r="L35" i="475"/>
  <c r="M35" i="475" s="1"/>
  <c r="N35" i="475" s="1"/>
  <c r="L31" i="475"/>
  <c r="M31" i="475" s="1"/>
  <c r="N31" i="475" s="1"/>
  <c r="L27" i="475"/>
  <c r="M27" i="475" s="1"/>
  <c r="N27" i="475" s="1"/>
  <c r="L23" i="475"/>
  <c r="M23" i="475" s="1"/>
  <c r="N23" i="475" s="1"/>
  <c r="L19" i="475"/>
  <c r="M19" i="475" s="1"/>
  <c r="N19" i="475" s="1"/>
  <c r="L15" i="475"/>
  <c r="M15" i="475" s="1"/>
  <c r="N15" i="475" s="1"/>
  <c r="L11" i="475"/>
  <c r="M11" i="475" s="1"/>
  <c r="N11" i="475" s="1"/>
  <c r="L6" i="475"/>
  <c r="M6" i="475" s="1"/>
  <c r="N6" i="475" s="1"/>
  <c r="L2" i="475"/>
  <c r="L214" i="475"/>
  <c r="M214" i="475" s="1"/>
  <c r="N214" i="475" s="1"/>
  <c r="L222" i="475"/>
  <c r="M222" i="475" s="1"/>
  <c r="N222" i="475" s="1"/>
  <c r="L230" i="475"/>
  <c r="M230" i="475" s="1"/>
  <c r="N230" i="475" s="1"/>
  <c r="L227" i="475"/>
  <c r="M227" i="475" s="1"/>
  <c r="N227" i="475" s="1"/>
  <c r="L226" i="474"/>
  <c r="M226" i="474" s="1"/>
  <c r="N226" i="474" s="1"/>
  <c r="L239" i="474"/>
  <c r="M239" i="474" s="1"/>
  <c r="N239" i="474" s="1"/>
  <c r="L243" i="474"/>
  <c r="M243" i="474" s="1"/>
  <c r="N243" i="474" s="1"/>
  <c r="L224" i="474"/>
  <c r="M224" i="474" s="1"/>
  <c r="N224" i="474" s="1"/>
  <c r="L225" i="474"/>
  <c r="M225" i="474" s="1"/>
  <c r="N225" i="474" s="1"/>
  <c r="L241" i="474"/>
  <c r="M241" i="474" s="1"/>
  <c r="N241" i="474" s="1"/>
  <c r="L245" i="474"/>
  <c r="M245" i="474" s="1"/>
  <c r="N245" i="474" s="1"/>
  <c r="L228" i="474"/>
  <c r="M228" i="474" s="1"/>
  <c r="N228" i="474" s="1"/>
  <c r="L223" i="474"/>
  <c r="M223" i="474" s="1"/>
  <c r="N223" i="474" s="1"/>
  <c r="L219" i="474"/>
  <c r="M219" i="474" s="1"/>
  <c r="N219" i="474" s="1"/>
  <c r="L215" i="474"/>
  <c r="M215" i="474" s="1"/>
  <c r="N215" i="474" s="1"/>
  <c r="L211" i="474"/>
  <c r="M211" i="474" s="1"/>
  <c r="N211" i="474" s="1"/>
  <c r="L207" i="474"/>
  <c r="M207" i="474" s="1"/>
  <c r="N207" i="474" s="1"/>
  <c r="L203" i="474"/>
  <c r="M203" i="474" s="1"/>
  <c r="N203" i="474" s="1"/>
  <c r="L199" i="474"/>
  <c r="M199" i="474" s="1"/>
  <c r="N199" i="474" s="1"/>
  <c r="L195" i="474"/>
  <c r="M195" i="474" s="1"/>
  <c r="N195" i="474" s="1"/>
  <c r="L190" i="474"/>
  <c r="M190" i="474" s="1"/>
  <c r="N190" i="474" s="1"/>
  <c r="L186" i="474"/>
  <c r="M186" i="474" s="1"/>
  <c r="N186" i="474" s="1"/>
  <c r="L182" i="474"/>
  <c r="M182" i="474" s="1"/>
  <c r="N182" i="474" s="1"/>
  <c r="L178" i="474"/>
  <c r="M178" i="474" s="1"/>
  <c r="N178" i="474" s="1"/>
  <c r="L174" i="474"/>
  <c r="M174" i="474" s="1"/>
  <c r="N174" i="474" s="1"/>
  <c r="L170" i="474"/>
  <c r="M170" i="474" s="1"/>
  <c r="N170" i="474" s="1"/>
  <c r="L166" i="474"/>
  <c r="M166" i="474" s="1"/>
  <c r="N166" i="474" s="1"/>
  <c r="L162" i="474"/>
  <c r="M162" i="474" s="1"/>
  <c r="N162" i="474" s="1"/>
  <c r="L155" i="474"/>
  <c r="M155" i="474" s="1"/>
  <c r="N155" i="474" s="1"/>
  <c r="L160" i="474"/>
  <c r="M160" i="474" s="1"/>
  <c r="N160" i="474" s="1"/>
  <c r="L152" i="474"/>
  <c r="M152" i="474" s="1"/>
  <c r="N152" i="474" s="1"/>
  <c r="L123" i="474"/>
  <c r="M123" i="474" s="1"/>
  <c r="N123" i="474" s="1"/>
  <c r="L115" i="474"/>
  <c r="M115" i="474" s="1"/>
  <c r="N115" i="474" s="1"/>
  <c r="L107" i="474"/>
  <c r="M107" i="474" s="1"/>
  <c r="N107" i="474" s="1"/>
  <c r="L122" i="474"/>
  <c r="M122" i="474" s="1"/>
  <c r="N122" i="474" s="1"/>
  <c r="L114" i="474"/>
  <c r="M114" i="474" s="1"/>
  <c r="N114" i="474" s="1"/>
  <c r="L106" i="474"/>
  <c r="M106" i="474" s="1"/>
  <c r="N106" i="474" s="1"/>
  <c r="L147" i="474"/>
  <c r="M147" i="474" s="1"/>
  <c r="N147" i="474" s="1"/>
  <c r="L143" i="474"/>
  <c r="M143" i="474" s="1"/>
  <c r="N143" i="474" s="1"/>
  <c r="L139" i="474"/>
  <c r="M139" i="474" s="1"/>
  <c r="N139" i="474" s="1"/>
  <c r="L135" i="474"/>
  <c r="M135" i="474" s="1"/>
  <c r="N135" i="474" s="1"/>
  <c r="L131" i="474"/>
  <c r="M131" i="474" s="1"/>
  <c r="N131" i="474" s="1"/>
  <c r="L104" i="474"/>
  <c r="M104" i="474" s="1"/>
  <c r="N104" i="474" s="1"/>
  <c r="L81" i="474"/>
  <c r="M81" i="474" s="1"/>
  <c r="N81" i="474" s="1"/>
  <c r="L96" i="474"/>
  <c r="M96" i="474" s="1"/>
  <c r="N96" i="474" s="1"/>
  <c r="L92" i="474"/>
  <c r="M92" i="474" s="1"/>
  <c r="N92" i="474" s="1"/>
  <c r="L88" i="474"/>
  <c r="M88" i="474" s="1"/>
  <c r="N88" i="474" s="1"/>
  <c r="L84" i="474"/>
  <c r="M84" i="474" s="1"/>
  <c r="N84" i="474" s="1"/>
  <c r="L46" i="474"/>
  <c r="M46" i="474" s="1"/>
  <c r="N46" i="474" s="1"/>
  <c r="L76" i="474"/>
  <c r="M76" i="474" s="1"/>
  <c r="N76" i="474" s="1"/>
  <c r="L72" i="474"/>
  <c r="M72" i="474" s="1"/>
  <c r="N72" i="474" s="1"/>
  <c r="L68" i="474"/>
  <c r="M68" i="474" s="1"/>
  <c r="N68" i="474" s="1"/>
  <c r="L64" i="474"/>
  <c r="M64" i="474" s="1"/>
  <c r="N64" i="474" s="1"/>
  <c r="L60" i="474"/>
  <c r="M60" i="474" s="1"/>
  <c r="N60" i="474" s="1"/>
  <c r="L56" i="474"/>
  <c r="M56" i="474" s="1"/>
  <c r="N56" i="474" s="1"/>
  <c r="L52" i="474"/>
  <c r="M52" i="474" s="1"/>
  <c r="N52" i="474" s="1"/>
  <c r="L48" i="474"/>
  <c r="M48" i="474" s="1"/>
  <c r="N48" i="474" s="1"/>
  <c r="L29" i="474"/>
  <c r="M29" i="474" s="1"/>
  <c r="N29" i="474" s="1"/>
  <c r="L44" i="474"/>
  <c r="M44" i="474" s="1"/>
  <c r="N44" i="474" s="1"/>
  <c r="L40" i="474"/>
  <c r="M40" i="474" s="1"/>
  <c r="N40" i="474" s="1"/>
  <c r="L36" i="474"/>
  <c r="M36" i="474" s="1"/>
  <c r="N36" i="474" s="1"/>
  <c r="L30" i="474"/>
  <c r="M30" i="474" s="1"/>
  <c r="N30" i="474" s="1"/>
  <c r="L23" i="474"/>
  <c r="M23" i="474" s="1"/>
  <c r="N23" i="474" s="1"/>
  <c r="L19" i="474"/>
  <c r="M19" i="474" s="1"/>
  <c r="N19" i="474" s="1"/>
  <c r="L15" i="474"/>
  <c r="M15" i="474" s="1"/>
  <c r="N15" i="474" s="1"/>
  <c r="L11" i="474"/>
  <c r="M11" i="474" s="1"/>
  <c r="N11" i="474" s="1"/>
  <c r="L7" i="474"/>
  <c r="M7" i="474" s="1"/>
  <c r="N7" i="474" s="1"/>
  <c r="L3" i="474"/>
  <c r="M3" i="474" s="1"/>
  <c r="N3" i="474" s="1"/>
  <c r="L230" i="474"/>
  <c r="M230" i="474" s="1"/>
  <c r="N230" i="474" s="1"/>
  <c r="L234" i="474"/>
  <c r="M234" i="474" s="1"/>
  <c r="N234" i="474" s="1"/>
  <c r="L238" i="474"/>
  <c r="M238" i="474" s="1"/>
  <c r="N238" i="474" s="1"/>
  <c r="L242" i="474"/>
  <c r="M242" i="474" s="1"/>
  <c r="N242" i="474" s="1"/>
  <c r="L246" i="474"/>
  <c r="M246" i="474" s="1"/>
  <c r="N246" i="474" s="1"/>
  <c r="L229" i="474"/>
  <c r="M229" i="474" s="1"/>
  <c r="N229" i="474" s="1"/>
  <c r="L233" i="474"/>
  <c r="M233" i="474" s="1"/>
  <c r="N233" i="474" s="1"/>
  <c r="L237" i="474"/>
  <c r="M237" i="474" s="1"/>
  <c r="N237" i="474" s="1"/>
  <c r="L222" i="474"/>
  <c r="M222" i="474" s="1"/>
  <c r="N222" i="474" s="1"/>
  <c r="L218" i="474"/>
  <c r="M218" i="474" s="1"/>
  <c r="N218" i="474" s="1"/>
  <c r="L214" i="474"/>
  <c r="M214" i="474" s="1"/>
  <c r="N214" i="474" s="1"/>
  <c r="L210" i="474"/>
  <c r="M210" i="474" s="1"/>
  <c r="N210" i="474" s="1"/>
  <c r="L206" i="474"/>
  <c r="M206" i="474" s="1"/>
  <c r="N206" i="474" s="1"/>
  <c r="L202" i="474"/>
  <c r="M202" i="474" s="1"/>
  <c r="N202" i="474" s="1"/>
  <c r="L198" i="474"/>
  <c r="M198" i="474" s="1"/>
  <c r="N198" i="474" s="1"/>
  <c r="L194" i="474"/>
  <c r="M194" i="474" s="1"/>
  <c r="N194" i="474" s="1"/>
  <c r="L189" i="474"/>
  <c r="M189" i="474" s="1"/>
  <c r="N189" i="474" s="1"/>
  <c r="L185" i="474"/>
  <c r="M185" i="474" s="1"/>
  <c r="N185" i="474" s="1"/>
  <c r="L181" i="474"/>
  <c r="M181" i="474" s="1"/>
  <c r="N181" i="474" s="1"/>
  <c r="L177" i="474"/>
  <c r="M177" i="474" s="1"/>
  <c r="N177" i="474" s="1"/>
  <c r="L173" i="474"/>
  <c r="M173" i="474" s="1"/>
  <c r="N173" i="474" s="1"/>
  <c r="L169" i="474"/>
  <c r="M169" i="474" s="1"/>
  <c r="N169" i="474" s="1"/>
  <c r="L165" i="474"/>
  <c r="M165" i="474" s="1"/>
  <c r="N165" i="474" s="1"/>
  <c r="L161" i="474"/>
  <c r="M161" i="474" s="1"/>
  <c r="N161" i="474" s="1"/>
  <c r="L153" i="474"/>
  <c r="M153" i="474" s="1"/>
  <c r="N153" i="474" s="1"/>
  <c r="L158" i="474"/>
  <c r="M158" i="474" s="1"/>
  <c r="N158" i="474" s="1"/>
  <c r="L150" i="474"/>
  <c r="M150" i="474" s="1"/>
  <c r="N150" i="474" s="1"/>
  <c r="L121" i="474"/>
  <c r="M121" i="474" s="1"/>
  <c r="N121" i="474" s="1"/>
  <c r="L113" i="474"/>
  <c r="M113" i="474" s="1"/>
  <c r="N113" i="474" s="1"/>
  <c r="L128" i="474"/>
  <c r="M128" i="474" s="1"/>
  <c r="N128" i="474" s="1"/>
  <c r="L120" i="474"/>
  <c r="M120" i="474" s="1"/>
  <c r="N120" i="474" s="1"/>
  <c r="L112" i="474"/>
  <c r="M112" i="474" s="1"/>
  <c r="N112" i="474" s="1"/>
  <c r="L100" i="474"/>
  <c r="M100" i="474" s="1"/>
  <c r="N100" i="474" s="1"/>
  <c r="L146" i="474"/>
  <c r="M146" i="474" s="1"/>
  <c r="N146" i="474" s="1"/>
  <c r="L142" i="474"/>
  <c r="M142" i="474" s="1"/>
  <c r="N142" i="474" s="1"/>
  <c r="L138" i="474"/>
  <c r="M138" i="474" s="1"/>
  <c r="N138" i="474" s="1"/>
  <c r="L134" i="474"/>
  <c r="M134" i="474" s="1"/>
  <c r="N134" i="474" s="1"/>
  <c r="L130" i="474"/>
  <c r="M130" i="474" s="1"/>
  <c r="N130" i="474" s="1"/>
  <c r="L103" i="474"/>
  <c r="M103" i="474" s="1"/>
  <c r="N103" i="474" s="1"/>
  <c r="L99" i="474"/>
  <c r="M99" i="474" s="1"/>
  <c r="N99" i="474" s="1"/>
  <c r="L95" i="474"/>
  <c r="M95" i="474" s="1"/>
  <c r="N95" i="474" s="1"/>
  <c r="L91" i="474"/>
  <c r="M91" i="474" s="1"/>
  <c r="N91" i="474" s="1"/>
  <c r="L87" i="474"/>
  <c r="M87" i="474" s="1"/>
  <c r="N87" i="474" s="1"/>
  <c r="L83" i="474"/>
  <c r="M83" i="474" s="1"/>
  <c r="N83" i="474" s="1"/>
  <c r="L79" i="474"/>
  <c r="M79" i="474" s="1"/>
  <c r="N79" i="474" s="1"/>
  <c r="L75" i="474"/>
  <c r="M75" i="474" s="1"/>
  <c r="N75" i="474" s="1"/>
  <c r="L71" i="474"/>
  <c r="M71" i="474" s="1"/>
  <c r="N71" i="474" s="1"/>
  <c r="L67" i="474"/>
  <c r="M67" i="474" s="1"/>
  <c r="N67" i="474" s="1"/>
  <c r="L63" i="474"/>
  <c r="M63" i="474" s="1"/>
  <c r="N63" i="474" s="1"/>
  <c r="L59" i="474"/>
  <c r="M59" i="474" s="1"/>
  <c r="N59" i="474" s="1"/>
  <c r="L55" i="474"/>
  <c r="M55" i="474" s="1"/>
  <c r="N55" i="474" s="1"/>
  <c r="L51" i="474"/>
  <c r="M51" i="474" s="1"/>
  <c r="N51" i="474" s="1"/>
  <c r="L47" i="474"/>
  <c r="M47" i="474" s="1"/>
  <c r="N47" i="474" s="1"/>
  <c r="L27" i="474"/>
  <c r="M27" i="474" s="1"/>
  <c r="N27" i="474" s="1"/>
  <c r="L43" i="474"/>
  <c r="M43" i="474" s="1"/>
  <c r="N43" i="474" s="1"/>
  <c r="L39" i="474"/>
  <c r="M39" i="474" s="1"/>
  <c r="N39" i="474" s="1"/>
  <c r="L35" i="474"/>
  <c r="M35" i="474" s="1"/>
  <c r="N35" i="474" s="1"/>
  <c r="L28" i="474"/>
  <c r="M28" i="474" s="1"/>
  <c r="N28" i="474" s="1"/>
  <c r="L22" i="474"/>
  <c r="M22" i="474" s="1"/>
  <c r="N22" i="474" s="1"/>
  <c r="L18" i="474"/>
  <c r="M18" i="474" s="1"/>
  <c r="N18" i="474" s="1"/>
  <c r="L14" i="474"/>
  <c r="M14" i="474" s="1"/>
  <c r="N14" i="474" s="1"/>
  <c r="L10" i="474"/>
  <c r="M10" i="474" s="1"/>
  <c r="N10" i="474" s="1"/>
  <c r="L6" i="474"/>
  <c r="M6" i="474" s="1"/>
  <c r="N6" i="474" s="1"/>
  <c r="L2" i="474"/>
  <c r="L221" i="474"/>
  <c r="M221" i="474" s="1"/>
  <c r="N221" i="474" s="1"/>
  <c r="L217" i="474"/>
  <c r="M217" i="474" s="1"/>
  <c r="N217" i="474" s="1"/>
  <c r="L213" i="474"/>
  <c r="M213" i="474" s="1"/>
  <c r="N213" i="474" s="1"/>
  <c r="L209" i="474"/>
  <c r="M209" i="474" s="1"/>
  <c r="N209" i="474" s="1"/>
  <c r="L205" i="474"/>
  <c r="M205" i="474" s="1"/>
  <c r="N205" i="474" s="1"/>
  <c r="L201" i="474"/>
  <c r="M201" i="474" s="1"/>
  <c r="N201" i="474" s="1"/>
  <c r="L197" i="474"/>
  <c r="M197" i="474" s="1"/>
  <c r="N197" i="474" s="1"/>
  <c r="L192" i="474"/>
  <c r="M192" i="474" s="1"/>
  <c r="N192" i="474" s="1"/>
  <c r="L188" i="474"/>
  <c r="M188" i="474" s="1"/>
  <c r="N188" i="474" s="1"/>
  <c r="L184" i="474"/>
  <c r="M184" i="474" s="1"/>
  <c r="N184" i="474" s="1"/>
  <c r="L180" i="474"/>
  <c r="M180" i="474" s="1"/>
  <c r="N180" i="474" s="1"/>
  <c r="L176" i="474"/>
  <c r="M176" i="474" s="1"/>
  <c r="N176" i="474" s="1"/>
  <c r="L172" i="474"/>
  <c r="M172" i="474" s="1"/>
  <c r="N172" i="474" s="1"/>
  <c r="L168" i="474"/>
  <c r="M168" i="474" s="1"/>
  <c r="N168" i="474" s="1"/>
  <c r="L164" i="474"/>
  <c r="M164" i="474" s="1"/>
  <c r="N164" i="474" s="1"/>
  <c r="L159" i="474"/>
  <c r="M159" i="474" s="1"/>
  <c r="N159" i="474" s="1"/>
  <c r="L151" i="474"/>
  <c r="M151" i="474" s="1"/>
  <c r="N151" i="474" s="1"/>
  <c r="L156" i="474"/>
  <c r="M156" i="474" s="1"/>
  <c r="N156" i="474" s="1"/>
  <c r="L127" i="474"/>
  <c r="M127" i="474" s="1"/>
  <c r="N127" i="474" s="1"/>
  <c r="L119" i="474"/>
  <c r="M119" i="474" s="1"/>
  <c r="N119" i="474" s="1"/>
  <c r="L111" i="474"/>
  <c r="M111" i="474" s="1"/>
  <c r="N111" i="474" s="1"/>
  <c r="L126" i="474"/>
  <c r="M126" i="474" s="1"/>
  <c r="N126" i="474" s="1"/>
  <c r="L118" i="474"/>
  <c r="M118" i="474" s="1"/>
  <c r="N118" i="474" s="1"/>
  <c r="L110" i="474"/>
  <c r="M110" i="474" s="1"/>
  <c r="N110" i="474" s="1"/>
  <c r="L149" i="474"/>
  <c r="M149" i="474" s="1"/>
  <c r="N149" i="474" s="1"/>
  <c r="L145" i="474"/>
  <c r="M145" i="474" s="1"/>
  <c r="N145" i="474" s="1"/>
  <c r="L141" i="474"/>
  <c r="M141" i="474" s="1"/>
  <c r="N141" i="474" s="1"/>
  <c r="L137" i="474"/>
  <c r="M137" i="474" s="1"/>
  <c r="N137" i="474" s="1"/>
  <c r="L133" i="474"/>
  <c r="M133" i="474" s="1"/>
  <c r="N133" i="474" s="1"/>
  <c r="L129" i="474"/>
  <c r="M129" i="474" s="1"/>
  <c r="N129" i="474" s="1"/>
  <c r="L102" i="474"/>
  <c r="M102" i="474" s="1"/>
  <c r="N102" i="474" s="1"/>
  <c r="L98" i="474"/>
  <c r="M98" i="474" s="1"/>
  <c r="N98" i="474" s="1"/>
  <c r="L94" i="474"/>
  <c r="M94" i="474" s="1"/>
  <c r="N94" i="474" s="1"/>
  <c r="L90" i="474"/>
  <c r="M90" i="474" s="1"/>
  <c r="N90" i="474" s="1"/>
  <c r="L86" i="474"/>
  <c r="M86" i="474" s="1"/>
  <c r="N86" i="474" s="1"/>
  <c r="L82" i="474"/>
  <c r="M82" i="474" s="1"/>
  <c r="N82" i="474" s="1"/>
  <c r="L78" i="474"/>
  <c r="M78" i="474" s="1"/>
  <c r="N78" i="474" s="1"/>
  <c r="L74" i="474"/>
  <c r="M74" i="474" s="1"/>
  <c r="N74" i="474" s="1"/>
  <c r="L70" i="474"/>
  <c r="M70" i="474" s="1"/>
  <c r="N70" i="474" s="1"/>
  <c r="L66" i="474"/>
  <c r="M66" i="474" s="1"/>
  <c r="N66" i="474" s="1"/>
  <c r="L62" i="474"/>
  <c r="M62" i="474" s="1"/>
  <c r="N62" i="474" s="1"/>
  <c r="L58" i="474"/>
  <c r="M58" i="474" s="1"/>
  <c r="N58" i="474" s="1"/>
  <c r="L54" i="474"/>
  <c r="M54" i="474" s="1"/>
  <c r="N54" i="474" s="1"/>
  <c r="L50" i="474"/>
  <c r="M50" i="474" s="1"/>
  <c r="N50" i="474" s="1"/>
  <c r="L33" i="474"/>
  <c r="M33" i="474" s="1"/>
  <c r="N33" i="474" s="1"/>
  <c r="L25" i="474"/>
  <c r="M25" i="474" s="1"/>
  <c r="N25" i="474" s="1"/>
  <c r="L42" i="474"/>
  <c r="M42" i="474" s="1"/>
  <c r="N42" i="474" s="1"/>
  <c r="L38" i="474"/>
  <c r="M38" i="474" s="1"/>
  <c r="N38" i="474" s="1"/>
  <c r="L34" i="474"/>
  <c r="M34" i="474" s="1"/>
  <c r="N34" i="474" s="1"/>
  <c r="L26" i="474"/>
  <c r="M26" i="474" s="1"/>
  <c r="N26" i="474" s="1"/>
  <c r="L21" i="474"/>
  <c r="M21" i="474" s="1"/>
  <c r="N21" i="474" s="1"/>
  <c r="L17" i="474"/>
  <c r="M17" i="474" s="1"/>
  <c r="N17" i="474" s="1"/>
  <c r="L13" i="474"/>
  <c r="M13" i="474" s="1"/>
  <c r="N13" i="474" s="1"/>
  <c r="L9" i="474"/>
  <c r="M9" i="474" s="1"/>
  <c r="N9" i="474" s="1"/>
  <c r="L5" i="474"/>
  <c r="M5" i="474" s="1"/>
  <c r="N5" i="474" s="1"/>
  <c r="L232" i="474"/>
  <c r="M232" i="474" s="1"/>
  <c r="N232" i="474" s="1"/>
  <c r="L236" i="474"/>
  <c r="M236" i="474" s="1"/>
  <c r="N236" i="474" s="1"/>
  <c r="L240" i="474"/>
  <c r="M240" i="474" s="1"/>
  <c r="N240" i="474" s="1"/>
  <c r="L244" i="474"/>
  <c r="M244" i="474" s="1"/>
  <c r="N244" i="474" s="1"/>
  <c r="L227" i="474"/>
  <c r="M227" i="474" s="1"/>
  <c r="N227" i="474" s="1"/>
  <c r="L231" i="474"/>
  <c r="M231" i="474" s="1"/>
  <c r="N231" i="474" s="1"/>
  <c r="L235" i="474"/>
  <c r="M235" i="474" s="1"/>
  <c r="N235" i="474" s="1"/>
  <c r="L247" i="474"/>
  <c r="M247" i="474" s="1"/>
  <c r="N247" i="474" s="1"/>
  <c r="L220" i="474"/>
  <c r="M220" i="474" s="1"/>
  <c r="N220" i="474" s="1"/>
  <c r="L216" i="474"/>
  <c r="M216" i="474" s="1"/>
  <c r="N216" i="474" s="1"/>
  <c r="L212" i="474"/>
  <c r="M212" i="474" s="1"/>
  <c r="N212" i="474" s="1"/>
  <c r="L208" i="474"/>
  <c r="M208" i="474" s="1"/>
  <c r="N208" i="474" s="1"/>
  <c r="L204" i="474"/>
  <c r="M204" i="474" s="1"/>
  <c r="N204" i="474" s="1"/>
  <c r="L200" i="474"/>
  <c r="M200" i="474" s="1"/>
  <c r="N200" i="474" s="1"/>
  <c r="L196" i="474"/>
  <c r="M196" i="474" s="1"/>
  <c r="N196" i="474" s="1"/>
  <c r="L191" i="474"/>
  <c r="M191" i="474" s="1"/>
  <c r="N191" i="474" s="1"/>
  <c r="L187" i="474"/>
  <c r="M187" i="474" s="1"/>
  <c r="N187" i="474" s="1"/>
  <c r="L183" i="474"/>
  <c r="M183" i="474" s="1"/>
  <c r="N183" i="474" s="1"/>
  <c r="L179" i="474"/>
  <c r="M179" i="474" s="1"/>
  <c r="N179" i="474" s="1"/>
  <c r="L175" i="474"/>
  <c r="M175" i="474" s="1"/>
  <c r="N175" i="474" s="1"/>
  <c r="L171" i="474"/>
  <c r="M171" i="474" s="1"/>
  <c r="N171" i="474" s="1"/>
  <c r="L167" i="474"/>
  <c r="M167" i="474" s="1"/>
  <c r="N167" i="474" s="1"/>
  <c r="L163" i="474"/>
  <c r="M163" i="474" s="1"/>
  <c r="N163" i="474" s="1"/>
  <c r="L157" i="474"/>
  <c r="M157" i="474" s="1"/>
  <c r="N157" i="474" s="1"/>
  <c r="L193" i="474"/>
  <c r="M193" i="474" s="1"/>
  <c r="N193" i="474" s="1"/>
  <c r="L154" i="474"/>
  <c r="M154" i="474" s="1"/>
  <c r="N154" i="474" s="1"/>
  <c r="L125" i="474"/>
  <c r="M125" i="474" s="1"/>
  <c r="N125" i="474" s="1"/>
  <c r="L117" i="474"/>
  <c r="M117" i="474" s="1"/>
  <c r="N117" i="474" s="1"/>
  <c r="L109" i="474"/>
  <c r="M109" i="474" s="1"/>
  <c r="N109" i="474" s="1"/>
  <c r="L124" i="474"/>
  <c r="M124" i="474" s="1"/>
  <c r="N124" i="474" s="1"/>
  <c r="L116" i="474"/>
  <c r="M116" i="474" s="1"/>
  <c r="N116" i="474" s="1"/>
  <c r="L108" i="474"/>
  <c r="M108" i="474" s="1"/>
  <c r="N108" i="474" s="1"/>
  <c r="L148" i="474"/>
  <c r="M148" i="474" s="1"/>
  <c r="N148" i="474" s="1"/>
  <c r="L144" i="474"/>
  <c r="M144" i="474" s="1"/>
  <c r="N144" i="474" s="1"/>
  <c r="L140" i="474"/>
  <c r="M140" i="474" s="1"/>
  <c r="N140" i="474" s="1"/>
  <c r="L136" i="474"/>
  <c r="M136" i="474" s="1"/>
  <c r="N136" i="474" s="1"/>
  <c r="L132" i="474"/>
  <c r="M132" i="474" s="1"/>
  <c r="N132" i="474" s="1"/>
  <c r="L105" i="474"/>
  <c r="M105" i="474" s="1"/>
  <c r="N105" i="474" s="1"/>
  <c r="L101" i="474"/>
  <c r="M101" i="474" s="1"/>
  <c r="N101" i="474" s="1"/>
  <c r="L97" i="474"/>
  <c r="M97" i="474" s="1"/>
  <c r="N97" i="474" s="1"/>
  <c r="L93" i="474"/>
  <c r="M93" i="474" s="1"/>
  <c r="N93" i="474" s="1"/>
  <c r="L89" i="474"/>
  <c r="M89" i="474" s="1"/>
  <c r="N89" i="474" s="1"/>
  <c r="L85" i="474"/>
  <c r="M85" i="474" s="1"/>
  <c r="N85" i="474" s="1"/>
  <c r="L80" i="474"/>
  <c r="M80" i="474" s="1"/>
  <c r="N80" i="474" s="1"/>
  <c r="L77" i="474"/>
  <c r="M77" i="474" s="1"/>
  <c r="N77" i="474" s="1"/>
  <c r="L73" i="474"/>
  <c r="M73" i="474" s="1"/>
  <c r="N73" i="474" s="1"/>
  <c r="L69" i="474"/>
  <c r="M69" i="474" s="1"/>
  <c r="N69" i="474" s="1"/>
  <c r="L65" i="474"/>
  <c r="M65" i="474" s="1"/>
  <c r="N65" i="474" s="1"/>
  <c r="L61" i="474"/>
  <c r="M61" i="474" s="1"/>
  <c r="N61" i="474" s="1"/>
  <c r="L57" i="474"/>
  <c r="M57" i="474" s="1"/>
  <c r="N57" i="474" s="1"/>
  <c r="L53" i="474"/>
  <c r="M53" i="474" s="1"/>
  <c r="N53" i="474" s="1"/>
  <c r="L49" i="474"/>
  <c r="M49" i="474" s="1"/>
  <c r="N49" i="474" s="1"/>
  <c r="L31" i="474"/>
  <c r="M31" i="474" s="1"/>
  <c r="N31" i="474" s="1"/>
  <c r="L45" i="474"/>
  <c r="M45" i="474" s="1"/>
  <c r="N45" i="474" s="1"/>
  <c r="L41" i="474"/>
  <c r="M41" i="474" s="1"/>
  <c r="N41" i="474" s="1"/>
  <c r="L37" i="474"/>
  <c r="M37" i="474" s="1"/>
  <c r="N37" i="474" s="1"/>
  <c r="L32" i="474"/>
  <c r="M32" i="474" s="1"/>
  <c r="N32" i="474" s="1"/>
  <c r="L24" i="474"/>
  <c r="M24" i="474" s="1"/>
  <c r="N24" i="474" s="1"/>
  <c r="L20" i="474"/>
  <c r="M20" i="474" s="1"/>
  <c r="N20" i="474" s="1"/>
  <c r="L16" i="474"/>
  <c r="M16" i="474" s="1"/>
  <c r="N16" i="474" s="1"/>
  <c r="L12" i="474"/>
  <c r="M12" i="474" s="1"/>
  <c r="N12" i="474" s="1"/>
  <c r="L8" i="474"/>
  <c r="M8" i="474" s="1"/>
  <c r="N8" i="474" s="1"/>
  <c r="L4" i="474"/>
  <c r="M4" i="474" s="1"/>
  <c r="N4" i="474" s="1"/>
  <c r="L247" i="473"/>
  <c r="M247" i="473" s="1"/>
  <c r="N247" i="473" s="1"/>
  <c r="L241" i="473"/>
  <c r="M241" i="473" s="1"/>
  <c r="N241" i="473" s="1"/>
  <c r="L204" i="473"/>
  <c r="M204" i="473" s="1"/>
  <c r="N204" i="473" s="1"/>
  <c r="L206" i="473"/>
  <c r="M206" i="473" s="1"/>
  <c r="N206" i="473" s="1"/>
  <c r="L208" i="473"/>
  <c r="M208" i="473" s="1"/>
  <c r="N208" i="473" s="1"/>
  <c r="L210" i="473"/>
  <c r="M210" i="473" s="1"/>
  <c r="N210" i="473" s="1"/>
  <c r="L212" i="473"/>
  <c r="M212" i="473" s="1"/>
  <c r="N212" i="473" s="1"/>
  <c r="L214" i="473"/>
  <c r="M214" i="473" s="1"/>
  <c r="N214" i="473" s="1"/>
  <c r="L216" i="473"/>
  <c r="M216" i="473" s="1"/>
  <c r="N216" i="473" s="1"/>
  <c r="L218" i="473"/>
  <c r="M218" i="473" s="1"/>
  <c r="N218" i="473" s="1"/>
  <c r="L220" i="473"/>
  <c r="M220" i="473" s="1"/>
  <c r="N220" i="473" s="1"/>
  <c r="L222" i="473"/>
  <c r="M222" i="473" s="1"/>
  <c r="N222" i="473" s="1"/>
  <c r="L224" i="473"/>
  <c r="M224" i="473" s="1"/>
  <c r="N224" i="473" s="1"/>
  <c r="L226" i="473"/>
  <c r="M226" i="473" s="1"/>
  <c r="N226" i="473" s="1"/>
  <c r="L228" i="473"/>
  <c r="M228" i="473" s="1"/>
  <c r="N228" i="473" s="1"/>
  <c r="L230" i="473"/>
  <c r="M230" i="473" s="1"/>
  <c r="N230" i="473" s="1"/>
  <c r="L232" i="473"/>
  <c r="M232" i="473" s="1"/>
  <c r="N232" i="473" s="1"/>
  <c r="L234" i="473"/>
  <c r="M234" i="473" s="1"/>
  <c r="N234" i="473" s="1"/>
  <c r="L236" i="473"/>
  <c r="M236" i="473" s="1"/>
  <c r="N236" i="473" s="1"/>
  <c r="L238" i="473"/>
  <c r="M238" i="473" s="1"/>
  <c r="N238" i="473" s="1"/>
  <c r="L243" i="473"/>
  <c r="M243" i="473" s="1"/>
  <c r="N243" i="473" s="1"/>
  <c r="L178" i="473"/>
  <c r="M178" i="473" s="1"/>
  <c r="N178" i="473" s="1"/>
  <c r="L182" i="473"/>
  <c r="M182" i="473" s="1"/>
  <c r="N182" i="473" s="1"/>
  <c r="L186" i="473"/>
  <c r="M186" i="473" s="1"/>
  <c r="N186" i="473" s="1"/>
  <c r="L190" i="473"/>
  <c r="M190" i="473" s="1"/>
  <c r="N190" i="473" s="1"/>
  <c r="L194" i="473"/>
  <c r="M194" i="473" s="1"/>
  <c r="N194" i="473" s="1"/>
  <c r="L198" i="473"/>
  <c r="M198" i="473" s="1"/>
  <c r="N198" i="473" s="1"/>
  <c r="L202" i="473"/>
  <c r="M202" i="473" s="1"/>
  <c r="N202" i="473" s="1"/>
  <c r="L113" i="473"/>
  <c r="M113" i="473" s="1"/>
  <c r="N113" i="473" s="1"/>
  <c r="L173" i="473"/>
  <c r="M173" i="473" s="1"/>
  <c r="N173" i="473" s="1"/>
  <c r="L169" i="473"/>
  <c r="M169" i="473" s="1"/>
  <c r="N169" i="473" s="1"/>
  <c r="L165" i="473"/>
  <c r="M165" i="473" s="1"/>
  <c r="N165" i="473" s="1"/>
  <c r="L161" i="473"/>
  <c r="M161" i="473" s="1"/>
  <c r="N161" i="473" s="1"/>
  <c r="L157" i="473"/>
  <c r="M157" i="473" s="1"/>
  <c r="N157" i="473" s="1"/>
  <c r="L153" i="473"/>
  <c r="M153" i="473" s="1"/>
  <c r="N153" i="473" s="1"/>
  <c r="L149" i="473"/>
  <c r="M149" i="473" s="1"/>
  <c r="N149" i="473" s="1"/>
  <c r="L145" i="473"/>
  <c r="M145" i="473" s="1"/>
  <c r="N145" i="473" s="1"/>
  <c r="L141" i="473"/>
  <c r="M141" i="473" s="1"/>
  <c r="N141" i="473" s="1"/>
  <c r="L137" i="473"/>
  <c r="M137" i="473" s="1"/>
  <c r="N137" i="473" s="1"/>
  <c r="L133" i="473"/>
  <c r="M133" i="473" s="1"/>
  <c r="N133" i="473" s="1"/>
  <c r="L129" i="473"/>
  <c r="M129" i="473" s="1"/>
  <c r="N129" i="473" s="1"/>
  <c r="L125" i="473"/>
  <c r="M125" i="473" s="1"/>
  <c r="N125" i="473" s="1"/>
  <c r="L118" i="473"/>
  <c r="M118" i="473" s="1"/>
  <c r="N118" i="473" s="1"/>
  <c r="L110" i="473"/>
  <c r="M110" i="473" s="1"/>
  <c r="N110" i="473" s="1"/>
  <c r="L84" i="473"/>
  <c r="M84" i="473" s="1"/>
  <c r="N84" i="473" s="1"/>
  <c r="L77" i="473"/>
  <c r="M77" i="473" s="1"/>
  <c r="N77" i="473" s="1"/>
  <c r="L107" i="473"/>
  <c r="M107" i="473" s="1"/>
  <c r="N107" i="473" s="1"/>
  <c r="L103" i="473"/>
  <c r="M103" i="473" s="1"/>
  <c r="N103" i="473" s="1"/>
  <c r="L99" i="473"/>
  <c r="M99" i="473" s="1"/>
  <c r="N99" i="473" s="1"/>
  <c r="L95" i="473"/>
  <c r="M95" i="473" s="1"/>
  <c r="N95" i="473" s="1"/>
  <c r="L91" i="473"/>
  <c r="M91" i="473" s="1"/>
  <c r="N91" i="473" s="1"/>
  <c r="L87" i="473"/>
  <c r="M87" i="473" s="1"/>
  <c r="N87" i="473" s="1"/>
  <c r="L80" i="473"/>
  <c r="M80" i="473" s="1"/>
  <c r="N80" i="473" s="1"/>
  <c r="L72" i="473"/>
  <c r="M72" i="473" s="1"/>
  <c r="N72" i="473" s="1"/>
  <c r="L40" i="473"/>
  <c r="M40" i="473" s="1"/>
  <c r="N40" i="473" s="1"/>
  <c r="L32" i="473"/>
  <c r="M32" i="473" s="1"/>
  <c r="N32" i="473" s="1"/>
  <c r="L39" i="473"/>
  <c r="M39" i="473" s="1"/>
  <c r="N39" i="473" s="1"/>
  <c r="L31" i="473"/>
  <c r="M31" i="473" s="1"/>
  <c r="N31" i="473" s="1"/>
  <c r="L67" i="473"/>
  <c r="M67" i="473" s="1"/>
  <c r="N67" i="473" s="1"/>
  <c r="L63" i="473"/>
  <c r="M63" i="473" s="1"/>
  <c r="N63" i="473" s="1"/>
  <c r="L59" i="473"/>
  <c r="M59" i="473" s="1"/>
  <c r="N59" i="473" s="1"/>
  <c r="L55" i="473"/>
  <c r="M55" i="473" s="1"/>
  <c r="N55" i="473" s="1"/>
  <c r="L51" i="473"/>
  <c r="M51" i="473" s="1"/>
  <c r="N51" i="473" s="1"/>
  <c r="L47" i="473"/>
  <c r="M47" i="473" s="1"/>
  <c r="N47" i="473" s="1"/>
  <c r="L27" i="473"/>
  <c r="M27" i="473" s="1"/>
  <c r="N27" i="473" s="1"/>
  <c r="L23" i="473"/>
  <c r="M23" i="473" s="1"/>
  <c r="N23" i="473" s="1"/>
  <c r="L19" i="473"/>
  <c r="M19" i="473" s="1"/>
  <c r="N19" i="473" s="1"/>
  <c r="L15" i="473"/>
  <c r="M15" i="473" s="1"/>
  <c r="N15" i="473" s="1"/>
  <c r="L11" i="473"/>
  <c r="M11" i="473" s="1"/>
  <c r="N11" i="473" s="1"/>
  <c r="L7" i="473"/>
  <c r="M7" i="473" s="1"/>
  <c r="N7" i="473" s="1"/>
  <c r="L3" i="473"/>
  <c r="M3" i="473" s="1"/>
  <c r="N3" i="473" s="1"/>
  <c r="L242" i="473"/>
  <c r="M242" i="473" s="1"/>
  <c r="N242" i="473" s="1"/>
  <c r="L175" i="473"/>
  <c r="M175" i="473" s="1"/>
  <c r="N175" i="473" s="1"/>
  <c r="L179" i="473"/>
  <c r="M179" i="473" s="1"/>
  <c r="N179" i="473" s="1"/>
  <c r="L183" i="473"/>
  <c r="M183" i="473" s="1"/>
  <c r="N183" i="473" s="1"/>
  <c r="L187" i="473"/>
  <c r="M187" i="473" s="1"/>
  <c r="N187" i="473" s="1"/>
  <c r="L191" i="473"/>
  <c r="M191" i="473" s="1"/>
  <c r="N191" i="473" s="1"/>
  <c r="L195" i="473"/>
  <c r="M195" i="473" s="1"/>
  <c r="N195" i="473" s="1"/>
  <c r="L199" i="473"/>
  <c r="M199" i="473" s="1"/>
  <c r="N199" i="473" s="1"/>
  <c r="L203" i="473"/>
  <c r="M203" i="473" s="1"/>
  <c r="N203" i="473" s="1"/>
  <c r="L119" i="473"/>
  <c r="M119" i="473" s="1"/>
  <c r="N119" i="473" s="1"/>
  <c r="L111" i="473"/>
  <c r="M111" i="473" s="1"/>
  <c r="N111" i="473" s="1"/>
  <c r="L172" i="473"/>
  <c r="M172" i="473" s="1"/>
  <c r="N172" i="473" s="1"/>
  <c r="L168" i="473"/>
  <c r="M168" i="473" s="1"/>
  <c r="N168" i="473" s="1"/>
  <c r="L164" i="473"/>
  <c r="M164" i="473" s="1"/>
  <c r="N164" i="473" s="1"/>
  <c r="L160" i="473"/>
  <c r="M160" i="473" s="1"/>
  <c r="N160" i="473" s="1"/>
  <c r="L156" i="473"/>
  <c r="M156" i="473" s="1"/>
  <c r="N156" i="473" s="1"/>
  <c r="L152" i="473"/>
  <c r="M152" i="473" s="1"/>
  <c r="N152" i="473" s="1"/>
  <c r="L148" i="473"/>
  <c r="M148" i="473" s="1"/>
  <c r="N148" i="473" s="1"/>
  <c r="L144" i="473"/>
  <c r="M144" i="473" s="1"/>
  <c r="N144" i="473" s="1"/>
  <c r="L140" i="473"/>
  <c r="M140" i="473" s="1"/>
  <c r="N140" i="473" s="1"/>
  <c r="L136" i="473"/>
  <c r="M136" i="473" s="1"/>
  <c r="N136" i="473" s="1"/>
  <c r="L132" i="473"/>
  <c r="M132" i="473" s="1"/>
  <c r="N132" i="473" s="1"/>
  <c r="L128" i="473"/>
  <c r="M128" i="473" s="1"/>
  <c r="N128" i="473" s="1"/>
  <c r="L124" i="473"/>
  <c r="M124" i="473" s="1"/>
  <c r="N124" i="473" s="1"/>
  <c r="L116" i="473"/>
  <c r="M116" i="473" s="1"/>
  <c r="N116" i="473" s="1"/>
  <c r="L108" i="473"/>
  <c r="M108" i="473" s="1"/>
  <c r="N108" i="473" s="1"/>
  <c r="L83" i="473"/>
  <c r="M83" i="473" s="1"/>
  <c r="N83" i="473" s="1"/>
  <c r="L75" i="473"/>
  <c r="M75" i="473" s="1"/>
  <c r="N75" i="473" s="1"/>
  <c r="L106" i="473"/>
  <c r="M106" i="473" s="1"/>
  <c r="N106" i="473" s="1"/>
  <c r="L102" i="473"/>
  <c r="M102" i="473" s="1"/>
  <c r="N102" i="473" s="1"/>
  <c r="L98" i="473"/>
  <c r="M98" i="473" s="1"/>
  <c r="N98" i="473" s="1"/>
  <c r="L94" i="473"/>
  <c r="M94" i="473" s="1"/>
  <c r="N94" i="473" s="1"/>
  <c r="L90" i="473"/>
  <c r="M90" i="473" s="1"/>
  <c r="N90" i="473" s="1"/>
  <c r="L86" i="473"/>
  <c r="M86" i="473" s="1"/>
  <c r="N86" i="473" s="1"/>
  <c r="L78" i="473"/>
  <c r="M78" i="473" s="1"/>
  <c r="N78" i="473" s="1"/>
  <c r="L70" i="473"/>
  <c r="M70" i="473" s="1"/>
  <c r="N70" i="473" s="1"/>
  <c r="L38" i="473"/>
  <c r="M38" i="473" s="1"/>
  <c r="N38" i="473" s="1"/>
  <c r="L30" i="473"/>
  <c r="M30" i="473" s="1"/>
  <c r="N30" i="473" s="1"/>
  <c r="L37" i="473"/>
  <c r="M37" i="473" s="1"/>
  <c r="N37" i="473" s="1"/>
  <c r="L29" i="473"/>
  <c r="M29" i="473" s="1"/>
  <c r="N29" i="473" s="1"/>
  <c r="L66" i="473"/>
  <c r="M66" i="473" s="1"/>
  <c r="N66" i="473" s="1"/>
  <c r="L62" i="473"/>
  <c r="M62" i="473" s="1"/>
  <c r="N62" i="473" s="1"/>
  <c r="L58" i="473"/>
  <c r="M58" i="473" s="1"/>
  <c r="N58" i="473" s="1"/>
  <c r="L54" i="473"/>
  <c r="M54" i="473" s="1"/>
  <c r="N54" i="473" s="1"/>
  <c r="L50" i="473"/>
  <c r="M50" i="473" s="1"/>
  <c r="N50" i="473" s="1"/>
  <c r="L46" i="473"/>
  <c r="M46" i="473" s="1"/>
  <c r="N46" i="473" s="1"/>
  <c r="L26" i="473"/>
  <c r="M26" i="473" s="1"/>
  <c r="N26" i="473" s="1"/>
  <c r="L22" i="473"/>
  <c r="M22" i="473" s="1"/>
  <c r="N22" i="473" s="1"/>
  <c r="L18" i="473"/>
  <c r="M18" i="473" s="1"/>
  <c r="N18" i="473" s="1"/>
  <c r="L14" i="473"/>
  <c r="M14" i="473" s="1"/>
  <c r="N14" i="473" s="1"/>
  <c r="L10" i="473"/>
  <c r="M10" i="473" s="1"/>
  <c r="N10" i="473" s="1"/>
  <c r="L6" i="473"/>
  <c r="M6" i="473" s="1"/>
  <c r="N6" i="473" s="1"/>
  <c r="L2" i="473"/>
  <c r="L176" i="473"/>
  <c r="M176" i="473" s="1"/>
  <c r="N176" i="473" s="1"/>
  <c r="L180" i="473"/>
  <c r="M180" i="473" s="1"/>
  <c r="N180" i="473" s="1"/>
  <c r="L184" i="473"/>
  <c r="M184" i="473" s="1"/>
  <c r="N184" i="473" s="1"/>
  <c r="L188" i="473"/>
  <c r="M188" i="473" s="1"/>
  <c r="N188" i="473" s="1"/>
  <c r="L192" i="473"/>
  <c r="M192" i="473" s="1"/>
  <c r="N192" i="473" s="1"/>
  <c r="L196" i="473"/>
  <c r="M196" i="473" s="1"/>
  <c r="N196" i="473" s="1"/>
  <c r="L200" i="473"/>
  <c r="M200" i="473" s="1"/>
  <c r="N200" i="473" s="1"/>
  <c r="L244" i="473"/>
  <c r="M244" i="473" s="1"/>
  <c r="N244" i="473" s="1"/>
  <c r="L117" i="473"/>
  <c r="M117" i="473" s="1"/>
  <c r="N117" i="473" s="1"/>
  <c r="L109" i="473"/>
  <c r="M109" i="473" s="1"/>
  <c r="N109" i="473" s="1"/>
  <c r="L171" i="473"/>
  <c r="M171" i="473" s="1"/>
  <c r="N171" i="473" s="1"/>
  <c r="L167" i="473"/>
  <c r="M167" i="473" s="1"/>
  <c r="N167" i="473" s="1"/>
  <c r="L163" i="473"/>
  <c r="M163" i="473" s="1"/>
  <c r="N163" i="473" s="1"/>
  <c r="L159" i="473"/>
  <c r="M159" i="473" s="1"/>
  <c r="N159" i="473" s="1"/>
  <c r="L155" i="473"/>
  <c r="M155" i="473" s="1"/>
  <c r="N155" i="473" s="1"/>
  <c r="L151" i="473"/>
  <c r="M151" i="473" s="1"/>
  <c r="N151" i="473" s="1"/>
  <c r="L147" i="473"/>
  <c r="M147" i="473" s="1"/>
  <c r="N147" i="473" s="1"/>
  <c r="L143" i="473"/>
  <c r="M143" i="473" s="1"/>
  <c r="N143" i="473" s="1"/>
  <c r="L139" i="473"/>
  <c r="M139" i="473" s="1"/>
  <c r="N139" i="473" s="1"/>
  <c r="L135" i="473"/>
  <c r="M135" i="473" s="1"/>
  <c r="N135" i="473" s="1"/>
  <c r="L131" i="473"/>
  <c r="M131" i="473" s="1"/>
  <c r="N131" i="473" s="1"/>
  <c r="L127" i="473"/>
  <c r="M127" i="473" s="1"/>
  <c r="N127" i="473" s="1"/>
  <c r="L123" i="473"/>
  <c r="M123" i="473" s="1"/>
  <c r="N123" i="473" s="1"/>
  <c r="L114" i="473"/>
  <c r="M114" i="473" s="1"/>
  <c r="N114" i="473" s="1"/>
  <c r="L122" i="473"/>
  <c r="M122" i="473" s="1"/>
  <c r="N122" i="473" s="1"/>
  <c r="L81" i="473"/>
  <c r="M81" i="473" s="1"/>
  <c r="N81" i="473" s="1"/>
  <c r="L73" i="473"/>
  <c r="M73" i="473" s="1"/>
  <c r="N73" i="473" s="1"/>
  <c r="L105" i="473"/>
  <c r="M105" i="473" s="1"/>
  <c r="N105" i="473" s="1"/>
  <c r="L101" i="473"/>
  <c r="M101" i="473" s="1"/>
  <c r="N101" i="473" s="1"/>
  <c r="L97" i="473"/>
  <c r="M97" i="473" s="1"/>
  <c r="N97" i="473" s="1"/>
  <c r="L93" i="473"/>
  <c r="M93" i="473" s="1"/>
  <c r="N93" i="473" s="1"/>
  <c r="L89" i="473"/>
  <c r="M89" i="473" s="1"/>
  <c r="N89" i="473" s="1"/>
  <c r="L85" i="473"/>
  <c r="M85" i="473" s="1"/>
  <c r="N85" i="473" s="1"/>
  <c r="L76" i="473"/>
  <c r="M76" i="473" s="1"/>
  <c r="N76" i="473" s="1"/>
  <c r="L44" i="473"/>
  <c r="M44" i="473" s="1"/>
  <c r="N44" i="473" s="1"/>
  <c r="L36" i="473"/>
  <c r="M36" i="473" s="1"/>
  <c r="N36" i="473" s="1"/>
  <c r="L43" i="473"/>
  <c r="M43" i="473" s="1"/>
  <c r="N43" i="473" s="1"/>
  <c r="L35" i="473"/>
  <c r="M35" i="473" s="1"/>
  <c r="N35" i="473" s="1"/>
  <c r="L69" i="473"/>
  <c r="M69" i="473" s="1"/>
  <c r="N69" i="473" s="1"/>
  <c r="L65" i="473"/>
  <c r="M65" i="473" s="1"/>
  <c r="N65" i="473" s="1"/>
  <c r="L61" i="473"/>
  <c r="M61" i="473" s="1"/>
  <c r="N61" i="473" s="1"/>
  <c r="L57" i="473"/>
  <c r="M57" i="473" s="1"/>
  <c r="N57" i="473" s="1"/>
  <c r="L53" i="473"/>
  <c r="M53" i="473" s="1"/>
  <c r="N53" i="473" s="1"/>
  <c r="L49" i="473"/>
  <c r="M49" i="473" s="1"/>
  <c r="N49" i="473" s="1"/>
  <c r="L45" i="473"/>
  <c r="M45" i="473" s="1"/>
  <c r="N45" i="473" s="1"/>
  <c r="L25" i="473"/>
  <c r="M25" i="473" s="1"/>
  <c r="N25" i="473" s="1"/>
  <c r="L21" i="473"/>
  <c r="M21" i="473" s="1"/>
  <c r="N21" i="473" s="1"/>
  <c r="L17" i="473"/>
  <c r="M17" i="473" s="1"/>
  <c r="N17" i="473" s="1"/>
  <c r="L13" i="473"/>
  <c r="M13" i="473" s="1"/>
  <c r="N13" i="473" s="1"/>
  <c r="L9" i="473"/>
  <c r="M9" i="473" s="1"/>
  <c r="N9" i="473" s="1"/>
  <c r="L5" i="473"/>
  <c r="M5" i="473" s="1"/>
  <c r="N5" i="473" s="1"/>
  <c r="L239" i="473"/>
  <c r="M239" i="473" s="1"/>
  <c r="N239" i="473" s="1"/>
  <c r="L245" i="473"/>
  <c r="M245" i="473" s="1"/>
  <c r="N245" i="473" s="1"/>
  <c r="L205" i="473"/>
  <c r="M205" i="473" s="1"/>
  <c r="N205" i="473" s="1"/>
  <c r="L207" i="473"/>
  <c r="M207" i="473" s="1"/>
  <c r="N207" i="473" s="1"/>
  <c r="L209" i="473"/>
  <c r="M209" i="473" s="1"/>
  <c r="N209" i="473" s="1"/>
  <c r="L211" i="473"/>
  <c r="M211" i="473" s="1"/>
  <c r="N211" i="473" s="1"/>
  <c r="L213" i="473"/>
  <c r="M213" i="473" s="1"/>
  <c r="N213" i="473" s="1"/>
  <c r="L215" i="473"/>
  <c r="M215" i="473" s="1"/>
  <c r="N215" i="473" s="1"/>
  <c r="L217" i="473"/>
  <c r="M217" i="473" s="1"/>
  <c r="N217" i="473" s="1"/>
  <c r="L219" i="473"/>
  <c r="M219" i="473" s="1"/>
  <c r="N219" i="473" s="1"/>
  <c r="L221" i="473"/>
  <c r="M221" i="473" s="1"/>
  <c r="N221" i="473" s="1"/>
  <c r="L223" i="473"/>
  <c r="M223" i="473" s="1"/>
  <c r="N223" i="473" s="1"/>
  <c r="L225" i="473"/>
  <c r="M225" i="473" s="1"/>
  <c r="N225" i="473" s="1"/>
  <c r="L227" i="473"/>
  <c r="M227" i="473" s="1"/>
  <c r="N227" i="473" s="1"/>
  <c r="L229" i="473"/>
  <c r="M229" i="473" s="1"/>
  <c r="N229" i="473" s="1"/>
  <c r="L231" i="473"/>
  <c r="M231" i="473" s="1"/>
  <c r="N231" i="473" s="1"/>
  <c r="L233" i="473"/>
  <c r="M233" i="473" s="1"/>
  <c r="N233" i="473" s="1"/>
  <c r="L235" i="473"/>
  <c r="M235" i="473" s="1"/>
  <c r="N235" i="473" s="1"/>
  <c r="L237" i="473"/>
  <c r="M237" i="473" s="1"/>
  <c r="N237" i="473" s="1"/>
  <c r="L240" i="473"/>
  <c r="M240" i="473" s="1"/>
  <c r="N240" i="473" s="1"/>
  <c r="L246" i="473"/>
  <c r="M246" i="473" s="1"/>
  <c r="N246" i="473" s="1"/>
  <c r="L177" i="473"/>
  <c r="M177" i="473" s="1"/>
  <c r="N177" i="473" s="1"/>
  <c r="L181" i="473"/>
  <c r="M181" i="473" s="1"/>
  <c r="N181" i="473" s="1"/>
  <c r="L185" i="473"/>
  <c r="M185" i="473" s="1"/>
  <c r="N185" i="473" s="1"/>
  <c r="L189" i="473"/>
  <c r="M189" i="473" s="1"/>
  <c r="N189" i="473" s="1"/>
  <c r="L193" i="473"/>
  <c r="M193" i="473" s="1"/>
  <c r="N193" i="473" s="1"/>
  <c r="L197" i="473"/>
  <c r="M197" i="473" s="1"/>
  <c r="N197" i="473" s="1"/>
  <c r="L201" i="473"/>
  <c r="M201" i="473" s="1"/>
  <c r="N201" i="473" s="1"/>
  <c r="L115" i="473"/>
  <c r="M115" i="473" s="1"/>
  <c r="N115" i="473" s="1"/>
  <c r="L174" i="473"/>
  <c r="M174" i="473" s="1"/>
  <c r="N174" i="473" s="1"/>
  <c r="L170" i="473"/>
  <c r="M170" i="473" s="1"/>
  <c r="N170" i="473" s="1"/>
  <c r="L166" i="473"/>
  <c r="M166" i="473" s="1"/>
  <c r="N166" i="473" s="1"/>
  <c r="L162" i="473"/>
  <c r="M162" i="473" s="1"/>
  <c r="N162" i="473" s="1"/>
  <c r="L158" i="473"/>
  <c r="M158" i="473" s="1"/>
  <c r="N158" i="473" s="1"/>
  <c r="L154" i="473"/>
  <c r="M154" i="473" s="1"/>
  <c r="N154" i="473" s="1"/>
  <c r="L150" i="473"/>
  <c r="M150" i="473" s="1"/>
  <c r="N150" i="473" s="1"/>
  <c r="L146" i="473"/>
  <c r="M146" i="473" s="1"/>
  <c r="N146" i="473" s="1"/>
  <c r="L142" i="473"/>
  <c r="M142" i="473" s="1"/>
  <c r="N142" i="473" s="1"/>
  <c r="L138" i="473"/>
  <c r="M138" i="473" s="1"/>
  <c r="N138" i="473" s="1"/>
  <c r="L134" i="473"/>
  <c r="M134" i="473" s="1"/>
  <c r="N134" i="473" s="1"/>
  <c r="L130" i="473"/>
  <c r="M130" i="473" s="1"/>
  <c r="N130" i="473" s="1"/>
  <c r="L126" i="473"/>
  <c r="M126" i="473" s="1"/>
  <c r="N126" i="473" s="1"/>
  <c r="L120" i="473"/>
  <c r="M120" i="473" s="1"/>
  <c r="N120" i="473" s="1"/>
  <c r="L112" i="473"/>
  <c r="M112" i="473" s="1"/>
  <c r="N112" i="473" s="1"/>
  <c r="L121" i="473"/>
  <c r="M121" i="473" s="1"/>
  <c r="N121" i="473" s="1"/>
  <c r="L79" i="473"/>
  <c r="M79" i="473" s="1"/>
  <c r="N79" i="473" s="1"/>
  <c r="L71" i="473"/>
  <c r="M71" i="473" s="1"/>
  <c r="N71" i="473" s="1"/>
  <c r="L104" i="473"/>
  <c r="M104" i="473" s="1"/>
  <c r="N104" i="473" s="1"/>
  <c r="L100" i="473"/>
  <c r="M100" i="473" s="1"/>
  <c r="N100" i="473" s="1"/>
  <c r="L96" i="473"/>
  <c r="M96" i="473" s="1"/>
  <c r="N96" i="473" s="1"/>
  <c r="L92" i="473"/>
  <c r="M92" i="473" s="1"/>
  <c r="N92" i="473" s="1"/>
  <c r="L88" i="473"/>
  <c r="M88" i="473" s="1"/>
  <c r="N88" i="473" s="1"/>
  <c r="L82" i="473"/>
  <c r="M82" i="473" s="1"/>
  <c r="N82" i="473" s="1"/>
  <c r="L74" i="473"/>
  <c r="M74" i="473" s="1"/>
  <c r="N74" i="473" s="1"/>
  <c r="L42" i="473"/>
  <c r="M42" i="473" s="1"/>
  <c r="N42" i="473" s="1"/>
  <c r="L34" i="473"/>
  <c r="M34" i="473" s="1"/>
  <c r="N34" i="473" s="1"/>
  <c r="L41" i="473"/>
  <c r="M41" i="473" s="1"/>
  <c r="N41" i="473" s="1"/>
  <c r="L33" i="473"/>
  <c r="M33" i="473" s="1"/>
  <c r="N33" i="473" s="1"/>
  <c r="L68" i="473"/>
  <c r="M68" i="473" s="1"/>
  <c r="N68" i="473" s="1"/>
  <c r="L64" i="473"/>
  <c r="M64" i="473" s="1"/>
  <c r="N64" i="473" s="1"/>
  <c r="L60" i="473"/>
  <c r="M60" i="473" s="1"/>
  <c r="N60" i="473" s="1"/>
  <c r="L56" i="473"/>
  <c r="M56" i="473" s="1"/>
  <c r="N56" i="473" s="1"/>
  <c r="L52" i="473"/>
  <c r="M52" i="473" s="1"/>
  <c r="N52" i="473" s="1"/>
  <c r="L48" i="473"/>
  <c r="M48" i="473" s="1"/>
  <c r="N48" i="473" s="1"/>
  <c r="L28" i="473"/>
  <c r="M28" i="473" s="1"/>
  <c r="N28" i="473" s="1"/>
  <c r="L24" i="473"/>
  <c r="M24" i="473" s="1"/>
  <c r="N24" i="473" s="1"/>
  <c r="L20" i="473"/>
  <c r="M20" i="473" s="1"/>
  <c r="N20" i="473" s="1"/>
  <c r="L16" i="473"/>
  <c r="M16" i="473" s="1"/>
  <c r="N16" i="473" s="1"/>
  <c r="L12" i="473"/>
  <c r="M12" i="473" s="1"/>
  <c r="N12" i="473" s="1"/>
  <c r="L8" i="473"/>
  <c r="M8" i="473" s="1"/>
  <c r="N8" i="473" s="1"/>
  <c r="L4" i="473"/>
  <c r="M4" i="473" s="1"/>
  <c r="N4" i="473" s="1"/>
  <c r="L170" i="472"/>
  <c r="M170" i="472" s="1"/>
  <c r="N170" i="472" s="1"/>
  <c r="L211" i="472"/>
  <c r="M211" i="472" s="1"/>
  <c r="N211" i="472" s="1"/>
  <c r="L223" i="472"/>
  <c r="M223" i="472" s="1"/>
  <c r="N223" i="472" s="1"/>
  <c r="L227" i="472"/>
  <c r="M227" i="472" s="1"/>
  <c r="N227" i="472" s="1"/>
  <c r="L231" i="472"/>
  <c r="M231" i="472" s="1"/>
  <c r="N231" i="472" s="1"/>
  <c r="L235" i="472"/>
  <c r="M235" i="472" s="1"/>
  <c r="N235" i="472" s="1"/>
  <c r="L239" i="472"/>
  <c r="M239" i="472" s="1"/>
  <c r="N239" i="472" s="1"/>
  <c r="L243" i="472"/>
  <c r="M243" i="472" s="1"/>
  <c r="N243" i="472" s="1"/>
  <c r="L224" i="472"/>
  <c r="M224" i="472" s="1"/>
  <c r="N224" i="472" s="1"/>
  <c r="L228" i="472"/>
  <c r="M228" i="472" s="1"/>
  <c r="N228" i="472" s="1"/>
  <c r="L232" i="472"/>
  <c r="M232" i="472" s="1"/>
  <c r="N232" i="472" s="1"/>
  <c r="L244" i="472"/>
  <c r="M244" i="472" s="1"/>
  <c r="N244" i="472" s="1"/>
  <c r="L199" i="472"/>
  <c r="M199" i="472" s="1"/>
  <c r="N199" i="472" s="1"/>
  <c r="L213" i="472"/>
  <c r="M213" i="472" s="1"/>
  <c r="N213" i="472" s="1"/>
  <c r="L225" i="472"/>
  <c r="M225" i="472" s="1"/>
  <c r="N225" i="472" s="1"/>
  <c r="L229" i="472"/>
  <c r="M229" i="472" s="1"/>
  <c r="N229" i="472" s="1"/>
  <c r="L233" i="472"/>
  <c r="M233" i="472" s="1"/>
  <c r="N233" i="472" s="1"/>
  <c r="L237" i="472"/>
  <c r="M237" i="472" s="1"/>
  <c r="N237" i="472" s="1"/>
  <c r="L241" i="472"/>
  <c r="M241" i="472" s="1"/>
  <c r="N241" i="472" s="1"/>
  <c r="L245" i="472"/>
  <c r="M245" i="472" s="1"/>
  <c r="N245" i="472" s="1"/>
  <c r="L169" i="472"/>
  <c r="M169" i="472" s="1"/>
  <c r="N169" i="472" s="1"/>
  <c r="L215" i="472"/>
  <c r="M215" i="472" s="1"/>
  <c r="N215" i="472" s="1"/>
  <c r="L219" i="472"/>
  <c r="M219" i="472" s="1"/>
  <c r="N219" i="472" s="1"/>
  <c r="L168" i="472"/>
  <c r="M168" i="472" s="1"/>
  <c r="N168" i="472" s="1"/>
  <c r="L214" i="472"/>
  <c r="M214" i="472" s="1"/>
  <c r="N214" i="472" s="1"/>
  <c r="L218" i="472"/>
  <c r="M218" i="472" s="1"/>
  <c r="N218" i="472" s="1"/>
  <c r="L222" i="472"/>
  <c r="M222" i="472" s="1"/>
  <c r="N222" i="472" s="1"/>
  <c r="L226" i="472"/>
  <c r="M226" i="472" s="1"/>
  <c r="N226" i="472" s="1"/>
  <c r="L230" i="472"/>
  <c r="M230" i="472" s="1"/>
  <c r="N230" i="472" s="1"/>
  <c r="L234" i="472"/>
  <c r="M234" i="472" s="1"/>
  <c r="N234" i="472" s="1"/>
  <c r="L238" i="472"/>
  <c r="M238" i="472" s="1"/>
  <c r="N238" i="472" s="1"/>
  <c r="L242" i="472"/>
  <c r="M242" i="472" s="1"/>
  <c r="N242" i="472" s="1"/>
  <c r="L148" i="472"/>
  <c r="M148" i="472" s="1"/>
  <c r="N148" i="472" s="1"/>
  <c r="L144" i="472"/>
  <c r="M144" i="472" s="1"/>
  <c r="N144" i="472" s="1"/>
  <c r="L140" i="472"/>
  <c r="M140" i="472" s="1"/>
  <c r="N140" i="472" s="1"/>
  <c r="L136" i="472"/>
  <c r="M136" i="472" s="1"/>
  <c r="N136" i="472" s="1"/>
  <c r="L132" i="472"/>
  <c r="M132" i="472" s="1"/>
  <c r="N132" i="472" s="1"/>
  <c r="L128" i="472"/>
  <c r="M128" i="472" s="1"/>
  <c r="N128" i="472" s="1"/>
  <c r="L124" i="472"/>
  <c r="M124" i="472" s="1"/>
  <c r="N124" i="472" s="1"/>
  <c r="L120" i="472"/>
  <c r="M120" i="472" s="1"/>
  <c r="N120" i="472" s="1"/>
  <c r="L116" i="472"/>
  <c r="M116" i="472" s="1"/>
  <c r="N116" i="472" s="1"/>
  <c r="L112" i="472"/>
  <c r="M112" i="472" s="1"/>
  <c r="N112" i="472" s="1"/>
  <c r="L108" i="472"/>
  <c r="M108" i="472" s="1"/>
  <c r="N108" i="472" s="1"/>
  <c r="L104" i="472"/>
  <c r="M104" i="472" s="1"/>
  <c r="N104" i="472" s="1"/>
  <c r="L99" i="472"/>
  <c r="M99" i="472" s="1"/>
  <c r="N99" i="472" s="1"/>
  <c r="L164" i="472"/>
  <c r="M164" i="472" s="1"/>
  <c r="N164" i="472" s="1"/>
  <c r="L160" i="472"/>
  <c r="M160" i="472" s="1"/>
  <c r="N160" i="472" s="1"/>
  <c r="L156" i="472"/>
  <c r="M156" i="472" s="1"/>
  <c r="N156" i="472" s="1"/>
  <c r="L152" i="472"/>
  <c r="M152" i="472" s="1"/>
  <c r="N152" i="472" s="1"/>
  <c r="L98" i="472"/>
  <c r="M98" i="472" s="1"/>
  <c r="N98" i="472" s="1"/>
  <c r="L72" i="472"/>
  <c r="M72" i="472" s="1"/>
  <c r="N72" i="472" s="1"/>
  <c r="L97" i="472"/>
  <c r="M97" i="472" s="1"/>
  <c r="N97" i="472" s="1"/>
  <c r="L93" i="472"/>
  <c r="M93" i="472" s="1"/>
  <c r="N93" i="472" s="1"/>
  <c r="L89" i="472"/>
  <c r="M89" i="472" s="1"/>
  <c r="N89" i="472" s="1"/>
  <c r="L85" i="472"/>
  <c r="M85" i="472" s="1"/>
  <c r="N85" i="472" s="1"/>
  <c r="L81" i="472"/>
  <c r="M81" i="472" s="1"/>
  <c r="N81" i="472" s="1"/>
  <c r="L75" i="472"/>
  <c r="M75" i="472" s="1"/>
  <c r="N75" i="472" s="1"/>
  <c r="L67" i="472"/>
  <c r="M67" i="472" s="1"/>
  <c r="N67" i="472" s="1"/>
  <c r="L62" i="472"/>
  <c r="M62" i="472" s="1"/>
  <c r="N62" i="472" s="1"/>
  <c r="L58" i="472"/>
  <c r="M58" i="472" s="1"/>
  <c r="N58" i="472" s="1"/>
  <c r="L54" i="472"/>
  <c r="M54" i="472" s="1"/>
  <c r="N54" i="472" s="1"/>
  <c r="L50" i="472"/>
  <c r="M50" i="472" s="1"/>
  <c r="N50" i="472" s="1"/>
  <c r="L46" i="472"/>
  <c r="M46" i="472" s="1"/>
  <c r="N46" i="472" s="1"/>
  <c r="L29" i="472"/>
  <c r="M29" i="472" s="1"/>
  <c r="N29" i="472" s="1"/>
  <c r="L43" i="472"/>
  <c r="M43" i="472" s="1"/>
  <c r="N43" i="472" s="1"/>
  <c r="L39" i="472"/>
  <c r="M39" i="472" s="1"/>
  <c r="N39" i="472" s="1"/>
  <c r="L35" i="472"/>
  <c r="M35" i="472" s="1"/>
  <c r="N35" i="472" s="1"/>
  <c r="L28" i="472"/>
  <c r="M28" i="472" s="1"/>
  <c r="N28" i="472" s="1"/>
  <c r="L22" i="472"/>
  <c r="M22" i="472" s="1"/>
  <c r="N22" i="472" s="1"/>
  <c r="L18" i="472"/>
  <c r="M18" i="472" s="1"/>
  <c r="N18" i="472" s="1"/>
  <c r="L14" i="472"/>
  <c r="M14" i="472" s="1"/>
  <c r="N14" i="472" s="1"/>
  <c r="L10" i="472"/>
  <c r="M10" i="472" s="1"/>
  <c r="N10" i="472" s="1"/>
  <c r="L6" i="472"/>
  <c r="M6" i="472" s="1"/>
  <c r="N6" i="472" s="1"/>
  <c r="L2" i="472"/>
  <c r="L203" i="472"/>
  <c r="M203" i="472" s="1"/>
  <c r="N203" i="472" s="1"/>
  <c r="L207" i="472"/>
  <c r="M207" i="472" s="1"/>
  <c r="N207" i="472" s="1"/>
  <c r="L173" i="472"/>
  <c r="M173" i="472" s="1"/>
  <c r="N173" i="472" s="1"/>
  <c r="L177" i="472"/>
  <c r="M177" i="472" s="1"/>
  <c r="N177" i="472" s="1"/>
  <c r="L181" i="472"/>
  <c r="M181" i="472" s="1"/>
  <c r="N181" i="472" s="1"/>
  <c r="L185" i="472"/>
  <c r="M185" i="472" s="1"/>
  <c r="N185" i="472" s="1"/>
  <c r="L189" i="472"/>
  <c r="M189" i="472" s="1"/>
  <c r="N189" i="472" s="1"/>
  <c r="L193" i="472"/>
  <c r="M193" i="472" s="1"/>
  <c r="N193" i="472" s="1"/>
  <c r="L197" i="472"/>
  <c r="M197" i="472" s="1"/>
  <c r="N197" i="472" s="1"/>
  <c r="L147" i="472"/>
  <c r="M147" i="472" s="1"/>
  <c r="N147" i="472" s="1"/>
  <c r="L143" i="472"/>
  <c r="M143" i="472" s="1"/>
  <c r="N143" i="472" s="1"/>
  <c r="L139" i="472"/>
  <c r="M139" i="472" s="1"/>
  <c r="N139" i="472" s="1"/>
  <c r="L135" i="472"/>
  <c r="M135" i="472" s="1"/>
  <c r="N135" i="472" s="1"/>
  <c r="L131" i="472"/>
  <c r="M131" i="472" s="1"/>
  <c r="N131" i="472" s="1"/>
  <c r="L127" i="472"/>
  <c r="M127" i="472" s="1"/>
  <c r="N127" i="472" s="1"/>
  <c r="L123" i="472"/>
  <c r="M123" i="472" s="1"/>
  <c r="N123" i="472" s="1"/>
  <c r="L119" i="472"/>
  <c r="M119" i="472" s="1"/>
  <c r="N119" i="472" s="1"/>
  <c r="L115" i="472"/>
  <c r="M115" i="472" s="1"/>
  <c r="N115" i="472" s="1"/>
  <c r="L111" i="472"/>
  <c r="M111" i="472" s="1"/>
  <c r="N111" i="472" s="1"/>
  <c r="L107" i="472"/>
  <c r="M107" i="472" s="1"/>
  <c r="N107" i="472" s="1"/>
  <c r="L103" i="472"/>
  <c r="M103" i="472" s="1"/>
  <c r="N103" i="472" s="1"/>
  <c r="L167" i="472"/>
  <c r="M167" i="472" s="1"/>
  <c r="N167" i="472" s="1"/>
  <c r="L163" i="472"/>
  <c r="M163" i="472" s="1"/>
  <c r="N163" i="472" s="1"/>
  <c r="L159" i="472"/>
  <c r="M159" i="472" s="1"/>
  <c r="N159" i="472" s="1"/>
  <c r="L155" i="472"/>
  <c r="M155" i="472" s="1"/>
  <c r="N155" i="472" s="1"/>
  <c r="L150" i="472"/>
  <c r="M150" i="472" s="1"/>
  <c r="N150" i="472" s="1"/>
  <c r="L78" i="472"/>
  <c r="M78" i="472" s="1"/>
  <c r="N78" i="472" s="1"/>
  <c r="L70" i="472"/>
  <c r="M70" i="472" s="1"/>
  <c r="N70" i="472" s="1"/>
  <c r="L96" i="472"/>
  <c r="M96" i="472" s="1"/>
  <c r="N96" i="472" s="1"/>
  <c r="L92" i="472"/>
  <c r="M92" i="472" s="1"/>
  <c r="N92" i="472" s="1"/>
  <c r="L88" i="472"/>
  <c r="M88" i="472" s="1"/>
  <c r="N88" i="472" s="1"/>
  <c r="L84" i="472"/>
  <c r="M84" i="472" s="1"/>
  <c r="N84" i="472" s="1"/>
  <c r="L80" i="472"/>
  <c r="M80" i="472" s="1"/>
  <c r="N80" i="472" s="1"/>
  <c r="L73" i="472"/>
  <c r="M73" i="472" s="1"/>
  <c r="N73" i="472" s="1"/>
  <c r="L65" i="472"/>
  <c r="M65" i="472" s="1"/>
  <c r="N65" i="472" s="1"/>
  <c r="L61" i="472"/>
  <c r="M61" i="472" s="1"/>
  <c r="N61" i="472" s="1"/>
  <c r="L57" i="472"/>
  <c r="M57" i="472" s="1"/>
  <c r="N57" i="472" s="1"/>
  <c r="L53" i="472"/>
  <c r="M53" i="472" s="1"/>
  <c r="N53" i="472" s="1"/>
  <c r="L49" i="472"/>
  <c r="M49" i="472" s="1"/>
  <c r="N49" i="472" s="1"/>
  <c r="L45" i="472"/>
  <c r="M45" i="472" s="1"/>
  <c r="N45" i="472" s="1"/>
  <c r="L27" i="472"/>
  <c r="M27" i="472" s="1"/>
  <c r="N27" i="472" s="1"/>
  <c r="L42" i="472"/>
  <c r="M42" i="472" s="1"/>
  <c r="N42" i="472" s="1"/>
  <c r="L38" i="472"/>
  <c r="M38" i="472" s="1"/>
  <c r="N38" i="472" s="1"/>
  <c r="L34" i="472"/>
  <c r="M34" i="472" s="1"/>
  <c r="N34" i="472" s="1"/>
  <c r="L26" i="472"/>
  <c r="M26" i="472" s="1"/>
  <c r="N26" i="472" s="1"/>
  <c r="L21" i="472"/>
  <c r="M21" i="472" s="1"/>
  <c r="N21" i="472" s="1"/>
  <c r="L17" i="472"/>
  <c r="M17" i="472" s="1"/>
  <c r="N17" i="472" s="1"/>
  <c r="L13" i="472"/>
  <c r="M13" i="472" s="1"/>
  <c r="N13" i="472" s="1"/>
  <c r="L9" i="472"/>
  <c r="M9" i="472" s="1"/>
  <c r="N9" i="472" s="1"/>
  <c r="L5" i="472"/>
  <c r="M5" i="472" s="1"/>
  <c r="N5" i="472" s="1"/>
  <c r="L200" i="472"/>
  <c r="M200" i="472" s="1"/>
  <c r="N200" i="472" s="1"/>
  <c r="L204" i="472"/>
  <c r="M204" i="472" s="1"/>
  <c r="N204" i="472" s="1"/>
  <c r="L208" i="472"/>
  <c r="M208" i="472" s="1"/>
  <c r="N208" i="472" s="1"/>
  <c r="L174" i="472"/>
  <c r="M174" i="472" s="1"/>
  <c r="N174" i="472" s="1"/>
  <c r="L178" i="472"/>
  <c r="M178" i="472" s="1"/>
  <c r="N178" i="472" s="1"/>
  <c r="L182" i="472"/>
  <c r="M182" i="472" s="1"/>
  <c r="N182" i="472" s="1"/>
  <c r="L186" i="472"/>
  <c r="M186" i="472" s="1"/>
  <c r="N186" i="472" s="1"/>
  <c r="L190" i="472"/>
  <c r="M190" i="472" s="1"/>
  <c r="N190" i="472" s="1"/>
  <c r="L194" i="472"/>
  <c r="M194" i="472" s="1"/>
  <c r="N194" i="472" s="1"/>
  <c r="L198" i="472"/>
  <c r="M198" i="472" s="1"/>
  <c r="N198" i="472" s="1"/>
  <c r="L212" i="472"/>
  <c r="M212" i="472" s="1"/>
  <c r="N212" i="472" s="1"/>
  <c r="L216" i="472"/>
  <c r="M216" i="472" s="1"/>
  <c r="N216" i="472" s="1"/>
  <c r="L220" i="472"/>
  <c r="M220" i="472" s="1"/>
  <c r="N220" i="472" s="1"/>
  <c r="L236" i="472"/>
  <c r="M236" i="472" s="1"/>
  <c r="N236" i="472" s="1"/>
  <c r="L240" i="472"/>
  <c r="M240" i="472" s="1"/>
  <c r="N240" i="472" s="1"/>
  <c r="L247" i="472"/>
  <c r="M247" i="472" s="1"/>
  <c r="N247" i="472" s="1"/>
  <c r="L146" i="472"/>
  <c r="M146" i="472" s="1"/>
  <c r="N146" i="472" s="1"/>
  <c r="L142" i="472"/>
  <c r="M142" i="472" s="1"/>
  <c r="N142" i="472" s="1"/>
  <c r="L138" i="472"/>
  <c r="M138" i="472" s="1"/>
  <c r="N138" i="472" s="1"/>
  <c r="L134" i="472"/>
  <c r="M134" i="472" s="1"/>
  <c r="N134" i="472" s="1"/>
  <c r="L130" i="472"/>
  <c r="M130" i="472" s="1"/>
  <c r="N130" i="472" s="1"/>
  <c r="L126" i="472"/>
  <c r="M126" i="472" s="1"/>
  <c r="N126" i="472" s="1"/>
  <c r="L122" i="472"/>
  <c r="M122" i="472" s="1"/>
  <c r="N122" i="472" s="1"/>
  <c r="L118" i="472"/>
  <c r="M118" i="472" s="1"/>
  <c r="N118" i="472" s="1"/>
  <c r="L114" i="472"/>
  <c r="M114" i="472" s="1"/>
  <c r="N114" i="472" s="1"/>
  <c r="L110" i="472"/>
  <c r="M110" i="472" s="1"/>
  <c r="N110" i="472" s="1"/>
  <c r="L106" i="472"/>
  <c r="M106" i="472" s="1"/>
  <c r="N106" i="472" s="1"/>
  <c r="L151" i="472"/>
  <c r="M151" i="472" s="1"/>
  <c r="N151" i="472" s="1"/>
  <c r="L166" i="472"/>
  <c r="M166" i="472" s="1"/>
  <c r="N166" i="472" s="1"/>
  <c r="L162" i="472"/>
  <c r="M162" i="472" s="1"/>
  <c r="N162" i="472" s="1"/>
  <c r="L158" i="472"/>
  <c r="M158" i="472" s="1"/>
  <c r="N158" i="472" s="1"/>
  <c r="L154" i="472"/>
  <c r="M154" i="472" s="1"/>
  <c r="N154" i="472" s="1"/>
  <c r="L102" i="472"/>
  <c r="M102" i="472" s="1"/>
  <c r="N102" i="472" s="1"/>
  <c r="L76" i="472"/>
  <c r="M76" i="472" s="1"/>
  <c r="N76" i="472" s="1"/>
  <c r="L68" i="472"/>
  <c r="M68" i="472" s="1"/>
  <c r="N68" i="472" s="1"/>
  <c r="L95" i="472"/>
  <c r="M95" i="472" s="1"/>
  <c r="N95" i="472" s="1"/>
  <c r="L91" i="472"/>
  <c r="M91" i="472" s="1"/>
  <c r="N91" i="472" s="1"/>
  <c r="L87" i="472"/>
  <c r="M87" i="472" s="1"/>
  <c r="N87" i="472" s="1"/>
  <c r="L83" i="472"/>
  <c r="M83" i="472" s="1"/>
  <c r="N83" i="472" s="1"/>
  <c r="L79" i="472"/>
  <c r="M79" i="472" s="1"/>
  <c r="N79" i="472" s="1"/>
  <c r="L71" i="472"/>
  <c r="M71" i="472" s="1"/>
  <c r="N71" i="472" s="1"/>
  <c r="L64" i="472"/>
  <c r="M64" i="472" s="1"/>
  <c r="N64" i="472" s="1"/>
  <c r="L60" i="472"/>
  <c r="M60" i="472" s="1"/>
  <c r="N60" i="472" s="1"/>
  <c r="L56" i="472"/>
  <c r="M56" i="472" s="1"/>
  <c r="N56" i="472" s="1"/>
  <c r="L52" i="472"/>
  <c r="M52" i="472" s="1"/>
  <c r="N52" i="472" s="1"/>
  <c r="L48" i="472"/>
  <c r="M48" i="472" s="1"/>
  <c r="N48" i="472" s="1"/>
  <c r="L33" i="472"/>
  <c r="M33" i="472" s="1"/>
  <c r="N33" i="472" s="1"/>
  <c r="L25" i="472"/>
  <c r="M25" i="472" s="1"/>
  <c r="N25" i="472" s="1"/>
  <c r="L41" i="472"/>
  <c r="M41" i="472" s="1"/>
  <c r="N41" i="472" s="1"/>
  <c r="L37" i="472"/>
  <c r="M37" i="472" s="1"/>
  <c r="N37" i="472" s="1"/>
  <c r="L32" i="472"/>
  <c r="M32" i="472" s="1"/>
  <c r="N32" i="472" s="1"/>
  <c r="L24" i="472"/>
  <c r="M24" i="472" s="1"/>
  <c r="N24" i="472" s="1"/>
  <c r="L20" i="472"/>
  <c r="M20" i="472" s="1"/>
  <c r="N20" i="472" s="1"/>
  <c r="L16" i="472"/>
  <c r="M16" i="472" s="1"/>
  <c r="N16" i="472" s="1"/>
  <c r="L12" i="472"/>
  <c r="M12" i="472" s="1"/>
  <c r="N12" i="472" s="1"/>
  <c r="L8" i="472"/>
  <c r="M8" i="472" s="1"/>
  <c r="N8" i="472" s="1"/>
  <c r="L4" i="472"/>
  <c r="M4" i="472" s="1"/>
  <c r="N4" i="472" s="1"/>
  <c r="L201" i="472"/>
  <c r="M201" i="472" s="1"/>
  <c r="N201" i="472" s="1"/>
  <c r="L205" i="472"/>
  <c r="M205" i="472" s="1"/>
  <c r="N205" i="472" s="1"/>
  <c r="L209" i="472"/>
  <c r="M209" i="472" s="1"/>
  <c r="N209" i="472" s="1"/>
  <c r="L246" i="472"/>
  <c r="M246" i="472" s="1"/>
  <c r="N246" i="472" s="1"/>
  <c r="L171" i="472"/>
  <c r="M171" i="472" s="1"/>
  <c r="N171" i="472" s="1"/>
  <c r="L175" i="472"/>
  <c r="M175" i="472" s="1"/>
  <c r="N175" i="472" s="1"/>
  <c r="L179" i="472"/>
  <c r="M179" i="472" s="1"/>
  <c r="N179" i="472" s="1"/>
  <c r="L183" i="472"/>
  <c r="M183" i="472" s="1"/>
  <c r="N183" i="472" s="1"/>
  <c r="L187" i="472"/>
  <c r="M187" i="472" s="1"/>
  <c r="N187" i="472" s="1"/>
  <c r="L191" i="472"/>
  <c r="M191" i="472" s="1"/>
  <c r="N191" i="472" s="1"/>
  <c r="L195" i="472"/>
  <c r="M195" i="472" s="1"/>
  <c r="N195" i="472" s="1"/>
  <c r="L217" i="472"/>
  <c r="M217" i="472" s="1"/>
  <c r="N217" i="472" s="1"/>
  <c r="L221" i="472"/>
  <c r="M221" i="472" s="1"/>
  <c r="N221" i="472" s="1"/>
  <c r="L149" i="472"/>
  <c r="M149" i="472" s="1"/>
  <c r="N149" i="472" s="1"/>
  <c r="L145" i="472"/>
  <c r="M145" i="472" s="1"/>
  <c r="N145" i="472" s="1"/>
  <c r="L141" i="472"/>
  <c r="M141" i="472" s="1"/>
  <c r="N141" i="472" s="1"/>
  <c r="L137" i="472"/>
  <c r="M137" i="472" s="1"/>
  <c r="N137" i="472" s="1"/>
  <c r="L133" i="472"/>
  <c r="M133" i="472" s="1"/>
  <c r="N133" i="472" s="1"/>
  <c r="L129" i="472"/>
  <c r="M129" i="472" s="1"/>
  <c r="N129" i="472" s="1"/>
  <c r="L125" i="472"/>
  <c r="M125" i="472" s="1"/>
  <c r="N125" i="472" s="1"/>
  <c r="L121" i="472"/>
  <c r="M121" i="472" s="1"/>
  <c r="N121" i="472" s="1"/>
  <c r="L117" i="472"/>
  <c r="M117" i="472" s="1"/>
  <c r="N117" i="472" s="1"/>
  <c r="L113" i="472"/>
  <c r="M113" i="472" s="1"/>
  <c r="N113" i="472" s="1"/>
  <c r="L109" i="472"/>
  <c r="M109" i="472" s="1"/>
  <c r="N109" i="472" s="1"/>
  <c r="L105" i="472"/>
  <c r="M105" i="472" s="1"/>
  <c r="N105" i="472" s="1"/>
  <c r="L101" i="472"/>
  <c r="M101" i="472" s="1"/>
  <c r="N101" i="472" s="1"/>
  <c r="L165" i="472"/>
  <c r="M165" i="472" s="1"/>
  <c r="N165" i="472" s="1"/>
  <c r="L161" i="472"/>
  <c r="M161" i="472" s="1"/>
  <c r="N161" i="472" s="1"/>
  <c r="L157" i="472"/>
  <c r="M157" i="472" s="1"/>
  <c r="N157" i="472" s="1"/>
  <c r="L153" i="472"/>
  <c r="M153" i="472" s="1"/>
  <c r="N153" i="472" s="1"/>
  <c r="L100" i="472"/>
  <c r="M100" i="472" s="1"/>
  <c r="N100" i="472" s="1"/>
  <c r="L74" i="472"/>
  <c r="M74" i="472" s="1"/>
  <c r="N74" i="472" s="1"/>
  <c r="L66" i="472"/>
  <c r="M66" i="472" s="1"/>
  <c r="N66" i="472" s="1"/>
  <c r="L94" i="472"/>
  <c r="M94" i="472" s="1"/>
  <c r="N94" i="472" s="1"/>
  <c r="L90" i="472"/>
  <c r="M90" i="472" s="1"/>
  <c r="N90" i="472" s="1"/>
  <c r="L86" i="472"/>
  <c r="M86" i="472" s="1"/>
  <c r="N86" i="472" s="1"/>
  <c r="L82" i="472"/>
  <c r="M82" i="472" s="1"/>
  <c r="N82" i="472" s="1"/>
  <c r="L77" i="472"/>
  <c r="M77" i="472" s="1"/>
  <c r="N77" i="472" s="1"/>
  <c r="L69" i="472"/>
  <c r="M69" i="472" s="1"/>
  <c r="N69" i="472" s="1"/>
  <c r="L63" i="472"/>
  <c r="M63" i="472" s="1"/>
  <c r="N63" i="472" s="1"/>
  <c r="L59" i="472"/>
  <c r="M59" i="472" s="1"/>
  <c r="N59" i="472" s="1"/>
  <c r="L55" i="472"/>
  <c r="M55" i="472" s="1"/>
  <c r="N55" i="472" s="1"/>
  <c r="L51" i="472"/>
  <c r="M51" i="472" s="1"/>
  <c r="N51" i="472" s="1"/>
  <c r="L47" i="472"/>
  <c r="M47" i="472" s="1"/>
  <c r="N47" i="472" s="1"/>
  <c r="L31" i="472"/>
  <c r="M31" i="472" s="1"/>
  <c r="N31" i="472" s="1"/>
  <c r="L44" i="472"/>
  <c r="M44" i="472" s="1"/>
  <c r="N44" i="472" s="1"/>
  <c r="L40" i="472"/>
  <c r="M40" i="472" s="1"/>
  <c r="N40" i="472" s="1"/>
  <c r="L36" i="472"/>
  <c r="M36" i="472" s="1"/>
  <c r="N36" i="472" s="1"/>
  <c r="L30" i="472"/>
  <c r="M30" i="472" s="1"/>
  <c r="N30" i="472" s="1"/>
  <c r="L23" i="472"/>
  <c r="M23" i="472" s="1"/>
  <c r="N23" i="472" s="1"/>
  <c r="L19" i="472"/>
  <c r="M19" i="472" s="1"/>
  <c r="N19" i="472" s="1"/>
  <c r="L15" i="472"/>
  <c r="M15" i="472" s="1"/>
  <c r="N15" i="472" s="1"/>
  <c r="L11" i="472"/>
  <c r="M11" i="472" s="1"/>
  <c r="N11" i="472" s="1"/>
  <c r="L7" i="472"/>
  <c r="M7" i="472" s="1"/>
  <c r="N7" i="472" s="1"/>
  <c r="L3" i="472"/>
  <c r="M3" i="472" s="1"/>
  <c r="N3" i="472" s="1"/>
  <c r="L202" i="472"/>
  <c r="M202" i="472" s="1"/>
  <c r="N202" i="472" s="1"/>
  <c r="L206" i="472"/>
  <c r="M206" i="472" s="1"/>
  <c r="N206" i="472" s="1"/>
  <c r="L210" i="472"/>
  <c r="M210" i="472" s="1"/>
  <c r="N210" i="472" s="1"/>
  <c r="L172" i="472"/>
  <c r="M172" i="472" s="1"/>
  <c r="N172" i="472" s="1"/>
  <c r="L176" i="472"/>
  <c r="M176" i="472" s="1"/>
  <c r="N176" i="472" s="1"/>
  <c r="L180" i="472"/>
  <c r="M180" i="472" s="1"/>
  <c r="N180" i="472" s="1"/>
  <c r="L184" i="472"/>
  <c r="M184" i="472" s="1"/>
  <c r="N184" i="472" s="1"/>
  <c r="L188" i="472"/>
  <c r="M188" i="472" s="1"/>
  <c r="N188" i="472" s="1"/>
  <c r="L192" i="472"/>
  <c r="M192" i="472" s="1"/>
  <c r="N192" i="472" s="1"/>
  <c r="L196" i="472"/>
  <c r="M196" i="472" s="1"/>
  <c r="N196" i="472" s="1"/>
  <c r="L223" i="471"/>
  <c r="M223" i="471" s="1"/>
  <c r="N223" i="471" s="1"/>
  <c r="L219" i="471"/>
  <c r="M219" i="471" s="1"/>
  <c r="N219" i="471" s="1"/>
  <c r="L228" i="471"/>
  <c r="M228" i="471" s="1"/>
  <c r="N228" i="471" s="1"/>
  <c r="L217" i="471"/>
  <c r="M217" i="471" s="1"/>
  <c r="N217" i="471" s="1"/>
  <c r="L220" i="471"/>
  <c r="M220" i="471" s="1"/>
  <c r="N220" i="471" s="1"/>
  <c r="L221" i="471"/>
  <c r="M221" i="471" s="1"/>
  <c r="N221" i="471" s="1"/>
  <c r="L224" i="471"/>
  <c r="M224" i="471" s="1"/>
  <c r="N224" i="471" s="1"/>
  <c r="L226" i="471"/>
  <c r="M226" i="471" s="1"/>
  <c r="N226" i="471" s="1"/>
  <c r="L225" i="471"/>
  <c r="M225" i="471" s="1"/>
  <c r="N225" i="471" s="1"/>
  <c r="L230" i="471"/>
  <c r="M230" i="471" s="1"/>
  <c r="N230" i="471" s="1"/>
  <c r="L227" i="471"/>
  <c r="M227" i="471" s="1"/>
  <c r="N227" i="471" s="1"/>
  <c r="L232" i="471"/>
  <c r="M232" i="471" s="1"/>
  <c r="N232" i="471" s="1"/>
  <c r="L237" i="471"/>
  <c r="M237" i="471" s="1"/>
  <c r="N237" i="471" s="1"/>
  <c r="L243" i="471"/>
  <c r="M243" i="471" s="1"/>
  <c r="N243" i="471" s="1"/>
  <c r="L165" i="471"/>
  <c r="M165" i="471" s="1"/>
  <c r="N165" i="471" s="1"/>
  <c r="L213" i="471"/>
  <c r="M213" i="471" s="1"/>
  <c r="N213" i="471" s="1"/>
  <c r="L209" i="471"/>
  <c r="M209" i="471" s="1"/>
  <c r="N209" i="471" s="1"/>
  <c r="L205" i="471"/>
  <c r="M205" i="471" s="1"/>
  <c r="N205" i="471" s="1"/>
  <c r="L201" i="471"/>
  <c r="M201" i="471" s="1"/>
  <c r="N201" i="471" s="1"/>
  <c r="L197" i="471"/>
  <c r="M197" i="471" s="1"/>
  <c r="N197" i="471" s="1"/>
  <c r="L193" i="471"/>
  <c r="M193" i="471" s="1"/>
  <c r="N193" i="471" s="1"/>
  <c r="L189" i="471"/>
  <c r="M189" i="471" s="1"/>
  <c r="N189" i="471" s="1"/>
  <c r="L185" i="471"/>
  <c r="M185" i="471" s="1"/>
  <c r="N185" i="471" s="1"/>
  <c r="L181" i="471"/>
  <c r="M181" i="471" s="1"/>
  <c r="N181" i="471" s="1"/>
  <c r="L177" i="471"/>
  <c r="M177" i="471" s="1"/>
  <c r="N177" i="471" s="1"/>
  <c r="L172" i="471"/>
  <c r="M172" i="471" s="1"/>
  <c r="N172" i="471" s="1"/>
  <c r="L164" i="471"/>
  <c r="M164" i="471" s="1"/>
  <c r="N164" i="471" s="1"/>
  <c r="L161" i="471"/>
  <c r="M161" i="471" s="1"/>
  <c r="N161" i="471" s="1"/>
  <c r="L157" i="471"/>
  <c r="M157" i="471" s="1"/>
  <c r="N157" i="471" s="1"/>
  <c r="L153" i="471"/>
  <c r="M153" i="471" s="1"/>
  <c r="N153" i="471" s="1"/>
  <c r="L149" i="471"/>
  <c r="M149" i="471" s="1"/>
  <c r="N149" i="471" s="1"/>
  <c r="L145" i="471"/>
  <c r="M145" i="471" s="1"/>
  <c r="N145" i="471" s="1"/>
  <c r="L141" i="471"/>
  <c r="M141" i="471" s="1"/>
  <c r="N141" i="471" s="1"/>
  <c r="L44" i="471"/>
  <c r="M44" i="471" s="1"/>
  <c r="N44" i="471" s="1"/>
  <c r="L140" i="471"/>
  <c r="M140" i="471" s="1"/>
  <c r="N140" i="471" s="1"/>
  <c r="L136" i="471"/>
  <c r="M136" i="471" s="1"/>
  <c r="N136" i="471" s="1"/>
  <c r="L132" i="471"/>
  <c r="M132" i="471" s="1"/>
  <c r="N132" i="471" s="1"/>
  <c r="L128" i="471"/>
  <c r="M128" i="471" s="1"/>
  <c r="N128" i="471" s="1"/>
  <c r="L124" i="471"/>
  <c r="M124" i="471" s="1"/>
  <c r="N124" i="471" s="1"/>
  <c r="L120" i="471"/>
  <c r="M120" i="471" s="1"/>
  <c r="N120" i="471" s="1"/>
  <c r="L116" i="471"/>
  <c r="M116" i="471" s="1"/>
  <c r="N116" i="471" s="1"/>
  <c r="L112" i="471"/>
  <c r="M112" i="471" s="1"/>
  <c r="N112" i="471" s="1"/>
  <c r="L108" i="471"/>
  <c r="M108" i="471" s="1"/>
  <c r="N108" i="471" s="1"/>
  <c r="L104" i="471"/>
  <c r="M104" i="471" s="1"/>
  <c r="N104" i="471" s="1"/>
  <c r="L99" i="471"/>
  <c r="M99" i="471" s="1"/>
  <c r="N99" i="471" s="1"/>
  <c r="L95" i="471"/>
  <c r="M95" i="471" s="1"/>
  <c r="N95" i="471" s="1"/>
  <c r="L91" i="471"/>
  <c r="M91" i="471" s="1"/>
  <c r="N91" i="471" s="1"/>
  <c r="L74" i="471"/>
  <c r="M74" i="471" s="1"/>
  <c r="N74" i="471" s="1"/>
  <c r="L85" i="471"/>
  <c r="M85" i="471" s="1"/>
  <c r="N85" i="471" s="1"/>
  <c r="L81" i="471"/>
  <c r="M81" i="471" s="1"/>
  <c r="N81" i="471" s="1"/>
  <c r="L77" i="471"/>
  <c r="M77" i="471" s="1"/>
  <c r="N77" i="471" s="1"/>
  <c r="L65" i="471"/>
  <c r="M65" i="471" s="1"/>
  <c r="N65" i="471" s="1"/>
  <c r="L61" i="471"/>
  <c r="M61" i="471" s="1"/>
  <c r="N61" i="471" s="1"/>
  <c r="L57" i="471"/>
  <c r="M57" i="471" s="1"/>
  <c r="N57" i="471" s="1"/>
  <c r="L53" i="471"/>
  <c r="M53" i="471" s="1"/>
  <c r="N53" i="471" s="1"/>
  <c r="L49" i="471"/>
  <c r="M49" i="471" s="1"/>
  <c r="N49" i="471" s="1"/>
  <c r="L45" i="471"/>
  <c r="M45" i="471" s="1"/>
  <c r="N45" i="471" s="1"/>
  <c r="L40" i="471"/>
  <c r="M40" i="471" s="1"/>
  <c r="N40" i="471" s="1"/>
  <c r="L36" i="471"/>
  <c r="M36" i="471" s="1"/>
  <c r="N36" i="471" s="1"/>
  <c r="L32" i="471"/>
  <c r="M32" i="471" s="1"/>
  <c r="N32" i="471" s="1"/>
  <c r="L28" i="471"/>
  <c r="M28" i="471" s="1"/>
  <c r="N28" i="471" s="1"/>
  <c r="L24" i="471"/>
  <c r="M24" i="471" s="1"/>
  <c r="N24" i="471" s="1"/>
  <c r="L20" i="471"/>
  <c r="M20" i="471" s="1"/>
  <c r="N20" i="471" s="1"/>
  <c r="L16" i="471"/>
  <c r="M16" i="471" s="1"/>
  <c r="N16" i="471" s="1"/>
  <c r="L12" i="471"/>
  <c r="M12" i="471" s="1"/>
  <c r="N12" i="471" s="1"/>
  <c r="L8" i="471"/>
  <c r="M8" i="471" s="1"/>
  <c r="N8" i="471" s="1"/>
  <c r="L4" i="471"/>
  <c r="M4" i="471" s="1"/>
  <c r="N4" i="471" s="1"/>
  <c r="L236" i="471"/>
  <c r="M236" i="471" s="1"/>
  <c r="N236" i="471" s="1"/>
  <c r="L242" i="471"/>
  <c r="M242" i="471" s="1"/>
  <c r="N242" i="471" s="1"/>
  <c r="L231" i="471"/>
  <c r="M231" i="471" s="1"/>
  <c r="N231" i="471" s="1"/>
  <c r="L238" i="471"/>
  <c r="M238" i="471" s="1"/>
  <c r="N238" i="471" s="1"/>
  <c r="L244" i="471"/>
  <c r="M244" i="471" s="1"/>
  <c r="N244" i="471" s="1"/>
  <c r="L167" i="471"/>
  <c r="M167" i="471" s="1"/>
  <c r="N167" i="471" s="1"/>
  <c r="L218" i="471"/>
  <c r="M218" i="471" s="1"/>
  <c r="N218" i="471" s="1"/>
  <c r="L222" i="471"/>
  <c r="M222" i="471" s="1"/>
  <c r="N222" i="471" s="1"/>
  <c r="L173" i="471"/>
  <c r="M173" i="471" s="1"/>
  <c r="N173" i="471" s="1"/>
  <c r="L247" i="471"/>
  <c r="M247" i="471" s="1"/>
  <c r="N247" i="471" s="1"/>
  <c r="L212" i="471"/>
  <c r="M212" i="471" s="1"/>
  <c r="N212" i="471" s="1"/>
  <c r="L208" i="471"/>
  <c r="M208" i="471" s="1"/>
  <c r="N208" i="471" s="1"/>
  <c r="L204" i="471"/>
  <c r="M204" i="471" s="1"/>
  <c r="N204" i="471" s="1"/>
  <c r="L200" i="471"/>
  <c r="M200" i="471" s="1"/>
  <c r="N200" i="471" s="1"/>
  <c r="L196" i="471"/>
  <c r="M196" i="471" s="1"/>
  <c r="N196" i="471" s="1"/>
  <c r="L192" i="471"/>
  <c r="M192" i="471" s="1"/>
  <c r="N192" i="471" s="1"/>
  <c r="L188" i="471"/>
  <c r="M188" i="471" s="1"/>
  <c r="N188" i="471" s="1"/>
  <c r="L184" i="471"/>
  <c r="M184" i="471" s="1"/>
  <c r="N184" i="471" s="1"/>
  <c r="L180" i="471"/>
  <c r="M180" i="471" s="1"/>
  <c r="N180" i="471" s="1"/>
  <c r="L176" i="471"/>
  <c r="M176" i="471" s="1"/>
  <c r="N176" i="471" s="1"/>
  <c r="L170" i="471"/>
  <c r="M170" i="471" s="1"/>
  <c r="N170" i="471" s="1"/>
  <c r="L72" i="471"/>
  <c r="M72" i="471" s="1"/>
  <c r="N72" i="471" s="1"/>
  <c r="L160" i="471"/>
  <c r="M160" i="471" s="1"/>
  <c r="N160" i="471" s="1"/>
  <c r="L156" i="471"/>
  <c r="M156" i="471" s="1"/>
  <c r="N156" i="471" s="1"/>
  <c r="L152" i="471"/>
  <c r="M152" i="471" s="1"/>
  <c r="N152" i="471" s="1"/>
  <c r="L148" i="471"/>
  <c r="M148" i="471" s="1"/>
  <c r="N148" i="471" s="1"/>
  <c r="L144" i="471"/>
  <c r="M144" i="471" s="1"/>
  <c r="N144" i="471" s="1"/>
  <c r="L68" i="471"/>
  <c r="M68" i="471" s="1"/>
  <c r="N68" i="471" s="1"/>
  <c r="L103" i="471"/>
  <c r="M103" i="471" s="1"/>
  <c r="N103" i="471" s="1"/>
  <c r="L139" i="471"/>
  <c r="M139" i="471" s="1"/>
  <c r="N139" i="471" s="1"/>
  <c r="L135" i="471"/>
  <c r="M135" i="471" s="1"/>
  <c r="N135" i="471" s="1"/>
  <c r="L131" i="471"/>
  <c r="M131" i="471" s="1"/>
  <c r="N131" i="471" s="1"/>
  <c r="L127" i="471"/>
  <c r="M127" i="471" s="1"/>
  <c r="N127" i="471" s="1"/>
  <c r="L123" i="471"/>
  <c r="M123" i="471" s="1"/>
  <c r="N123" i="471" s="1"/>
  <c r="L119" i="471"/>
  <c r="M119" i="471" s="1"/>
  <c r="N119" i="471" s="1"/>
  <c r="L115" i="471"/>
  <c r="M115" i="471" s="1"/>
  <c r="N115" i="471" s="1"/>
  <c r="L111" i="471"/>
  <c r="M111" i="471" s="1"/>
  <c r="N111" i="471" s="1"/>
  <c r="L107" i="471"/>
  <c r="M107" i="471" s="1"/>
  <c r="N107" i="471" s="1"/>
  <c r="L102" i="471"/>
  <c r="M102" i="471" s="1"/>
  <c r="N102" i="471" s="1"/>
  <c r="L98" i="471"/>
  <c r="M98" i="471" s="1"/>
  <c r="N98" i="471" s="1"/>
  <c r="L94" i="471"/>
  <c r="M94" i="471" s="1"/>
  <c r="N94" i="471" s="1"/>
  <c r="L90" i="471"/>
  <c r="M90" i="471" s="1"/>
  <c r="N90" i="471" s="1"/>
  <c r="L88" i="471"/>
  <c r="M88" i="471" s="1"/>
  <c r="N88" i="471" s="1"/>
  <c r="L84" i="471"/>
  <c r="M84" i="471" s="1"/>
  <c r="N84" i="471" s="1"/>
  <c r="L80" i="471"/>
  <c r="M80" i="471" s="1"/>
  <c r="N80" i="471" s="1"/>
  <c r="L76" i="471"/>
  <c r="M76" i="471" s="1"/>
  <c r="N76" i="471" s="1"/>
  <c r="L64" i="471"/>
  <c r="M64" i="471" s="1"/>
  <c r="N64" i="471" s="1"/>
  <c r="L60" i="471"/>
  <c r="M60" i="471" s="1"/>
  <c r="N60" i="471" s="1"/>
  <c r="L56" i="471"/>
  <c r="M56" i="471" s="1"/>
  <c r="N56" i="471" s="1"/>
  <c r="L52" i="471"/>
  <c r="M52" i="471" s="1"/>
  <c r="N52" i="471" s="1"/>
  <c r="L48" i="471"/>
  <c r="M48" i="471" s="1"/>
  <c r="N48" i="471" s="1"/>
  <c r="L43" i="471"/>
  <c r="M43" i="471" s="1"/>
  <c r="N43" i="471" s="1"/>
  <c r="L39" i="471"/>
  <c r="M39" i="471" s="1"/>
  <c r="N39" i="471" s="1"/>
  <c r="L35" i="471"/>
  <c r="M35" i="471" s="1"/>
  <c r="N35" i="471" s="1"/>
  <c r="L31" i="471"/>
  <c r="M31" i="471" s="1"/>
  <c r="N31" i="471" s="1"/>
  <c r="L27" i="471"/>
  <c r="M27" i="471" s="1"/>
  <c r="N27" i="471" s="1"/>
  <c r="L23" i="471"/>
  <c r="M23" i="471" s="1"/>
  <c r="N23" i="471" s="1"/>
  <c r="L19" i="471"/>
  <c r="M19" i="471" s="1"/>
  <c r="N19" i="471" s="1"/>
  <c r="L15" i="471"/>
  <c r="M15" i="471" s="1"/>
  <c r="N15" i="471" s="1"/>
  <c r="L11" i="471"/>
  <c r="M11" i="471" s="1"/>
  <c r="N11" i="471" s="1"/>
  <c r="L7" i="471"/>
  <c r="M7" i="471" s="1"/>
  <c r="N7" i="471" s="1"/>
  <c r="L3" i="471"/>
  <c r="M3" i="471" s="1"/>
  <c r="N3" i="471" s="1"/>
  <c r="L233" i="471"/>
  <c r="M233" i="471" s="1"/>
  <c r="N233" i="471" s="1"/>
  <c r="L246" i="471"/>
  <c r="M246" i="471" s="1"/>
  <c r="N246" i="471" s="1"/>
  <c r="L229" i="471"/>
  <c r="M229" i="471" s="1"/>
  <c r="N229" i="471" s="1"/>
  <c r="L240" i="471"/>
  <c r="M240" i="471" s="1"/>
  <c r="N240" i="471" s="1"/>
  <c r="L245" i="471"/>
  <c r="M245" i="471" s="1"/>
  <c r="N245" i="471" s="1"/>
  <c r="L215" i="471"/>
  <c r="M215" i="471" s="1"/>
  <c r="N215" i="471" s="1"/>
  <c r="L211" i="471"/>
  <c r="M211" i="471" s="1"/>
  <c r="N211" i="471" s="1"/>
  <c r="L207" i="471"/>
  <c r="M207" i="471" s="1"/>
  <c r="N207" i="471" s="1"/>
  <c r="L203" i="471"/>
  <c r="M203" i="471" s="1"/>
  <c r="N203" i="471" s="1"/>
  <c r="L199" i="471"/>
  <c r="M199" i="471" s="1"/>
  <c r="N199" i="471" s="1"/>
  <c r="L195" i="471"/>
  <c r="M195" i="471" s="1"/>
  <c r="N195" i="471" s="1"/>
  <c r="L191" i="471"/>
  <c r="M191" i="471" s="1"/>
  <c r="N191" i="471" s="1"/>
  <c r="L187" i="471"/>
  <c r="M187" i="471" s="1"/>
  <c r="N187" i="471" s="1"/>
  <c r="L183" i="471"/>
  <c r="M183" i="471" s="1"/>
  <c r="N183" i="471" s="1"/>
  <c r="L179" i="471"/>
  <c r="M179" i="471" s="1"/>
  <c r="N179" i="471" s="1"/>
  <c r="L175" i="471"/>
  <c r="M175" i="471" s="1"/>
  <c r="N175" i="471" s="1"/>
  <c r="L168" i="471"/>
  <c r="M168" i="471" s="1"/>
  <c r="N168" i="471" s="1"/>
  <c r="L163" i="471"/>
  <c r="M163" i="471" s="1"/>
  <c r="N163" i="471" s="1"/>
  <c r="L159" i="471"/>
  <c r="M159" i="471" s="1"/>
  <c r="N159" i="471" s="1"/>
  <c r="L155" i="471"/>
  <c r="M155" i="471" s="1"/>
  <c r="N155" i="471" s="1"/>
  <c r="L151" i="471"/>
  <c r="M151" i="471" s="1"/>
  <c r="N151" i="471" s="1"/>
  <c r="L147" i="471"/>
  <c r="M147" i="471" s="1"/>
  <c r="N147" i="471" s="1"/>
  <c r="L143" i="471"/>
  <c r="M143" i="471" s="1"/>
  <c r="N143" i="471" s="1"/>
  <c r="L71" i="471"/>
  <c r="M71" i="471" s="1"/>
  <c r="N71" i="471" s="1"/>
  <c r="L70" i="471"/>
  <c r="M70" i="471" s="1"/>
  <c r="N70" i="471" s="1"/>
  <c r="L138" i="471"/>
  <c r="M138" i="471" s="1"/>
  <c r="N138" i="471" s="1"/>
  <c r="L134" i="471"/>
  <c r="M134" i="471" s="1"/>
  <c r="N134" i="471" s="1"/>
  <c r="L130" i="471"/>
  <c r="M130" i="471" s="1"/>
  <c r="N130" i="471" s="1"/>
  <c r="L126" i="471"/>
  <c r="M126" i="471" s="1"/>
  <c r="N126" i="471" s="1"/>
  <c r="L122" i="471"/>
  <c r="M122" i="471" s="1"/>
  <c r="N122" i="471" s="1"/>
  <c r="L118" i="471"/>
  <c r="M118" i="471" s="1"/>
  <c r="N118" i="471" s="1"/>
  <c r="L114" i="471"/>
  <c r="M114" i="471" s="1"/>
  <c r="N114" i="471" s="1"/>
  <c r="L110" i="471"/>
  <c r="M110" i="471" s="1"/>
  <c r="N110" i="471" s="1"/>
  <c r="L106" i="471"/>
  <c r="M106" i="471" s="1"/>
  <c r="N106" i="471" s="1"/>
  <c r="L101" i="471"/>
  <c r="M101" i="471" s="1"/>
  <c r="N101" i="471" s="1"/>
  <c r="L97" i="471"/>
  <c r="M97" i="471" s="1"/>
  <c r="N97" i="471" s="1"/>
  <c r="L93" i="471"/>
  <c r="M93" i="471" s="1"/>
  <c r="N93" i="471" s="1"/>
  <c r="L89" i="471"/>
  <c r="M89" i="471" s="1"/>
  <c r="N89" i="471" s="1"/>
  <c r="L87" i="471"/>
  <c r="M87" i="471" s="1"/>
  <c r="N87" i="471" s="1"/>
  <c r="L83" i="471"/>
  <c r="M83" i="471" s="1"/>
  <c r="N83" i="471" s="1"/>
  <c r="L79" i="471"/>
  <c r="M79" i="471" s="1"/>
  <c r="N79" i="471" s="1"/>
  <c r="L75" i="471"/>
  <c r="M75" i="471" s="1"/>
  <c r="N75" i="471" s="1"/>
  <c r="L63" i="471"/>
  <c r="M63" i="471" s="1"/>
  <c r="N63" i="471" s="1"/>
  <c r="L59" i="471"/>
  <c r="M59" i="471" s="1"/>
  <c r="N59" i="471" s="1"/>
  <c r="L55" i="471"/>
  <c r="M55" i="471" s="1"/>
  <c r="N55" i="471" s="1"/>
  <c r="L51" i="471"/>
  <c r="M51" i="471" s="1"/>
  <c r="N51" i="471" s="1"/>
  <c r="L47" i="471"/>
  <c r="M47" i="471" s="1"/>
  <c r="N47" i="471" s="1"/>
  <c r="L42" i="471"/>
  <c r="M42" i="471" s="1"/>
  <c r="N42" i="471" s="1"/>
  <c r="L38" i="471"/>
  <c r="M38" i="471" s="1"/>
  <c r="N38" i="471" s="1"/>
  <c r="L34" i="471"/>
  <c r="M34" i="471" s="1"/>
  <c r="N34" i="471" s="1"/>
  <c r="L30" i="471"/>
  <c r="M30" i="471" s="1"/>
  <c r="N30" i="471" s="1"/>
  <c r="L26" i="471"/>
  <c r="M26" i="471" s="1"/>
  <c r="N26" i="471" s="1"/>
  <c r="L22" i="471"/>
  <c r="M22" i="471" s="1"/>
  <c r="N22" i="471" s="1"/>
  <c r="L18" i="471"/>
  <c r="M18" i="471" s="1"/>
  <c r="N18" i="471" s="1"/>
  <c r="L14" i="471"/>
  <c r="M14" i="471" s="1"/>
  <c r="N14" i="471" s="1"/>
  <c r="L10" i="471"/>
  <c r="M10" i="471" s="1"/>
  <c r="N10" i="471" s="1"/>
  <c r="L6" i="471"/>
  <c r="M6" i="471" s="1"/>
  <c r="N6" i="471" s="1"/>
  <c r="L2" i="471"/>
  <c r="L239" i="471"/>
  <c r="M239" i="471" s="1"/>
  <c r="N239" i="471" s="1"/>
  <c r="L169" i="471"/>
  <c r="M169" i="471" s="1"/>
  <c r="N169" i="471" s="1"/>
  <c r="L235" i="471"/>
  <c r="M235" i="471" s="1"/>
  <c r="N235" i="471" s="1"/>
  <c r="L241" i="471"/>
  <c r="M241" i="471" s="1"/>
  <c r="N241" i="471" s="1"/>
  <c r="L216" i="471"/>
  <c r="M216" i="471" s="1"/>
  <c r="N216" i="471" s="1"/>
  <c r="L171" i="471"/>
  <c r="M171" i="471" s="1"/>
  <c r="N171" i="471" s="1"/>
  <c r="L214" i="471"/>
  <c r="M214" i="471" s="1"/>
  <c r="N214" i="471" s="1"/>
  <c r="L210" i="471"/>
  <c r="M210" i="471" s="1"/>
  <c r="N210" i="471" s="1"/>
  <c r="L206" i="471"/>
  <c r="M206" i="471" s="1"/>
  <c r="N206" i="471" s="1"/>
  <c r="L202" i="471"/>
  <c r="M202" i="471" s="1"/>
  <c r="N202" i="471" s="1"/>
  <c r="L198" i="471"/>
  <c r="M198" i="471" s="1"/>
  <c r="N198" i="471" s="1"/>
  <c r="L194" i="471"/>
  <c r="M194" i="471" s="1"/>
  <c r="N194" i="471" s="1"/>
  <c r="L190" i="471"/>
  <c r="M190" i="471" s="1"/>
  <c r="N190" i="471" s="1"/>
  <c r="L186" i="471"/>
  <c r="M186" i="471" s="1"/>
  <c r="N186" i="471" s="1"/>
  <c r="L182" i="471"/>
  <c r="M182" i="471" s="1"/>
  <c r="N182" i="471" s="1"/>
  <c r="L178" i="471"/>
  <c r="M178" i="471" s="1"/>
  <c r="N178" i="471" s="1"/>
  <c r="L174" i="471"/>
  <c r="M174" i="471" s="1"/>
  <c r="N174" i="471" s="1"/>
  <c r="L166" i="471"/>
  <c r="M166" i="471" s="1"/>
  <c r="N166" i="471" s="1"/>
  <c r="L162" i="471"/>
  <c r="M162" i="471" s="1"/>
  <c r="N162" i="471" s="1"/>
  <c r="L158" i="471"/>
  <c r="M158" i="471" s="1"/>
  <c r="N158" i="471" s="1"/>
  <c r="L154" i="471"/>
  <c r="M154" i="471" s="1"/>
  <c r="N154" i="471" s="1"/>
  <c r="L150" i="471"/>
  <c r="M150" i="471" s="1"/>
  <c r="N150" i="471" s="1"/>
  <c r="L146" i="471"/>
  <c r="M146" i="471" s="1"/>
  <c r="N146" i="471" s="1"/>
  <c r="L142" i="471"/>
  <c r="M142" i="471" s="1"/>
  <c r="N142" i="471" s="1"/>
  <c r="L67" i="471"/>
  <c r="M67" i="471" s="1"/>
  <c r="N67" i="471" s="1"/>
  <c r="L66" i="471"/>
  <c r="M66" i="471" s="1"/>
  <c r="N66" i="471" s="1"/>
  <c r="L137" i="471"/>
  <c r="M137" i="471" s="1"/>
  <c r="N137" i="471" s="1"/>
  <c r="L133" i="471"/>
  <c r="M133" i="471" s="1"/>
  <c r="N133" i="471" s="1"/>
  <c r="L129" i="471"/>
  <c r="M129" i="471" s="1"/>
  <c r="N129" i="471" s="1"/>
  <c r="L125" i="471"/>
  <c r="M125" i="471" s="1"/>
  <c r="N125" i="471" s="1"/>
  <c r="L121" i="471"/>
  <c r="M121" i="471" s="1"/>
  <c r="N121" i="471" s="1"/>
  <c r="L117" i="471"/>
  <c r="M117" i="471" s="1"/>
  <c r="N117" i="471" s="1"/>
  <c r="L113" i="471"/>
  <c r="M113" i="471" s="1"/>
  <c r="N113" i="471" s="1"/>
  <c r="L109" i="471"/>
  <c r="M109" i="471" s="1"/>
  <c r="N109" i="471" s="1"/>
  <c r="L105" i="471"/>
  <c r="M105" i="471" s="1"/>
  <c r="N105" i="471" s="1"/>
  <c r="L100" i="471"/>
  <c r="M100" i="471" s="1"/>
  <c r="N100" i="471" s="1"/>
  <c r="L96" i="471"/>
  <c r="M96" i="471" s="1"/>
  <c r="N96" i="471" s="1"/>
  <c r="L92" i="471"/>
  <c r="M92" i="471" s="1"/>
  <c r="N92" i="471" s="1"/>
  <c r="L69" i="471"/>
  <c r="M69" i="471" s="1"/>
  <c r="N69" i="471" s="1"/>
  <c r="L86" i="471"/>
  <c r="M86" i="471" s="1"/>
  <c r="N86" i="471" s="1"/>
  <c r="L82" i="471"/>
  <c r="M82" i="471" s="1"/>
  <c r="N82" i="471" s="1"/>
  <c r="L78" i="471"/>
  <c r="M78" i="471" s="1"/>
  <c r="N78" i="471" s="1"/>
  <c r="L73" i="471"/>
  <c r="M73" i="471" s="1"/>
  <c r="N73" i="471" s="1"/>
  <c r="L62" i="471"/>
  <c r="M62" i="471" s="1"/>
  <c r="N62" i="471" s="1"/>
  <c r="L58" i="471"/>
  <c r="M58" i="471" s="1"/>
  <c r="N58" i="471" s="1"/>
  <c r="L54" i="471"/>
  <c r="M54" i="471" s="1"/>
  <c r="N54" i="471" s="1"/>
  <c r="L50" i="471"/>
  <c r="M50" i="471" s="1"/>
  <c r="N50" i="471" s="1"/>
  <c r="L46" i="471"/>
  <c r="M46" i="471" s="1"/>
  <c r="N46" i="471" s="1"/>
  <c r="L41" i="471"/>
  <c r="M41" i="471" s="1"/>
  <c r="N41" i="471" s="1"/>
  <c r="L37" i="471"/>
  <c r="M37" i="471" s="1"/>
  <c r="N37" i="471" s="1"/>
  <c r="L33" i="471"/>
  <c r="M33" i="471" s="1"/>
  <c r="N33" i="471" s="1"/>
  <c r="L29" i="471"/>
  <c r="M29" i="471" s="1"/>
  <c r="N29" i="471" s="1"/>
  <c r="L25" i="471"/>
  <c r="M25" i="471" s="1"/>
  <c r="N25" i="471" s="1"/>
  <c r="L21" i="471"/>
  <c r="M21" i="471" s="1"/>
  <c r="N21" i="471" s="1"/>
  <c r="L17" i="471"/>
  <c r="M17" i="471" s="1"/>
  <c r="N17" i="471" s="1"/>
  <c r="L13" i="471"/>
  <c r="M13" i="471" s="1"/>
  <c r="N13" i="471" s="1"/>
  <c r="L9" i="471"/>
  <c r="M9" i="471" s="1"/>
  <c r="N9" i="471" s="1"/>
  <c r="L5" i="471"/>
  <c r="M5" i="471" s="1"/>
  <c r="N5" i="471" s="1"/>
  <c r="L234" i="471"/>
  <c r="M234" i="471" s="1"/>
  <c r="N234" i="471" s="1"/>
  <c r="L235" i="470"/>
  <c r="M235" i="470" s="1"/>
  <c r="N235" i="470" s="1"/>
  <c r="L215" i="470"/>
  <c r="M215" i="470" s="1"/>
  <c r="N215" i="470" s="1"/>
  <c r="L219" i="470"/>
  <c r="M219" i="470" s="1"/>
  <c r="N219" i="470" s="1"/>
  <c r="L223" i="470"/>
  <c r="M223" i="470" s="1"/>
  <c r="N223" i="470" s="1"/>
  <c r="L227" i="470"/>
  <c r="M227" i="470" s="1"/>
  <c r="N227" i="470" s="1"/>
  <c r="L231" i="470"/>
  <c r="M231" i="470" s="1"/>
  <c r="N231" i="470" s="1"/>
  <c r="L238" i="470"/>
  <c r="M238" i="470" s="1"/>
  <c r="N238" i="470" s="1"/>
  <c r="L241" i="470"/>
  <c r="M241" i="470" s="1"/>
  <c r="N241" i="470" s="1"/>
  <c r="L217" i="470"/>
  <c r="M217" i="470" s="1"/>
  <c r="N217" i="470" s="1"/>
  <c r="L221" i="470"/>
  <c r="M221" i="470" s="1"/>
  <c r="N221" i="470" s="1"/>
  <c r="L225" i="470"/>
  <c r="M225" i="470" s="1"/>
  <c r="N225" i="470" s="1"/>
  <c r="L229" i="470"/>
  <c r="M229" i="470" s="1"/>
  <c r="N229" i="470" s="1"/>
  <c r="L233" i="470"/>
  <c r="M233" i="470" s="1"/>
  <c r="N233" i="470" s="1"/>
  <c r="L243" i="470"/>
  <c r="M243" i="470" s="1"/>
  <c r="N243" i="470" s="1"/>
  <c r="L244" i="470"/>
  <c r="M244" i="470" s="1"/>
  <c r="N244" i="470" s="1"/>
  <c r="L213" i="470"/>
  <c r="M213" i="470" s="1"/>
  <c r="N213" i="470" s="1"/>
  <c r="L209" i="470"/>
  <c r="M209" i="470" s="1"/>
  <c r="N209" i="470" s="1"/>
  <c r="L205" i="470"/>
  <c r="M205" i="470" s="1"/>
  <c r="N205" i="470" s="1"/>
  <c r="L201" i="470"/>
  <c r="M201" i="470" s="1"/>
  <c r="N201" i="470" s="1"/>
  <c r="L197" i="470"/>
  <c r="M197" i="470" s="1"/>
  <c r="N197" i="470" s="1"/>
  <c r="L193" i="470"/>
  <c r="M193" i="470" s="1"/>
  <c r="N193" i="470" s="1"/>
  <c r="L189" i="470"/>
  <c r="M189" i="470" s="1"/>
  <c r="N189" i="470" s="1"/>
  <c r="L185" i="470"/>
  <c r="M185" i="470" s="1"/>
  <c r="N185" i="470" s="1"/>
  <c r="L181" i="470"/>
  <c r="M181" i="470" s="1"/>
  <c r="N181" i="470" s="1"/>
  <c r="L175" i="470"/>
  <c r="M175" i="470" s="1"/>
  <c r="N175" i="470" s="1"/>
  <c r="L167" i="470"/>
  <c r="M167" i="470" s="1"/>
  <c r="N167" i="470" s="1"/>
  <c r="L159" i="470"/>
  <c r="M159" i="470" s="1"/>
  <c r="N159" i="470" s="1"/>
  <c r="L174" i="470"/>
  <c r="M174" i="470" s="1"/>
  <c r="N174" i="470" s="1"/>
  <c r="L166" i="470"/>
  <c r="M166" i="470" s="1"/>
  <c r="N166" i="470" s="1"/>
  <c r="L158" i="470"/>
  <c r="M158" i="470" s="1"/>
  <c r="N158" i="470" s="1"/>
  <c r="L155" i="470"/>
  <c r="M155" i="470" s="1"/>
  <c r="N155" i="470" s="1"/>
  <c r="L151" i="470"/>
  <c r="M151" i="470" s="1"/>
  <c r="N151" i="470" s="1"/>
  <c r="L147" i="470"/>
  <c r="M147" i="470" s="1"/>
  <c r="N147" i="470" s="1"/>
  <c r="L143" i="470"/>
  <c r="M143" i="470" s="1"/>
  <c r="N143" i="470" s="1"/>
  <c r="L139" i="470"/>
  <c r="M139" i="470" s="1"/>
  <c r="N139" i="470" s="1"/>
  <c r="L135" i="470"/>
  <c r="M135" i="470" s="1"/>
  <c r="N135" i="470" s="1"/>
  <c r="L131" i="470"/>
  <c r="M131" i="470" s="1"/>
  <c r="N131" i="470" s="1"/>
  <c r="L127" i="470"/>
  <c r="M127" i="470" s="1"/>
  <c r="N127" i="470" s="1"/>
  <c r="L123" i="470"/>
  <c r="M123" i="470" s="1"/>
  <c r="N123" i="470" s="1"/>
  <c r="L119" i="470"/>
  <c r="M119" i="470" s="1"/>
  <c r="N119" i="470" s="1"/>
  <c r="L115" i="470"/>
  <c r="M115" i="470" s="1"/>
  <c r="N115" i="470" s="1"/>
  <c r="L111" i="470"/>
  <c r="M111" i="470" s="1"/>
  <c r="N111" i="470" s="1"/>
  <c r="L106" i="470"/>
  <c r="M106" i="470" s="1"/>
  <c r="N106" i="470" s="1"/>
  <c r="L98" i="470"/>
  <c r="M98" i="470" s="1"/>
  <c r="N98" i="470" s="1"/>
  <c r="L103" i="470"/>
  <c r="M103" i="470" s="1"/>
  <c r="N103" i="470" s="1"/>
  <c r="L95" i="470"/>
  <c r="M95" i="470" s="1"/>
  <c r="N95" i="470" s="1"/>
  <c r="L89" i="470"/>
  <c r="M89" i="470" s="1"/>
  <c r="N89" i="470" s="1"/>
  <c r="L85" i="470"/>
  <c r="M85" i="470" s="1"/>
  <c r="N85" i="470" s="1"/>
  <c r="L81" i="470"/>
  <c r="M81" i="470" s="1"/>
  <c r="N81" i="470" s="1"/>
  <c r="L77" i="470"/>
  <c r="M77" i="470" s="1"/>
  <c r="N77" i="470" s="1"/>
  <c r="L69" i="470"/>
  <c r="M69" i="470" s="1"/>
  <c r="N69" i="470" s="1"/>
  <c r="L72" i="470"/>
  <c r="M72" i="470" s="1"/>
  <c r="N72" i="470" s="1"/>
  <c r="L65" i="470"/>
  <c r="M65" i="470" s="1"/>
  <c r="N65" i="470" s="1"/>
  <c r="L61" i="470"/>
  <c r="M61" i="470" s="1"/>
  <c r="N61" i="470" s="1"/>
  <c r="L57" i="470"/>
  <c r="M57" i="470" s="1"/>
  <c r="N57" i="470" s="1"/>
  <c r="L53" i="470"/>
  <c r="M53" i="470" s="1"/>
  <c r="N53" i="470" s="1"/>
  <c r="L49" i="470"/>
  <c r="M49" i="470" s="1"/>
  <c r="N49" i="470" s="1"/>
  <c r="L45" i="470"/>
  <c r="M45" i="470" s="1"/>
  <c r="N45" i="470" s="1"/>
  <c r="L20" i="470"/>
  <c r="M20" i="470" s="1"/>
  <c r="N20" i="470" s="1"/>
  <c r="L41" i="470"/>
  <c r="M41" i="470" s="1"/>
  <c r="N41" i="470" s="1"/>
  <c r="L37" i="470"/>
  <c r="M37" i="470" s="1"/>
  <c r="N37" i="470" s="1"/>
  <c r="L33" i="470"/>
  <c r="M33" i="470" s="1"/>
  <c r="N33" i="470" s="1"/>
  <c r="L29" i="470"/>
  <c r="M29" i="470" s="1"/>
  <c r="N29" i="470" s="1"/>
  <c r="L23" i="470"/>
  <c r="M23" i="470" s="1"/>
  <c r="N23" i="470" s="1"/>
  <c r="L17" i="470"/>
  <c r="M17" i="470" s="1"/>
  <c r="N17" i="470" s="1"/>
  <c r="L13" i="470"/>
  <c r="M13" i="470" s="1"/>
  <c r="N13" i="470" s="1"/>
  <c r="L9" i="470"/>
  <c r="M9" i="470" s="1"/>
  <c r="N9" i="470" s="1"/>
  <c r="L5" i="470"/>
  <c r="M5" i="470" s="1"/>
  <c r="N5" i="470" s="1"/>
  <c r="L240" i="470"/>
  <c r="M240" i="470" s="1"/>
  <c r="N240" i="470" s="1"/>
  <c r="L214" i="470"/>
  <c r="M214" i="470" s="1"/>
  <c r="N214" i="470" s="1"/>
  <c r="L218" i="470"/>
  <c r="M218" i="470" s="1"/>
  <c r="N218" i="470" s="1"/>
  <c r="L222" i="470"/>
  <c r="M222" i="470" s="1"/>
  <c r="N222" i="470" s="1"/>
  <c r="L226" i="470"/>
  <c r="M226" i="470" s="1"/>
  <c r="N226" i="470" s="1"/>
  <c r="L230" i="470"/>
  <c r="M230" i="470" s="1"/>
  <c r="N230" i="470" s="1"/>
  <c r="L234" i="470"/>
  <c r="M234" i="470" s="1"/>
  <c r="N234" i="470" s="1"/>
  <c r="L247" i="470"/>
  <c r="M247" i="470" s="1"/>
  <c r="N247" i="470" s="1"/>
  <c r="L246" i="470"/>
  <c r="M246" i="470" s="1"/>
  <c r="N246" i="470" s="1"/>
  <c r="L212" i="470"/>
  <c r="M212" i="470" s="1"/>
  <c r="N212" i="470" s="1"/>
  <c r="L208" i="470"/>
  <c r="M208" i="470" s="1"/>
  <c r="N208" i="470" s="1"/>
  <c r="L204" i="470"/>
  <c r="M204" i="470" s="1"/>
  <c r="N204" i="470" s="1"/>
  <c r="L200" i="470"/>
  <c r="M200" i="470" s="1"/>
  <c r="N200" i="470" s="1"/>
  <c r="L196" i="470"/>
  <c r="M196" i="470" s="1"/>
  <c r="N196" i="470" s="1"/>
  <c r="L192" i="470"/>
  <c r="M192" i="470" s="1"/>
  <c r="N192" i="470" s="1"/>
  <c r="L188" i="470"/>
  <c r="M188" i="470" s="1"/>
  <c r="N188" i="470" s="1"/>
  <c r="L184" i="470"/>
  <c r="M184" i="470" s="1"/>
  <c r="N184" i="470" s="1"/>
  <c r="L180" i="470"/>
  <c r="M180" i="470" s="1"/>
  <c r="N180" i="470" s="1"/>
  <c r="L173" i="470"/>
  <c r="M173" i="470" s="1"/>
  <c r="N173" i="470" s="1"/>
  <c r="L165" i="470"/>
  <c r="M165" i="470" s="1"/>
  <c r="N165" i="470" s="1"/>
  <c r="L157" i="470"/>
  <c r="M157" i="470" s="1"/>
  <c r="N157" i="470" s="1"/>
  <c r="L172" i="470"/>
  <c r="M172" i="470" s="1"/>
  <c r="N172" i="470" s="1"/>
  <c r="L164" i="470"/>
  <c r="M164" i="470" s="1"/>
  <c r="N164" i="470" s="1"/>
  <c r="L156" i="470"/>
  <c r="M156" i="470" s="1"/>
  <c r="N156" i="470" s="1"/>
  <c r="L154" i="470"/>
  <c r="M154" i="470" s="1"/>
  <c r="N154" i="470" s="1"/>
  <c r="L150" i="470"/>
  <c r="M150" i="470" s="1"/>
  <c r="N150" i="470" s="1"/>
  <c r="L146" i="470"/>
  <c r="M146" i="470" s="1"/>
  <c r="N146" i="470" s="1"/>
  <c r="L142" i="470"/>
  <c r="M142" i="470" s="1"/>
  <c r="N142" i="470" s="1"/>
  <c r="L138" i="470"/>
  <c r="M138" i="470" s="1"/>
  <c r="N138" i="470" s="1"/>
  <c r="L134" i="470"/>
  <c r="M134" i="470" s="1"/>
  <c r="N134" i="470" s="1"/>
  <c r="L130" i="470"/>
  <c r="M130" i="470" s="1"/>
  <c r="N130" i="470" s="1"/>
  <c r="L126" i="470"/>
  <c r="M126" i="470" s="1"/>
  <c r="N126" i="470" s="1"/>
  <c r="L122" i="470"/>
  <c r="M122" i="470" s="1"/>
  <c r="N122" i="470" s="1"/>
  <c r="L118" i="470"/>
  <c r="M118" i="470" s="1"/>
  <c r="N118" i="470" s="1"/>
  <c r="L114" i="470"/>
  <c r="M114" i="470" s="1"/>
  <c r="N114" i="470" s="1"/>
  <c r="L110" i="470"/>
  <c r="M110" i="470" s="1"/>
  <c r="N110" i="470" s="1"/>
  <c r="L104" i="470"/>
  <c r="M104" i="470" s="1"/>
  <c r="N104" i="470" s="1"/>
  <c r="L96" i="470"/>
  <c r="M96" i="470" s="1"/>
  <c r="N96" i="470" s="1"/>
  <c r="L101" i="470"/>
  <c r="M101" i="470" s="1"/>
  <c r="N101" i="470" s="1"/>
  <c r="L92" i="470"/>
  <c r="M92" i="470" s="1"/>
  <c r="N92" i="470" s="1"/>
  <c r="L88" i="470"/>
  <c r="M88" i="470" s="1"/>
  <c r="N88" i="470" s="1"/>
  <c r="L84" i="470"/>
  <c r="M84" i="470" s="1"/>
  <c r="N84" i="470" s="1"/>
  <c r="L80" i="470"/>
  <c r="M80" i="470" s="1"/>
  <c r="N80" i="470" s="1"/>
  <c r="L75" i="470"/>
  <c r="M75" i="470" s="1"/>
  <c r="N75" i="470" s="1"/>
  <c r="L67" i="470"/>
  <c r="M67" i="470" s="1"/>
  <c r="N67" i="470" s="1"/>
  <c r="L70" i="470"/>
  <c r="M70" i="470" s="1"/>
  <c r="N70" i="470" s="1"/>
  <c r="L64" i="470"/>
  <c r="M64" i="470" s="1"/>
  <c r="N64" i="470" s="1"/>
  <c r="L60" i="470"/>
  <c r="M60" i="470" s="1"/>
  <c r="N60" i="470" s="1"/>
  <c r="L56" i="470"/>
  <c r="M56" i="470" s="1"/>
  <c r="N56" i="470" s="1"/>
  <c r="L52" i="470"/>
  <c r="M52" i="470" s="1"/>
  <c r="N52" i="470" s="1"/>
  <c r="L48" i="470"/>
  <c r="M48" i="470" s="1"/>
  <c r="N48" i="470" s="1"/>
  <c r="L26" i="470"/>
  <c r="M26" i="470" s="1"/>
  <c r="N26" i="470" s="1"/>
  <c r="L44" i="470"/>
  <c r="M44" i="470" s="1"/>
  <c r="N44" i="470" s="1"/>
  <c r="L40" i="470"/>
  <c r="M40" i="470" s="1"/>
  <c r="N40" i="470" s="1"/>
  <c r="L36" i="470"/>
  <c r="M36" i="470" s="1"/>
  <c r="N36" i="470" s="1"/>
  <c r="L32" i="470"/>
  <c r="M32" i="470" s="1"/>
  <c r="N32" i="470" s="1"/>
  <c r="L28" i="470"/>
  <c r="M28" i="470" s="1"/>
  <c r="N28" i="470" s="1"/>
  <c r="L21" i="470"/>
  <c r="M21" i="470" s="1"/>
  <c r="N21" i="470" s="1"/>
  <c r="L16" i="470"/>
  <c r="M16" i="470" s="1"/>
  <c r="N16" i="470" s="1"/>
  <c r="L12" i="470"/>
  <c r="M12" i="470" s="1"/>
  <c r="N12" i="470" s="1"/>
  <c r="L8" i="470"/>
  <c r="M8" i="470" s="1"/>
  <c r="N8" i="470" s="1"/>
  <c r="L4" i="470"/>
  <c r="M4" i="470" s="1"/>
  <c r="N4" i="470" s="1"/>
  <c r="L237" i="470"/>
  <c r="M237" i="470" s="1"/>
  <c r="N237" i="470" s="1"/>
  <c r="L239" i="470"/>
  <c r="M239" i="470" s="1"/>
  <c r="N239" i="470" s="1"/>
  <c r="L211" i="470"/>
  <c r="M211" i="470" s="1"/>
  <c r="N211" i="470" s="1"/>
  <c r="L207" i="470"/>
  <c r="M207" i="470" s="1"/>
  <c r="N207" i="470" s="1"/>
  <c r="L203" i="470"/>
  <c r="M203" i="470" s="1"/>
  <c r="N203" i="470" s="1"/>
  <c r="L199" i="470"/>
  <c r="M199" i="470" s="1"/>
  <c r="N199" i="470" s="1"/>
  <c r="L195" i="470"/>
  <c r="M195" i="470" s="1"/>
  <c r="N195" i="470" s="1"/>
  <c r="L191" i="470"/>
  <c r="M191" i="470" s="1"/>
  <c r="N191" i="470" s="1"/>
  <c r="L187" i="470"/>
  <c r="M187" i="470" s="1"/>
  <c r="N187" i="470" s="1"/>
  <c r="L183" i="470"/>
  <c r="M183" i="470" s="1"/>
  <c r="N183" i="470" s="1"/>
  <c r="L179" i="470"/>
  <c r="M179" i="470" s="1"/>
  <c r="N179" i="470" s="1"/>
  <c r="L171" i="470"/>
  <c r="M171" i="470" s="1"/>
  <c r="N171" i="470" s="1"/>
  <c r="L163" i="470"/>
  <c r="M163" i="470" s="1"/>
  <c r="N163" i="470" s="1"/>
  <c r="L178" i="470"/>
  <c r="M178" i="470" s="1"/>
  <c r="N178" i="470" s="1"/>
  <c r="L170" i="470"/>
  <c r="M170" i="470" s="1"/>
  <c r="N170" i="470" s="1"/>
  <c r="L162" i="470"/>
  <c r="M162" i="470" s="1"/>
  <c r="N162" i="470" s="1"/>
  <c r="L94" i="470"/>
  <c r="M94" i="470" s="1"/>
  <c r="N94" i="470" s="1"/>
  <c r="L153" i="470"/>
  <c r="M153" i="470" s="1"/>
  <c r="N153" i="470" s="1"/>
  <c r="L149" i="470"/>
  <c r="M149" i="470" s="1"/>
  <c r="N149" i="470" s="1"/>
  <c r="L145" i="470"/>
  <c r="M145" i="470" s="1"/>
  <c r="N145" i="470" s="1"/>
  <c r="L141" i="470"/>
  <c r="M141" i="470" s="1"/>
  <c r="N141" i="470" s="1"/>
  <c r="L137" i="470"/>
  <c r="M137" i="470" s="1"/>
  <c r="N137" i="470" s="1"/>
  <c r="L133" i="470"/>
  <c r="M133" i="470" s="1"/>
  <c r="N133" i="470" s="1"/>
  <c r="L129" i="470"/>
  <c r="M129" i="470" s="1"/>
  <c r="N129" i="470" s="1"/>
  <c r="L125" i="470"/>
  <c r="M125" i="470" s="1"/>
  <c r="N125" i="470" s="1"/>
  <c r="L121" i="470"/>
  <c r="M121" i="470" s="1"/>
  <c r="N121" i="470" s="1"/>
  <c r="L117" i="470"/>
  <c r="M117" i="470" s="1"/>
  <c r="N117" i="470" s="1"/>
  <c r="L113" i="470"/>
  <c r="M113" i="470" s="1"/>
  <c r="N113" i="470" s="1"/>
  <c r="L109" i="470"/>
  <c r="M109" i="470" s="1"/>
  <c r="N109" i="470" s="1"/>
  <c r="L102" i="470"/>
  <c r="M102" i="470" s="1"/>
  <c r="N102" i="470" s="1"/>
  <c r="L107" i="470"/>
  <c r="M107" i="470" s="1"/>
  <c r="N107" i="470" s="1"/>
  <c r="L99" i="470"/>
  <c r="M99" i="470" s="1"/>
  <c r="N99" i="470" s="1"/>
  <c r="L91" i="470"/>
  <c r="M91" i="470" s="1"/>
  <c r="N91" i="470" s="1"/>
  <c r="L87" i="470"/>
  <c r="M87" i="470" s="1"/>
  <c r="N87" i="470" s="1"/>
  <c r="L83" i="470"/>
  <c r="M83" i="470" s="1"/>
  <c r="N83" i="470" s="1"/>
  <c r="L79" i="470"/>
  <c r="M79" i="470" s="1"/>
  <c r="N79" i="470" s="1"/>
  <c r="L73" i="470"/>
  <c r="M73" i="470" s="1"/>
  <c r="N73" i="470" s="1"/>
  <c r="L76" i="470"/>
  <c r="M76" i="470" s="1"/>
  <c r="N76" i="470" s="1"/>
  <c r="L68" i="470"/>
  <c r="M68" i="470" s="1"/>
  <c r="N68" i="470" s="1"/>
  <c r="L63" i="470"/>
  <c r="M63" i="470" s="1"/>
  <c r="N63" i="470" s="1"/>
  <c r="L59" i="470"/>
  <c r="M59" i="470" s="1"/>
  <c r="N59" i="470" s="1"/>
  <c r="L55" i="470"/>
  <c r="M55" i="470" s="1"/>
  <c r="N55" i="470" s="1"/>
  <c r="L51" i="470"/>
  <c r="M51" i="470" s="1"/>
  <c r="N51" i="470" s="1"/>
  <c r="L47" i="470"/>
  <c r="M47" i="470" s="1"/>
  <c r="N47" i="470" s="1"/>
  <c r="L24" i="470"/>
  <c r="M24" i="470" s="1"/>
  <c r="N24" i="470" s="1"/>
  <c r="L43" i="470"/>
  <c r="M43" i="470" s="1"/>
  <c r="N43" i="470" s="1"/>
  <c r="L39" i="470"/>
  <c r="M39" i="470" s="1"/>
  <c r="N39" i="470" s="1"/>
  <c r="L35" i="470"/>
  <c r="M35" i="470" s="1"/>
  <c r="N35" i="470" s="1"/>
  <c r="L31" i="470"/>
  <c r="M31" i="470" s="1"/>
  <c r="N31" i="470" s="1"/>
  <c r="L27" i="470"/>
  <c r="M27" i="470" s="1"/>
  <c r="N27" i="470" s="1"/>
  <c r="L19" i="470"/>
  <c r="M19" i="470" s="1"/>
  <c r="N19" i="470" s="1"/>
  <c r="L15" i="470"/>
  <c r="M15" i="470" s="1"/>
  <c r="N15" i="470" s="1"/>
  <c r="L11" i="470"/>
  <c r="M11" i="470" s="1"/>
  <c r="N11" i="470" s="1"/>
  <c r="L7" i="470"/>
  <c r="M7" i="470" s="1"/>
  <c r="N7" i="470" s="1"/>
  <c r="L3" i="470"/>
  <c r="M3" i="470" s="1"/>
  <c r="N3" i="470" s="1"/>
  <c r="L245" i="470"/>
  <c r="M245" i="470" s="1"/>
  <c r="N245" i="470" s="1"/>
  <c r="L216" i="470"/>
  <c r="M216" i="470" s="1"/>
  <c r="N216" i="470" s="1"/>
  <c r="L220" i="470"/>
  <c r="M220" i="470" s="1"/>
  <c r="N220" i="470" s="1"/>
  <c r="L224" i="470"/>
  <c r="M224" i="470" s="1"/>
  <c r="N224" i="470" s="1"/>
  <c r="L228" i="470"/>
  <c r="M228" i="470" s="1"/>
  <c r="N228" i="470" s="1"/>
  <c r="L232" i="470"/>
  <c r="M232" i="470" s="1"/>
  <c r="N232" i="470" s="1"/>
  <c r="L236" i="470"/>
  <c r="M236" i="470" s="1"/>
  <c r="N236" i="470" s="1"/>
  <c r="L242" i="470"/>
  <c r="M242" i="470" s="1"/>
  <c r="N242" i="470" s="1"/>
  <c r="L210" i="470"/>
  <c r="M210" i="470" s="1"/>
  <c r="N210" i="470" s="1"/>
  <c r="L206" i="470"/>
  <c r="M206" i="470" s="1"/>
  <c r="N206" i="470" s="1"/>
  <c r="L202" i="470"/>
  <c r="M202" i="470" s="1"/>
  <c r="N202" i="470" s="1"/>
  <c r="L198" i="470"/>
  <c r="M198" i="470" s="1"/>
  <c r="N198" i="470" s="1"/>
  <c r="L194" i="470"/>
  <c r="M194" i="470" s="1"/>
  <c r="N194" i="470" s="1"/>
  <c r="L190" i="470"/>
  <c r="M190" i="470" s="1"/>
  <c r="N190" i="470" s="1"/>
  <c r="L186" i="470"/>
  <c r="M186" i="470" s="1"/>
  <c r="N186" i="470" s="1"/>
  <c r="L182" i="470"/>
  <c r="M182" i="470" s="1"/>
  <c r="N182" i="470" s="1"/>
  <c r="L177" i="470"/>
  <c r="M177" i="470" s="1"/>
  <c r="N177" i="470" s="1"/>
  <c r="L169" i="470"/>
  <c r="M169" i="470" s="1"/>
  <c r="N169" i="470" s="1"/>
  <c r="L161" i="470"/>
  <c r="M161" i="470" s="1"/>
  <c r="N161" i="470" s="1"/>
  <c r="L176" i="470"/>
  <c r="M176" i="470" s="1"/>
  <c r="N176" i="470" s="1"/>
  <c r="L168" i="470"/>
  <c r="M168" i="470" s="1"/>
  <c r="N168" i="470" s="1"/>
  <c r="L160" i="470"/>
  <c r="M160" i="470" s="1"/>
  <c r="N160" i="470" s="1"/>
  <c r="L93" i="470"/>
  <c r="M93" i="470" s="1"/>
  <c r="N93" i="470" s="1"/>
  <c r="L152" i="470"/>
  <c r="M152" i="470" s="1"/>
  <c r="N152" i="470" s="1"/>
  <c r="L148" i="470"/>
  <c r="M148" i="470" s="1"/>
  <c r="N148" i="470" s="1"/>
  <c r="L144" i="470"/>
  <c r="M144" i="470" s="1"/>
  <c r="N144" i="470" s="1"/>
  <c r="L140" i="470"/>
  <c r="M140" i="470" s="1"/>
  <c r="N140" i="470" s="1"/>
  <c r="L136" i="470"/>
  <c r="M136" i="470" s="1"/>
  <c r="N136" i="470" s="1"/>
  <c r="L132" i="470"/>
  <c r="M132" i="470" s="1"/>
  <c r="N132" i="470" s="1"/>
  <c r="L128" i="470"/>
  <c r="M128" i="470" s="1"/>
  <c r="N128" i="470" s="1"/>
  <c r="L124" i="470"/>
  <c r="M124" i="470" s="1"/>
  <c r="N124" i="470" s="1"/>
  <c r="L120" i="470"/>
  <c r="M120" i="470" s="1"/>
  <c r="N120" i="470" s="1"/>
  <c r="L116" i="470"/>
  <c r="M116" i="470" s="1"/>
  <c r="N116" i="470" s="1"/>
  <c r="L112" i="470"/>
  <c r="M112" i="470" s="1"/>
  <c r="N112" i="470" s="1"/>
  <c r="L108" i="470"/>
  <c r="M108" i="470" s="1"/>
  <c r="N108" i="470" s="1"/>
  <c r="L100" i="470"/>
  <c r="M100" i="470" s="1"/>
  <c r="N100" i="470" s="1"/>
  <c r="L105" i="470"/>
  <c r="M105" i="470" s="1"/>
  <c r="N105" i="470" s="1"/>
  <c r="L97" i="470"/>
  <c r="M97" i="470" s="1"/>
  <c r="N97" i="470" s="1"/>
  <c r="L90" i="470"/>
  <c r="M90" i="470" s="1"/>
  <c r="N90" i="470" s="1"/>
  <c r="L86" i="470"/>
  <c r="M86" i="470" s="1"/>
  <c r="N86" i="470" s="1"/>
  <c r="L82" i="470"/>
  <c r="M82" i="470" s="1"/>
  <c r="N82" i="470" s="1"/>
  <c r="L78" i="470"/>
  <c r="M78" i="470" s="1"/>
  <c r="N78" i="470" s="1"/>
  <c r="L71" i="470"/>
  <c r="M71" i="470" s="1"/>
  <c r="N71" i="470" s="1"/>
  <c r="L74" i="470"/>
  <c r="M74" i="470" s="1"/>
  <c r="N74" i="470" s="1"/>
  <c r="L66" i="470"/>
  <c r="M66" i="470" s="1"/>
  <c r="N66" i="470" s="1"/>
  <c r="L62" i="470"/>
  <c r="M62" i="470" s="1"/>
  <c r="N62" i="470" s="1"/>
  <c r="L58" i="470"/>
  <c r="M58" i="470" s="1"/>
  <c r="N58" i="470" s="1"/>
  <c r="L54" i="470"/>
  <c r="M54" i="470" s="1"/>
  <c r="N54" i="470" s="1"/>
  <c r="L50" i="470"/>
  <c r="M50" i="470" s="1"/>
  <c r="N50" i="470" s="1"/>
  <c r="L46" i="470"/>
  <c r="M46" i="470" s="1"/>
  <c r="N46" i="470" s="1"/>
  <c r="L22" i="470"/>
  <c r="M22" i="470" s="1"/>
  <c r="N22" i="470" s="1"/>
  <c r="L42" i="470"/>
  <c r="M42" i="470" s="1"/>
  <c r="N42" i="470" s="1"/>
  <c r="L38" i="470"/>
  <c r="M38" i="470" s="1"/>
  <c r="N38" i="470" s="1"/>
  <c r="L34" i="470"/>
  <c r="M34" i="470" s="1"/>
  <c r="N34" i="470" s="1"/>
  <c r="L30" i="470"/>
  <c r="M30" i="470" s="1"/>
  <c r="N30" i="470" s="1"/>
  <c r="L25" i="470"/>
  <c r="M25" i="470" s="1"/>
  <c r="N25" i="470" s="1"/>
  <c r="L18" i="470"/>
  <c r="M18" i="470" s="1"/>
  <c r="N18" i="470" s="1"/>
  <c r="L14" i="470"/>
  <c r="M14" i="470" s="1"/>
  <c r="N14" i="470" s="1"/>
  <c r="L10" i="470"/>
  <c r="M10" i="470" s="1"/>
  <c r="N10" i="470" s="1"/>
  <c r="L6" i="470"/>
  <c r="M6" i="470" s="1"/>
  <c r="N6" i="470" s="1"/>
  <c r="L2" i="470"/>
  <c r="G2" i="1"/>
  <c r="G3" i="1"/>
  <c r="G4" i="1"/>
  <c r="G5" i="1"/>
  <c r="G6" i="1"/>
  <c r="G7" i="1"/>
  <c r="G8" i="1"/>
  <c r="G9" i="1"/>
  <c r="G10" i="1"/>
  <c r="G11" i="1"/>
  <c r="F3" i="1"/>
  <c r="F4" i="1"/>
  <c r="F5" i="1"/>
  <c r="F6" i="1"/>
  <c r="F7" i="1"/>
  <c r="F8" i="1"/>
  <c r="F9" i="1"/>
  <c r="F10" i="1"/>
  <c r="F11" i="1"/>
  <c r="F2" i="1"/>
  <c r="W4" i="479" l="1"/>
  <c r="W3" i="479"/>
  <c r="W4" i="478"/>
  <c r="W3" i="478"/>
  <c r="W3" i="477"/>
  <c r="W4" i="477"/>
  <c r="W3" i="476"/>
  <c r="W4" i="476"/>
  <c r="W3" i="475"/>
  <c r="W4" i="475"/>
  <c r="W4" i="474"/>
  <c r="W3" i="474"/>
  <c r="W4" i="473"/>
  <c r="W3" i="473"/>
  <c r="W3" i="472"/>
  <c r="W4" i="472"/>
  <c r="W3" i="471"/>
  <c r="W4" i="471"/>
  <c r="W3" i="470"/>
  <c r="W4" i="470"/>
  <c r="J3" i="1"/>
  <c r="J4" i="1"/>
  <c r="J5" i="1"/>
  <c r="J6" i="1"/>
  <c r="J7" i="1"/>
  <c r="J8" i="1"/>
  <c r="J9" i="1"/>
  <c r="J10" i="1"/>
  <c r="J11" i="1"/>
  <c r="J2" i="1"/>
  <c r="I3" i="1" l="1"/>
  <c r="I4" i="1"/>
  <c r="I5" i="1"/>
  <c r="I6" i="1"/>
  <c r="I7" i="1"/>
  <c r="I8" i="1"/>
  <c r="I9" i="1"/>
  <c r="I10" i="1"/>
  <c r="I11" i="1"/>
  <c r="I2" i="1"/>
  <c r="I12" i="1" l="1"/>
  <c r="J12" i="1" l="1"/>
</calcChain>
</file>

<file path=xl/sharedStrings.xml><?xml version="1.0" encoding="utf-8"?>
<sst xmlns="http://schemas.openxmlformats.org/spreadsheetml/2006/main" count="292" uniqueCount="65">
  <si>
    <t>Stock Symbol</t>
  </si>
  <si>
    <t>Min %</t>
  </si>
  <si>
    <t>Max %</t>
  </si>
  <si>
    <t>Date</t>
  </si>
  <si>
    <t>Open</t>
  </si>
  <si>
    <t>Close</t>
  </si>
  <si>
    <t>Current</t>
  </si>
  <si>
    <t>Budget*Min%</t>
  </si>
  <si>
    <t>Budget*Max%</t>
  </si>
  <si>
    <t># Shares Purchased</t>
  </si>
  <si>
    <t>Profit</t>
  </si>
  <si>
    <t>Budget:</t>
  </si>
  <si>
    <t>weights</t>
  </si>
  <si>
    <t>W_i1</t>
  </si>
  <si>
    <t>W_i2</t>
  </si>
  <si>
    <t>W_i3</t>
  </si>
  <si>
    <t>W_i4</t>
  </si>
  <si>
    <t>W_i5</t>
  </si>
  <si>
    <t>W_i</t>
  </si>
  <si>
    <t>Y_1</t>
  </si>
  <si>
    <t>Y_2</t>
  </si>
  <si>
    <t>Y_3</t>
  </si>
  <si>
    <t>Y_4</t>
  </si>
  <si>
    <t>Y_5</t>
  </si>
  <si>
    <t>Y</t>
  </si>
  <si>
    <t>dif</t>
  </si>
  <si>
    <t>sq diff</t>
  </si>
  <si>
    <t>sumproduct of (all values of W_i1, 5 days previous data)</t>
  </si>
  <si>
    <t>epsilon</t>
  </si>
  <si>
    <t>Sum</t>
  </si>
  <si>
    <t>Max</t>
  </si>
  <si>
    <t>Minimize this</t>
  </si>
  <si>
    <t>Predicted Close</t>
  </si>
  <si>
    <t>Spending</t>
  </si>
  <si>
    <t>TRIAL</t>
  </si>
  <si>
    <t>ADI</t>
  </si>
  <si>
    <t>ATVI</t>
  </si>
  <si>
    <t>AMZN</t>
  </si>
  <si>
    <t>BIDU</t>
  </si>
  <si>
    <t>BIIB</t>
  </si>
  <si>
    <t>COST</t>
  </si>
  <si>
    <t>MAT</t>
  </si>
  <si>
    <t>EBAY</t>
  </si>
  <si>
    <t>EXPE</t>
  </si>
  <si>
    <t>INTU</t>
  </si>
  <si>
    <t>NO TABLES EXIST</t>
  </si>
  <si>
    <t>ALL TABLES EXIST</t>
  </si>
  <si>
    <t>Trial 1</t>
  </si>
  <si>
    <t>Trial 2</t>
  </si>
  <si>
    <t>GOOG</t>
  </si>
  <si>
    <t>BBRY</t>
  </si>
  <si>
    <t>BBBY</t>
  </si>
  <si>
    <t>YHOO</t>
  </si>
  <si>
    <t>INTC</t>
  </si>
  <si>
    <t>FB</t>
  </si>
  <si>
    <t>ADBE</t>
  </si>
  <si>
    <t>CSCO</t>
  </si>
  <si>
    <t>GRPN</t>
  </si>
  <si>
    <t>MSFT</t>
  </si>
  <si>
    <t>Y - predicted open</t>
  </si>
  <si>
    <t>MAX</t>
  </si>
  <si>
    <t>MAX by stock</t>
  </si>
  <si>
    <t>SUM by stock</t>
  </si>
  <si>
    <t>SUM</t>
  </si>
  <si>
    <t>CAUTION - BUTTON 3A TAKES 10-20 MINUTES TO 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</si>
</sst>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$&quot;* #,##0.00_-;\-&quot;$&quot;* #,##0.00_-;_-&quot;$&quot;* &quot;-&quot;??_-;_-@_-"/>
  </numFmts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5">
    <xf numFmtId="0" fontId="0" fillId="0" borderId="0" xfId="0"/>
    <xf numFmtId="0" fontId="1" fillId="2" borderId="1" xfId="1" applyAlignment="1">
      <alignment horizontal="center"/>
    </xf>
    <xf numFmtId="0" fontId="1" fillId="2" borderId="2" xfId="1" applyBorder="1" applyAlignment="1">
      <alignment horizontal="center"/>
    </xf>
    <xf numFmtId="0" fontId="1" fillId="2" borderId="0" xfId="1" applyBorder="1" applyAlignment="1">
      <alignment horizontal="center"/>
    </xf>
    <xf numFmtId="44" fontId="0" fillId="0" borderId="0" xfId="2" applyFont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0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10" xfId="0" applyFill="1" applyBorder="1"/>
    <xf numFmtId="44" fontId="0" fillId="0" borderId="0" xfId="2" applyFont="1" applyFill="1" applyBorder="1"/>
    <xf numFmtId="9" fontId="0" fillId="0" borderId="0" xfId="3" applyFont="1" applyFill="1" applyBorder="1"/>
    <xf numFmtId="0" fontId="4" fillId="0" borderId="0" xfId="0" applyFont="1" applyAlignment="1">
      <alignment vertical="center"/>
    </xf>
    <xf numFmtId="14" fontId="0" fillId="0" borderId="0" xfId="0" applyNumberFormat="1"/>
    <xf numFmtId="0" fontId="0" fillId="0" borderId="0" xfId="0" applyAlignment="1">
      <alignment horizontal="center"/>
    </xf>
  </cellXfs>
  <cellStyles count="4">
    <cellStyle name="Currency" xfId="2" builtinId="4"/>
    <cellStyle name="Input" xfId="1" builtinId="20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12</xdr:row>
          <xdr:rowOff>19050</xdr:rowOff>
        </xdr:from>
        <xdr:to>
          <xdr:col>4</xdr:col>
          <xdr:colOff>904875</xdr:colOff>
          <xdr:row>16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1. Add Stocks and Percentages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17</xdr:row>
          <xdr:rowOff>19050</xdr:rowOff>
        </xdr:from>
        <xdr:to>
          <xdr:col>4</xdr:col>
          <xdr:colOff>914400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2. Get historical data from database, if no record in database then get data from Google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28</xdr:row>
          <xdr:rowOff>28575</xdr:rowOff>
        </xdr:from>
        <xdr:to>
          <xdr:col>5</xdr:col>
          <xdr:colOff>0</xdr:colOff>
          <xdr:row>33</xdr:row>
          <xdr:rowOff>171450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4. Optimize Portfolio based on predicted opening/closing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23</xdr:row>
          <xdr:rowOff>23813</xdr:rowOff>
        </xdr:from>
        <xdr:to>
          <xdr:col>4</xdr:col>
          <xdr:colOff>0</xdr:colOff>
          <xdr:row>27</xdr:row>
          <xdr:rowOff>166688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3a ANN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23813</xdr:colOff>
          <xdr:row>23</xdr:row>
          <xdr:rowOff>23813</xdr:rowOff>
        </xdr:from>
        <xdr:to>
          <xdr:col>4</xdr:col>
          <xdr:colOff>1057275</xdr:colOff>
          <xdr:row>27</xdr:row>
          <xdr:rowOff>176213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3b ANN SUM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619125</xdr:colOff>
          <xdr:row>29</xdr:row>
          <xdr:rowOff>133350</xdr:rowOff>
        </xdr:from>
        <xdr:to>
          <xdr:col>7</xdr:col>
          <xdr:colOff>623888</xdr:colOff>
          <xdr:row>34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5. Generate investment report in Word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W251"/>
  <sheetViews>
    <sheetView workbookViewId="0">
      <selection activeCell="C2" sqref="C2"/>
    </sheetView>
  </sheetViews>
  <sheetFormatPr defaultRowHeight="14.25" x14ac:dyDescent="0.45"/>
  <sheetData>
    <row r="1" spans="1:23" x14ac:dyDescent="0.45">
      <c r="A1" t="s">
        <v>3</v>
      </c>
      <c r="B1" t="s">
        <v>4</v>
      </c>
      <c r="C1" t="s">
        <v>5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</row>
    <row r="2" spans="1:23" x14ac:dyDescent="0.45">
      <c r="A2" s="23">
        <v>42426</v>
      </c>
      <c r="B2">
        <v>53.3</v>
      </c>
      <c r="C2">
        <v>53.44</v>
      </c>
      <c r="G2">
        <f t="shared" ref="G2" si="0">SUMPRODUCT($B2:$B6,P$2:P$6)</f>
        <v>32.787799057996239</v>
      </c>
      <c r="H2">
        <f t="shared" ref="H2" si="1">SUMPRODUCT($B2:$B6,Q$2:Q$6)</f>
        <v>22.425019520591174</v>
      </c>
      <c r="I2">
        <f t="shared" ref="I2" si="2">SUMPRODUCT($B2:$B6,R$2:R$6)</f>
        <v>26.530379464653674</v>
      </c>
      <c r="J2">
        <f t="shared" ref="J2" si="3">SUMPRODUCT($B2:$B6,S$2:S$6)</f>
        <v>20.206488839919373</v>
      </c>
      <c r="K2">
        <f t="shared" ref="K2" si="4">SUMPRODUCT($B2:$B6,T$2:T$6)</f>
        <v>10.481451491598309</v>
      </c>
      <c r="L2">
        <f t="shared" ref="L2" si="5">(G2+$P$7)*$U$2+(H2+$Q$7)*$U$3+(I2+$R$7)*$U$4+(J2+$S$7)*$U$5+(K2+$T$7)*$U$6+$U$7</f>
        <v>53.218481140455815</v>
      </c>
      <c r="P2">
        <v>0.56538551454998642</v>
      </c>
      <c r="Q2">
        <v>0.36656300686628845</v>
      </c>
      <c r="R2">
        <v>0.4483504057410938</v>
      </c>
      <c r="S2">
        <v>0.3508729635942559</v>
      </c>
      <c r="T2">
        <v>0.17857083533298304</v>
      </c>
      <c r="U2">
        <v>0.65160240316189688</v>
      </c>
      <c r="W2" t="s">
        <v>31</v>
      </c>
    </row>
    <row r="3" spans="1:23" x14ac:dyDescent="0.45">
      <c r="A3" s="23">
        <v>42425</v>
      </c>
      <c r="B3">
        <v>53.06</v>
      </c>
      <c r="C3">
        <v>52.99</v>
      </c>
      <c r="G3">
        <f t="shared" ref="G3:G65" si="6">SUMPRODUCT($B3:$B7,P$2:P$6)</f>
        <v>32.715129688299598</v>
      </c>
      <c r="H3">
        <f t="shared" ref="H3:H65" si="7">SUMPRODUCT($B3:$B7,Q$2:Q$6)</f>
        <v>22.358259157196361</v>
      </c>
      <c r="I3">
        <f t="shared" ref="I3:I65" si="8">SUMPRODUCT($B3:$B7,R$2:R$6)</f>
        <v>26.461808326882945</v>
      </c>
      <c r="J3">
        <f t="shared" ref="J3:J65" si="9">SUMPRODUCT($B3:$B7,S$2:S$6)</f>
        <v>20.159443073904097</v>
      </c>
      <c r="K3">
        <f t="shared" ref="K3:K65" si="10">SUMPRODUCT($B3:$B7,T$2:T$6)</f>
        <v>10.466420409270881</v>
      </c>
      <c r="L3">
        <f t="shared" ref="L3:L65" si="11">(G3+$P$7)*$U$2+(H3+$Q$7)*$U$3+(I3+$R$7)*$U$4+(J3+$S$7)*$U$5+(K3+$T$7)*$U$6+$U$7</f>
        <v>53.091126415235706</v>
      </c>
      <c r="M3">
        <f t="shared" ref="M3:M66" si="12">B2-L3</f>
        <v>0.20887358476429085</v>
      </c>
      <c r="N3">
        <f t="shared" ref="N3:N66" si="13">M3^2</f>
        <v>4.3628174412285399E-2</v>
      </c>
      <c r="P3">
        <v>5.2791387513049696E-7</v>
      </c>
      <c r="Q3">
        <v>3.3298838958104491E-7</v>
      </c>
      <c r="R3">
        <v>4.1059496165050481E-7</v>
      </c>
      <c r="S3">
        <v>3.2274728892699144E-7</v>
      </c>
      <c r="T3">
        <v>0</v>
      </c>
      <c r="U3">
        <v>0.39970856820768708</v>
      </c>
      <c r="V3" t="s">
        <v>29</v>
      </c>
      <c r="W3">
        <f>SUM(N3:N251)</f>
        <v>350.84921301238182</v>
      </c>
    </row>
    <row r="4" spans="1:23" x14ac:dyDescent="0.45">
      <c r="A4" s="23">
        <v>42424</v>
      </c>
      <c r="B4">
        <v>50.6</v>
      </c>
      <c r="C4">
        <v>51.81</v>
      </c>
      <c r="G4">
        <f t="shared" si="6"/>
        <v>31.329523751345533</v>
      </c>
      <c r="H4">
        <f t="shared" si="7"/>
        <v>21.486047349509555</v>
      </c>
      <c r="I4">
        <f t="shared" si="8"/>
        <v>25.377271532336</v>
      </c>
      <c r="J4">
        <f t="shared" si="9"/>
        <v>19.303623670979533</v>
      </c>
      <c r="K4">
        <f t="shared" si="10"/>
        <v>10.026680860239386</v>
      </c>
      <c r="L4">
        <f t="shared" si="11"/>
        <v>50.940157131718294</v>
      </c>
      <c r="M4">
        <f t="shared" si="12"/>
        <v>2.1198428682817081</v>
      </c>
      <c r="N4">
        <f t="shared" si="13"/>
        <v>4.4937337862048192</v>
      </c>
      <c r="P4">
        <v>3.509595664882198E-2</v>
      </c>
      <c r="Q4">
        <v>2.2028551057667642E-2</v>
      </c>
      <c r="R4">
        <v>2.7138229060869008E-2</v>
      </c>
      <c r="S4">
        <v>2.1609603060844283E-2</v>
      </c>
      <c r="T4">
        <v>1.4461092551616915E-2</v>
      </c>
      <c r="U4">
        <v>0.49818234373555875</v>
      </c>
      <c r="V4" t="s">
        <v>30</v>
      </c>
      <c r="W4">
        <f>MAX(N3:N251)</f>
        <v>20.629764176913458</v>
      </c>
    </row>
    <row r="5" spans="1:23" x14ac:dyDescent="0.45">
      <c r="A5" s="23">
        <v>42423</v>
      </c>
      <c r="B5">
        <v>52.46</v>
      </c>
      <c r="C5">
        <v>51.46</v>
      </c>
      <c r="G5">
        <f t="shared" si="6"/>
        <v>32.354883807456254</v>
      </c>
      <c r="H5">
        <f t="shared" si="7"/>
        <v>22.107483450591527</v>
      </c>
      <c r="I5">
        <f t="shared" si="8"/>
        <v>26.167082297307562</v>
      </c>
      <c r="J5">
        <f t="shared" si="9"/>
        <v>19.933907097747525</v>
      </c>
      <c r="K5">
        <f t="shared" si="10"/>
        <v>10.352393413639748</v>
      </c>
      <c r="L5">
        <f t="shared" si="11"/>
        <v>52.514789321338938</v>
      </c>
      <c r="M5">
        <f t="shared" si="12"/>
        <v>-1.9147893213389366</v>
      </c>
      <c r="N5">
        <f t="shared" si="13"/>
        <v>3.6664181451136257</v>
      </c>
      <c r="P5">
        <v>1.0932591889119379E-2</v>
      </c>
      <c r="Q5">
        <v>6.8506013136589898E-3</v>
      </c>
      <c r="R5">
        <v>7.480529515193934E-3</v>
      </c>
      <c r="S5">
        <v>3.152669764369404E-3</v>
      </c>
      <c r="T5">
        <v>4.4204095546796808E-3</v>
      </c>
      <c r="U5">
        <v>0.38669702249460242</v>
      </c>
    </row>
    <row r="6" spans="1:23" x14ac:dyDescent="0.45">
      <c r="A6" s="23">
        <v>42422</v>
      </c>
      <c r="B6">
        <v>52.67</v>
      </c>
      <c r="C6">
        <v>52.61</v>
      </c>
      <c r="G6">
        <f t="shared" si="6"/>
        <v>32.48495027106069</v>
      </c>
      <c r="H6">
        <f t="shared" si="7"/>
        <v>22.16072138112759</v>
      </c>
      <c r="I6">
        <f t="shared" si="8"/>
        <v>26.255853830524451</v>
      </c>
      <c r="J6">
        <f t="shared" si="9"/>
        <v>20.019835863680932</v>
      </c>
      <c r="K6">
        <f t="shared" si="10"/>
        <v>10.397879749584655</v>
      </c>
      <c r="L6">
        <f t="shared" si="11"/>
        <v>52.701193983129436</v>
      </c>
      <c r="M6">
        <f t="shared" si="12"/>
        <v>-0.24119398312943474</v>
      </c>
      <c r="N6">
        <f t="shared" si="13"/>
        <v>5.8174537497842051E-2</v>
      </c>
      <c r="P6">
        <v>5.7593306329628956E-3</v>
      </c>
      <c r="Q6">
        <v>2.6830574479238992E-2</v>
      </c>
      <c r="R6">
        <v>1.6473477950211885E-2</v>
      </c>
      <c r="S6">
        <v>4.6726368835550217E-3</v>
      </c>
      <c r="T6">
        <v>0</v>
      </c>
      <c r="U6">
        <v>6.4207768716073019E-2</v>
      </c>
    </row>
    <row r="7" spans="1:23" x14ac:dyDescent="0.45">
      <c r="A7" s="23">
        <v>42419</v>
      </c>
      <c r="B7">
        <v>51.88</v>
      </c>
      <c r="C7">
        <v>52.1</v>
      </c>
      <c r="G7">
        <f t="shared" si="6"/>
        <v>31.956330333009809</v>
      </c>
      <c r="H7">
        <f t="shared" si="7"/>
        <v>21.815293911582881</v>
      </c>
      <c r="I7">
        <f t="shared" si="8"/>
        <v>25.8372871559705</v>
      </c>
      <c r="J7">
        <f t="shared" si="9"/>
        <v>19.696723585566424</v>
      </c>
      <c r="K7">
        <f t="shared" si="10"/>
        <v>10.223598180041318</v>
      </c>
      <c r="L7">
        <f t="shared" si="11"/>
        <v>51.874014328338944</v>
      </c>
      <c r="M7">
        <f t="shared" si="12"/>
        <v>0.79598567166105738</v>
      </c>
      <c r="N7">
        <f t="shared" si="13"/>
        <v>0.63359318948970467</v>
      </c>
      <c r="O7" t="s">
        <v>28</v>
      </c>
      <c r="P7">
        <v>4.851644859839851E-7</v>
      </c>
      <c r="Q7">
        <v>4.851644859839851E-7</v>
      </c>
      <c r="R7">
        <v>4.851644859839851E-7</v>
      </c>
      <c r="S7">
        <v>4.851644859839851E-7</v>
      </c>
      <c r="T7">
        <v>4.851644859839851E-7</v>
      </c>
      <c r="U7">
        <v>1.1866527602056114</v>
      </c>
    </row>
    <row r="8" spans="1:23" x14ac:dyDescent="0.45">
      <c r="A8" s="23">
        <v>42418</v>
      </c>
      <c r="B8">
        <v>53.01</v>
      </c>
      <c r="C8">
        <v>52.04</v>
      </c>
      <c r="G8">
        <f t="shared" si="6"/>
        <v>32.539376175213654</v>
      </c>
      <c r="H8">
        <f t="shared" si="7"/>
        <v>22.165908286227971</v>
      </c>
      <c r="I8">
        <f t="shared" si="8"/>
        <v>26.286144815295859</v>
      </c>
      <c r="J8">
        <f t="shared" si="9"/>
        <v>20.058122301742628</v>
      </c>
      <c r="K8">
        <f t="shared" si="10"/>
        <v>10.405310093058549</v>
      </c>
      <c r="L8">
        <f t="shared" si="11"/>
        <v>52.769104054643989</v>
      </c>
      <c r="M8">
        <f t="shared" si="12"/>
        <v>-0.88910405464398679</v>
      </c>
      <c r="N8">
        <f t="shared" si="13"/>
        <v>0.79050601998437742</v>
      </c>
    </row>
    <row r="9" spans="1:23" x14ac:dyDescent="0.45">
      <c r="A9" s="23">
        <v>42417</v>
      </c>
      <c r="B9">
        <v>51.12</v>
      </c>
      <c r="C9">
        <v>52.73</v>
      </c>
      <c r="G9">
        <f t="shared" si="6"/>
        <v>31.458399033850011</v>
      </c>
      <c r="H9">
        <f t="shared" si="7"/>
        <v>21.496445065861547</v>
      </c>
      <c r="I9">
        <f t="shared" si="8"/>
        <v>25.446479147981922</v>
      </c>
      <c r="J9">
        <f t="shared" si="9"/>
        <v>19.393249696327821</v>
      </c>
      <c r="K9">
        <f t="shared" si="10"/>
        <v>10.059626502942148</v>
      </c>
      <c r="L9">
        <f t="shared" si="11"/>
        <v>51.09954012733597</v>
      </c>
      <c r="M9">
        <f t="shared" si="12"/>
        <v>1.9104598726640276</v>
      </c>
      <c r="N9">
        <f t="shared" si="13"/>
        <v>3.6498569250594528</v>
      </c>
    </row>
    <row r="10" spans="1:23" x14ac:dyDescent="0.45">
      <c r="A10" s="23">
        <v>42416</v>
      </c>
      <c r="B10">
        <v>49.79</v>
      </c>
      <c r="C10">
        <v>52.07</v>
      </c>
      <c r="G10">
        <f t="shared" si="6"/>
        <v>30.67290722799758</v>
      </c>
      <c r="H10">
        <f t="shared" si="7"/>
        <v>20.96765829162403</v>
      </c>
      <c r="I10">
        <f t="shared" si="8"/>
        <v>24.81248499232203</v>
      </c>
      <c r="J10">
        <f t="shared" si="9"/>
        <v>18.900168165056201</v>
      </c>
      <c r="K10">
        <f t="shared" si="10"/>
        <v>9.8102634969140627</v>
      </c>
      <c r="L10">
        <f t="shared" si="11"/>
        <v>49.853822277972412</v>
      </c>
      <c r="M10">
        <f t="shared" si="12"/>
        <v>1.2661777220275852</v>
      </c>
      <c r="N10">
        <f t="shared" si="13"/>
        <v>1.6032060237589647</v>
      </c>
    </row>
    <row r="11" spans="1:23" x14ac:dyDescent="0.45">
      <c r="A11" s="23">
        <v>42412</v>
      </c>
      <c r="B11">
        <v>49.6</v>
      </c>
      <c r="C11">
        <v>49.64</v>
      </c>
      <c r="G11">
        <f t="shared" si="6"/>
        <v>30.605361883424422</v>
      </c>
      <c r="H11">
        <f t="shared" si="7"/>
        <v>20.932569681554593</v>
      </c>
      <c r="I11">
        <f t="shared" si="8"/>
        <v>24.763909202422354</v>
      </c>
      <c r="J11">
        <f t="shared" si="9"/>
        <v>18.861631731522916</v>
      </c>
      <c r="K11">
        <f t="shared" si="10"/>
        <v>9.7918671459073927</v>
      </c>
      <c r="L11">
        <f t="shared" si="11"/>
        <v>49.755501637418327</v>
      </c>
      <c r="M11">
        <f t="shared" si="12"/>
        <v>3.4498362581672382E-2</v>
      </c>
      <c r="N11">
        <f t="shared" si="13"/>
        <v>1.1901370208165331E-3</v>
      </c>
    </row>
    <row r="12" spans="1:23" x14ac:dyDescent="0.45">
      <c r="A12" s="23">
        <v>42411</v>
      </c>
      <c r="B12">
        <v>48.37</v>
      </c>
      <c r="C12">
        <v>48.84</v>
      </c>
      <c r="G12">
        <f t="shared" si="6"/>
        <v>29.896269849183458</v>
      </c>
      <c r="H12">
        <f t="shared" si="7"/>
        <v>20.523027271562295</v>
      </c>
      <c r="I12">
        <f t="shared" si="8"/>
        <v>24.227313488969283</v>
      </c>
      <c r="J12">
        <f t="shared" si="9"/>
        <v>18.422596828023444</v>
      </c>
      <c r="K12">
        <f t="shared" si="10"/>
        <v>9.5614562358453341</v>
      </c>
      <c r="L12">
        <f t="shared" si="11"/>
        <v>48.677867782981728</v>
      </c>
      <c r="M12">
        <f t="shared" si="12"/>
        <v>0.92213221701827308</v>
      </c>
      <c r="N12">
        <f t="shared" si="13"/>
        <v>0.85032782566303544</v>
      </c>
    </row>
    <row r="13" spans="1:23" x14ac:dyDescent="0.45">
      <c r="A13" s="23">
        <v>42410</v>
      </c>
      <c r="B13">
        <v>49.71</v>
      </c>
      <c r="C13">
        <v>48.96</v>
      </c>
      <c r="G13">
        <f t="shared" si="6"/>
        <v>30.690686121362734</v>
      </c>
      <c r="H13">
        <f t="shared" si="7"/>
        <v>21.032884100670177</v>
      </c>
      <c r="I13">
        <f t="shared" si="8"/>
        <v>24.852182527006818</v>
      </c>
      <c r="J13">
        <f t="shared" si="9"/>
        <v>18.907516694690074</v>
      </c>
      <c r="K13">
        <f t="shared" si="10"/>
        <v>9.8161740836802558</v>
      </c>
      <c r="L13">
        <f t="shared" si="11"/>
        <v>49.914476133345701</v>
      </c>
      <c r="M13">
        <f t="shared" si="12"/>
        <v>-1.5444761333457038</v>
      </c>
      <c r="N13">
        <f t="shared" si="13"/>
        <v>2.3854065264744961</v>
      </c>
    </row>
    <row r="14" spans="1:23" x14ac:dyDescent="0.45">
      <c r="A14" s="23">
        <v>42409</v>
      </c>
      <c r="B14">
        <v>48.84</v>
      </c>
      <c r="C14">
        <v>49.31</v>
      </c>
      <c r="G14">
        <f t="shared" si="6"/>
        <v>30.276384365847029</v>
      </c>
      <c r="H14">
        <f t="shared" si="7"/>
        <v>20.779620511115983</v>
      </c>
      <c r="I14">
        <f t="shared" si="8"/>
        <v>24.531069373132638</v>
      </c>
      <c r="J14">
        <f t="shared" si="9"/>
        <v>18.651530012940039</v>
      </c>
      <c r="K14">
        <f t="shared" si="10"/>
        <v>9.6910689281111484</v>
      </c>
      <c r="L14">
        <f t="shared" si="11"/>
        <v>49.276289572931304</v>
      </c>
      <c r="M14">
        <f t="shared" si="12"/>
        <v>0.43371042706869645</v>
      </c>
      <c r="N14">
        <f t="shared" si="13"/>
        <v>0.18810473454811105</v>
      </c>
    </row>
    <row r="15" spans="1:23" x14ac:dyDescent="0.45">
      <c r="A15" s="23">
        <v>42408</v>
      </c>
      <c r="B15">
        <v>49.25</v>
      </c>
      <c r="C15">
        <v>49.16</v>
      </c>
      <c r="G15">
        <f t="shared" si="6"/>
        <v>30.510082055206439</v>
      </c>
      <c r="H15">
        <f t="shared" si="7"/>
        <v>20.933410631562136</v>
      </c>
      <c r="I15">
        <f t="shared" si="8"/>
        <v>24.716845793085202</v>
      </c>
      <c r="J15">
        <f t="shared" si="9"/>
        <v>18.794051509955143</v>
      </c>
      <c r="K15">
        <f t="shared" si="10"/>
        <v>9.7647622619877801</v>
      </c>
      <c r="L15">
        <f t="shared" si="11"/>
        <v>49.642433633156749</v>
      </c>
      <c r="M15">
        <f t="shared" si="12"/>
        <v>-0.80243363315674543</v>
      </c>
      <c r="N15">
        <f t="shared" si="13"/>
        <v>0.64389973562113434</v>
      </c>
    </row>
    <row r="16" spans="1:23" x14ac:dyDescent="0.45">
      <c r="A16" s="23">
        <v>42405</v>
      </c>
      <c r="B16">
        <v>51.4</v>
      </c>
      <c r="C16">
        <v>49.82</v>
      </c>
      <c r="G16">
        <f t="shared" si="6"/>
        <v>31.760091621775995</v>
      </c>
      <c r="H16">
        <f t="shared" si="7"/>
        <v>21.774239905262505</v>
      </c>
      <c r="I16">
        <f t="shared" si="8"/>
        <v>25.723432508034744</v>
      </c>
      <c r="J16">
        <f t="shared" si="9"/>
        <v>19.57077993099562</v>
      </c>
      <c r="K16">
        <f t="shared" si="10"/>
        <v>10.159688196471841</v>
      </c>
      <c r="L16">
        <f t="shared" si="11"/>
        <v>51.620209145397965</v>
      </c>
      <c r="M16">
        <f t="shared" si="12"/>
        <v>-2.3702091453979648</v>
      </c>
      <c r="N16">
        <f t="shared" si="13"/>
        <v>5.6178913929281507</v>
      </c>
    </row>
    <row r="17" spans="1:14" x14ac:dyDescent="0.45">
      <c r="A17" s="23">
        <v>42404</v>
      </c>
      <c r="B17">
        <v>51.21</v>
      </c>
      <c r="C17">
        <v>51.67</v>
      </c>
      <c r="G17">
        <f t="shared" si="6"/>
        <v>31.663283305055742</v>
      </c>
      <c r="H17">
        <f t="shared" si="7"/>
        <v>21.680827785337705</v>
      </c>
      <c r="I17">
        <f t="shared" si="8"/>
        <v>25.629403707019932</v>
      </c>
      <c r="J17">
        <f t="shared" si="9"/>
        <v>19.504378686991117</v>
      </c>
      <c r="K17">
        <f t="shared" si="10"/>
        <v>10.133129195817006</v>
      </c>
      <c r="L17">
        <f t="shared" si="11"/>
        <v>51.445565042882549</v>
      </c>
      <c r="M17">
        <f t="shared" si="12"/>
        <v>-4.5565042882550699E-2</v>
      </c>
      <c r="N17">
        <f t="shared" si="13"/>
        <v>2.0761731328886842E-3</v>
      </c>
    </row>
    <row r="18" spans="1:14" x14ac:dyDescent="0.45">
      <c r="A18" s="23">
        <v>42403</v>
      </c>
      <c r="B18">
        <v>51.94</v>
      </c>
      <c r="C18">
        <v>51.38</v>
      </c>
      <c r="G18">
        <f t="shared" si="6"/>
        <v>32.106417937750116</v>
      </c>
      <c r="H18">
        <f t="shared" si="7"/>
        <v>21.958230554553612</v>
      </c>
      <c r="I18">
        <f t="shared" si="8"/>
        <v>25.976675886366998</v>
      </c>
      <c r="J18">
        <f t="shared" si="9"/>
        <v>19.783473798646437</v>
      </c>
      <c r="K18">
        <f t="shared" si="10"/>
        <v>10.27707303311262</v>
      </c>
      <c r="L18">
        <f t="shared" si="11"/>
        <v>52.135365327674982</v>
      </c>
      <c r="M18">
        <f t="shared" si="12"/>
        <v>-0.92536532767498159</v>
      </c>
      <c r="N18">
        <f t="shared" si="13"/>
        <v>0.85630098966302604</v>
      </c>
    </row>
    <row r="19" spans="1:14" x14ac:dyDescent="0.45">
      <c r="A19" s="23">
        <v>42402</v>
      </c>
      <c r="B19">
        <v>52.04</v>
      </c>
      <c r="C19">
        <v>51.34</v>
      </c>
      <c r="G19">
        <f t="shared" si="6"/>
        <v>32.108922485039002</v>
      </c>
      <c r="H19">
        <f t="shared" si="7"/>
        <v>21.946118091366966</v>
      </c>
      <c r="I19">
        <f t="shared" si="8"/>
        <v>25.97242515937441</v>
      </c>
      <c r="J19">
        <f t="shared" si="9"/>
        <v>19.786001391966298</v>
      </c>
      <c r="K19">
        <f t="shared" si="10"/>
        <v>10.274217921581428</v>
      </c>
      <c r="L19">
        <f t="shared" si="11"/>
        <v>52.130832296723717</v>
      </c>
      <c r="M19">
        <f t="shared" si="12"/>
        <v>-0.19083229672371971</v>
      </c>
      <c r="N19">
        <f t="shared" si="13"/>
        <v>3.6416965472849804E-2</v>
      </c>
    </row>
    <row r="20" spans="1:14" x14ac:dyDescent="0.45">
      <c r="A20" s="23">
        <v>42401</v>
      </c>
      <c r="B20">
        <v>53.38</v>
      </c>
      <c r="C20">
        <v>53.17</v>
      </c>
      <c r="G20">
        <f t="shared" si="6"/>
        <v>32.847288533996462</v>
      </c>
      <c r="H20">
        <f t="shared" si="7"/>
        <v>22.432433757177755</v>
      </c>
      <c r="I20">
        <f t="shared" si="8"/>
        <v>26.562678112838565</v>
      </c>
      <c r="J20">
        <f t="shared" si="9"/>
        <v>20.246957707944027</v>
      </c>
      <c r="K20">
        <f t="shared" si="10"/>
        <v>10.504889341791985</v>
      </c>
      <c r="L20">
        <f t="shared" si="11"/>
        <v>53.293452858956307</v>
      </c>
      <c r="M20">
        <f t="shared" si="12"/>
        <v>-1.2534528589563081</v>
      </c>
      <c r="N20">
        <f t="shared" si="13"/>
        <v>1.5711440696257424</v>
      </c>
    </row>
    <row r="21" spans="1:14" x14ac:dyDescent="0.45">
      <c r="A21" s="23">
        <v>42398</v>
      </c>
      <c r="B21">
        <v>52.07</v>
      </c>
      <c r="C21">
        <v>53.86</v>
      </c>
      <c r="G21">
        <f t="shared" si="6"/>
        <v>32.087157836856505</v>
      </c>
      <c r="H21">
        <f t="shared" si="7"/>
        <v>21.938383358504343</v>
      </c>
      <c r="I21">
        <f t="shared" si="8"/>
        <v>25.959136271173993</v>
      </c>
      <c r="J21">
        <f t="shared" si="9"/>
        <v>19.774134093622799</v>
      </c>
      <c r="K21">
        <f t="shared" si="10"/>
        <v>10.263076775234694</v>
      </c>
      <c r="L21">
        <f t="shared" si="11"/>
        <v>52.101634074114372</v>
      </c>
      <c r="M21">
        <f t="shared" si="12"/>
        <v>1.2783659258856304</v>
      </c>
      <c r="N21">
        <f t="shared" si="13"/>
        <v>1.6342194404654249</v>
      </c>
    </row>
    <row r="22" spans="1:14" x14ac:dyDescent="0.45">
      <c r="A22" s="23">
        <v>42397</v>
      </c>
      <c r="B22">
        <v>51.67</v>
      </c>
      <c r="C22">
        <v>51.76</v>
      </c>
      <c r="G22">
        <f t="shared" si="6"/>
        <v>31.872442404346106</v>
      </c>
      <c r="H22">
        <f t="shared" si="7"/>
        <v>21.804278283511405</v>
      </c>
      <c r="I22">
        <f t="shared" si="8"/>
        <v>25.791473959968133</v>
      </c>
      <c r="J22">
        <f t="shared" si="9"/>
        <v>19.641337698175402</v>
      </c>
      <c r="K22">
        <f t="shared" si="10"/>
        <v>10.195821951123675</v>
      </c>
      <c r="L22">
        <f t="shared" si="11"/>
        <v>51.768925378718087</v>
      </c>
      <c r="M22">
        <f t="shared" si="12"/>
        <v>0.30107462128191287</v>
      </c>
      <c r="N22">
        <f t="shared" si="13"/>
        <v>9.0645927580047261E-2</v>
      </c>
    </row>
    <row r="23" spans="1:14" x14ac:dyDescent="0.45">
      <c r="A23" s="23">
        <v>42396</v>
      </c>
      <c r="B23">
        <v>51.03</v>
      </c>
      <c r="C23">
        <v>51.28</v>
      </c>
      <c r="G23">
        <f t="shared" si="6"/>
        <v>31.510711211162828</v>
      </c>
      <c r="H23">
        <f t="shared" si="7"/>
        <v>21.56998000781628</v>
      </c>
      <c r="I23">
        <f t="shared" si="8"/>
        <v>25.504515408112006</v>
      </c>
      <c r="J23">
        <f t="shared" si="9"/>
        <v>19.416038269727121</v>
      </c>
      <c r="K23">
        <f t="shared" si="10"/>
        <v>10.081541034229529</v>
      </c>
      <c r="L23">
        <f t="shared" si="11"/>
        <v>51.202151410879679</v>
      </c>
      <c r="M23">
        <f t="shared" si="12"/>
        <v>0.46784858912032234</v>
      </c>
      <c r="N23">
        <f t="shared" si="13"/>
        <v>0.21888230234187619</v>
      </c>
    </row>
    <row r="24" spans="1:14" x14ac:dyDescent="0.45">
      <c r="A24" s="23">
        <v>42395</v>
      </c>
      <c r="B24">
        <v>51.34</v>
      </c>
      <c r="C24">
        <v>51.29</v>
      </c>
      <c r="G24">
        <f t="shared" si="6"/>
        <v>31.68172192550027</v>
      </c>
      <c r="H24">
        <f t="shared" si="7"/>
        <v>21.63079554851689</v>
      </c>
      <c r="I24">
        <f t="shared" si="8"/>
        <v>25.61423789075679</v>
      </c>
      <c r="J24">
        <f t="shared" si="9"/>
        <v>19.519717705582192</v>
      </c>
      <c r="K24">
        <f t="shared" si="10"/>
        <v>10.140268248565171</v>
      </c>
      <c r="L24">
        <f t="shared" si="11"/>
        <v>51.43641597210555</v>
      </c>
      <c r="M24">
        <f t="shared" si="12"/>
        <v>-0.40641597210554892</v>
      </c>
      <c r="N24">
        <f t="shared" si="13"/>
        <v>0.16517394238249833</v>
      </c>
    </row>
    <row r="25" spans="1:14" x14ac:dyDescent="0.45">
      <c r="A25" s="23">
        <v>42394</v>
      </c>
      <c r="B25">
        <v>51.27</v>
      </c>
      <c r="C25">
        <v>51.05</v>
      </c>
      <c r="G25">
        <f t="shared" si="6"/>
        <v>31.624525766008258</v>
      </c>
      <c r="H25">
        <f t="shared" si="7"/>
        <v>21.616853164286301</v>
      </c>
      <c r="I25">
        <f t="shared" si="8"/>
        <v>25.583110903720751</v>
      </c>
      <c r="J25">
        <f t="shared" si="9"/>
        <v>19.493142185847926</v>
      </c>
      <c r="K25">
        <f t="shared" si="10"/>
        <v>10.118364816379271</v>
      </c>
      <c r="L25">
        <f t="shared" si="11"/>
        <v>51.366383966475311</v>
      </c>
      <c r="M25">
        <f t="shared" si="12"/>
        <v>-2.638396647530783E-2</v>
      </c>
      <c r="N25">
        <f t="shared" si="13"/>
        <v>6.9611368697016743E-4</v>
      </c>
    </row>
    <row r="26" spans="1:14" x14ac:dyDescent="0.45">
      <c r="A26" s="23">
        <v>42391</v>
      </c>
      <c r="B26">
        <v>51.5</v>
      </c>
      <c r="C26">
        <v>51.38</v>
      </c>
      <c r="G26">
        <f t="shared" si="6"/>
        <v>31.676973365850248</v>
      </c>
      <c r="H26">
        <f t="shared" si="7"/>
        <v>21.602072231578312</v>
      </c>
      <c r="I26">
        <f t="shared" si="8"/>
        <v>25.599196398148607</v>
      </c>
      <c r="J26">
        <f t="shared" si="9"/>
        <v>19.52011622242242</v>
      </c>
      <c r="K26">
        <f t="shared" si="10"/>
        <v>10.132532149957949</v>
      </c>
      <c r="L26">
        <f t="shared" si="11"/>
        <v>51.414004824942907</v>
      </c>
      <c r="M26">
        <f t="shared" si="12"/>
        <v>-0.14400482494290401</v>
      </c>
      <c r="N26">
        <f t="shared" si="13"/>
        <v>2.0737389606836427E-2</v>
      </c>
    </row>
    <row r="27" spans="1:14" x14ac:dyDescent="0.45">
      <c r="A27" s="23">
        <v>42390</v>
      </c>
      <c r="B27">
        <v>51.51</v>
      </c>
      <c r="C27">
        <v>50.53</v>
      </c>
      <c r="G27">
        <f t="shared" si="6"/>
        <v>31.707003600724683</v>
      </c>
      <c r="H27">
        <f t="shared" si="7"/>
        <v>21.676316084838515</v>
      </c>
      <c r="I27">
        <f t="shared" si="8"/>
        <v>25.653248608274087</v>
      </c>
      <c r="J27">
        <f t="shared" si="9"/>
        <v>19.549081248318021</v>
      </c>
      <c r="K27">
        <f t="shared" si="10"/>
        <v>10.138897440278209</v>
      </c>
      <c r="L27">
        <f t="shared" si="11"/>
        <v>51.50178574952286</v>
      </c>
      <c r="M27">
        <f t="shared" si="12"/>
        <v>-1.7857495228597031E-3</v>
      </c>
      <c r="N27">
        <f t="shared" si="13"/>
        <v>3.1889013583936574E-6</v>
      </c>
    </row>
    <row r="28" spans="1:14" x14ac:dyDescent="0.45">
      <c r="A28" s="23">
        <v>42389</v>
      </c>
      <c r="B28">
        <v>49.35</v>
      </c>
      <c r="C28">
        <v>50.58</v>
      </c>
      <c r="G28">
        <f t="shared" si="6"/>
        <v>30.442428759567367</v>
      </c>
      <c r="H28">
        <f t="shared" si="7"/>
        <v>20.884702869552822</v>
      </c>
      <c r="I28">
        <f t="shared" si="8"/>
        <v>24.663164541421715</v>
      </c>
      <c r="J28">
        <f t="shared" si="9"/>
        <v>18.757320190166539</v>
      </c>
      <c r="K28">
        <f t="shared" si="10"/>
        <v>9.7323244398620954</v>
      </c>
      <c r="L28">
        <f t="shared" si="11"/>
        <v>49.535851969379543</v>
      </c>
      <c r="M28">
        <f t="shared" si="12"/>
        <v>1.9741480306204551</v>
      </c>
      <c r="N28">
        <f t="shared" si="13"/>
        <v>3.8972604468026213</v>
      </c>
    </row>
    <row r="29" spans="1:14" x14ac:dyDescent="0.45">
      <c r="A29" s="23">
        <v>42388</v>
      </c>
      <c r="B29">
        <v>50.33</v>
      </c>
      <c r="C29">
        <v>49.39</v>
      </c>
      <c r="G29">
        <f t="shared" si="6"/>
        <v>31.091955167298995</v>
      </c>
      <c r="H29">
        <f t="shared" si="7"/>
        <v>21.299884357102876</v>
      </c>
      <c r="I29">
        <f t="shared" si="8"/>
        <v>25.173162566798176</v>
      </c>
      <c r="J29">
        <f t="shared" si="9"/>
        <v>19.15553165146385</v>
      </c>
      <c r="K29">
        <f t="shared" si="10"/>
        <v>9.9469573420357875</v>
      </c>
      <c r="L29">
        <f t="shared" si="11"/>
        <v>50.546876833240624</v>
      </c>
      <c r="M29">
        <f t="shared" si="12"/>
        <v>-1.1968768332406228</v>
      </c>
      <c r="N29">
        <f t="shared" si="13"/>
        <v>1.4325141539481014</v>
      </c>
    </row>
    <row r="30" spans="1:14" x14ac:dyDescent="0.45">
      <c r="A30" s="23">
        <v>42384</v>
      </c>
      <c r="B30">
        <v>48.16</v>
      </c>
      <c r="C30">
        <v>49.82</v>
      </c>
      <c r="G30">
        <f t="shared" si="6"/>
        <v>29.901687286762193</v>
      </c>
      <c r="H30">
        <f t="shared" si="7"/>
        <v>20.515588919755711</v>
      </c>
      <c r="I30">
        <f t="shared" si="8"/>
        <v>24.222593110075643</v>
      </c>
      <c r="J30">
        <f t="shared" si="9"/>
        <v>18.416718421544104</v>
      </c>
      <c r="K30">
        <f t="shared" si="10"/>
        <v>9.5757712489498275</v>
      </c>
      <c r="L30">
        <f t="shared" si="11"/>
        <v>48.674718988724031</v>
      </c>
      <c r="M30">
        <f t="shared" si="12"/>
        <v>1.6552810112759673</v>
      </c>
      <c r="N30">
        <f t="shared" si="13"/>
        <v>2.7399552262907889</v>
      </c>
    </row>
    <row r="31" spans="1:14" x14ac:dyDescent="0.45">
      <c r="A31" s="23">
        <v>42383</v>
      </c>
      <c r="B31">
        <v>50.54</v>
      </c>
      <c r="C31">
        <v>50.5</v>
      </c>
      <c r="G31">
        <f t="shared" si="6"/>
        <v>31.234035700645897</v>
      </c>
      <c r="H31">
        <f t="shared" si="7"/>
        <v>21.372721436330234</v>
      </c>
      <c r="I31">
        <f t="shared" si="8"/>
        <v>25.276296947863347</v>
      </c>
      <c r="J31">
        <f t="shared" si="9"/>
        <v>19.245113170574996</v>
      </c>
      <c r="K31">
        <f t="shared" si="10"/>
        <v>9.9960570424356661</v>
      </c>
      <c r="L31">
        <f t="shared" si="11"/>
        <v>50.757743671459274</v>
      </c>
      <c r="M31">
        <f t="shared" si="12"/>
        <v>-2.597743671459277</v>
      </c>
      <c r="N31">
        <f t="shared" si="13"/>
        <v>6.7482721826067236</v>
      </c>
    </row>
    <row r="32" spans="1:14" x14ac:dyDescent="0.45">
      <c r="A32" s="23">
        <v>42382</v>
      </c>
      <c r="B32">
        <v>51.72</v>
      </c>
      <c r="C32">
        <v>50.1</v>
      </c>
      <c r="G32">
        <f t="shared" si="6"/>
        <v>31.87834159672833</v>
      </c>
      <c r="H32">
        <f t="shared" si="7"/>
        <v>21.784195119791946</v>
      </c>
      <c r="I32">
        <f t="shared" si="8"/>
        <v>25.784488392555531</v>
      </c>
      <c r="J32">
        <f t="shared" si="9"/>
        <v>19.645821449562604</v>
      </c>
      <c r="K32">
        <f t="shared" si="10"/>
        <v>10.198069348060857</v>
      </c>
      <c r="L32">
        <f t="shared" si="11"/>
        <v>51.763139961343533</v>
      </c>
      <c r="M32">
        <f t="shared" si="12"/>
        <v>-1.2231399613435343</v>
      </c>
      <c r="N32">
        <f t="shared" si="13"/>
        <v>1.4960713650354627</v>
      </c>
    </row>
    <row r="33" spans="1:14" x14ac:dyDescent="0.45">
      <c r="A33" s="23">
        <v>42381</v>
      </c>
      <c r="B33">
        <v>51.55</v>
      </c>
      <c r="C33">
        <v>51.65</v>
      </c>
      <c r="G33">
        <f t="shared" si="6"/>
        <v>31.783615997634623</v>
      </c>
      <c r="H33">
        <f t="shared" si="7"/>
        <v>21.783580104237934</v>
      </c>
      <c r="I33">
        <f t="shared" si="8"/>
        <v>25.741118304128001</v>
      </c>
      <c r="J33">
        <f t="shared" si="9"/>
        <v>19.591018034635457</v>
      </c>
      <c r="K33">
        <f t="shared" si="10"/>
        <v>10.162092059517907</v>
      </c>
      <c r="L33">
        <f t="shared" si="11"/>
        <v>51.656062155249089</v>
      </c>
      <c r="M33">
        <f t="shared" si="12"/>
        <v>6.3937844750910244E-2</v>
      </c>
      <c r="N33">
        <f t="shared" si="13"/>
        <v>4.088047991391501E-3</v>
      </c>
    </row>
    <row r="34" spans="1:14" x14ac:dyDescent="0.45">
      <c r="A34" s="23">
        <v>42380</v>
      </c>
      <c r="B34">
        <v>51.04</v>
      </c>
      <c r="C34">
        <v>51.17</v>
      </c>
      <c r="G34">
        <f t="shared" si="6"/>
        <v>31.523295279012025</v>
      </c>
      <c r="H34">
        <f t="shared" si="7"/>
        <v>21.652731920110213</v>
      </c>
      <c r="I34">
        <f t="shared" si="8"/>
        <v>25.551534348321059</v>
      </c>
      <c r="J34">
        <f t="shared" si="9"/>
        <v>19.421822513499905</v>
      </c>
      <c r="K34">
        <f t="shared" si="10"/>
        <v>10.078408689691379</v>
      </c>
      <c r="L34">
        <f t="shared" si="11"/>
        <v>51.2688875029352</v>
      </c>
      <c r="M34">
        <f t="shared" si="12"/>
        <v>0.28111249706479668</v>
      </c>
      <c r="N34">
        <f t="shared" si="13"/>
        <v>7.9024236006005319E-2</v>
      </c>
    </row>
    <row r="35" spans="1:14" x14ac:dyDescent="0.45">
      <c r="A35" s="23">
        <v>42377</v>
      </c>
      <c r="B35">
        <v>50.74</v>
      </c>
      <c r="C35">
        <v>49.98</v>
      </c>
      <c r="G35">
        <f t="shared" si="6"/>
        <v>31.460956908497703</v>
      </c>
      <c r="H35">
        <f t="shared" si="7"/>
        <v>21.598702741940635</v>
      </c>
      <c r="I35">
        <f t="shared" si="8"/>
        <v>25.492476942465292</v>
      </c>
      <c r="J35">
        <f t="shared" si="9"/>
        <v>19.376121530580239</v>
      </c>
      <c r="K35">
        <f t="shared" si="10"/>
        <v>10.070063381437489</v>
      </c>
      <c r="L35">
        <f t="shared" si="11"/>
        <v>51.159042120944768</v>
      </c>
      <c r="M35">
        <f t="shared" si="12"/>
        <v>-0.11904212094476918</v>
      </c>
      <c r="N35">
        <f t="shared" si="13"/>
        <v>1.4171026559029054E-2</v>
      </c>
    </row>
    <row r="36" spans="1:14" x14ac:dyDescent="0.45">
      <c r="A36" s="23">
        <v>42376</v>
      </c>
      <c r="B36">
        <v>50.45</v>
      </c>
      <c r="C36">
        <v>50.42</v>
      </c>
      <c r="G36">
        <f t="shared" si="6"/>
        <v>31.36262693112279</v>
      </c>
      <c r="H36">
        <f t="shared" si="7"/>
        <v>21.584906512090146</v>
      </c>
      <c r="I36">
        <f t="shared" si="8"/>
        <v>25.440246787607741</v>
      </c>
      <c r="J36">
        <f t="shared" si="9"/>
        <v>19.319022877144921</v>
      </c>
      <c r="K36">
        <f t="shared" si="10"/>
        <v>10.040117252144816</v>
      </c>
      <c r="L36">
        <f t="shared" si="11"/>
        <v>51.039432805728154</v>
      </c>
      <c r="M36">
        <f t="shared" si="12"/>
        <v>-0.29943280572815212</v>
      </c>
      <c r="N36">
        <f t="shared" si="13"/>
        <v>8.966000514623329E-2</v>
      </c>
    </row>
    <row r="37" spans="1:14" x14ac:dyDescent="0.45">
      <c r="A37" s="23">
        <v>42375</v>
      </c>
      <c r="B37">
        <v>53.07</v>
      </c>
      <c r="C37">
        <v>51.74</v>
      </c>
      <c r="G37">
        <f t="shared" si="6"/>
        <v>32.855048582953543</v>
      </c>
      <c r="H37">
        <f t="shared" si="7"/>
        <v>22.568965995350524</v>
      </c>
      <c r="I37">
        <f t="shared" si="8"/>
        <v>26.630020674349947</v>
      </c>
      <c r="J37">
        <f t="shared" si="9"/>
        <v>20.238053570757973</v>
      </c>
      <c r="K37">
        <f t="shared" si="10"/>
        <v>10.510656010482778</v>
      </c>
      <c r="L37">
        <f t="shared" si="11"/>
        <v>53.383558367658352</v>
      </c>
      <c r="M37">
        <f t="shared" si="12"/>
        <v>-2.9335583676583497</v>
      </c>
      <c r="N37">
        <f t="shared" si="13"/>
        <v>8.605764696458321</v>
      </c>
    </row>
    <row r="38" spans="1:14" x14ac:dyDescent="0.45">
      <c r="A38" s="23">
        <v>42374</v>
      </c>
      <c r="B38">
        <v>54.73</v>
      </c>
      <c r="C38">
        <v>54.04</v>
      </c>
      <c r="G38">
        <f t="shared" si="6"/>
        <v>33.876890856448583</v>
      </c>
      <c r="H38">
        <f t="shared" si="7"/>
        <v>23.221148641810217</v>
      </c>
      <c r="I38">
        <f t="shared" si="8"/>
        <v>27.43354842732251</v>
      </c>
      <c r="J38">
        <f t="shared" si="9"/>
        <v>20.868800801526163</v>
      </c>
      <c r="K38">
        <f t="shared" si="10"/>
        <v>10.842225306553974</v>
      </c>
      <c r="L38">
        <f t="shared" si="11"/>
        <v>54.975576980539145</v>
      </c>
      <c r="M38">
        <f t="shared" si="12"/>
        <v>-1.9055769805391449</v>
      </c>
      <c r="N38">
        <f t="shared" si="13"/>
        <v>3.6312236287606847</v>
      </c>
    </row>
    <row r="39" spans="1:14" x14ac:dyDescent="0.45">
      <c r="A39" s="23">
        <v>42373</v>
      </c>
      <c r="B39">
        <v>54.24</v>
      </c>
      <c r="C39">
        <v>54.44</v>
      </c>
      <c r="G39">
        <f t="shared" si="6"/>
        <v>33.620328437814656</v>
      </c>
      <c r="H39">
        <f t="shared" si="7"/>
        <v>23.051371363943247</v>
      </c>
      <c r="I39">
        <f t="shared" si="8"/>
        <v>27.228487812793919</v>
      </c>
      <c r="J39">
        <f t="shared" si="9"/>
        <v>20.710658746232614</v>
      </c>
      <c r="K39">
        <f t="shared" si="10"/>
        <v>10.763502032342746</v>
      </c>
      <c r="L39">
        <f t="shared" si="11"/>
        <v>54.572173574095814</v>
      </c>
      <c r="M39">
        <f t="shared" si="12"/>
        <v>0.15782642590418305</v>
      </c>
      <c r="N39">
        <f t="shared" si="13"/>
        <v>2.4909180713688583E-2</v>
      </c>
    </row>
    <row r="40" spans="1:14" x14ac:dyDescent="0.45">
      <c r="A40" s="23">
        <v>42369</v>
      </c>
      <c r="B40">
        <v>56.45</v>
      </c>
      <c r="C40">
        <v>55.32</v>
      </c>
      <c r="G40">
        <f t="shared" si="6"/>
        <v>34.854329791342202</v>
      </c>
      <c r="H40">
        <f t="shared" si="7"/>
        <v>23.847336897656209</v>
      </c>
      <c r="I40">
        <f t="shared" si="8"/>
        <v>28.205198930710072</v>
      </c>
      <c r="J40">
        <f t="shared" si="9"/>
        <v>21.47679502694421</v>
      </c>
      <c r="K40">
        <f t="shared" si="10"/>
        <v>11.152218320942431</v>
      </c>
      <c r="L40">
        <f t="shared" si="11"/>
        <v>56.502207523389366</v>
      </c>
      <c r="M40">
        <f t="shared" si="12"/>
        <v>-2.2622075233893639</v>
      </c>
      <c r="N40">
        <f t="shared" si="13"/>
        <v>5.11758287887944</v>
      </c>
    </row>
    <row r="41" spans="1:14" x14ac:dyDescent="0.45">
      <c r="A41" s="23">
        <v>42368</v>
      </c>
      <c r="B41">
        <v>57.17</v>
      </c>
      <c r="C41">
        <v>56.55</v>
      </c>
      <c r="G41">
        <f t="shared" si="6"/>
        <v>35.254076379990821</v>
      </c>
      <c r="H41">
        <f t="shared" si="7"/>
        <v>24.103877144569637</v>
      </c>
      <c r="I41">
        <f t="shared" si="8"/>
        <v>28.521084983183698</v>
      </c>
      <c r="J41">
        <f t="shared" si="9"/>
        <v>21.725454469236411</v>
      </c>
      <c r="K41">
        <f t="shared" si="10"/>
        <v>11.278069502535081</v>
      </c>
      <c r="L41">
        <f t="shared" si="11"/>
        <v>57.126830039474576</v>
      </c>
      <c r="M41">
        <f t="shared" si="12"/>
        <v>-0.67683003947457365</v>
      </c>
      <c r="N41">
        <f t="shared" si="13"/>
        <v>0.45809890233515294</v>
      </c>
    </row>
    <row r="42" spans="1:14" x14ac:dyDescent="0.45">
      <c r="A42" s="23">
        <v>42367</v>
      </c>
      <c r="B42">
        <v>56.8</v>
      </c>
      <c r="C42">
        <v>57.31</v>
      </c>
      <c r="G42">
        <f t="shared" si="6"/>
        <v>35.037997801008821</v>
      </c>
      <c r="H42">
        <f t="shared" si="7"/>
        <v>23.968339101033074</v>
      </c>
      <c r="I42">
        <f t="shared" si="8"/>
        <v>28.352271313429299</v>
      </c>
      <c r="J42">
        <f t="shared" si="9"/>
        <v>21.592035086803978</v>
      </c>
      <c r="K42">
        <f t="shared" si="10"/>
        <v>11.208720236730505</v>
      </c>
      <c r="L42">
        <f t="shared" si="11"/>
        <v>56.791711371616486</v>
      </c>
      <c r="M42">
        <f t="shared" si="12"/>
        <v>0.3782886283835154</v>
      </c>
      <c r="N42">
        <f t="shared" si="13"/>
        <v>0.14310228636428141</v>
      </c>
    </row>
    <row r="43" spans="1:14" x14ac:dyDescent="0.45">
      <c r="A43" s="23">
        <v>42366</v>
      </c>
      <c r="B43">
        <v>56.67</v>
      </c>
      <c r="C43">
        <v>56.45</v>
      </c>
      <c r="G43">
        <f t="shared" si="6"/>
        <v>34.958216543419027</v>
      </c>
      <c r="H43">
        <f t="shared" si="7"/>
        <v>23.900026021370287</v>
      </c>
      <c r="I43">
        <f t="shared" si="8"/>
        <v>28.280289491666345</v>
      </c>
      <c r="J43">
        <f t="shared" si="9"/>
        <v>21.541063096546512</v>
      </c>
      <c r="K43">
        <f t="shared" si="10"/>
        <v>11.184610574846415</v>
      </c>
      <c r="L43">
        <f t="shared" si="11"/>
        <v>56.655301572052345</v>
      </c>
      <c r="M43">
        <f t="shared" si="12"/>
        <v>0.14469842794765242</v>
      </c>
      <c r="N43">
        <f t="shared" si="13"/>
        <v>2.0937635050521958E-2</v>
      </c>
    </row>
    <row r="44" spans="1:14" x14ac:dyDescent="0.45">
      <c r="A44" s="23">
        <v>42362</v>
      </c>
      <c r="B44">
        <v>56.48</v>
      </c>
      <c r="C44">
        <v>56.8</v>
      </c>
      <c r="G44">
        <f t="shared" si="6"/>
        <v>34.849129251457335</v>
      </c>
      <c r="H44">
        <f t="shared" si="7"/>
        <v>23.827485555903866</v>
      </c>
      <c r="I44">
        <f t="shared" si="8"/>
        <v>28.193555269338749</v>
      </c>
      <c r="J44">
        <f t="shared" si="9"/>
        <v>21.475859286134458</v>
      </c>
      <c r="K44">
        <f t="shared" si="10"/>
        <v>11.150247028838585</v>
      </c>
      <c r="L44">
        <f t="shared" si="11"/>
        <v>56.484595000749749</v>
      </c>
      <c r="M44">
        <f t="shared" si="12"/>
        <v>0.18540499925025244</v>
      </c>
      <c r="N44">
        <f t="shared" si="13"/>
        <v>3.4375013746986108E-2</v>
      </c>
    </row>
    <row r="45" spans="1:14" x14ac:dyDescent="0.45">
      <c r="A45" s="23">
        <v>42361</v>
      </c>
      <c r="B45">
        <v>56.36</v>
      </c>
      <c r="C45">
        <v>56.48</v>
      </c>
      <c r="G45">
        <f t="shared" si="6"/>
        <v>34.764872662646397</v>
      </c>
      <c r="H45">
        <f t="shared" si="7"/>
        <v>23.81243312435101</v>
      </c>
      <c r="I45">
        <f t="shared" si="8"/>
        <v>28.147455509113676</v>
      </c>
      <c r="J45">
        <f t="shared" si="9"/>
        <v>21.425840220373384</v>
      </c>
      <c r="K45">
        <f t="shared" si="10"/>
        <v>11.118052909197088</v>
      </c>
      <c r="L45">
        <f t="shared" si="11"/>
        <v>56.379301196153982</v>
      </c>
      <c r="M45">
        <f t="shared" si="12"/>
        <v>0.10069880384601504</v>
      </c>
      <c r="N45">
        <f t="shared" si="13"/>
        <v>1.0140249096018213E-2</v>
      </c>
    </row>
    <row r="46" spans="1:14" x14ac:dyDescent="0.45">
      <c r="A46" s="23">
        <v>42360</v>
      </c>
      <c r="B46">
        <v>56.55</v>
      </c>
      <c r="C46">
        <v>56.02</v>
      </c>
      <c r="G46">
        <f t="shared" si="6"/>
        <v>34.885084268757126</v>
      </c>
      <c r="H46">
        <f t="shared" si="7"/>
        <v>23.878479800799809</v>
      </c>
      <c r="I46">
        <f t="shared" si="8"/>
        <v>28.234876088156813</v>
      </c>
      <c r="J46">
        <f t="shared" si="9"/>
        <v>21.493768776293383</v>
      </c>
      <c r="K46">
        <f t="shared" si="10"/>
        <v>11.158294972653634</v>
      </c>
      <c r="L46">
        <f t="shared" si="11"/>
        <v>56.556433802440033</v>
      </c>
      <c r="M46">
        <f t="shared" si="12"/>
        <v>-0.19643380244003339</v>
      </c>
      <c r="N46">
        <f t="shared" si="13"/>
        <v>3.858623874105007E-2</v>
      </c>
    </row>
    <row r="47" spans="1:14" x14ac:dyDescent="0.45">
      <c r="A47" s="23">
        <v>42359</v>
      </c>
      <c r="B47">
        <v>55.83</v>
      </c>
      <c r="C47">
        <v>55.83</v>
      </c>
      <c r="G47">
        <f t="shared" si="6"/>
        <v>34.525574856450049</v>
      </c>
      <c r="H47">
        <f t="shared" si="7"/>
        <v>23.619112033665274</v>
      </c>
      <c r="I47">
        <f t="shared" si="8"/>
        <v>27.93623101456517</v>
      </c>
      <c r="J47">
        <f t="shared" si="9"/>
        <v>21.270990936773302</v>
      </c>
      <c r="K47">
        <f t="shared" si="10"/>
        <v>11.051953012848779</v>
      </c>
      <c r="L47">
        <f t="shared" si="11"/>
        <v>55.976749876693738</v>
      </c>
      <c r="M47">
        <f t="shared" si="12"/>
        <v>0.57325012330625924</v>
      </c>
      <c r="N47">
        <f t="shared" si="13"/>
        <v>0.32861570387064143</v>
      </c>
    </row>
    <row r="48" spans="1:14" x14ac:dyDescent="0.45">
      <c r="A48" s="23">
        <v>42356</v>
      </c>
      <c r="B48">
        <v>55.75</v>
      </c>
      <c r="C48">
        <v>55.17</v>
      </c>
      <c r="G48">
        <f t="shared" si="6"/>
        <v>34.456812514528899</v>
      </c>
      <c r="H48">
        <f t="shared" si="7"/>
        <v>23.598941616619243</v>
      </c>
      <c r="I48">
        <f t="shared" si="8"/>
        <v>27.895608466598091</v>
      </c>
      <c r="J48">
        <f t="shared" si="9"/>
        <v>21.233493249545159</v>
      </c>
      <c r="K48">
        <f t="shared" si="10"/>
        <v>11.02561855333173</v>
      </c>
      <c r="L48">
        <f t="shared" si="11"/>
        <v>55.887453323891009</v>
      </c>
      <c r="M48">
        <f t="shared" si="12"/>
        <v>-5.7453323891010655E-2</v>
      </c>
      <c r="N48">
        <f t="shared" si="13"/>
        <v>3.3008844261253759E-3</v>
      </c>
    </row>
    <row r="49" spans="1:14" x14ac:dyDescent="0.45">
      <c r="A49" s="23">
        <v>42355</v>
      </c>
      <c r="B49">
        <v>57.44</v>
      </c>
      <c r="C49">
        <v>56.12</v>
      </c>
      <c r="G49">
        <f t="shared" si="6"/>
        <v>35.381921741986567</v>
      </c>
      <c r="H49">
        <f t="shared" si="7"/>
        <v>24.185647891486536</v>
      </c>
      <c r="I49">
        <f t="shared" si="8"/>
        <v>28.621725370736733</v>
      </c>
      <c r="J49">
        <f t="shared" si="9"/>
        <v>21.803404323405488</v>
      </c>
      <c r="K49">
        <f t="shared" si="10"/>
        <v>11.316193696004531</v>
      </c>
      <c r="L49">
        <f t="shared" si="11"/>
        <v>57.325546962809007</v>
      </c>
      <c r="M49">
        <f t="shared" si="12"/>
        <v>-1.5755469628090069</v>
      </c>
      <c r="N49">
        <f t="shared" si="13"/>
        <v>2.4823482320166859</v>
      </c>
    </row>
    <row r="50" spans="1:14" x14ac:dyDescent="0.45">
      <c r="A50" s="23">
        <v>42354</v>
      </c>
      <c r="B50">
        <v>56.94</v>
      </c>
      <c r="C50">
        <v>57.53</v>
      </c>
      <c r="G50">
        <f t="shared" si="6"/>
        <v>35.131115561059687</v>
      </c>
      <c r="H50">
        <f t="shared" si="7"/>
        <v>24.031209196212494</v>
      </c>
      <c r="I50">
        <f t="shared" si="8"/>
        <v>28.427348505457491</v>
      </c>
      <c r="J50">
        <f t="shared" si="9"/>
        <v>21.65014090782126</v>
      </c>
      <c r="K50">
        <f t="shared" si="10"/>
        <v>11.239195162028944</v>
      </c>
      <c r="L50">
        <f t="shared" si="11"/>
        <v>56.9393450499878</v>
      </c>
      <c r="M50">
        <f t="shared" si="12"/>
        <v>0.50065495001219773</v>
      </c>
      <c r="N50">
        <f t="shared" si="13"/>
        <v>0.25065537897171619</v>
      </c>
    </row>
    <row r="51" spans="1:14" x14ac:dyDescent="0.45">
      <c r="A51" s="23">
        <v>42353</v>
      </c>
      <c r="B51">
        <v>55.85</v>
      </c>
      <c r="C51">
        <v>56.55</v>
      </c>
      <c r="G51">
        <f t="shared" si="6"/>
        <v>34.505953574188396</v>
      </c>
      <c r="H51">
        <f t="shared" si="7"/>
        <v>23.656946909138835</v>
      </c>
      <c r="I51">
        <f t="shared" si="8"/>
        <v>27.947387757856156</v>
      </c>
      <c r="J51">
        <f t="shared" si="9"/>
        <v>21.262352665692916</v>
      </c>
      <c r="K51">
        <f t="shared" si="10"/>
        <v>11.037700662541315</v>
      </c>
      <c r="L51">
        <f t="shared" si="11"/>
        <v>55.980390113125445</v>
      </c>
      <c r="M51">
        <f t="shared" si="12"/>
        <v>0.95960988687455284</v>
      </c>
      <c r="N51">
        <f t="shared" si="13"/>
        <v>0.92085113498739213</v>
      </c>
    </row>
    <row r="52" spans="1:14" x14ac:dyDescent="0.45">
      <c r="A52" s="23">
        <v>42352</v>
      </c>
      <c r="B52">
        <v>56.88</v>
      </c>
      <c r="C52">
        <v>56.82</v>
      </c>
      <c r="G52">
        <f t="shared" si="6"/>
        <v>35.116637899895409</v>
      </c>
      <c r="H52">
        <f t="shared" si="7"/>
        <v>24.054135204855385</v>
      </c>
      <c r="I52">
        <f t="shared" si="8"/>
        <v>28.430767943052807</v>
      </c>
      <c r="J52">
        <f t="shared" si="9"/>
        <v>21.636530138674516</v>
      </c>
      <c r="K52">
        <f t="shared" si="10"/>
        <v>11.233002982811628</v>
      </c>
      <c r="L52">
        <f t="shared" si="11"/>
        <v>56.935117766791912</v>
      </c>
      <c r="M52">
        <f t="shared" si="12"/>
        <v>-1.0851177667919103</v>
      </c>
      <c r="N52">
        <f t="shared" si="13"/>
        <v>1.1774805678074627</v>
      </c>
    </row>
    <row r="53" spans="1:14" x14ac:dyDescent="0.45">
      <c r="A53" s="23">
        <v>42349</v>
      </c>
      <c r="B53">
        <v>56.29</v>
      </c>
      <c r="C53">
        <v>56.93</v>
      </c>
      <c r="G53">
        <f t="shared" si="6"/>
        <v>34.837178513533829</v>
      </c>
      <c r="H53">
        <f t="shared" si="7"/>
        <v>23.898296033257985</v>
      </c>
      <c r="I53">
        <f t="shared" si="8"/>
        <v>28.221713411567062</v>
      </c>
      <c r="J53">
        <f t="shared" si="9"/>
        <v>21.463835004497202</v>
      </c>
      <c r="K53">
        <f t="shared" si="10"/>
        <v>11.147233075823191</v>
      </c>
      <c r="L53">
        <f t="shared" si="11"/>
        <v>56.514296041902206</v>
      </c>
      <c r="M53">
        <f t="shared" si="12"/>
        <v>0.36570395809779654</v>
      </c>
      <c r="N53">
        <f t="shared" si="13"/>
        <v>0.13373938496839494</v>
      </c>
    </row>
    <row r="54" spans="1:14" x14ac:dyDescent="0.45">
      <c r="A54" s="23">
        <v>42348</v>
      </c>
      <c r="B54">
        <v>56.67</v>
      </c>
      <c r="C54">
        <v>57.15</v>
      </c>
      <c r="G54">
        <f t="shared" si="6"/>
        <v>35.058887919749658</v>
      </c>
      <c r="H54">
        <f t="shared" si="7"/>
        <v>24.007989749584233</v>
      </c>
      <c r="I54">
        <f t="shared" si="8"/>
        <v>28.378734696004859</v>
      </c>
      <c r="J54">
        <f t="shared" si="9"/>
        <v>21.595667921843173</v>
      </c>
      <c r="K54">
        <f t="shared" si="10"/>
        <v>11.221286147546191</v>
      </c>
      <c r="L54">
        <f t="shared" si="11"/>
        <v>56.836567352694132</v>
      </c>
      <c r="M54">
        <f t="shared" si="12"/>
        <v>-0.54656735269413304</v>
      </c>
      <c r="N54">
        <f t="shared" si="13"/>
        <v>0.2987358710310728</v>
      </c>
    </row>
    <row r="55" spans="1:14" x14ac:dyDescent="0.45">
      <c r="A55" s="23">
        <v>42347</v>
      </c>
      <c r="B55">
        <v>58</v>
      </c>
      <c r="C55">
        <v>56.65</v>
      </c>
      <c r="G55">
        <f t="shared" si="6"/>
        <v>35.855862466259765</v>
      </c>
      <c r="H55">
        <f t="shared" si="7"/>
        <v>24.608292536747694</v>
      </c>
      <c r="I55">
        <f t="shared" si="8"/>
        <v>29.055020236264088</v>
      </c>
      <c r="J55">
        <f t="shared" si="9"/>
        <v>22.09936943713284</v>
      </c>
      <c r="K55">
        <f t="shared" si="10"/>
        <v>11.468817206098068</v>
      </c>
      <c r="L55">
        <f t="shared" si="11"/>
        <v>58.143410858634063</v>
      </c>
      <c r="M55">
        <f t="shared" si="12"/>
        <v>-1.4734108586340611</v>
      </c>
      <c r="N55">
        <f t="shared" si="13"/>
        <v>2.1709395583407609</v>
      </c>
    </row>
    <row r="56" spans="1:14" x14ac:dyDescent="0.45">
      <c r="A56" s="23">
        <v>42346</v>
      </c>
      <c r="B56">
        <v>58.08</v>
      </c>
      <c r="C56">
        <v>58.02</v>
      </c>
      <c r="G56">
        <f t="shared" si="6"/>
        <v>35.889245293870395</v>
      </c>
      <c r="H56">
        <f t="shared" si="7"/>
        <v>24.628514320927735</v>
      </c>
      <c r="I56">
        <f t="shared" si="8"/>
        <v>29.077342906351554</v>
      </c>
      <c r="J56">
        <f t="shared" si="9"/>
        <v>22.107038255043907</v>
      </c>
      <c r="K56">
        <f t="shared" si="10"/>
        <v>11.478079968578379</v>
      </c>
      <c r="L56">
        <f t="shared" si="11"/>
        <v>58.187927020196568</v>
      </c>
      <c r="M56">
        <f t="shared" si="12"/>
        <v>-0.18792702019656815</v>
      </c>
      <c r="N56">
        <f t="shared" si="13"/>
        <v>3.5316564919961331E-2</v>
      </c>
    </row>
    <row r="57" spans="1:14" x14ac:dyDescent="0.45">
      <c r="A57" s="23">
        <v>42345</v>
      </c>
      <c r="B57">
        <v>59.22</v>
      </c>
      <c r="C57">
        <v>58.5</v>
      </c>
      <c r="G57">
        <f t="shared" si="6"/>
        <v>36.665145101753644</v>
      </c>
      <c r="H57">
        <f t="shared" si="7"/>
        <v>25.146491282954436</v>
      </c>
      <c r="I57">
        <f t="shared" si="8"/>
        <v>29.699241129385417</v>
      </c>
      <c r="J57">
        <f t="shared" si="9"/>
        <v>22.589022434619789</v>
      </c>
      <c r="K57">
        <f t="shared" si="10"/>
        <v>11.733979669077039</v>
      </c>
      <c r="L57">
        <f t="shared" si="11"/>
        <v>59.413176339714028</v>
      </c>
      <c r="M57">
        <f t="shared" si="12"/>
        <v>-1.3331763397140293</v>
      </c>
      <c r="N57">
        <f t="shared" si="13"/>
        <v>1.7773591527732968</v>
      </c>
    </row>
    <row r="58" spans="1:14" x14ac:dyDescent="0.45">
      <c r="A58" s="23">
        <v>42342</v>
      </c>
      <c r="B58">
        <v>57.76</v>
      </c>
      <c r="C58">
        <v>59.21</v>
      </c>
      <c r="G58">
        <f t="shared" si="6"/>
        <v>35.835745362911446</v>
      </c>
      <c r="H58">
        <f t="shared" si="7"/>
        <v>24.569362986817026</v>
      </c>
      <c r="I58">
        <f t="shared" si="8"/>
        <v>29.020431645451005</v>
      </c>
      <c r="J58">
        <f t="shared" si="9"/>
        <v>22.069688956676927</v>
      </c>
      <c r="K58">
        <f t="shared" si="10"/>
        <v>11.475613484273827</v>
      </c>
      <c r="L58">
        <f t="shared" si="11"/>
        <v>58.086469626284838</v>
      </c>
      <c r="M58">
        <f t="shared" si="12"/>
        <v>1.1335303737151605</v>
      </c>
      <c r="N58">
        <f t="shared" si="13"/>
        <v>1.2848911081348315</v>
      </c>
    </row>
    <row r="59" spans="1:14" x14ac:dyDescent="0.45">
      <c r="A59" s="23">
        <v>42341</v>
      </c>
      <c r="B59">
        <v>61.4</v>
      </c>
      <c r="C59">
        <v>59.05</v>
      </c>
      <c r="G59">
        <f t="shared" si="6"/>
        <v>37.900914626859759</v>
      </c>
      <c r="H59">
        <f t="shared" si="7"/>
        <v>25.904455093155061</v>
      </c>
      <c r="I59">
        <f t="shared" si="8"/>
        <v>30.657699491045339</v>
      </c>
      <c r="J59">
        <f t="shared" si="9"/>
        <v>23.357182659393153</v>
      </c>
      <c r="K59">
        <f t="shared" si="10"/>
        <v>12.129087058982158</v>
      </c>
      <c r="L59">
        <f t="shared" si="11"/>
        <v>61.321272629968313</v>
      </c>
      <c r="M59">
        <f t="shared" si="12"/>
        <v>-3.5612726299683146</v>
      </c>
      <c r="N59">
        <f t="shared" si="13"/>
        <v>12.682662744961437</v>
      </c>
    </row>
    <row r="60" spans="1:14" x14ac:dyDescent="0.45">
      <c r="A60" s="23">
        <v>42340</v>
      </c>
      <c r="B60">
        <v>61.33</v>
      </c>
      <c r="C60">
        <v>60.74</v>
      </c>
      <c r="G60">
        <f t="shared" si="6"/>
        <v>37.801250347096129</v>
      </c>
      <c r="H60">
        <f t="shared" si="7"/>
        <v>25.846422334867597</v>
      </c>
      <c r="I60">
        <f t="shared" si="8"/>
        <v>30.58277230049827</v>
      </c>
      <c r="J60">
        <f t="shared" si="9"/>
        <v>23.296455751346976</v>
      </c>
      <c r="K60">
        <f t="shared" si="10"/>
        <v>12.091295977642353</v>
      </c>
      <c r="L60">
        <f t="shared" si="11"/>
        <v>61.169898156107493</v>
      </c>
      <c r="M60">
        <f t="shared" si="12"/>
        <v>0.23010184389250554</v>
      </c>
      <c r="N60">
        <f t="shared" si="13"/>
        <v>5.2946858562730993E-2</v>
      </c>
    </row>
    <row r="61" spans="1:14" x14ac:dyDescent="0.45">
      <c r="A61" s="23">
        <v>42339</v>
      </c>
      <c r="B61">
        <v>62.09</v>
      </c>
      <c r="C61">
        <v>61.57</v>
      </c>
      <c r="G61">
        <f t="shared" si="6"/>
        <v>38.221621506687619</v>
      </c>
      <c r="H61">
        <f t="shared" si="7"/>
        <v>26.094083703701056</v>
      </c>
      <c r="I61">
        <f t="shared" si="8"/>
        <v>30.903104959802601</v>
      </c>
      <c r="J61">
        <f t="shared" si="9"/>
        <v>23.555339784730052</v>
      </c>
      <c r="K61">
        <f t="shared" si="10"/>
        <v>12.225712731884739</v>
      </c>
      <c r="L61">
        <f t="shared" si="11"/>
        <v>61.811129744789902</v>
      </c>
      <c r="M61">
        <f t="shared" si="12"/>
        <v>-0.48112974478990367</v>
      </c>
      <c r="N61">
        <f t="shared" si="13"/>
        <v>0.23148583132159783</v>
      </c>
    </row>
    <row r="62" spans="1:14" x14ac:dyDescent="0.45">
      <c r="A62" s="23">
        <v>42338</v>
      </c>
      <c r="B62">
        <v>60.39</v>
      </c>
      <c r="C62">
        <v>61.63</v>
      </c>
      <c r="G62">
        <f t="shared" si="6"/>
        <v>37.253966439571585</v>
      </c>
      <c r="H62">
        <f t="shared" si="7"/>
        <v>25.455715780324699</v>
      </c>
      <c r="I62">
        <f t="shared" si="8"/>
        <v>30.131164755739029</v>
      </c>
      <c r="J62">
        <f t="shared" si="9"/>
        <v>22.958178154634624</v>
      </c>
      <c r="K62">
        <f t="shared" si="10"/>
        <v>11.920694320786485</v>
      </c>
      <c r="L62">
        <f t="shared" si="11"/>
        <v>60.290370092998877</v>
      </c>
      <c r="M62">
        <f t="shared" si="12"/>
        <v>1.7996299070011261</v>
      </c>
      <c r="N62">
        <f t="shared" si="13"/>
        <v>3.2386678021728819</v>
      </c>
    </row>
    <row r="63" spans="1:14" x14ac:dyDescent="0.45">
      <c r="A63" s="23">
        <v>42335</v>
      </c>
      <c r="B63">
        <v>60.23</v>
      </c>
      <c r="C63">
        <v>60.45</v>
      </c>
      <c r="G63">
        <f t="shared" si="6"/>
        <v>37.127898324505452</v>
      </c>
      <c r="H63">
        <f t="shared" si="7"/>
        <v>25.405134704608383</v>
      </c>
      <c r="I63">
        <f t="shared" si="8"/>
        <v>30.04810909981904</v>
      </c>
      <c r="J63">
        <f t="shared" si="9"/>
        <v>22.883308056216261</v>
      </c>
      <c r="K63">
        <f t="shared" si="10"/>
        <v>11.874383210591214</v>
      </c>
      <c r="L63">
        <f t="shared" si="11"/>
        <v>60.114703678395337</v>
      </c>
      <c r="M63">
        <f t="shared" si="12"/>
        <v>0.27529632160466377</v>
      </c>
      <c r="N63">
        <f t="shared" si="13"/>
        <v>7.5788064689058465E-2</v>
      </c>
    </row>
    <row r="64" spans="1:14" x14ac:dyDescent="0.45">
      <c r="A64" s="23">
        <v>42333</v>
      </c>
      <c r="B64">
        <v>60.46</v>
      </c>
      <c r="C64">
        <v>60.25</v>
      </c>
      <c r="G64">
        <f t="shared" si="6"/>
        <v>37.256448738402206</v>
      </c>
      <c r="H64">
        <f t="shared" si="7"/>
        <v>25.492673923179652</v>
      </c>
      <c r="I64">
        <f t="shared" si="8"/>
        <v>30.150967619443662</v>
      </c>
      <c r="J64">
        <f t="shared" si="9"/>
        <v>22.958606951837027</v>
      </c>
      <c r="K64">
        <f t="shared" si="10"/>
        <v>11.914303914809654</v>
      </c>
      <c r="L64">
        <f t="shared" si="11"/>
        <v>60.316380989191948</v>
      </c>
      <c r="M64">
        <f t="shared" si="12"/>
        <v>-8.6380989191951585E-2</v>
      </c>
      <c r="N64">
        <f t="shared" si="13"/>
        <v>7.4616752937800568E-3</v>
      </c>
    </row>
    <row r="65" spans="1:14" x14ac:dyDescent="0.45">
      <c r="A65" s="23">
        <v>42332</v>
      </c>
      <c r="B65">
        <v>59.38</v>
      </c>
      <c r="C65">
        <v>60.42</v>
      </c>
      <c r="G65">
        <f t="shared" si="6"/>
        <v>36.687670808568619</v>
      </c>
      <c r="H65">
        <f t="shared" si="7"/>
        <v>25.098435817103638</v>
      </c>
      <c r="I65">
        <f t="shared" si="8"/>
        <v>29.686184672912951</v>
      </c>
      <c r="J65">
        <f t="shared" si="9"/>
        <v>22.603587061707255</v>
      </c>
      <c r="K65">
        <f t="shared" si="10"/>
        <v>11.741187117612494</v>
      </c>
      <c r="L65">
        <f t="shared" si="11"/>
        <v>59.408236338988551</v>
      </c>
      <c r="M65">
        <f t="shared" si="12"/>
        <v>1.0517636610114494</v>
      </c>
      <c r="N65">
        <f t="shared" si="13"/>
        <v>1.106206798624207</v>
      </c>
    </row>
    <row r="66" spans="1:14" x14ac:dyDescent="0.45">
      <c r="A66" s="23">
        <v>42331</v>
      </c>
      <c r="B66">
        <v>58.9</v>
      </c>
      <c r="C66">
        <v>56.8</v>
      </c>
      <c r="G66">
        <f t="shared" ref="G66:K66" si="14">SUMPRODUCT($B66:$B70,P$2:P$6)</f>
        <v>36.406177340214434</v>
      </c>
      <c r="H66">
        <f t="shared" si="14"/>
        <v>24.896651829257948</v>
      </c>
      <c r="I66">
        <f t="shared" si="14"/>
        <v>29.454094814503296</v>
      </c>
      <c r="J66">
        <f t="shared" si="14"/>
        <v>22.431791345599496</v>
      </c>
      <c r="K66">
        <f t="shared" si="14"/>
        <v>11.653390479183992</v>
      </c>
      <c r="L66">
        <f t="shared" ref="L66:L129" si="15">(G66+$P$7)*$U$2+(H66+$Q$7)*$U$3+(I66+$R$7)*$U$4+(J66+$S$7)*$U$5+(K66+$T$7)*$U$6+$U$7</f>
        <v>58.956466541895303</v>
      </c>
      <c r="M66">
        <f t="shared" si="12"/>
        <v>0.42353345810469989</v>
      </c>
      <c r="N66">
        <f t="shared" si="13"/>
        <v>0.17938059013412558</v>
      </c>
    </row>
    <row r="67" spans="1:14" x14ac:dyDescent="0.45">
      <c r="A67" s="23">
        <v>42328</v>
      </c>
      <c r="B67">
        <v>60.21</v>
      </c>
      <c r="C67">
        <v>59.42</v>
      </c>
      <c r="G67">
        <f t="shared" ref="G67:K67" si="16">SUMPRODUCT($B67:$B71,P$2:P$6)</f>
        <v>37.098086042505287</v>
      </c>
      <c r="H67">
        <f t="shared" si="16"/>
        <v>25.336744123429611</v>
      </c>
      <c r="I67">
        <f t="shared" si="16"/>
        <v>29.99962962637435</v>
      </c>
      <c r="J67">
        <f t="shared" si="16"/>
        <v>22.863964783033659</v>
      </c>
      <c r="K67">
        <f t="shared" si="16"/>
        <v>11.868276371339554</v>
      </c>
      <c r="L67">
        <f t="shared" si="15"/>
        <v>60.035917912147426</v>
      </c>
      <c r="M67">
        <f t="shared" ref="M67:M130" si="17">B66-L67</f>
        <v>-1.135917912147427</v>
      </c>
      <c r="N67">
        <f t="shared" ref="N67:N130" si="18">M67^2</f>
        <v>1.2903095031373697</v>
      </c>
    </row>
    <row r="68" spans="1:14" x14ac:dyDescent="0.45">
      <c r="A68" s="23">
        <v>42327</v>
      </c>
      <c r="B68">
        <v>60.39</v>
      </c>
      <c r="C68">
        <v>59.77</v>
      </c>
      <c r="G68">
        <f t="shared" ref="G68:K68" si="19">SUMPRODUCT($B68:$B72,P$2:P$6)</f>
        <v>37.173839785549518</v>
      </c>
      <c r="H68">
        <f t="shared" si="19"/>
        <v>25.418438575052161</v>
      </c>
      <c r="I68">
        <f t="shared" si="19"/>
        <v>30.077202534236019</v>
      </c>
      <c r="J68">
        <f t="shared" si="19"/>
        <v>22.914125152093309</v>
      </c>
      <c r="K68">
        <f t="shared" si="19"/>
        <v>11.886459436038717</v>
      </c>
      <c r="L68">
        <f t="shared" si="15"/>
        <v>60.177143017876368</v>
      </c>
      <c r="M68">
        <f t="shared" si="17"/>
        <v>3.2856982123632861E-2</v>
      </c>
      <c r="N68">
        <f t="shared" si="18"/>
        <v>1.0795812742727293E-3</v>
      </c>
    </row>
    <row r="69" spans="1:14" x14ac:dyDescent="0.45">
      <c r="A69" s="23">
        <v>42326</v>
      </c>
      <c r="B69">
        <v>59.33</v>
      </c>
      <c r="C69">
        <v>60.74</v>
      </c>
      <c r="G69">
        <f t="shared" ref="G69:K69" si="20">SUMPRODUCT($B69:$B73,P$2:P$6)</f>
        <v>36.576725757224409</v>
      </c>
      <c r="H69">
        <f t="shared" si="20"/>
        <v>25.037279581307448</v>
      </c>
      <c r="I69">
        <f t="shared" si="20"/>
        <v>29.60543032033376</v>
      </c>
      <c r="J69">
        <f t="shared" si="20"/>
        <v>22.538905172185281</v>
      </c>
      <c r="K69">
        <f t="shared" si="20"/>
        <v>11.697345467825048</v>
      </c>
      <c r="L69">
        <f t="shared" si="15"/>
        <v>59.24344194423476</v>
      </c>
      <c r="M69">
        <f t="shared" si="17"/>
        <v>1.1465580557652402</v>
      </c>
      <c r="N69">
        <f t="shared" si="18"/>
        <v>1.3145953752401676</v>
      </c>
    </row>
    <row r="70" spans="1:14" x14ac:dyDescent="0.45">
      <c r="A70" s="23">
        <v>42325</v>
      </c>
      <c r="B70">
        <v>58.49</v>
      </c>
      <c r="C70">
        <v>59.3</v>
      </c>
      <c r="G70">
        <f t="shared" ref="G70:K70" si="21">SUMPRODUCT($B70:$B74,P$2:P$6)</f>
        <v>36.156647387616722</v>
      </c>
      <c r="H70">
        <f t="shared" si="21"/>
        <v>24.778182031992792</v>
      </c>
      <c r="I70">
        <f t="shared" si="21"/>
        <v>29.27842506127439</v>
      </c>
      <c r="J70">
        <f t="shared" si="21"/>
        <v>22.277709731670221</v>
      </c>
      <c r="K70">
        <f t="shared" si="21"/>
        <v>11.568451580350789</v>
      </c>
      <c r="L70">
        <f t="shared" si="15"/>
        <v>58.593966624195133</v>
      </c>
      <c r="M70">
        <f t="shared" si="17"/>
        <v>0.73603337580486539</v>
      </c>
      <c r="N70">
        <f t="shared" si="18"/>
        <v>0.54174513029870619</v>
      </c>
    </row>
    <row r="71" spans="1:14" x14ac:dyDescent="0.45">
      <c r="A71" s="23">
        <v>42324</v>
      </c>
      <c r="B71">
        <v>58.08</v>
      </c>
      <c r="C71">
        <v>58.48</v>
      </c>
      <c r="G71">
        <f t="shared" ref="G71:K71" si="22">SUMPRODUCT($B71:$B75,P$2:P$6)</f>
        <v>35.936308526284947</v>
      </c>
      <c r="H71">
        <f t="shared" si="22"/>
        <v>24.61720691244204</v>
      </c>
      <c r="I71">
        <f t="shared" si="22"/>
        <v>29.093611251375172</v>
      </c>
      <c r="J71">
        <f t="shared" si="22"/>
        <v>22.137827483637224</v>
      </c>
      <c r="K71">
        <f t="shared" si="22"/>
        <v>11.501738075851588</v>
      </c>
      <c r="L71">
        <f t="shared" si="15"/>
        <v>58.235603607037071</v>
      </c>
      <c r="M71">
        <f t="shared" si="17"/>
        <v>0.25439639296293137</v>
      </c>
      <c r="N71">
        <f t="shared" si="18"/>
        <v>6.4717524752550201E-2</v>
      </c>
    </row>
    <row r="72" spans="1:14" x14ac:dyDescent="0.45">
      <c r="A72" s="23">
        <v>42321</v>
      </c>
      <c r="B72">
        <v>59.46</v>
      </c>
      <c r="C72">
        <v>58.13</v>
      </c>
      <c r="G72">
        <f t="shared" ref="G72:K72" si="23">SUMPRODUCT($B72:$B76,P$2:P$6)</f>
        <v>36.74117035902978</v>
      </c>
      <c r="H72">
        <f t="shared" si="23"/>
        <v>25.18403461311804</v>
      </c>
      <c r="I72">
        <f t="shared" si="23"/>
        <v>29.755688629126023</v>
      </c>
      <c r="J72">
        <f t="shared" si="23"/>
        <v>22.642161023782517</v>
      </c>
      <c r="K72">
        <f t="shared" si="23"/>
        <v>11.753727990636007</v>
      </c>
      <c r="L72">
        <f t="shared" si="15"/>
        <v>59.527658648392375</v>
      </c>
      <c r="M72">
        <f t="shared" si="17"/>
        <v>-1.4476586483923768</v>
      </c>
      <c r="N72">
        <f t="shared" si="18"/>
        <v>2.095715562265243</v>
      </c>
    </row>
    <row r="73" spans="1:14" x14ac:dyDescent="0.45">
      <c r="A73" s="23">
        <v>42320</v>
      </c>
      <c r="B73">
        <v>59.72</v>
      </c>
      <c r="C73">
        <v>59.46</v>
      </c>
      <c r="G73">
        <f t="shared" ref="G73:K73" si="24">SUMPRODUCT($B73:$B77,P$2:P$6)</f>
        <v>36.876182056599873</v>
      </c>
      <c r="H73">
        <f t="shared" si="24"/>
        <v>25.246024457944493</v>
      </c>
      <c r="I73">
        <f t="shared" si="24"/>
        <v>29.847739830135758</v>
      </c>
      <c r="J73">
        <f t="shared" si="24"/>
        <v>22.717741405860917</v>
      </c>
      <c r="K73">
        <f t="shared" si="24"/>
        <v>11.797685369285006</v>
      </c>
      <c r="L73">
        <f t="shared" si="15"/>
        <v>59.718317864076099</v>
      </c>
      <c r="M73">
        <f t="shared" si="17"/>
        <v>-0.25831786407609769</v>
      </c>
      <c r="N73">
        <f t="shared" si="18"/>
        <v>6.6728118900837283E-2</v>
      </c>
    </row>
    <row r="74" spans="1:14" x14ac:dyDescent="0.45">
      <c r="A74" s="23">
        <v>42319</v>
      </c>
      <c r="B74">
        <v>60.34</v>
      </c>
      <c r="C74">
        <v>59.9</v>
      </c>
      <c r="G74">
        <f t="shared" ref="G74:K74" si="25">SUMPRODUCT($B74:$B78,P$2:P$6)</f>
        <v>37.285734892721472</v>
      </c>
      <c r="H74">
        <f t="shared" si="25"/>
        <v>25.519865593951884</v>
      </c>
      <c r="I74">
        <f t="shared" si="25"/>
        <v>30.177358432694145</v>
      </c>
      <c r="J74">
        <f t="shared" si="25"/>
        <v>22.976053534457005</v>
      </c>
      <c r="K74">
        <f t="shared" si="25"/>
        <v>11.931836373986933</v>
      </c>
      <c r="L74">
        <f t="shared" si="15"/>
        <v>60.367352360351241</v>
      </c>
      <c r="M74">
        <f t="shared" si="17"/>
        <v>-0.64735236035124188</v>
      </c>
      <c r="N74">
        <f t="shared" si="18"/>
        <v>0.4190650784523241</v>
      </c>
    </row>
    <row r="75" spans="1:14" x14ac:dyDescent="0.45">
      <c r="A75" s="23">
        <v>42318</v>
      </c>
      <c r="B75">
        <v>59.57</v>
      </c>
      <c r="C75">
        <v>59.97</v>
      </c>
      <c r="G75">
        <f t="shared" ref="G75:K75" si="26">SUMPRODUCT($B75:$B79,P$2:P$6)</f>
        <v>36.814647879284273</v>
      </c>
      <c r="H75">
        <f t="shared" si="26"/>
        <v>25.210067059801247</v>
      </c>
      <c r="I75">
        <f t="shared" si="26"/>
        <v>29.801448842734239</v>
      </c>
      <c r="J75">
        <f t="shared" si="26"/>
        <v>22.682159940165583</v>
      </c>
      <c r="K75">
        <f t="shared" si="26"/>
        <v>11.780097385965657</v>
      </c>
      <c r="L75">
        <f t="shared" si="15"/>
        <v>59.625899681529297</v>
      </c>
      <c r="M75">
        <f t="shared" si="17"/>
        <v>0.71410031847070599</v>
      </c>
      <c r="N75">
        <f t="shared" si="18"/>
        <v>0.50993926483996366</v>
      </c>
    </row>
    <row r="76" spans="1:14" x14ac:dyDescent="0.45">
      <c r="A76" s="23">
        <v>42317</v>
      </c>
      <c r="B76">
        <v>61.53</v>
      </c>
      <c r="C76">
        <v>60.96</v>
      </c>
      <c r="G76">
        <f t="shared" ref="G76:K76" si="27">SUMPRODUCT($B76:$B80,P$2:P$6)</f>
        <v>37.932540934881388</v>
      </c>
      <c r="H76">
        <f t="shared" si="27"/>
        <v>25.925590833239795</v>
      </c>
      <c r="I76">
        <f t="shared" si="27"/>
        <v>30.683271483247413</v>
      </c>
      <c r="J76">
        <f t="shared" si="27"/>
        <v>23.376214612083032</v>
      </c>
      <c r="K76">
        <f t="shared" si="27"/>
        <v>12.135052781062438</v>
      </c>
      <c r="L76">
        <f t="shared" si="15"/>
        <v>61.37081070483584</v>
      </c>
      <c r="M76">
        <f t="shared" si="17"/>
        <v>-1.8008107048358397</v>
      </c>
      <c r="N76">
        <f t="shared" si="18"/>
        <v>3.2429191946513538</v>
      </c>
    </row>
    <row r="77" spans="1:14" x14ac:dyDescent="0.45">
      <c r="A77" s="23">
        <v>42314</v>
      </c>
      <c r="B77">
        <v>60.42</v>
      </c>
      <c r="C77">
        <v>61.7</v>
      </c>
      <c r="G77">
        <f t="shared" ref="G77:K77" si="28">SUMPRODUCT($B77:$B81,P$2:P$6)</f>
        <v>37.292748035650781</v>
      </c>
      <c r="H77">
        <f t="shared" si="28"/>
        <v>25.51011479341927</v>
      </c>
      <c r="I77">
        <f t="shared" si="28"/>
        <v>30.176055945196406</v>
      </c>
      <c r="J77">
        <f t="shared" si="28"/>
        <v>22.980575195462968</v>
      </c>
      <c r="K77">
        <f t="shared" si="28"/>
        <v>11.931933753755146</v>
      </c>
      <c r="L77">
        <f t="shared" si="15"/>
        <v>60.369130551728986</v>
      </c>
      <c r="M77">
        <f t="shared" si="17"/>
        <v>1.1608694482710149</v>
      </c>
      <c r="N77">
        <f t="shared" si="18"/>
        <v>1.3476178759290505</v>
      </c>
    </row>
    <row r="78" spans="1:14" x14ac:dyDescent="0.45">
      <c r="A78" s="23">
        <v>42313</v>
      </c>
      <c r="B78">
        <v>60.83</v>
      </c>
      <c r="C78">
        <v>60.36</v>
      </c>
      <c r="G78">
        <f t="shared" ref="G78:K78" si="29">SUMPRODUCT($B78:$B82,P$2:P$6)</f>
        <v>37.510604033625604</v>
      </c>
      <c r="H78">
        <f t="shared" si="29"/>
        <v>25.652345311246343</v>
      </c>
      <c r="I78">
        <f t="shared" si="29"/>
        <v>30.34949059504352</v>
      </c>
      <c r="J78">
        <f t="shared" si="29"/>
        <v>23.116019366654406</v>
      </c>
      <c r="K78">
        <f t="shared" si="29"/>
        <v>11.999331153764352</v>
      </c>
      <c r="L78">
        <f t="shared" si="15"/>
        <v>60.711042174920337</v>
      </c>
      <c r="M78">
        <f t="shared" si="17"/>
        <v>-0.29104217492033513</v>
      </c>
      <c r="N78">
        <f t="shared" si="18"/>
        <v>8.4705547582358945E-2</v>
      </c>
    </row>
    <row r="79" spans="1:14" x14ac:dyDescent="0.45">
      <c r="A79" s="23">
        <v>42312</v>
      </c>
      <c r="B79">
        <v>60.61</v>
      </c>
      <c r="C79">
        <v>60.49</v>
      </c>
      <c r="G79">
        <f t="shared" ref="G79:K79" si="30">SUMPRODUCT($B79:$B83,P$2:P$6)</f>
        <v>37.383703321370675</v>
      </c>
      <c r="H79">
        <f t="shared" si="30"/>
        <v>25.564318052247582</v>
      </c>
      <c r="I79">
        <f t="shared" si="30"/>
        <v>30.245873862883915</v>
      </c>
      <c r="J79">
        <f t="shared" si="30"/>
        <v>23.036889225541842</v>
      </c>
      <c r="K79">
        <f t="shared" si="30"/>
        <v>11.959599738575671</v>
      </c>
      <c r="L79">
        <f t="shared" si="15"/>
        <v>60.508397634241931</v>
      </c>
      <c r="M79">
        <f t="shared" si="17"/>
        <v>0.32160236575806778</v>
      </c>
      <c r="N79">
        <f t="shared" si="18"/>
        <v>0.103428081661186</v>
      </c>
    </row>
    <row r="80" spans="1:14" x14ac:dyDescent="0.45">
      <c r="A80" s="23">
        <v>42311</v>
      </c>
      <c r="B80">
        <v>60.22</v>
      </c>
      <c r="C80">
        <v>60.66</v>
      </c>
      <c r="G80">
        <f t="shared" ref="G80:K80" si="31">SUMPRODUCT($B80:$B84,P$2:P$6)</f>
        <v>37.17615138011454</v>
      </c>
      <c r="H80">
        <f t="shared" si="31"/>
        <v>25.488456331630772</v>
      </c>
      <c r="I80">
        <f t="shared" si="31"/>
        <v>30.111803836707651</v>
      </c>
      <c r="J80">
        <f t="shared" si="31"/>
        <v>22.911777375165148</v>
      </c>
      <c r="K80">
        <f t="shared" si="31"/>
        <v>11.889285843183687</v>
      </c>
      <c r="L80">
        <f t="shared" si="15"/>
        <v>60.223147312591507</v>
      </c>
      <c r="M80">
        <f t="shared" si="17"/>
        <v>0.3868526874084921</v>
      </c>
      <c r="N80">
        <f t="shared" si="18"/>
        <v>0.14965500175517249</v>
      </c>
    </row>
    <row r="81" spans="1:14" x14ac:dyDescent="0.45">
      <c r="A81" s="23">
        <v>42310</v>
      </c>
      <c r="B81">
        <v>60.18</v>
      </c>
      <c r="C81">
        <v>60.34</v>
      </c>
      <c r="G81">
        <f t="shared" ref="G81:K81" si="32">SUMPRODUCT($B81:$B85,P$2:P$6)</f>
        <v>37.162912687449072</v>
      </c>
      <c r="H81">
        <f t="shared" si="32"/>
        <v>25.440880151537723</v>
      </c>
      <c r="I81">
        <f t="shared" si="32"/>
        <v>30.078575112322387</v>
      </c>
      <c r="J81">
        <f t="shared" si="32"/>
        <v>22.892544543144549</v>
      </c>
      <c r="K81">
        <f t="shared" si="32"/>
        <v>11.889755576901349</v>
      </c>
      <c r="L81">
        <f t="shared" si="15"/>
        <v>60.171543259693983</v>
      </c>
      <c r="M81">
        <f t="shared" si="17"/>
        <v>4.8456740306015433E-2</v>
      </c>
      <c r="N81">
        <f t="shared" si="18"/>
        <v>2.3480556810846205E-3</v>
      </c>
    </row>
    <row r="82" spans="1:14" x14ac:dyDescent="0.45">
      <c r="A82" s="23">
        <v>42307</v>
      </c>
      <c r="B82">
        <v>60.21</v>
      </c>
      <c r="C82">
        <v>60.12</v>
      </c>
      <c r="G82">
        <f t="shared" ref="G82:K82" si="33">SUMPRODUCT($B82:$B86,P$2:P$6)</f>
        <v>37.264698002472038</v>
      </c>
      <c r="H82">
        <f t="shared" si="33"/>
        <v>25.561318964229038</v>
      </c>
      <c r="I82">
        <f t="shared" si="33"/>
        <v>30.188329956009618</v>
      </c>
      <c r="J82">
        <f t="shared" si="33"/>
        <v>22.964001865891806</v>
      </c>
      <c r="K82">
        <f t="shared" si="33"/>
        <v>11.924461793086131</v>
      </c>
      <c r="L82">
        <f t="shared" si="15"/>
        <v>60.370545908855064</v>
      </c>
      <c r="M82">
        <f t="shared" si="17"/>
        <v>-0.19054590885506428</v>
      </c>
      <c r="N82">
        <f t="shared" si="18"/>
        <v>3.6307743381402469E-2</v>
      </c>
    </row>
    <row r="83" spans="1:14" x14ac:dyDescent="0.45">
      <c r="A83" s="23">
        <v>42306</v>
      </c>
      <c r="B83">
        <v>59.96</v>
      </c>
      <c r="C83">
        <v>59.98</v>
      </c>
      <c r="G83">
        <f t="shared" ref="G83:K83" si="34">SUMPRODUCT($B83:$B87,P$2:P$6)</f>
        <v>37.095749460703964</v>
      </c>
      <c r="H83">
        <f t="shared" si="34"/>
        <v>25.470665987054325</v>
      </c>
      <c r="I83">
        <f t="shared" si="34"/>
        <v>30.062039483961335</v>
      </c>
      <c r="J83">
        <f t="shared" si="34"/>
        <v>22.851517251627524</v>
      </c>
      <c r="K83">
        <f t="shared" si="34"/>
        <v>11.866366450814009</v>
      </c>
      <c r="L83">
        <f t="shared" si="15"/>
        <v>60.114080540248985</v>
      </c>
      <c r="M83">
        <f t="shared" si="17"/>
        <v>9.5919459751016234E-2</v>
      </c>
      <c r="N83">
        <f t="shared" si="18"/>
        <v>9.2005427589268232E-3</v>
      </c>
    </row>
    <row r="84" spans="1:14" x14ac:dyDescent="0.45">
      <c r="A84" s="23">
        <v>42305</v>
      </c>
      <c r="B84">
        <v>62.5</v>
      </c>
      <c r="C84">
        <v>61.86</v>
      </c>
      <c r="G84">
        <f t="shared" ref="G84:K84" si="35">SUMPRODUCT($B84:$B88,P$2:P$6)</f>
        <v>38.621019657446269</v>
      </c>
      <c r="H84">
        <f t="shared" si="35"/>
        <v>26.440065300397208</v>
      </c>
      <c r="I84">
        <f t="shared" si="35"/>
        <v>31.259913118252275</v>
      </c>
      <c r="J84">
        <f t="shared" si="35"/>
        <v>23.793968684658555</v>
      </c>
      <c r="K84">
        <f t="shared" si="35"/>
        <v>12.358424340082898</v>
      </c>
      <c r="L84">
        <f t="shared" si="15"/>
        <v>62.48822407425336</v>
      </c>
      <c r="M84">
        <f t="shared" si="17"/>
        <v>-2.5282240742533588</v>
      </c>
      <c r="N84">
        <f t="shared" si="18"/>
        <v>6.391916969634253</v>
      </c>
    </row>
    <row r="85" spans="1:14" x14ac:dyDescent="0.45">
      <c r="A85" s="23">
        <v>42304</v>
      </c>
      <c r="B85">
        <v>60.83</v>
      </c>
      <c r="C85">
        <v>61.39</v>
      </c>
      <c r="G85">
        <f t="shared" ref="G85:K85" si="36">SUMPRODUCT($B85:$B89,P$2:P$6)</f>
        <v>37.68322807438571</v>
      </c>
      <c r="H85">
        <f t="shared" si="36"/>
        <v>25.779464884776509</v>
      </c>
      <c r="I85">
        <f t="shared" si="36"/>
        <v>30.489692872663511</v>
      </c>
      <c r="J85">
        <f t="shared" si="36"/>
        <v>23.212127014544901</v>
      </c>
      <c r="K85">
        <f t="shared" si="36"/>
        <v>12.068275796931037</v>
      </c>
      <c r="L85">
        <f t="shared" si="15"/>
        <v>60.98577281969272</v>
      </c>
      <c r="M85">
        <f t="shared" si="17"/>
        <v>1.5142271803072802</v>
      </c>
      <c r="N85">
        <f t="shared" si="18"/>
        <v>2.2928839535813363</v>
      </c>
    </row>
    <row r="86" spans="1:14" x14ac:dyDescent="0.45">
      <c r="A86" s="23">
        <v>42303</v>
      </c>
      <c r="B86">
        <v>63.25</v>
      </c>
      <c r="C86">
        <v>61.53</v>
      </c>
      <c r="G86">
        <f t="shared" ref="G86:K86" si="37">SUMPRODUCT($B86:$B90,P$2:P$6)</f>
        <v>38.995991727176722</v>
      </c>
      <c r="H86">
        <f t="shared" si="37"/>
        <v>26.615273858800801</v>
      </c>
      <c r="I86">
        <f t="shared" si="37"/>
        <v>31.525473958791725</v>
      </c>
      <c r="J86">
        <f t="shared" si="37"/>
        <v>24.034373937232321</v>
      </c>
      <c r="K86">
        <f t="shared" si="37"/>
        <v>12.47943666250405</v>
      </c>
      <c r="L86">
        <f t="shared" si="15"/>
        <v>63.035620786542026</v>
      </c>
      <c r="M86">
        <f t="shared" si="17"/>
        <v>-2.2056207865420276</v>
      </c>
      <c r="N86">
        <f t="shared" si="18"/>
        <v>4.8647630540262723</v>
      </c>
    </row>
    <row r="87" spans="1:14" x14ac:dyDescent="0.45">
      <c r="A87" s="23">
        <v>42300</v>
      </c>
      <c r="B87">
        <v>64.040000000000006</v>
      </c>
      <c r="C87">
        <v>63.62</v>
      </c>
      <c r="G87">
        <f t="shared" ref="G87:K87" si="38">SUMPRODUCT($B87:$B91,P$2:P$6)</f>
        <v>39.353435927854846</v>
      </c>
      <c r="H87">
        <f t="shared" si="38"/>
        <v>26.840282616273647</v>
      </c>
      <c r="I87">
        <f t="shared" si="38"/>
        <v>31.806931706800096</v>
      </c>
      <c r="J87">
        <f t="shared" si="38"/>
        <v>24.25875835908672</v>
      </c>
      <c r="K87">
        <f t="shared" si="38"/>
        <v>12.584687062466632</v>
      </c>
      <c r="L87">
        <f t="shared" si="15"/>
        <v>63.592214176712517</v>
      </c>
      <c r="M87">
        <f t="shared" si="17"/>
        <v>-0.34221417671251686</v>
      </c>
      <c r="N87">
        <f t="shared" si="18"/>
        <v>0.11711054274302572</v>
      </c>
    </row>
    <row r="88" spans="1:14" x14ac:dyDescent="0.45">
      <c r="A88" s="23">
        <v>42299</v>
      </c>
      <c r="B88">
        <v>63.28</v>
      </c>
      <c r="C88">
        <v>63.4</v>
      </c>
      <c r="G88">
        <f t="shared" ref="G88:K88" si="39">SUMPRODUCT($B88:$B92,P$2:P$6)</f>
        <v>38.902668838459022</v>
      </c>
      <c r="H88">
        <f t="shared" si="39"/>
        <v>26.580276871801061</v>
      </c>
      <c r="I88">
        <f t="shared" si="39"/>
        <v>31.466717196730201</v>
      </c>
      <c r="J88">
        <f t="shared" si="39"/>
        <v>23.981986383890664</v>
      </c>
      <c r="K88">
        <f t="shared" si="39"/>
        <v>12.437070300366683</v>
      </c>
      <c r="L88">
        <f t="shared" si="15"/>
        <v>62.908572830509733</v>
      </c>
      <c r="M88">
        <f t="shared" si="17"/>
        <v>1.1314271694902729</v>
      </c>
      <c r="N88">
        <f t="shared" si="18"/>
        <v>1.2801274398607707</v>
      </c>
    </row>
    <row r="89" spans="1:14" x14ac:dyDescent="0.45">
      <c r="A89" s="23">
        <v>42298</v>
      </c>
      <c r="B89">
        <v>61.02</v>
      </c>
      <c r="C89">
        <v>61.75</v>
      </c>
      <c r="G89">
        <f t="shared" ref="G89:K89" si="40">SUMPRODUCT($B89:$B93,P$2:P$6)</f>
        <v>37.627983620505503</v>
      </c>
      <c r="H89">
        <f t="shared" si="40"/>
        <v>25.758176808920926</v>
      </c>
      <c r="I89">
        <f t="shared" si="40"/>
        <v>30.456782129726744</v>
      </c>
      <c r="J89">
        <f t="shared" si="40"/>
        <v>23.18622466246962</v>
      </c>
      <c r="K89">
        <f t="shared" si="40"/>
        <v>12.034205569359955</v>
      </c>
      <c r="L89">
        <f t="shared" si="15"/>
        <v>60.912666887697455</v>
      </c>
      <c r="M89">
        <f t="shared" si="17"/>
        <v>2.3673331123025463</v>
      </c>
      <c r="N89">
        <f t="shared" si="18"/>
        <v>5.6042660646040598</v>
      </c>
    </row>
    <row r="90" spans="1:14" x14ac:dyDescent="0.45">
      <c r="A90" s="23">
        <v>42297</v>
      </c>
      <c r="B90">
        <v>60.31</v>
      </c>
      <c r="C90">
        <v>60.4</v>
      </c>
      <c r="G90">
        <f t="shared" ref="G90:K90" si="41">SUMPRODUCT($B90:$B94,P$2:P$6)</f>
        <v>37.250283035309387</v>
      </c>
      <c r="H90">
        <f t="shared" si="41"/>
        <v>25.406245343179048</v>
      </c>
      <c r="I90">
        <f t="shared" si="41"/>
        <v>30.101440600360231</v>
      </c>
      <c r="J90">
        <f t="shared" si="41"/>
        <v>22.945861499054271</v>
      </c>
      <c r="K90">
        <f t="shared" si="41"/>
        <v>11.92807185088464</v>
      </c>
      <c r="L90">
        <f t="shared" si="15"/>
        <v>60.249099051643768</v>
      </c>
      <c r="M90">
        <f t="shared" si="17"/>
        <v>0.77090094835623546</v>
      </c>
      <c r="N90">
        <f t="shared" si="18"/>
        <v>0.59428827217654323</v>
      </c>
    </row>
    <row r="91" spans="1:14" x14ac:dyDescent="0.45">
      <c r="A91" s="23">
        <v>42296</v>
      </c>
      <c r="B91">
        <v>59.94</v>
      </c>
      <c r="C91">
        <v>60.22</v>
      </c>
      <c r="G91">
        <f t="shared" ref="G91:K91" si="42">SUMPRODUCT($B91:$B95,P$2:P$6)</f>
        <v>36.992740915428435</v>
      </c>
      <c r="H91">
        <f t="shared" si="42"/>
        <v>25.220820968941318</v>
      </c>
      <c r="I91">
        <f t="shared" si="42"/>
        <v>29.892534424319773</v>
      </c>
      <c r="J91">
        <f t="shared" si="42"/>
        <v>22.801749000069094</v>
      </c>
      <c r="K91">
        <f t="shared" si="42"/>
        <v>11.844458569540263</v>
      </c>
      <c r="L91">
        <f t="shared" si="15"/>
        <v>59.841998411383919</v>
      </c>
      <c r="M91">
        <f t="shared" si="17"/>
        <v>0.4680015886160831</v>
      </c>
      <c r="N91">
        <f t="shared" si="18"/>
        <v>0.21902548694717747</v>
      </c>
    </row>
    <row r="92" spans="1:14" x14ac:dyDescent="0.45">
      <c r="A92" s="23">
        <v>42293</v>
      </c>
      <c r="B92">
        <v>61.31</v>
      </c>
      <c r="C92">
        <v>60.19</v>
      </c>
      <c r="G92">
        <f t="shared" ref="G92:K92" si="43">SUMPRODUCT($B92:$B96,P$2:P$6)</f>
        <v>37.60113447721001</v>
      </c>
      <c r="H92">
        <f t="shared" si="43"/>
        <v>25.635196505038021</v>
      </c>
      <c r="I92">
        <f t="shared" si="43"/>
        <v>30.387622611360616</v>
      </c>
      <c r="J92">
        <f t="shared" si="43"/>
        <v>23.183926273051195</v>
      </c>
      <c r="K92">
        <f t="shared" si="43"/>
        <v>12.019011055108599</v>
      </c>
      <c r="L92">
        <f t="shared" si="15"/>
        <v>60.809697203067792</v>
      </c>
      <c r="M92">
        <f t="shared" si="17"/>
        <v>-0.86969720306779408</v>
      </c>
      <c r="N92">
        <f t="shared" si="18"/>
        <v>0.75637322502394388</v>
      </c>
    </row>
    <row r="93" spans="1:14" x14ac:dyDescent="0.45">
      <c r="A93" s="23">
        <v>42292</v>
      </c>
      <c r="B93">
        <v>61.5</v>
      </c>
      <c r="C93">
        <v>61.28</v>
      </c>
      <c r="G93">
        <f t="shared" ref="G93:K93" si="44">SUMPRODUCT($B93:$B97,P$2:P$6)</f>
        <v>37.691386709706123</v>
      </c>
      <c r="H93">
        <f t="shared" si="44"/>
        <v>25.712398045808765</v>
      </c>
      <c r="I93">
        <f t="shared" si="44"/>
        <v>30.468336414945874</v>
      </c>
      <c r="J93">
        <f t="shared" si="44"/>
        <v>23.238368366823646</v>
      </c>
      <c r="K93">
        <f t="shared" si="44"/>
        <v>12.04393068686233</v>
      </c>
      <c r="L93">
        <f t="shared" si="15"/>
        <v>60.962226713332107</v>
      </c>
      <c r="M93">
        <f t="shared" si="17"/>
        <v>0.34777328666789487</v>
      </c>
      <c r="N93">
        <f t="shared" si="18"/>
        <v>0.12094625891978979</v>
      </c>
    </row>
    <row r="94" spans="1:14" x14ac:dyDescent="0.45">
      <c r="A94" s="23">
        <v>42291</v>
      </c>
      <c r="B94">
        <v>56.91</v>
      </c>
      <c r="C94">
        <v>60.99</v>
      </c>
      <c r="G94">
        <f t="shared" ref="G94:K94" si="45">SUMPRODUCT($B94:$B98,P$2:P$6)</f>
        <v>35.132010176927615</v>
      </c>
      <c r="H94">
        <f t="shared" si="45"/>
        <v>24.061121429173092</v>
      </c>
      <c r="I94">
        <f t="shared" si="45"/>
        <v>28.441845390265787</v>
      </c>
      <c r="J94">
        <f t="shared" si="45"/>
        <v>21.647470222121093</v>
      </c>
      <c r="K94">
        <f t="shared" si="45"/>
        <v>11.238050051943784</v>
      </c>
      <c r="L94">
        <f t="shared" si="15"/>
        <v>56.957999980524718</v>
      </c>
      <c r="M94">
        <f t="shared" si="17"/>
        <v>4.5420000194752816</v>
      </c>
      <c r="N94">
        <f t="shared" si="18"/>
        <v>20.629764176913458</v>
      </c>
    </row>
    <row r="95" spans="1:14" x14ac:dyDescent="0.45">
      <c r="A95" s="23">
        <v>42290</v>
      </c>
      <c r="B95">
        <v>56.07</v>
      </c>
      <c r="C95">
        <v>56.05</v>
      </c>
      <c r="G95">
        <f t="shared" ref="G95:K95" si="46">SUMPRODUCT($B95:$B99,P$2:P$6)</f>
        <v>34.686951144473376</v>
      </c>
      <c r="H95">
        <f t="shared" si="46"/>
        <v>23.763823822594183</v>
      </c>
      <c r="I95">
        <f t="shared" si="46"/>
        <v>28.083747425856973</v>
      </c>
      <c r="J95">
        <f t="shared" si="46"/>
        <v>21.369371339871773</v>
      </c>
      <c r="K95">
        <f t="shared" si="46"/>
        <v>11.101154569010632</v>
      </c>
      <c r="L95">
        <f t="shared" si="15"/>
        <v>56.254438198343948</v>
      </c>
      <c r="M95">
        <f t="shared" si="17"/>
        <v>0.65556180165604871</v>
      </c>
      <c r="N95">
        <f t="shared" si="18"/>
        <v>0.42976127579052453</v>
      </c>
    </row>
    <row r="96" spans="1:14" x14ac:dyDescent="0.45">
      <c r="A96" s="23">
        <v>42289</v>
      </c>
      <c r="B96">
        <v>56.78</v>
      </c>
      <c r="C96">
        <v>56.58</v>
      </c>
      <c r="G96">
        <f t="shared" ref="G96:K96" si="47">SUMPRODUCT($B96:$B100,P$2:P$6)</f>
        <v>35.096618280481934</v>
      </c>
      <c r="H96">
        <f t="shared" si="47"/>
        <v>24.024154233086772</v>
      </c>
      <c r="I96">
        <f t="shared" si="47"/>
        <v>28.406146714866935</v>
      </c>
      <c r="J96">
        <f t="shared" si="47"/>
        <v>21.624571633625269</v>
      </c>
      <c r="K96">
        <f t="shared" si="47"/>
        <v>11.231887933922527</v>
      </c>
      <c r="L96">
        <f t="shared" si="15"/>
        <v>56.893127509112105</v>
      </c>
      <c r="M96">
        <f t="shared" si="17"/>
        <v>-0.82312750911210486</v>
      </c>
      <c r="N96">
        <f t="shared" si="18"/>
        <v>0.67753889625709829</v>
      </c>
    </row>
    <row r="97" spans="1:14" x14ac:dyDescent="0.45">
      <c r="A97" s="23">
        <v>42286</v>
      </c>
      <c r="B97">
        <v>57.57</v>
      </c>
      <c r="C97">
        <v>56.69</v>
      </c>
      <c r="G97">
        <f t="shared" ref="G97:K97" si="48">SUMPRODUCT($B97:$B101,P$2:P$6)</f>
        <v>35.521673085781458</v>
      </c>
      <c r="H97">
        <f t="shared" si="48"/>
        <v>24.272325320512461</v>
      </c>
      <c r="I97">
        <f t="shared" si="48"/>
        <v>28.72943142122358</v>
      </c>
      <c r="J97">
        <f t="shared" si="48"/>
        <v>21.887897284828973</v>
      </c>
      <c r="K97">
        <f t="shared" si="48"/>
        <v>11.366925021340489</v>
      </c>
      <c r="L97">
        <f t="shared" si="15"/>
        <v>57.540842759796824</v>
      </c>
      <c r="M97">
        <f t="shared" si="17"/>
        <v>-0.76084275979682303</v>
      </c>
      <c r="N97">
        <f t="shared" si="18"/>
        <v>0.57888170513524617</v>
      </c>
    </row>
    <row r="98" spans="1:14" x14ac:dyDescent="0.45">
      <c r="A98" s="23">
        <v>42285</v>
      </c>
      <c r="B98">
        <v>57.95</v>
      </c>
      <c r="C98">
        <v>57.72</v>
      </c>
      <c r="G98">
        <f t="shared" ref="G98:K98" si="49">SUMPRODUCT($B98:$B102,P$2:P$6)</f>
        <v>35.703123835031043</v>
      </c>
      <c r="H98">
        <f t="shared" si="49"/>
        <v>24.340061491401894</v>
      </c>
      <c r="I98">
        <f t="shared" si="49"/>
        <v>28.848945203953882</v>
      </c>
      <c r="J98">
        <f t="shared" si="49"/>
        <v>22.002505233236459</v>
      </c>
      <c r="K98">
        <f t="shared" si="49"/>
        <v>11.426296006940051</v>
      </c>
      <c r="L98">
        <f t="shared" si="15"/>
        <v>57.79382151924996</v>
      </c>
      <c r="M98">
        <f t="shared" si="17"/>
        <v>-0.22382151924995952</v>
      </c>
      <c r="N98">
        <f t="shared" si="18"/>
        <v>5.0096072479360002E-2</v>
      </c>
    </row>
    <row r="99" spans="1:14" x14ac:dyDescent="0.45">
      <c r="A99" s="23">
        <v>42284</v>
      </c>
      <c r="B99">
        <v>57.6</v>
      </c>
      <c r="C99">
        <v>57.87</v>
      </c>
      <c r="G99">
        <f t="shared" ref="G99:K99" si="50">SUMPRODUCT($B99:$B103,P$2:P$6)</f>
        <v>35.452825017488095</v>
      </c>
      <c r="H99">
        <f t="shared" si="50"/>
        <v>24.233447643634481</v>
      </c>
      <c r="I99">
        <f t="shared" si="50"/>
        <v>28.681861715580439</v>
      </c>
      <c r="J99">
        <f t="shared" si="50"/>
        <v>21.857875977891084</v>
      </c>
      <c r="K99">
        <f t="shared" si="50"/>
        <v>11.336806410682366</v>
      </c>
      <c r="L99">
        <f t="shared" si="15"/>
        <v>57.443200066244096</v>
      </c>
      <c r="M99">
        <f t="shared" si="17"/>
        <v>0.50679993375590726</v>
      </c>
      <c r="N99">
        <f t="shared" si="18"/>
        <v>0.25684617285499201</v>
      </c>
    </row>
    <row r="100" spans="1:14" x14ac:dyDescent="0.45">
      <c r="A100" s="23">
        <v>42283</v>
      </c>
      <c r="B100">
        <v>57.38</v>
      </c>
      <c r="C100">
        <v>56.89</v>
      </c>
      <c r="G100">
        <f t="shared" ref="G100:K100" si="51">SUMPRODUCT($B100:$B104,P$2:P$6)</f>
        <v>35.269962066493612</v>
      </c>
      <c r="H100">
        <f t="shared" si="51"/>
        <v>24.085195390261823</v>
      </c>
      <c r="I100">
        <f t="shared" si="51"/>
        <v>28.51973231293767</v>
      </c>
      <c r="J100">
        <f t="shared" si="51"/>
        <v>21.734768770822104</v>
      </c>
      <c r="K100">
        <f t="shared" si="51"/>
        <v>11.27638360760008</v>
      </c>
      <c r="L100">
        <f t="shared" si="15"/>
        <v>57.132533622413959</v>
      </c>
      <c r="M100">
        <f t="shared" si="17"/>
        <v>0.46746637758604237</v>
      </c>
      <c r="N100">
        <f t="shared" si="18"/>
        <v>0.21852481417341635</v>
      </c>
    </row>
    <row r="101" spans="1:14" x14ac:dyDescent="0.45">
      <c r="A101" s="23">
        <v>42282</v>
      </c>
      <c r="B101">
        <v>56.18</v>
      </c>
      <c r="C101">
        <v>57.43</v>
      </c>
      <c r="G101">
        <f t="shared" ref="G101:K101" si="52">SUMPRODUCT($B101:$B105,P$2:P$6)</f>
        <v>34.650564079918816</v>
      </c>
      <c r="H101">
        <f t="shared" si="52"/>
        <v>23.646655766647914</v>
      </c>
      <c r="I101">
        <f t="shared" si="52"/>
        <v>28.010167508945848</v>
      </c>
      <c r="J101">
        <f t="shared" si="52"/>
        <v>21.3531141665256</v>
      </c>
      <c r="K101">
        <f t="shared" si="52"/>
        <v>11.090203027989077</v>
      </c>
      <c r="L101">
        <f t="shared" si="15"/>
        <v>56.140249233755441</v>
      </c>
      <c r="M101">
        <f t="shared" si="17"/>
        <v>1.2397507662445619</v>
      </c>
      <c r="N101">
        <f t="shared" si="18"/>
        <v>1.5369819624039784</v>
      </c>
    </row>
    <row r="102" spans="1:14" x14ac:dyDescent="0.45">
      <c r="A102" s="23">
        <v>42279</v>
      </c>
      <c r="B102">
        <v>54</v>
      </c>
      <c r="C102">
        <v>55.69</v>
      </c>
      <c r="G102">
        <f t="shared" ref="G102:K102" si="53">SUMPRODUCT($B102:$B106,P$2:P$6)</f>
        <v>33.359060956145321</v>
      </c>
      <c r="H102">
        <f t="shared" si="53"/>
        <v>22.828897449110986</v>
      </c>
      <c r="I102">
        <f t="shared" si="53"/>
        <v>26.998164776804742</v>
      </c>
      <c r="J102">
        <f t="shared" si="53"/>
        <v>20.558307363976208</v>
      </c>
      <c r="K102">
        <f t="shared" si="53"/>
        <v>10.674877923155314</v>
      </c>
      <c r="L102">
        <f t="shared" si="15"/>
        <v>54.133659273128622</v>
      </c>
      <c r="M102">
        <f t="shared" si="17"/>
        <v>2.046340726871378</v>
      </c>
      <c r="N102">
        <f t="shared" si="18"/>
        <v>4.1875103704524799</v>
      </c>
    </row>
    <row r="103" spans="1:14" x14ac:dyDescent="0.45">
      <c r="A103" s="23">
        <v>42278</v>
      </c>
      <c r="B103">
        <v>56.35</v>
      </c>
      <c r="C103">
        <v>54.94</v>
      </c>
      <c r="G103">
        <f t="shared" ref="G103:K103" si="54">SUMPRODUCT($B103:$B107,P$2:P$6)</f>
        <v>34.64380261353012</v>
      </c>
      <c r="H103">
        <f t="shared" si="54"/>
        <v>23.66878402814579</v>
      </c>
      <c r="I103">
        <f t="shared" si="54"/>
        <v>28.020187534035326</v>
      </c>
      <c r="J103">
        <f t="shared" si="54"/>
        <v>21.353285105158694</v>
      </c>
      <c r="K103">
        <f t="shared" si="54"/>
        <v>11.075741427206532</v>
      </c>
      <c r="L103">
        <f t="shared" si="15"/>
        <v>56.148817655653403</v>
      </c>
      <c r="M103">
        <f t="shared" si="17"/>
        <v>-2.1488176556534029</v>
      </c>
      <c r="N103">
        <f t="shared" si="18"/>
        <v>4.6174173172477859</v>
      </c>
    </row>
    <row r="104" spans="1:14" x14ac:dyDescent="0.45">
      <c r="A104" s="23">
        <v>42277</v>
      </c>
      <c r="B104">
        <v>55.02</v>
      </c>
      <c r="C104">
        <v>56.41</v>
      </c>
      <c r="G104">
        <f t="shared" ref="G104:K104" si="55">SUMPRODUCT($B104:$B108,P$2:P$6)</f>
        <v>33.922407345835012</v>
      </c>
      <c r="H104">
        <f t="shared" si="55"/>
        <v>23.200438427888617</v>
      </c>
      <c r="I104">
        <f t="shared" si="55"/>
        <v>27.447265000715468</v>
      </c>
      <c r="J104">
        <f t="shared" si="55"/>
        <v>20.904514847104313</v>
      </c>
      <c r="K104">
        <f t="shared" si="55"/>
        <v>10.85081578581366</v>
      </c>
      <c r="L104">
        <f t="shared" si="15"/>
        <v>55.018153029725653</v>
      </c>
      <c r="M104">
        <f t="shared" si="17"/>
        <v>1.3318469702743485</v>
      </c>
      <c r="N104">
        <f t="shared" si="18"/>
        <v>1.7738163522289614</v>
      </c>
    </row>
    <row r="105" spans="1:14" x14ac:dyDescent="0.45">
      <c r="A105" s="23">
        <v>42276</v>
      </c>
      <c r="B105">
        <v>53.48</v>
      </c>
      <c r="C105">
        <v>54.05</v>
      </c>
      <c r="G105">
        <f t="shared" ref="G105:K105" si="56">SUMPRODUCT($B105:$B109,P$2:P$6)</f>
        <v>33.066886316373292</v>
      </c>
      <c r="H105">
        <f t="shared" si="56"/>
        <v>22.669831186853553</v>
      </c>
      <c r="I105">
        <f t="shared" si="56"/>
        <v>26.781158791647751</v>
      </c>
      <c r="J105">
        <f t="shared" si="56"/>
        <v>20.374695503663066</v>
      </c>
      <c r="K105">
        <f t="shared" si="56"/>
        <v>10.579576583464286</v>
      </c>
      <c r="L105">
        <f t="shared" si="15"/>
        <v>53.694467631427983</v>
      </c>
      <c r="M105">
        <f t="shared" si="17"/>
        <v>1.3255323685720199</v>
      </c>
      <c r="N105">
        <f t="shared" si="18"/>
        <v>1.7570360601321493</v>
      </c>
    </row>
    <row r="106" spans="1:14" x14ac:dyDescent="0.45">
      <c r="A106" s="23">
        <v>42275</v>
      </c>
      <c r="B106">
        <v>54.27</v>
      </c>
      <c r="C106">
        <v>53.47</v>
      </c>
      <c r="G106">
        <f t="shared" ref="G106:K106" si="57">SUMPRODUCT($B106:$B110,P$2:P$6)</f>
        <v>33.526863217411517</v>
      </c>
      <c r="H106">
        <f t="shared" si="57"/>
        <v>22.975194964067601</v>
      </c>
      <c r="I106">
        <f t="shared" si="57"/>
        <v>27.148481787872928</v>
      </c>
      <c r="J106">
        <f t="shared" si="57"/>
        <v>20.65669077587215</v>
      </c>
      <c r="K106">
        <f t="shared" si="57"/>
        <v>10.725288973409759</v>
      </c>
      <c r="L106">
        <f t="shared" si="15"/>
        <v>54.417642634437087</v>
      </c>
      <c r="M106">
        <f t="shared" si="17"/>
        <v>-0.93764263443708984</v>
      </c>
      <c r="N106">
        <f t="shared" si="18"/>
        <v>0.87917370991412613</v>
      </c>
    </row>
    <row r="107" spans="1:14" x14ac:dyDescent="0.45">
      <c r="A107" s="23">
        <v>42272</v>
      </c>
      <c r="B107">
        <v>54.53</v>
      </c>
      <c r="C107">
        <v>54.44</v>
      </c>
      <c r="G107">
        <f t="shared" ref="G107:K107" si="58">SUMPRODUCT($B107:$B111,P$2:P$6)</f>
        <v>33.719856779100603</v>
      </c>
      <c r="H107">
        <f t="shared" si="58"/>
        <v>23.122117479873413</v>
      </c>
      <c r="I107">
        <f t="shared" si="58"/>
        <v>27.312085811715598</v>
      </c>
      <c r="J107">
        <f t="shared" si="58"/>
        <v>20.77619586809103</v>
      </c>
      <c r="K107">
        <f t="shared" si="58"/>
        <v>10.788316068833028</v>
      </c>
      <c r="L107">
        <f t="shared" si="15"/>
        <v>54.733887620000964</v>
      </c>
      <c r="M107">
        <f t="shared" si="17"/>
        <v>-0.46388762000096051</v>
      </c>
      <c r="N107">
        <f t="shared" si="18"/>
        <v>0.21519172399015554</v>
      </c>
    </row>
    <row r="108" spans="1:14" x14ac:dyDescent="0.45">
      <c r="A108" s="23">
        <v>42271</v>
      </c>
      <c r="B108">
        <v>54.53</v>
      </c>
      <c r="C108">
        <v>54</v>
      </c>
      <c r="G108">
        <f t="shared" ref="G108:K108" si="59">SUMPRODUCT($B108:$B112,P$2:P$6)</f>
        <v>33.743184218941039</v>
      </c>
      <c r="H108">
        <f t="shared" si="59"/>
        <v>23.142319893012079</v>
      </c>
      <c r="I108">
        <f t="shared" si="59"/>
        <v>27.332055029772725</v>
      </c>
      <c r="J108">
        <f t="shared" si="59"/>
        <v>20.787322329176284</v>
      </c>
      <c r="K108">
        <f t="shared" si="59"/>
        <v>10.797275619813131</v>
      </c>
      <c r="L108">
        <f t="shared" si="15"/>
        <v>54.771989067494566</v>
      </c>
      <c r="M108">
        <f t="shared" si="17"/>
        <v>-0.24198906749456484</v>
      </c>
      <c r="N108">
        <f t="shared" si="18"/>
        <v>5.8558708786889055E-2</v>
      </c>
    </row>
    <row r="109" spans="1:14" x14ac:dyDescent="0.45">
      <c r="A109" s="23">
        <v>42270</v>
      </c>
      <c r="B109">
        <v>55.58</v>
      </c>
      <c r="C109">
        <v>55.2</v>
      </c>
      <c r="G109">
        <f t="shared" ref="G109:K109" si="60">SUMPRODUCT($B109:$B113,P$2:P$6)</f>
        <v>34.381113794317727</v>
      </c>
      <c r="H109">
        <f t="shared" si="60"/>
        <v>23.584249804973599</v>
      </c>
      <c r="I109">
        <f t="shared" si="60"/>
        <v>27.851970460971824</v>
      </c>
      <c r="J109">
        <f t="shared" si="60"/>
        <v>21.183560618445743</v>
      </c>
      <c r="K109">
        <f t="shared" si="60"/>
        <v>11.000007765906471</v>
      </c>
      <c r="L109">
        <f t="shared" si="15"/>
        <v>55.789562517681937</v>
      </c>
      <c r="M109">
        <f t="shared" si="17"/>
        <v>-1.2595625176819354</v>
      </c>
      <c r="N109">
        <f t="shared" si="18"/>
        <v>1.5864977359492558</v>
      </c>
    </row>
    <row r="110" spans="1:14" x14ac:dyDescent="0.45">
      <c r="A110" s="23">
        <v>42269</v>
      </c>
      <c r="B110">
        <v>55.9</v>
      </c>
      <c r="C110">
        <v>55.18</v>
      </c>
      <c r="G110">
        <f t="shared" ref="G110:K110" si="61">SUMPRODUCT($B110:$B114,P$2:P$6)</f>
        <v>34.585157264606607</v>
      </c>
      <c r="H110">
        <f t="shared" si="61"/>
        <v>23.719761795325162</v>
      </c>
      <c r="I110">
        <f t="shared" si="61"/>
        <v>28.014017391827828</v>
      </c>
      <c r="J110">
        <f t="shared" si="61"/>
        <v>21.305746573627317</v>
      </c>
      <c r="K110">
        <f t="shared" si="61"/>
        <v>11.06619081146431</v>
      </c>
      <c r="L110">
        <f t="shared" si="15"/>
        <v>56.108910367460531</v>
      </c>
      <c r="M110">
        <f t="shared" si="17"/>
        <v>-0.52891036746053288</v>
      </c>
      <c r="N110">
        <f t="shared" si="18"/>
        <v>0.2797461768072359</v>
      </c>
    </row>
    <row r="111" spans="1:14" x14ac:dyDescent="0.45">
      <c r="A111" s="23">
        <v>42268</v>
      </c>
      <c r="B111">
        <v>56.88</v>
      </c>
      <c r="C111">
        <v>56.63</v>
      </c>
      <c r="G111">
        <f t="shared" ref="G111:K111" si="62">SUMPRODUCT($B111:$B115,P$2:P$6)</f>
        <v>35.179561171624393</v>
      </c>
      <c r="H111">
        <f t="shared" si="62"/>
        <v>24.081551729524531</v>
      </c>
      <c r="I111">
        <f t="shared" si="62"/>
        <v>28.472647932944806</v>
      </c>
      <c r="J111">
        <f t="shared" si="62"/>
        <v>21.672755498282122</v>
      </c>
      <c r="K111">
        <f t="shared" si="62"/>
        <v>11.260118472234419</v>
      </c>
      <c r="L111">
        <f t="shared" si="15"/>
        <v>57.023690476978629</v>
      </c>
      <c r="M111">
        <f t="shared" si="17"/>
        <v>-1.1236904769786307</v>
      </c>
      <c r="N111">
        <f t="shared" si="18"/>
        <v>1.2626802880524626</v>
      </c>
    </row>
    <row r="112" spans="1:14" x14ac:dyDescent="0.45">
      <c r="A112" s="23">
        <v>42265</v>
      </c>
      <c r="B112">
        <v>57.12</v>
      </c>
      <c r="C112">
        <v>56.67</v>
      </c>
      <c r="G112">
        <f t="shared" ref="G112:K112" si="63">SUMPRODUCT($B112:$B116,P$2:P$6)</f>
        <v>35.308543160723119</v>
      </c>
      <c r="H112">
        <f t="shared" si="63"/>
        <v>24.158825688765464</v>
      </c>
      <c r="I112">
        <f t="shared" si="63"/>
        <v>28.572651171571106</v>
      </c>
      <c r="J112">
        <f t="shared" si="63"/>
        <v>21.756024997999582</v>
      </c>
      <c r="K112">
        <f t="shared" si="63"/>
        <v>11.300957246159008</v>
      </c>
      <c r="L112">
        <f t="shared" si="15"/>
        <v>57.223264596604047</v>
      </c>
      <c r="M112">
        <f t="shared" si="17"/>
        <v>-0.34326459660404396</v>
      </c>
      <c r="N112">
        <f t="shared" si="18"/>
        <v>0.11783058328173703</v>
      </c>
    </row>
    <row r="113" spans="1:14" x14ac:dyDescent="0.45">
      <c r="A113" s="23">
        <v>42264</v>
      </c>
      <c r="B113">
        <v>58.38</v>
      </c>
      <c r="C113">
        <v>57.93</v>
      </c>
      <c r="G113">
        <f t="shared" ref="G113:K113" si="64">SUMPRODUCT($B113:$B117,P$2:P$6)</f>
        <v>35.973798154814148</v>
      </c>
      <c r="H113">
        <f t="shared" si="64"/>
        <v>24.55211361716567</v>
      </c>
      <c r="I113">
        <f t="shared" si="64"/>
        <v>29.081207292799817</v>
      </c>
      <c r="J113">
        <f t="shared" si="64"/>
        <v>22.16821479526989</v>
      </c>
      <c r="K113">
        <f t="shared" si="64"/>
        <v>11.510546913302674</v>
      </c>
      <c r="L113">
        <f t="shared" si="15"/>
        <v>58.240150436798523</v>
      </c>
      <c r="M113">
        <f t="shared" si="17"/>
        <v>-1.1201504367985251</v>
      </c>
      <c r="N113">
        <f t="shared" si="18"/>
        <v>1.2547370010599266</v>
      </c>
    </row>
    <row r="114" spans="1:14" x14ac:dyDescent="0.45">
      <c r="A114" s="23">
        <v>42263</v>
      </c>
      <c r="B114">
        <v>58.54</v>
      </c>
      <c r="C114">
        <v>58.45</v>
      </c>
      <c r="G114">
        <f t="shared" ref="G114:K114" si="65">SUMPRODUCT($B114:$B118,P$2:P$6)</f>
        <v>36.038311836498011</v>
      </c>
      <c r="H114">
        <f t="shared" si="65"/>
        <v>24.603550291479465</v>
      </c>
      <c r="I114">
        <f t="shared" si="65"/>
        <v>29.139201618013345</v>
      </c>
      <c r="J114">
        <f t="shared" si="65"/>
        <v>22.214829307476034</v>
      </c>
      <c r="K114">
        <f t="shared" si="65"/>
        <v>11.527642852989635</v>
      </c>
      <c r="L114">
        <f t="shared" si="15"/>
        <v>58.350762520338677</v>
      </c>
      <c r="M114">
        <f t="shared" si="17"/>
        <v>2.9237479661325949E-2</v>
      </c>
      <c r="N114">
        <f t="shared" si="18"/>
        <v>8.5483021694644854E-4</v>
      </c>
    </row>
    <row r="115" spans="1:14" x14ac:dyDescent="0.45">
      <c r="A115" s="23">
        <v>42262</v>
      </c>
      <c r="B115">
        <v>57.56</v>
      </c>
      <c r="C115">
        <v>58.3</v>
      </c>
      <c r="G115">
        <f t="shared" ref="G115:K115" si="66">SUMPRODUCT($B115:$B119,P$2:P$6)</f>
        <v>35.440767082824152</v>
      </c>
      <c r="H115">
        <f t="shared" si="66"/>
        <v>24.262301840483712</v>
      </c>
      <c r="I115">
        <f t="shared" si="66"/>
        <v>28.689266569112061</v>
      </c>
      <c r="J115">
        <f t="shared" si="66"/>
        <v>21.845010762773246</v>
      </c>
      <c r="K115">
        <f t="shared" si="66"/>
        <v>11.33007275860292</v>
      </c>
      <c r="L115">
        <f t="shared" si="15"/>
        <v>57.445158030881544</v>
      </c>
      <c r="M115">
        <f t="shared" si="17"/>
        <v>1.0948419691184554</v>
      </c>
      <c r="N115">
        <f t="shared" si="18"/>
        <v>1.198678937343177</v>
      </c>
    </row>
    <row r="116" spans="1:14" x14ac:dyDescent="0.45">
      <c r="A116" s="23">
        <v>42261</v>
      </c>
      <c r="B116">
        <v>57.28</v>
      </c>
      <c r="C116">
        <v>57.56</v>
      </c>
      <c r="G116">
        <f t="shared" ref="G116:K116" si="67">SUMPRODUCT($B116:$B120,P$2:P$6)</f>
        <v>35.306233534397393</v>
      </c>
      <c r="H116">
        <f t="shared" si="67"/>
        <v>24.129293826380273</v>
      </c>
      <c r="I116">
        <f t="shared" si="67"/>
        <v>28.556775425590477</v>
      </c>
      <c r="J116">
        <f t="shared" si="67"/>
        <v>21.752229600062723</v>
      </c>
      <c r="K116">
        <f t="shared" si="67"/>
        <v>11.29433254943644</v>
      </c>
      <c r="L116">
        <f t="shared" si="15"/>
        <v>57.200153457691776</v>
      </c>
      <c r="M116">
        <f t="shared" si="17"/>
        <v>0.35984654230822599</v>
      </c>
      <c r="N116">
        <f t="shared" si="18"/>
        <v>0.12948953401118588</v>
      </c>
    </row>
    <row r="117" spans="1:14" x14ac:dyDescent="0.45">
      <c r="A117" s="23">
        <v>42258</v>
      </c>
      <c r="B117">
        <v>55.6</v>
      </c>
      <c r="C117">
        <v>56.35</v>
      </c>
      <c r="G117">
        <f t="shared" ref="G117:K117" si="68">SUMPRODUCT($B117:$B121,P$2:P$6)</f>
        <v>34.392504315612292</v>
      </c>
      <c r="H117">
        <f t="shared" si="68"/>
        <v>23.491818709455842</v>
      </c>
      <c r="I117">
        <f t="shared" si="68"/>
        <v>27.810415075306636</v>
      </c>
      <c r="J117">
        <f t="shared" si="68"/>
        <v>21.189829430576353</v>
      </c>
      <c r="K117">
        <f t="shared" si="68"/>
        <v>11.013912877921056</v>
      </c>
      <c r="L117">
        <f t="shared" si="15"/>
        <v>55.742653895659643</v>
      </c>
      <c r="M117">
        <f t="shared" si="17"/>
        <v>1.537346104340358</v>
      </c>
      <c r="N117">
        <f t="shared" si="18"/>
        <v>2.363433044530475</v>
      </c>
    </row>
    <row r="118" spans="1:14" x14ac:dyDescent="0.45">
      <c r="A118" s="23">
        <v>42257</v>
      </c>
      <c r="B118">
        <v>55.99</v>
      </c>
      <c r="C118">
        <v>56.01</v>
      </c>
      <c r="G118">
        <f t="shared" ref="G118:K118" si="69">SUMPRODUCT($B118:$B122,P$2:P$6)</f>
        <v>34.530425746585983</v>
      </c>
      <c r="H118">
        <f t="shared" si="69"/>
        <v>23.610130380530229</v>
      </c>
      <c r="I118">
        <f t="shared" si="69"/>
        <v>27.937339145364874</v>
      </c>
      <c r="J118">
        <f t="shared" si="69"/>
        <v>21.283977175670497</v>
      </c>
      <c r="K118">
        <f t="shared" si="69"/>
        <v>11.046913390975828</v>
      </c>
      <c r="L118">
        <f t="shared" si="15"/>
        <v>55.981570892887312</v>
      </c>
      <c r="M118">
        <f t="shared" si="17"/>
        <v>-0.38157089288731072</v>
      </c>
      <c r="N118">
        <f t="shared" si="18"/>
        <v>0.14559634629881954</v>
      </c>
    </row>
    <row r="119" spans="1:14" x14ac:dyDescent="0.45">
      <c r="A119" s="23">
        <v>42256</v>
      </c>
      <c r="B119">
        <v>57.94</v>
      </c>
      <c r="C119">
        <v>56.27</v>
      </c>
      <c r="G119">
        <f t="shared" ref="G119:K119" si="70">SUMPRODUCT($B119:$B123,P$2:P$6)</f>
        <v>35.575401507376625</v>
      </c>
      <c r="H119">
        <f t="shared" si="70"/>
        <v>24.275574838155798</v>
      </c>
      <c r="I119">
        <f t="shared" si="70"/>
        <v>28.759149955494721</v>
      </c>
      <c r="J119">
        <f t="shared" si="70"/>
        <v>21.927929704076551</v>
      </c>
      <c r="K119">
        <f t="shared" si="70"/>
        <v>11.372677712280533</v>
      </c>
      <c r="L119">
        <f t="shared" si="15"/>
        <v>57.607806222302166</v>
      </c>
      <c r="M119">
        <f t="shared" si="17"/>
        <v>-1.6178062223021641</v>
      </c>
      <c r="N119">
        <f t="shared" si="18"/>
        <v>2.6172969729195992</v>
      </c>
    </row>
    <row r="120" spans="1:14" x14ac:dyDescent="0.45">
      <c r="A120" s="23">
        <v>42255</v>
      </c>
      <c r="B120">
        <v>55.99</v>
      </c>
      <c r="C120">
        <v>57.77</v>
      </c>
      <c r="G120">
        <f t="shared" ref="G120:K120" si="71">SUMPRODUCT($B120:$B124,P$2:P$6)</f>
        <v>34.505252925418809</v>
      </c>
      <c r="H120">
        <f t="shared" si="71"/>
        <v>23.571107753721325</v>
      </c>
      <c r="I120">
        <f t="shared" si="71"/>
        <v>27.905270110722181</v>
      </c>
      <c r="J120">
        <f t="shared" si="71"/>
        <v>21.265203788575999</v>
      </c>
      <c r="K120">
        <f t="shared" si="71"/>
        <v>11.038864428220439</v>
      </c>
      <c r="L120">
        <f t="shared" si="15"/>
        <v>55.925817898160709</v>
      </c>
      <c r="M120">
        <f t="shared" si="17"/>
        <v>2.0141821018392889</v>
      </c>
      <c r="N120">
        <f t="shared" si="18"/>
        <v>4.0569295393697358</v>
      </c>
    </row>
    <row r="121" spans="1:14" x14ac:dyDescent="0.45">
      <c r="A121" s="23">
        <v>42251</v>
      </c>
      <c r="B121">
        <v>54.08</v>
      </c>
      <c r="C121">
        <v>53.96</v>
      </c>
      <c r="G121">
        <f t="shared" ref="G121:K121" si="72">SUMPRODUCT($B121:$B125,P$2:P$6)</f>
        <v>33.412583314895649</v>
      </c>
      <c r="H121">
        <f t="shared" si="72"/>
        <v>22.911010056707408</v>
      </c>
      <c r="I121">
        <f t="shared" si="72"/>
        <v>27.064335997253508</v>
      </c>
      <c r="J121">
        <f t="shared" si="72"/>
        <v>20.591036042330895</v>
      </c>
      <c r="K121">
        <f t="shared" si="72"/>
        <v>10.687650533871508</v>
      </c>
      <c r="L121">
        <f t="shared" si="15"/>
        <v>54.247797200523102</v>
      </c>
      <c r="M121">
        <f t="shared" si="17"/>
        <v>1.7422027994768996</v>
      </c>
      <c r="N121">
        <f t="shared" si="18"/>
        <v>3.0352705945051461</v>
      </c>
    </row>
    <row r="122" spans="1:14" x14ac:dyDescent="0.45">
      <c r="A122" s="23">
        <v>42250</v>
      </c>
      <c r="B122">
        <v>55.25</v>
      </c>
      <c r="C122">
        <v>55.17</v>
      </c>
      <c r="G122">
        <f t="shared" ref="G122:K122" si="73">SUMPRODUCT($B122:$B126,P$2:P$6)</f>
        <v>34.08035621712046</v>
      </c>
      <c r="H122">
        <f t="shared" si="73"/>
        <v>23.338694326316627</v>
      </c>
      <c r="I122">
        <f t="shared" si="73"/>
        <v>27.589096830382687</v>
      </c>
      <c r="J122">
        <f t="shared" si="73"/>
        <v>20.997763142751921</v>
      </c>
      <c r="K122">
        <f t="shared" si="73"/>
        <v>10.899510389192091</v>
      </c>
      <c r="L122">
        <f t="shared" si="15"/>
        <v>55.286178484469879</v>
      </c>
      <c r="M122">
        <f t="shared" si="17"/>
        <v>-1.2061784844698806</v>
      </c>
      <c r="N122">
        <f t="shared" si="18"/>
        <v>1.454866536398058</v>
      </c>
    </row>
    <row r="123" spans="1:14" x14ac:dyDescent="0.45">
      <c r="A123" s="23">
        <v>42249</v>
      </c>
      <c r="B123">
        <v>54.68</v>
      </c>
      <c r="C123">
        <v>54.59</v>
      </c>
      <c r="G123">
        <f t="shared" ref="G123:K123" si="74">SUMPRODUCT($B123:$B127,P$2:P$6)</f>
        <v>33.820554610516957</v>
      </c>
      <c r="H123">
        <f t="shared" si="74"/>
        <v>23.137623962071231</v>
      </c>
      <c r="I123">
        <f t="shared" si="74"/>
        <v>27.365828144984299</v>
      </c>
      <c r="J123">
        <f t="shared" si="74"/>
        <v>20.835495645916847</v>
      </c>
      <c r="K123">
        <f t="shared" si="74"/>
        <v>10.826686984532108</v>
      </c>
      <c r="L123">
        <f t="shared" si="15"/>
        <v>54.857868882688358</v>
      </c>
      <c r="M123">
        <f t="shared" si="17"/>
        <v>0.39213111731164219</v>
      </c>
      <c r="N123">
        <f t="shared" si="18"/>
        <v>0.15376681316407689</v>
      </c>
    </row>
    <row r="124" spans="1:14" x14ac:dyDescent="0.45">
      <c r="A124" s="23">
        <v>42248</v>
      </c>
      <c r="B124">
        <v>54.25</v>
      </c>
      <c r="C124">
        <v>53.55</v>
      </c>
      <c r="G124">
        <f t="shared" ref="G124:K124" si="75">SUMPRODUCT($B124:$B128,P$2:P$6)</f>
        <v>33.538488136918851</v>
      </c>
      <c r="H124">
        <f t="shared" si="75"/>
        <v>22.889172522387941</v>
      </c>
      <c r="I124">
        <f t="shared" si="75"/>
        <v>27.109855048270692</v>
      </c>
      <c r="J124">
        <f t="shared" si="75"/>
        <v>20.662246981315956</v>
      </c>
      <c r="K124">
        <f t="shared" si="75"/>
        <v>10.740752532078751</v>
      </c>
      <c r="L124">
        <f t="shared" si="15"/>
        <v>54.374731841961257</v>
      </c>
      <c r="M124">
        <f t="shared" si="17"/>
        <v>0.30526815803874285</v>
      </c>
      <c r="N124">
        <f t="shared" si="18"/>
        <v>9.3188648312366881E-2</v>
      </c>
    </row>
    <row r="125" spans="1:14" x14ac:dyDescent="0.45">
      <c r="A125" s="23">
        <v>42247</v>
      </c>
      <c r="B125">
        <v>56.32</v>
      </c>
      <c r="C125">
        <v>55.86</v>
      </c>
      <c r="G125">
        <f t="shared" ref="G125:K125" si="76">SUMPRODUCT($B125:$B129,P$2:P$6)</f>
        <v>34.638309937809964</v>
      </c>
      <c r="H125">
        <f t="shared" si="76"/>
        <v>23.636457719674528</v>
      </c>
      <c r="I125">
        <f t="shared" si="76"/>
        <v>28.00313697808804</v>
      </c>
      <c r="J125">
        <f t="shared" si="76"/>
        <v>21.356952763299237</v>
      </c>
      <c r="K125">
        <f t="shared" si="76"/>
        <v>11.07822931494696</v>
      </c>
      <c r="L125">
        <f t="shared" si="15"/>
        <v>56.125401240759167</v>
      </c>
      <c r="M125">
        <f t="shared" si="17"/>
        <v>-1.8754012407591674</v>
      </c>
      <c r="N125">
        <f t="shared" si="18"/>
        <v>3.5171298138410245</v>
      </c>
    </row>
    <row r="126" spans="1:14" x14ac:dyDescent="0.45">
      <c r="A126" s="23">
        <v>42244</v>
      </c>
      <c r="B126">
        <v>56.1</v>
      </c>
      <c r="C126">
        <v>56.45</v>
      </c>
      <c r="G126">
        <f t="shared" ref="G126:K126" si="77">SUMPRODUCT($B126:$B130,P$2:P$6)</f>
        <v>34.4185405420276</v>
      </c>
      <c r="H126">
        <f t="shared" si="77"/>
        <v>23.453907760649525</v>
      </c>
      <c r="I126">
        <f t="shared" si="77"/>
        <v>27.807614550934254</v>
      </c>
      <c r="J126">
        <f t="shared" si="77"/>
        <v>21.21394460245417</v>
      </c>
      <c r="K126">
        <f t="shared" si="77"/>
        <v>11.003817783948177</v>
      </c>
      <c r="L126">
        <f t="shared" si="15"/>
        <v>55.75174774220195</v>
      </c>
      <c r="M126">
        <f t="shared" si="17"/>
        <v>0.56825225779805066</v>
      </c>
      <c r="N126">
        <f t="shared" si="18"/>
        <v>0.32291062849258223</v>
      </c>
    </row>
    <row r="127" spans="1:14" x14ac:dyDescent="0.45">
      <c r="A127" s="23">
        <v>42243</v>
      </c>
      <c r="B127">
        <v>54.75</v>
      </c>
      <c r="C127">
        <v>56.48</v>
      </c>
      <c r="G127">
        <f t="shared" ref="G127:K127" si="78">SUMPRODUCT($B127:$B131,P$2:P$6)</f>
        <v>33.695678250084271</v>
      </c>
      <c r="H127">
        <f t="shared" si="78"/>
        <v>23.027612286178218</v>
      </c>
      <c r="I127">
        <f t="shared" si="78"/>
        <v>27.257706142422904</v>
      </c>
      <c r="J127">
        <f t="shared" si="78"/>
        <v>20.773719491190377</v>
      </c>
      <c r="K127">
        <f t="shared" si="78"/>
        <v>10.77513635545246</v>
      </c>
      <c r="L127">
        <f t="shared" si="15"/>
        <v>54.651463458066566</v>
      </c>
      <c r="M127">
        <f t="shared" si="17"/>
        <v>1.4485365419334357</v>
      </c>
      <c r="N127">
        <f t="shared" si="18"/>
        <v>2.0982581133164762</v>
      </c>
    </row>
    <row r="128" spans="1:14" x14ac:dyDescent="0.45">
      <c r="A128" s="23">
        <v>42242</v>
      </c>
      <c r="B128">
        <v>51.89</v>
      </c>
      <c r="C128">
        <v>54.22</v>
      </c>
      <c r="G128">
        <f t="shared" ref="G128:K128" si="79">SUMPRODUCT($B128:$B132,P$2:P$6)</f>
        <v>32.058006344984157</v>
      </c>
      <c r="H128">
        <f t="shared" si="79"/>
        <v>22.05702054329711</v>
      </c>
      <c r="I128">
        <f t="shared" si="79"/>
        <v>26.004629450025689</v>
      </c>
      <c r="J128">
        <f t="shared" si="79"/>
        <v>19.75524386482078</v>
      </c>
      <c r="K128">
        <f t="shared" si="79"/>
        <v>10.246471150653406</v>
      </c>
      <c r="L128">
        <f t="shared" si="15"/>
        <v>52.144352084354132</v>
      </c>
      <c r="M128">
        <f t="shared" si="17"/>
        <v>2.6056479156458678</v>
      </c>
      <c r="N128">
        <f t="shared" si="18"/>
        <v>6.7894010603096557</v>
      </c>
    </row>
    <row r="129" spans="1:14" x14ac:dyDescent="0.45">
      <c r="A129" s="23">
        <v>42241</v>
      </c>
      <c r="B129">
        <v>53.3</v>
      </c>
      <c r="C129">
        <v>50.61</v>
      </c>
      <c r="G129">
        <f t="shared" ref="G129:K129" si="80">SUMPRODUCT($B129:$B133,P$2:P$6)</f>
        <v>32.983208755925162</v>
      </c>
      <c r="H129">
        <f t="shared" si="80"/>
        <v>22.734734829816219</v>
      </c>
      <c r="I129">
        <f t="shared" si="80"/>
        <v>26.773691723888607</v>
      </c>
      <c r="J129">
        <f t="shared" si="80"/>
        <v>20.318709009773876</v>
      </c>
      <c r="K129">
        <f t="shared" si="80"/>
        <v>10.542437461977716</v>
      </c>
      <c r="L129">
        <f t="shared" si="15"/>
        <v>53.638131282222652</v>
      </c>
      <c r="M129">
        <f t="shared" si="17"/>
        <v>-1.7481312822226514</v>
      </c>
      <c r="N129">
        <f t="shared" si="18"/>
        <v>3.0559629798854111</v>
      </c>
    </row>
    <row r="130" spans="1:14" x14ac:dyDescent="0.45">
      <c r="A130" s="23">
        <v>42240</v>
      </c>
      <c r="B130">
        <v>51.49</v>
      </c>
      <c r="C130">
        <v>51.67</v>
      </c>
      <c r="G130">
        <f t="shared" ref="G130:K130" si="81">SUMPRODUCT($B130:$B134,P$2:P$6)</f>
        <v>32.125002005560283</v>
      </c>
      <c r="H130">
        <f t="shared" si="81"/>
        <v>22.134474428346643</v>
      </c>
      <c r="I130">
        <f t="shared" si="81"/>
        <v>26.065582314616211</v>
      </c>
      <c r="J130">
        <f t="shared" si="81"/>
        <v>19.770932469851111</v>
      </c>
      <c r="K130">
        <f t="shared" si="81"/>
        <v>10.291105943056577</v>
      </c>
      <c r="L130">
        <f t="shared" ref="L130:L193" si="82">(G130+$P$7)*$U$2+(H130+$Q$7)*$U$3+(I130+$R$7)*$U$4+(J130+$S$7)*$U$5+(K130+$T$7)*$U$6+$U$7</f>
        <v>52.258263877500958</v>
      </c>
      <c r="M130">
        <f t="shared" si="17"/>
        <v>1.0417361224990387</v>
      </c>
      <c r="N130">
        <f t="shared" si="18"/>
        <v>1.0852141489193321</v>
      </c>
    </row>
    <row r="131" spans="1:14" x14ac:dyDescent="0.45">
      <c r="A131" s="23">
        <v>42237</v>
      </c>
      <c r="B131">
        <v>53.35</v>
      </c>
      <c r="C131">
        <v>53.78</v>
      </c>
      <c r="G131">
        <f t="shared" ref="G131:K131" si="83">SUMPRODUCT($B131:$B135,P$2:P$6)</f>
        <v>33.27638653452172</v>
      </c>
      <c r="H131">
        <f t="shared" si="83"/>
        <v>22.866850050257682</v>
      </c>
      <c r="I131">
        <f t="shared" si="83"/>
        <v>26.972102999671613</v>
      </c>
      <c r="J131">
        <f t="shared" si="83"/>
        <v>20.490627350130005</v>
      </c>
      <c r="K131">
        <f t="shared" si="83"/>
        <v>10.665736175304895</v>
      </c>
      <c r="L131">
        <f t="shared" si="82"/>
        <v>54.055216252900301</v>
      </c>
      <c r="M131">
        <f t="shared" ref="M131:M194" si="84">B130-L131</f>
        <v>-2.5652162529002993</v>
      </c>
      <c r="N131">
        <f t="shared" ref="N131:N194" si="85">M131^2</f>
        <v>6.5803344241438522</v>
      </c>
    </row>
    <row r="132" spans="1:14" x14ac:dyDescent="0.45">
      <c r="A132" s="23">
        <v>42236</v>
      </c>
      <c r="B132">
        <v>57.26</v>
      </c>
      <c r="C132">
        <v>53.82</v>
      </c>
      <c r="G132">
        <f t="shared" ref="G132:K132" si="86">SUMPRODUCT($B132:$B136,P$2:P$6)</f>
        <v>35.422482361562537</v>
      </c>
      <c r="H132">
        <f t="shared" si="86"/>
        <v>24.268416189353246</v>
      </c>
      <c r="I132">
        <f t="shared" si="86"/>
        <v>28.680304038591071</v>
      </c>
      <c r="J132">
        <f t="shared" si="86"/>
        <v>21.825077262129049</v>
      </c>
      <c r="K132">
        <f t="shared" si="86"/>
        <v>11.336487227448613</v>
      </c>
      <c r="L132">
        <f t="shared" si="82"/>
        <v>57.423926279122817</v>
      </c>
      <c r="M132">
        <f t="shared" si="84"/>
        <v>-4.0739262791228157</v>
      </c>
      <c r="N132">
        <f t="shared" si="85"/>
        <v>16.596875327727471</v>
      </c>
    </row>
    <row r="133" spans="1:14" x14ac:dyDescent="0.45">
      <c r="A133" s="23">
        <v>42235</v>
      </c>
      <c r="B133">
        <v>60.73</v>
      </c>
      <c r="C133">
        <v>58.38</v>
      </c>
      <c r="G133">
        <f t="shared" ref="G133:K133" si="87">SUMPRODUCT($B133:$B137,P$2:P$6)</f>
        <v>37.374938723754035</v>
      </c>
      <c r="H133">
        <f t="shared" si="87"/>
        <v>25.553270391056856</v>
      </c>
      <c r="I133">
        <f t="shared" si="87"/>
        <v>30.23815347132123</v>
      </c>
      <c r="J133">
        <f t="shared" si="87"/>
        <v>23.036351741015331</v>
      </c>
      <c r="K133">
        <f t="shared" si="87"/>
        <v>11.950288013558</v>
      </c>
      <c r="L133">
        <f t="shared" si="82"/>
        <v>60.493618865020011</v>
      </c>
      <c r="M133">
        <f t="shared" si="84"/>
        <v>-3.2336188650200128</v>
      </c>
      <c r="N133">
        <f t="shared" si="85"/>
        <v>10.456290964213316</v>
      </c>
    </row>
    <row r="134" spans="1:14" x14ac:dyDescent="0.45">
      <c r="A134" s="23">
        <v>42234</v>
      </c>
      <c r="B134">
        <v>58.99</v>
      </c>
      <c r="C134">
        <v>57.9</v>
      </c>
      <c r="G134">
        <f t="shared" ref="G134:K134" si="88">SUMPRODUCT($B134:$B138,P$2:P$6)</f>
        <v>36.408291305921573</v>
      </c>
      <c r="H134">
        <f t="shared" si="88"/>
        <v>24.905759516879801</v>
      </c>
      <c r="I134">
        <f t="shared" si="88"/>
        <v>29.459898647176601</v>
      </c>
      <c r="J134">
        <f t="shared" si="88"/>
        <v>22.432486007747467</v>
      </c>
      <c r="K134">
        <f t="shared" si="88"/>
        <v>11.648650506987515</v>
      </c>
      <c r="L134">
        <f t="shared" si="82"/>
        <v>58.964340075518869</v>
      </c>
      <c r="M134">
        <f t="shared" si="84"/>
        <v>1.7656599244811275</v>
      </c>
      <c r="N134">
        <f t="shared" si="85"/>
        <v>3.117554968918701</v>
      </c>
    </row>
    <row r="135" spans="1:14" x14ac:dyDescent="0.45">
      <c r="A135" s="23">
        <v>42233</v>
      </c>
      <c r="B135">
        <v>58.47</v>
      </c>
      <c r="C135">
        <v>59.5</v>
      </c>
      <c r="G135">
        <f t="shared" ref="G135:K135" si="89">SUMPRODUCT($B135:$B139,P$2:P$6)</f>
        <v>36.143637658044298</v>
      </c>
      <c r="H135">
        <f t="shared" si="89"/>
        <v>24.776061428342615</v>
      </c>
      <c r="I135">
        <f t="shared" si="89"/>
        <v>29.272302156432136</v>
      </c>
      <c r="J135">
        <f t="shared" si="89"/>
        <v>22.273312543905966</v>
      </c>
      <c r="K135">
        <f t="shared" si="89"/>
        <v>11.563617197173055</v>
      </c>
      <c r="L135">
        <f t="shared" si="82"/>
        <v>58.579580722234965</v>
      </c>
      <c r="M135">
        <f t="shared" si="84"/>
        <v>0.41041927776503684</v>
      </c>
      <c r="N135">
        <f t="shared" si="85"/>
        <v>0.16844398356117446</v>
      </c>
    </row>
    <row r="136" spans="1:14" x14ac:dyDescent="0.45">
      <c r="A136" s="23">
        <v>42230</v>
      </c>
      <c r="B136">
        <v>58.85</v>
      </c>
      <c r="C136">
        <v>58.84</v>
      </c>
      <c r="G136">
        <f t="shared" ref="G136:K136" si="90">SUMPRODUCT($B136:$B140,P$2:P$6)</f>
        <v>36.343805624271887</v>
      </c>
      <c r="H136">
        <f t="shared" si="90"/>
        <v>24.890798936989349</v>
      </c>
      <c r="I136">
        <f t="shared" si="90"/>
        <v>29.421610875187774</v>
      </c>
      <c r="J136">
        <f t="shared" si="90"/>
        <v>22.390313526129194</v>
      </c>
      <c r="K136">
        <f t="shared" si="90"/>
        <v>11.62683770263923</v>
      </c>
      <c r="L136">
        <f t="shared" si="82"/>
        <v>58.879558361863396</v>
      </c>
      <c r="M136">
        <f t="shared" si="84"/>
        <v>-0.40955836186339667</v>
      </c>
      <c r="N136">
        <f t="shared" si="85"/>
        <v>0.16773805177222897</v>
      </c>
    </row>
    <row r="137" spans="1:14" x14ac:dyDescent="0.45">
      <c r="A137" s="23">
        <v>42229</v>
      </c>
      <c r="B137">
        <v>59.66</v>
      </c>
      <c r="C137">
        <v>59</v>
      </c>
      <c r="G137">
        <f t="shared" ref="G137:K137" si="91">SUMPRODUCT($B137:$B141,P$2:P$6)</f>
        <v>36.852211879592119</v>
      </c>
      <c r="H137">
        <f t="shared" si="91"/>
        <v>25.192918676183442</v>
      </c>
      <c r="I137">
        <f t="shared" si="91"/>
        <v>29.81072038735261</v>
      </c>
      <c r="J137">
        <f t="shared" si="91"/>
        <v>22.706658348132539</v>
      </c>
      <c r="K137">
        <f t="shared" si="91"/>
        <v>11.795026408322315</v>
      </c>
      <c r="L137">
        <f t="shared" si="82"/>
        <v>59.658573058998662</v>
      </c>
      <c r="M137">
        <f t="shared" si="84"/>
        <v>-0.80857305899866105</v>
      </c>
      <c r="N137">
        <f t="shared" si="85"/>
        <v>0.65379039173845221</v>
      </c>
    </row>
    <row r="138" spans="1:14" x14ac:dyDescent="0.45">
      <c r="A138" s="23">
        <v>42228</v>
      </c>
      <c r="B138">
        <v>58.78</v>
      </c>
      <c r="C138">
        <v>59.74</v>
      </c>
      <c r="G138">
        <f t="shared" ref="G138:K138" si="92">SUMPRODUCT($B138:$B142,P$2:P$6)</f>
        <v>36.327743695984488</v>
      </c>
      <c r="H138">
        <f t="shared" si="92"/>
        <v>24.888509477777884</v>
      </c>
      <c r="I138">
        <f t="shared" si="92"/>
        <v>29.414608698566553</v>
      </c>
      <c r="J138">
        <f t="shared" si="92"/>
        <v>22.38709003093976</v>
      </c>
      <c r="K138">
        <f t="shared" si="92"/>
        <v>11.623300485252891</v>
      </c>
      <c r="L138">
        <f t="shared" si="82"/>
        <v>58.863215260740496</v>
      </c>
      <c r="M138">
        <f t="shared" si="84"/>
        <v>0.79678473925950044</v>
      </c>
      <c r="N138">
        <f t="shared" si="85"/>
        <v>0.63486592071683012</v>
      </c>
    </row>
    <row r="139" spans="1:14" x14ac:dyDescent="0.45">
      <c r="A139" s="23">
        <v>42227</v>
      </c>
      <c r="B139">
        <v>60.61</v>
      </c>
      <c r="C139">
        <v>59.38</v>
      </c>
      <c r="G139">
        <f t="shared" ref="G139:K139" si="93">SUMPRODUCT($B139:$B143,P$2:P$6)</f>
        <v>37.332101652213822</v>
      </c>
      <c r="H139">
        <f t="shared" si="93"/>
        <v>25.512891342463234</v>
      </c>
      <c r="I139">
        <f t="shared" si="93"/>
        <v>30.196008984537379</v>
      </c>
      <c r="J139">
        <f t="shared" si="93"/>
        <v>23.003799213636285</v>
      </c>
      <c r="K139">
        <f t="shared" si="93"/>
        <v>11.94027428683097</v>
      </c>
      <c r="L139">
        <f t="shared" si="82"/>
        <v>60.415339710897719</v>
      </c>
      <c r="M139">
        <f t="shared" si="84"/>
        <v>-1.6353397108977177</v>
      </c>
      <c r="N139">
        <f t="shared" si="85"/>
        <v>2.674335970039031</v>
      </c>
    </row>
    <row r="140" spans="1:14" x14ac:dyDescent="0.45">
      <c r="A140" s="23">
        <v>42226</v>
      </c>
      <c r="B140">
        <v>59.95</v>
      </c>
      <c r="C140">
        <v>61.09</v>
      </c>
      <c r="G140">
        <f t="shared" ref="G140:K140" si="94">SUMPRODUCT($B140:$B144,P$2:P$6)</f>
        <v>36.99552785521346</v>
      </c>
      <c r="H140">
        <f t="shared" si="94"/>
        <v>25.279772130439344</v>
      </c>
      <c r="I140">
        <f t="shared" si="94"/>
        <v>29.92220012817436</v>
      </c>
      <c r="J140">
        <f t="shared" si="94"/>
        <v>22.798282731533114</v>
      </c>
      <c r="K140">
        <f t="shared" si="94"/>
        <v>11.839037701989623</v>
      </c>
      <c r="L140">
        <f t="shared" si="82"/>
        <v>59.880468144744746</v>
      </c>
      <c r="M140">
        <f t="shared" si="84"/>
        <v>0.72953185525525299</v>
      </c>
      <c r="N140">
        <f t="shared" si="85"/>
        <v>0.53221672783217144</v>
      </c>
    </row>
    <row r="141" spans="1:14" x14ac:dyDescent="0.45">
      <c r="A141" s="23">
        <v>42223</v>
      </c>
      <c r="B141">
        <v>58.81</v>
      </c>
      <c r="C141">
        <v>59.61</v>
      </c>
      <c r="G141">
        <f t="shared" ref="G141:K141" si="95">SUMPRODUCT($B141:$B145,P$2:P$6)</f>
        <v>36.302331122815161</v>
      </c>
      <c r="H141">
        <f t="shared" si="95"/>
        <v>24.829035190926945</v>
      </c>
      <c r="I141">
        <f t="shared" si="95"/>
        <v>29.372847704536788</v>
      </c>
      <c r="J141">
        <f t="shared" si="95"/>
        <v>22.370398316527652</v>
      </c>
      <c r="K141">
        <f t="shared" si="95"/>
        <v>11.615706410670759</v>
      </c>
      <c r="L141">
        <f t="shared" si="82"/>
        <v>58.795137160220129</v>
      </c>
      <c r="M141">
        <f t="shared" si="84"/>
        <v>1.1548628397798737</v>
      </c>
      <c r="N141">
        <f t="shared" si="85"/>
        <v>1.3337081787044343</v>
      </c>
    </row>
    <row r="142" spans="1:14" x14ac:dyDescent="0.45">
      <c r="A142" s="23">
        <v>42222</v>
      </c>
      <c r="B142">
        <v>60.32</v>
      </c>
      <c r="C142">
        <v>58.87</v>
      </c>
      <c r="G142">
        <f t="shared" ref="G142:K142" si="96">SUMPRODUCT($B142:$B146,P$2:P$6)</f>
        <v>37.137131619095015</v>
      </c>
      <c r="H142">
        <f t="shared" si="96"/>
        <v>25.385057418269326</v>
      </c>
      <c r="I142">
        <f t="shared" si="96"/>
        <v>30.042767516354267</v>
      </c>
      <c r="J142">
        <f t="shared" si="96"/>
        <v>22.889616020737424</v>
      </c>
      <c r="K142">
        <f t="shared" si="96"/>
        <v>11.876085064611608</v>
      </c>
      <c r="L142">
        <f t="shared" si="82"/>
        <v>60.112582512740843</v>
      </c>
      <c r="M142">
        <f t="shared" si="84"/>
        <v>-1.302582512740841</v>
      </c>
      <c r="N142">
        <f t="shared" si="85"/>
        <v>1.6967212024982432</v>
      </c>
    </row>
    <row r="143" spans="1:14" x14ac:dyDescent="0.45">
      <c r="A143" s="23">
        <v>42221</v>
      </c>
      <c r="B143">
        <v>59.14</v>
      </c>
      <c r="C143">
        <v>60.7</v>
      </c>
      <c r="G143">
        <f t="shared" ref="G143:K143" si="97">SUMPRODUCT($B143:$B147,P$2:P$6)</f>
        <v>36.470998862258078</v>
      </c>
      <c r="H143">
        <f t="shared" si="97"/>
        <v>24.944093460705982</v>
      </c>
      <c r="I143">
        <f t="shared" si="97"/>
        <v>29.509213236109598</v>
      </c>
      <c r="J143">
        <f t="shared" si="97"/>
        <v>22.473557093383597</v>
      </c>
      <c r="K143">
        <f t="shared" si="97"/>
        <v>11.666666023587428</v>
      </c>
      <c r="L143">
        <f t="shared" si="82"/>
        <v>59.062129335868917</v>
      </c>
      <c r="M143">
        <f t="shared" si="84"/>
        <v>1.2578706641310831</v>
      </c>
      <c r="N143">
        <f t="shared" si="85"/>
        <v>1.582238607681572</v>
      </c>
    </row>
    <row r="144" spans="1:14" x14ac:dyDescent="0.45">
      <c r="A144" s="23">
        <v>42220</v>
      </c>
      <c r="B144">
        <v>58.53</v>
      </c>
      <c r="C144">
        <v>58.48</v>
      </c>
      <c r="G144">
        <f t="shared" ref="G144:K144" si="98">SUMPRODUCT($B144:$B148,P$2:P$6)</f>
        <v>36.144818887309633</v>
      </c>
      <c r="H144">
        <f t="shared" si="98"/>
        <v>24.737110381002779</v>
      </c>
      <c r="I144">
        <f t="shared" si="98"/>
        <v>29.253087173424394</v>
      </c>
      <c r="J144">
        <f t="shared" si="98"/>
        <v>22.27267421975154</v>
      </c>
      <c r="K144">
        <f t="shared" si="98"/>
        <v>11.564979731689986</v>
      </c>
      <c r="L144">
        <f t="shared" si="82"/>
        <v>58.555049428682153</v>
      </c>
      <c r="M144">
        <f t="shared" si="84"/>
        <v>0.58495057131784733</v>
      </c>
      <c r="N144">
        <f t="shared" si="85"/>
        <v>0.34216717088507598</v>
      </c>
    </row>
    <row r="145" spans="1:14" x14ac:dyDescent="0.45">
      <c r="A145" s="23">
        <v>42219</v>
      </c>
      <c r="B145">
        <v>58.43</v>
      </c>
      <c r="C145">
        <v>58.67</v>
      </c>
      <c r="G145">
        <f t="shared" ref="G145:K145" si="99">SUMPRODUCT($B145:$B149,P$2:P$6)</f>
        <v>36.073433485985134</v>
      </c>
      <c r="H145">
        <f t="shared" si="99"/>
        <v>24.677203433444781</v>
      </c>
      <c r="I145">
        <f t="shared" si="99"/>
        <v>29.189355302513484</v>
      </c>
      <c r="J145">
        <f t="shared" si="99"/>
        <v>22.227017856822087</v>
      </c>
      <c r="K145">
        <f t="shared" si="99"/>
        <v>11.542411108068041</v>
      </c>
      <c r="L145">
        <f t="shared" si="82"/>
        <v>58.433734856004769</v>
      </c>
      <c r="M145">
        <f t="shared" si="84"/>
        <v>9.6265143995232449E-2</v>
      </c>
      <c r="N145">
        <f t="shared" si="85"/>
        <v>9.2669779484228377E-3</v>
      </c>
    </row>
    <row r="146" spans="1:14" x14ac:dyDescent="0.45">
      <c r="A146" s="23">
        <v>42216</v>
      </c>
      <c r="B146">
        <v>59.05</v>
      </c>
      <c r="C146">
        <v>58.33</v>
      </c>
      <c r="G146">
        <f t="shared" ref="G146:K146" si="100">SUMPRODUCT($B146:$B150,P$2:P$6)</f>
        <v>36.424494928350846</v>
      </c>
      <c r="H146">
        <f t="shared" si="100"/>
        <v>24.903646474046361</v>
      </c>
      <c r="I146">
        <f t="shared" si="100"/>
        <v>29.467719430437082</v>
      </c>
      <c r="J146">
        <f t="shared" si="100"/>
        <v>22.446971751319058</v>
      </c>
      <c r="K146">
        <f t="shared" si="100"/>
        <v>11.653509609677521</v>
      </c>
      <c r="L146">
        <f t="shared" si="82"/>
        <v>58.983863555692196</v>
      </c>
      <c r="M146">
        <f t="shared" si="84"/>
        <v>-0.55386355569219603</v>
      </c>
      <c r="N146">
        <f t="shared" si="85"/>
        <v>0.30676483832400231</v>
      </c>
    </row>
    <row r="147" spans="1:14" x14ac:dyDescent="0.45">
      <c r="A147" s="23">
        <v>42215</v>
      </c>
      <c r="B147">
        <v>58.66</v>
      </c>
      <c r="C147">
        <v>58.82</v>
      </c>
      <c r="G147">
        <f t="shared" ref="G147:K147" si="101">SUMPRODUCT($B147:$B151,P$2:P$6)</f>
        <v>36.194773045815396</v>
      </c>
      <c r="H147">
        <f t="shared" si="101"/>
        <v>24.804813045726153</v>
      </c>
      <c r="I147">
        <f t="shared" si="101"/>
        <v>29.311623872103674</v>
      </c>
      <c r="J147">
        <f t="shared" si="101"/>
        <v>22.307054137269148</v>
      </c>
      <c r="K147">
        <f t="shared" si="101"/>
        <v>11.574969307888953</v>
      </c>
      <c r="L147">
        <f t="shared" si="82"/>
        <v>58.657758983471268</v>
      </c>
      <c r="M147">
        <f t="shared" si="84"/>
        <v>0.39224101652872889</v>
      </c>
      <c r="N147">
        <f t="shared" si="85"/>
        <v>0.15385301504749058</v>
      </c>
    </row>
    <row r="148" spans="1:14" x14ac:dyDescent="0.45">
      <c r="A148" s="23">
        <v>42214</v>
      </c>
      <c r="B148">
        <v>58.87</v>
      </c>
      <c r="C148">
        <v>58.79</v>
      </c>
      <c r="G148">
        <f t="shared" ref="G148:K148" si="102">SUMPRODUCT($B148:$B152,P$2:P$6)</f>
        <v>36.327306085578236</v>
      </c>
      <c r="H148">
        <f t="shared" si="102"/>
        <v>24.858392249865176</v>
      </c>
      <c r="I148">
        <f t="shared" si="102"/>
        <v>29.397770038385662</v>
      </c>
      <c r="J148">
        <f t="shared" si="102"/>
        <v>22.379986786916618</v>
      </c>
      <c r="K148">
        <f t="shared" si="102"/>
        <v>11.621250009223861</v>
      </c>
      <c r="L148">
        <f t="shared" si="82"/>
        <v>58.839624815702045</v>
      </c>
      <c r="M148">
        <f t="shared" si="84"/>
        <v>-0.17962481570204858</v>
      </c>
      <c r="N148">
        <f t="shared" si="85"/>
        <v>3.2265074415994917E-2</v>
      </c>
    </row>
    <row r="149" spans="1:14" x14ac:dyDescent="0.45">
      <c r="A149" s="23">
        <v>42213</v>
      </c>
      <c r="B149">
        <v>58.27</v>
      </c>
      <c r="C149">
        <v>58.99</v>
      </c>
      <c r="G149">
        <f t="shared" ref="G149:K149" si="103">SUMPRODUCT($B149:$B153,P$2:P$6)</f>
        <v>36.046946654475967</v>
      </c>
      <c r="H149">
        <f t="shared" si="103"/>
        <v>24.669386034692522</v>
      </c>
      <c r="I149">
        <f t="shared" si="103"/>
        <v>29.1725007318941</v>
      </c>
      <c r="J149">
        <f t="shared" si="103"/>
        <v>22.210358069338966</v>
      </c>
      <c r="K149">
        <f t="shared" si="103"/>
        <v>11.53909869182459</v>
      </c>
      <c r="L149">
        <f t="shared" si="82"/>
        <v>58.398299669113889</v>
      </c>
      <c r="M149">
        <f t="shared" si="84"/>
        <v>0.47170033088610808</v>
      </c>
      <c r="N149">
        <f t="shared" si="85"/>
        <v>0.22250120215806385</v>
      </c>
    </row>
    <row r="150" spans="1:14" x14ac:dyDescent="0.45">
      <c r="A150" s="23">
        <v>42212</v>
      </c>
      <c r="B150">
        <v>58.22</v>
      </c>
      <c r="C150">
        <v>57.89</v>
      </c>
      <c r="G150">
        <f t="shared" ref="G150:K150" si="104">SUMPRODUCT($B150:$B154,P$2:P$6)</f>
        <v>35.98566069780324</v>
      </c>
      <c r="H150">
        <f t="shared" si="104"/>
        <v>24.703930964572294</v>
      </c>
      <c r="I150">
        <f t="shared" si="104"/>
        <v>29.162909325710437</v>
      </c>
      <c r="J150">
        <f t="shared" si="104"/>
        <v>22.17698642762409</v>
      </c>
      <c r="K150">
        <f t="shared" si="104"/>
        <v>11.509064535852492</v>
      </c>
      <c r="L150">
        <f t="shared" si="82"/>
        <v>58.352562087087513</v>
      </c>
      <c r="M150">
        <f t="shared" si="84"/>
        <v>-8.2562087087509894E-2</v>
      </c>
      <c r="N150">
        <f t="shared" si="85"/>
        <v>6.8164982242455681E-3</v>
      </c>
    </row>
    <row r="151" spans="1:14" x14ac:dyDescent="0.45">
      <c r="A151" s="23">
        <v>42209</v>
      </c>
      <c r="B151">
        <v>60.37</v>
      </c>
      <c r="C151">
        <v>58.49</v>
      </c>
      <c r="G151">
        <f t="shared" ref="G151:K151" si="105">SUMPRODUCT($B151:$B155,P$2:P$6)</f>
        <v>37.230859317873794</v>
      </c>
      <c r="H151">
        <f t="shared" si="105"/>
        <v>25.527079660580402</v>
      </c>
      <c r="I151">
        <f t="shared" si="105"/>
        <v>30.155215639784728</v>
      </c>
      <c r="J151">
        <f t="shared" si="105"/>
        <v>22.939055892505031</v>
      </c>
      <c r="K151">
        <f t="shared" si="105"/>
        <v>11.903244646043319</v>
      </c>
      <c r="L151">
        <f t="shared" si="82"/>
        <v>60.30730499064304</v>
      </c>
      <c r="M151">
        <f t="shared" si="84"/>
        <v>-2.087304990643041</v>
      </c>
      <c r="N151">
        <f t="shared" si="85"/>
        <v>4.3568421239633457</v>
      </c>
    </row>
    <row r="152" spans="1:14" x14ac:dyDescent="0.45">
      <c r="A152" s="23">
        <v>42208</v>
      </c>
      <c r="B152">
        <v>58.99</v>
      </c>
      <c r="C152">
        <v>60.05</v>
      </c>
      <c r="G152">
        <f t="shared" ref="G152:K152" si="106">SUMPRODUCT($B152:$B156,P$2:P$6)</f>
        <v>36.570852952788158</v>
      </c>
      <c r="H152">
        <f t="shared" si="106"/>
        <v>25.101551478954086</v>
      </c>
      <c r="I152">
        <f t="shared" si="106"/>
        <v>29.631290765555622</v>
      </c>
      <c r="J152">
        <f t="shared" si="106"/>
        <v>22.526573209811787</v>
      </c>
      <c r="K152">
        <f t="shared" si="106"/>
        <v>11.705797047456251</v>
      </c>
      <c r="L152">
        <f t="shared" si="82"/>
        <v>59.273962380084704</v>
      </c>
      <c r="M152">
        <f t="shared" si="84"/>
        <v>1.0960376199152932</v>
      </c>
      <c r="N152">
        <f t="shared" si="85"/>
        <v>1.2012984642695808</v>
      </c>
    </row>
    <row r="153" spans="1:14" x14ac:dyDescent="0.45">
      <c r="A153" s="23">
        <v>42207</v>
      </c>
      <c r="B153">
        <v>58.73</v>
      </c>
      <c r="C153">
        <v>58.65</v>
      </c>
      <c r="G153">
        <f t="shared" ref="G153:K153" si="107">SUMPRODUCT($B153:$B157,P$2:P$6)</f>
        <v>36.449282973513313</v>
      </c>
      <c r="H153">
        <f t="shared" si="107"/>
        <v>25.015007572180295</v>
      </c>
      <c r="I153">
        <f t="shared" si="107"/>
        <v>29.5304532373158</v>
      </c>
      <c r="J153">
        <f t="shared" si="107"/>
        <v>22.449903623776006</v>
      </c>
      <c r="K153">
        <f t="shared" si="107"/>
        <v>11.670564291987805</v>
      </c>
      <c r="L153">
        <f t="shared" si="82"/>
        <v>59.078009154967937</v>
      </c>
      <c r="M153">
        <f t="shared" si="84"/>
        <v>-8.8009154967934933E-2</v>
      </c>
      <c r="N153">
        <f t="shared" si="85"/>
        <v>7.7456113581699862E-3</v>
      </c>
    </row>
    <row r="154" spans="1:14" x14ac:dyDescent="0.45">
      <c r="A154" s="23">
        <v>42206</v>
      </c>
      <c r="B154">
        <v>61.9</v>
      </c>
      <c r="C154">
        <v>62.08</v>
      </c>
      <c r="G154">
        <f t="shared" ref="G154:K154" si="108">SUMPRODUCT($B154:$B158,P$2:P$6)</f>
        <v>38.243981457595339</v>
      </c>
      <c r="H154">
        <f t="shared" si="108"/>
        <v>26.172270594573668</v>
      </c>
      <c r="I154">
        <f t="shared" si="108"/>
        <v>30.950656539944006</v>
      </c>
      <c r="J154">
        <f t="shared" si="108"/>
        <v>23.564470224577637</v>
      </c>
      <c r="K154">
        <f t="shared" si="108"/>
        <v>12.238300342467252</v>
      </c>
      <c r="L154">
        <f t="shared" si="82"/>
        <v>61.884979806674529</v>
      </c>
      <c r="M154">
        <f t="shared" si="84"/>
        <v>-3.1549798066745325</v>
      </c>
      <c r="N154">
        <f t="shared" si="85"/>
        <v>9.953897580524071</v>
      </c>
    </row>
    <row r="155" spans="1:14" x14ac:dyDescent="0.45">
      <c r="A155" s="23">
        <v>42205</v>
      </c>
      <c r="B155">
        <v>62.61</v>
      </c>
      <c r="C155">
        <v>61.99</v>
      </c>
      <c r="G155">
        <f t="shared" ref="G155:K155" si="109">SUMPRODUCT($B155:$B159,P$2:P$6)</f>
        <v>38.63019149806464</v>
      </c>
      <c r="H155">
        <f t="shared" si="109"/>
        <v>26.417412548318708</v>
      </c>
      <c r="I155">
        <f t="shared" si="109"/>
        <v>31.254599185559101</v>
      </c>
      <c r="J155">
        <f t="shared" si="109"/>
        <v>23.804918465869193</v>
      </c>
      <c r="K155">
        <f t="shared" si="109"/>
        <v>12.359409186282903</v>
      </c>
      <c r="L155">
        <f t="shared" si="82"/>
        <v>62.486796143667057</v>
      </c>
      <c r="M155">
        <f t="shared" si="84"/>
        <v>-0.58679614366705835</v>
      </c>
      <c r="N155">
        <f t="shared" si="85"/>
        <v>0.344329714222531</v>
      </c>
    </row>
    <row r="156" spans="1:14" x14ac:dyDescent="0.45">
      <c r="A156" s="23">
        <v>42202</v>
      </c>
      <c r="B156">
        <v>62.82</v>
      </c>
      <c r="C156">
        <v>62.46</v>
      </c>
      <c r="G156">
        <f t="shared" ref="G156:K156" si="110">SUMPRODUCT($B156:$B160,P$2:P$6)</f>
        <v>38.737168121956245</v>
      </c>
      <c r="H156">
        <f t="shared" si="110"/>
        <v>26.488408657902138</v>
      </c>
      <c r="I156">
        <f t="shared" si="110"/>
        <v>31.340618403227225</v>
      </c>
      <c r="J156">
        <f t="shared" si="110"/>
        <v>23.872290812815464</v>
      </c>
      <c r="K156">
        <f t="shared" si="110"/>
        <v>12.391943668420771</v>
      </c>
      <c r="L156">
        <f t="shared" si="82"/>
        <v>62.655875030118082</v>
      </c>
      <c r="M156">
        <f t="shared" si="84"/>
        <v>-4.5875030118082805E-2</v>
      </c>
      <c r="N156">
        <f t="shared" si="85"/>
        <v>2.1045183883350044E-3</v>
      </c>
    </row>
    <row r="157" spans="1:14" x14ac:dyDescent="0.45">
      <c r="A157" s="23">
        <v>42201</v>
      </c>
      <c r="B157">
        <v>62.51</v>
      </c>
      <c r="C157">
        <v>62.83</v>
      </c>
      <c r="G157">
        <f t="shared" ref="G157:K157" si="111">SUMPRODUCT($B157:$B161,P$2:P$6)</f>
        <v>38.550330237608875</v>
      </c>
      <c r="H157">
        <f t="shared" si="111"/>
        <v>26.352190040535401</v>
      </c>
      <c r="I157">
        <f t="shared" si="111"/>
        <v>31.184692827936008</v>
      </c>
      <c r="J157">
        <f t="shared" si="111"/>
        <v>23.755439022067591</v>
      </c>
      <c r="K157">
        <f t="shared" si="111"/>
        <v>12.33338127182844</v>
      </c>
      <c r="L157">
        <f t="shared" si="82"/>
        <v>62.353057498246649</v>
      </c>
      <c r="M157">
        <f t="shared" si="84"/>
        <v>0.46694250175335128</v>
      </c>
      <c r="N157">
        <f t="shared" si="85"/>
        <v>0.21803529994367846</v>
      </c>
    </row>
    <row r="158" spans="1:14" x14ac:dyDescent="0.45">
      <c r="A158" s="23">
        <v>42200</v>
      </c>
      <c r="B158">
        <v>62.24</v>
      </c>
      <c r="C158">
        <v>62.92</v>
      </c>
      <c r="G158">
        <f t="shared" ref="G158:K158" si="112">SUMPRODUCT($B158:$B162,P$2:P$6)</f>
        <v>38.40074451823196</v>
      </c>
      <c r="H158">
        <f t="shared" si="112"/>
        <v>26.288117680721257</v>
      </c>
      <c r="I158">
        <f t="shared" si="112"/>
        <v>31.083721602796054</v>
      </c>
      <c r="J158">
        <f t="shared" si="112"/>
        <v>23.666554202951602</v>
      </c>
      <c r="K158">
        <f t="shared" si="112"/>
        <v>12.283117341535544</v>
      </c>
      <c r="L158">
        <f t="shared" si="82"/>
        <v>62.142075901520748</v>
      </c>
      <c r="M158">
        <f t="shared" si="84"/>
        <v>0.36792409847925001</v>
      </c>
      <c r="N158">
        <f t="shared" si="85"/>
        <v>0.13536814224176885</v>
      </c>
    </row>
    <row r="159" spans="1:14" x14ac:dyDescent="0.45">
      <c r="A159" s="23">
        <v>42199</v>
      </c>
      <c r="B159">
        <v>62</v>
      </c>
      <c r="C159">
        <v>62.62</v>
      </c>
      <c r="G159">
        <f t="shared" ref="G159:K159" si="113">SUMPRODUCT($B159:$B163,P$2:P$6)</f>
        <v>38.257297788896466</v>
      </c>
      <c r="H159">
        <f t="shared" si="113"/>
        <v>26.1947949777304</v>
      </c>
      <c r="I159">
        <f t="shared" si="113"/>
        <v>30.968499181226282</v>
      </c>
      <c r="J159">
        <f t="shared" si="113"/>
        <v>23.572465711361396</v>
      </c>
      <c r="K159">
        <f t="shared" si="113"/>
        <v>12.236993001539204</v>
      </c>
      <c r="L159">
        <f t="shared" si="82"/>
        <v>61.91455672743416</v>
      </c>
      <c r="M159">
        <f t="shared" si="84"/>
        <v>0.32544327256584182</v>
      </c>
      <c r="N159">
        <f t="shared" si="85"/>
        <v>0.10591332365836481</v>
      </c>
    </row>
    <row r="160" spans="1:14" x14ac:dyDescent="0.45">
      <c r="A160" s="23">
        <v>42198</v>
      </c>
      <c r="B160">
        <v>62.06</v>
      </c>
      <c r="C160">
        <v>61.87</v>
      </c>
      <c r="G160">
        <f t="shared" ref="G160:K160" si="114">SUMPRODUCT($B160:$B164,P$2:P$6)</f>
        <v>38.344696929473933</v>
      </c>
      <c r="H160">
        <f t="shared" si="114"/>
        <v>26.265908553746744</v>
      </c>
      <c r="I160">
        <f t="shared" si="114"/>
        <v>31.044823839480841</v>
      </c>
      <c r="J160">
        <f t="shared" si="114"/>
        <v>23.627271125826937</v>
      </c>
      <c r="K160">
        <f t="shared" si="114"/>
        <v>12.268153594891388</v>
      </c>
      <c r="L160">
        <f t="shared" si="82"/>
        <v>62.061148363013828</v>
      </c>
      <c r="M160">
        <f t="shared" si="84"/>
        <v>-6.1148363013828089E-2</v>
      </c>
      <c r="N160">
        <f t="shared" si="85"/>
        <v>3.739122299270899E-3</v>
      </c>
    </row>
    <row r="161" spans="1:14" x14ac:dyDescent="0.45">
      <c r="A161" s="23">
        <v>42195</v>
      </c>
      <c r="B161">
        <v>61.4</v>
      </c>
      <c r="C161">
        <v>61.51</v>
      </c>
      <c r="G161">
        <f t="shared" ref="G161:K161" si="115">SUMPRODUCT($B161:$B165,P$2:P$6)</f>
        <v>37.980354702581913</v>
      </c>
      <c r="H161">
        <f t="shared" si="115"/>
        <v>26.038322392219619</v>
      </c>
      <c r="I161">
        <f t="shared" si="115"/>
        <v>30.759642266551609</v>
      </c>
      <c r="J161">
        <f t="shared" si="115"/>
        <v>23.399151126852541</v>
      </c>
      <c r="K161">
        <f t="shared" si="115"/>
        <v>12.152969296122221</v>
      </c>
      <c r="L161">
        <f t="shared" si="82"/>
        <v>61.495092478047695</v>
      </c>
      <c r="M161">
        <f t="shared" si="84"/>
        <v>0.56490752195230698</v>
      </c>
      <c r="N161">
        <f t="shared" si="85"/>
        <v>0.3191205083582962</v>
      </c>
    </row>
    <row r="162" spans="1:14" x14ac:dyDescent="0.45">
      <c r="A162" s="23">
        <v>42194</v>
      </c>
      <c r="B162">
        <v>62.82</v>
      </c>
      <c r="C162">
        <v>60.89</v>
      </c>
      <c r="G162">
        <f t="shared" ref="G162:K162" si="116">SUMPRODUCT($B162:$B166,P$2:P$6)</f>
        <v>38.815075109919249</v>
      </c>
      <c r="H162">
        <f t="shared" si="116"/>
        <v>26.595790532387653</v>
      </c>
      <c r="I162">
        <f t="shared" si="116"/>
        <v>31.429350688082277</v>
      </c>
      <c r="J162">
        <f t="shared" si="116"/>
        <v>23.916478202187655</v>
      </c>
      <c r="K162">
        <f t="shared" si="116"/>
        <v>12.417908569935419</v>
      </c>
      <c r="L162">
        <f t="shared" si="82"/>
        <v>62.812520003927276</v>
      </c>
      <c r="M162">
        <f t="shared" si="84"/>
        <v>-1.4125200039272769</v>
      </c>
      <c r="N162">
        <f t="shared" si="85"/>
        <v>1.9952127614947144</v>
      </c>
    </row>
    <row r="163" spans="1:14" x14ac:dyDescent="0.45">
      <c r="A163" s="23">
        <v>42193</v>
      </c>
      <c r="B163">
        <v>62.8</v>
      </c>
      <c r="C163">
        <v>61.94</v>
      </c>
      <c r="G163">
        <f t="shared" ref="G163:K163" si="117">SUMPRODUCT($B163:$B167,P$2:P$6)</f>
        <v>38.827964674252641</v>
      </c>
      <c r="H163">
        <f t="shared" si="117"/>
        <v>26.615246570953051</v>
      </c>
      <c r="I163">
        <f t="shared" si="117"/>
        <v>31.444394007630407</v>
      </c>
      <c r="J163">
        <f t="shared" si="117"/>
        <v>23.922310375689339</v>
      </c>
      <c r="K163">
        <f t="shared" si="117"/>
        <v>12.423059267373288</v>
      </c>
      <c r="L163">
        <f t="shared" si="82"/>
        <v>62.838775935448233</v>
      </c>
      <c r="M163">
        <f t="shared" si="84"/>
        <v>-1.8775935448232417E-2</v>
      </c>
      <c r="N163">
        <f t="shared" si="85"/>
        <v>3.5253575195619063E-4</v>
      </c>
    </row>
    <row r="164" spans="1:14" x14ac:dyDescent="0.45">
      <c r="A164" s="23">
        <v>42192</v>
      </c>
      <c r="B164">
        <v>63.47</v>
      </c>
      <c r="C164">
        <v>63.38</v>
      </c>
      <c r="G164">
        <f t="shared" ref="G164:K164" si="118">SUMPRODUCT($B164:$B168,P$2:P$6)</f>
        <v>39.233597609238203</v>
      </c>
      <c r="H164">
        <f t="shared" si="118"/>
        <v>26.860495429903342</v>
      </c>
      <c r="I164">
        <f t="shared" si="118"/>
        <v>31.756149733791897</v>
      </c>
      <c r="J164">
        <f t="shared" si="118"/>
        <v>24.171288977764238</v>
      </c>
      <c r="K164">
        <f t="shared" si="118"/>
        <v>12.555468529386408</v>
      </c>
      <c r="L164">
        <f t="shared" si="82"/>
        <v>63.461207586642573</v>
      </c>
      <c r="M164">
        <f t="shared" si="84"/>
        <v>-0.66120758664257551</v>
      </c>
      <c r="N164">
        <f t="shared" si="85"/>
        <v>0.43719547263369901</v>
      </c>
    </row>
    <row r="165" spans="1:14" x14ac:dyDescent="0.45">
      <c r="A165" s="23">
        <v>42191</v>
      </c>
      <c r="B165">
        <v>63.85</v>
      </c>
      <c r="C165">
        <v>63.59</v>
      </c>
      <c r="G165">
        <f t="shared" ref="G165:K165" si="119">SUMPRODUCT($B165:$B169,P$2:P$6)</f>
        <v>39.464064834248077</v>
      </c>
      <c r="H165">
        <f t="shared" si="119"/>
        <v>27.034443160843566</v>
      </c>
      <c r="I165">
        <f t="shared" si="119"/>
        <v>31.952183331803752</v>
      </c>
      <c r="J165">
        <f t="shared" si="119"/>
        <v>24.318092486905762</v>
      </c>
      <c r="K165">
        <f t="shared" si="119"/>
        <v>12.627284890018288</v>
      </c>
      <c r="L165">
        <f t="shared" si="82"/>
        <v>63.839949108244895</v>
      </c>
      <c r="M165">
        <f t="shared" si="84"/>
        <v>-0.3699491082448958</v>
      </c>
      <c r="N165">
        <f t="shared" si="85"/>
        <v>0.13686234269119363</v>
      </c>
    </row>
    <row r="166" spans="1:14" x14ac:dyDescent="0.45">
      <c r="A166" s="23">
        <v>42187</v>
      </c>
      <c r="B166">
        <v>64.58</v>
      </c>
      <c r="C166">
        <v>64.38</v>
      </c>
      <c r="G166">
        <f t="shared" ref="G166:K166" si="120">SUMPRODUCT($B166:$B170,P$2:P$6)</f>
        <v>39.868052346635366</v>
      </c>
      <c r="H166">
        <f t="shared" si="120"/>
        <v>27.318820689473164</v>
      </c>
      <c r="I166">
        <f t="shared" si="120"/>
        <v>32.28321574920065</v>
      </c>
      <c r="J166">
        <f t="shared" si="120"/>
        <v>24.566097893494277</v>
      </c>
      <c r="K166">
        <f t="shared" si="120"/>
        <v>12.751670229546674</v>
      </c>
      <c r="L166">
        <f t="shared" si="82"/>
        <v>64.485660439916501</v>
      </c>
      <c r="M166">
        <f t="shared" si="84"/>
        <v>-0.63566043991649934</v>
      </c>
      <c r="N166">
        <f t="shared" si="85"/>
        <v>0.40406419487483747</v>
      </c>
    </row>
    <row r="167" spans="1:14" x14ac:dyDescent="0.45">
      <c r="A167" s="23">
        <v>42186</v>
      </c>
      <c r="B167">
        <v>65.08</v>
      </c>
      <c r="C167">
        <v>64.569999999999993</v>
      </c>
      <c r="G167">
        <f t="shared" ref="G167:K167" si="121">SUMPRODUCT($B167:$B171,P$2:P$6)</f>
        <v>40.202766613218628</v>
      </c>
      <c r="H167">
        <f t="shared" si="121"/>
        <v>27.550762169778395</v>
      </c>
      <c r="I167">
        <f t="shared" si="121"/>
        <v>32.554976561446288</v>
      </c>
      <c r="J167">
        <f t="shared" si="121"/>
        <v>24.770907094156964</v>
      </c>
      <c r="K167">
        <f t="shared" si="121"/>
        <v>12.860672609415889</v>
      </c>
      <c r="L167">
        <f t="shared" si="82"/>
        <v>65.018054403447422</v>
      </c>
      <c r="M167">
        <f t="shared" si="84"/>
        <v>-0.43805440344742408</v>
      </c>
      <c r="N167">
        <f t="shared" si="85"/>
        <v>0.19189166037967859</v>
      </c>
    </row>
    <row r="168" spans="1:14" x14ac:dyDescent="0.45">
      <c r="A168" s="23">
        <v>42185</v>
      </c>
      <c r="B168">
        <v>64.34</v>
      </c>
      <c r="C168">
        <v>64.180000000000007</v>
      </c>
      <c r="G168">
        <f t="shared" ref="G168:K168" si="122">SUMPRODUCT($B168:$B172,P$2:P$6)</f>
        <v>39.827921236359032</v>
      </c>
      <c r="H168">
        <f t="shared" si="122"/>
        <v>27.316112454708399</v>
      </c>
      <c r="I168">
        <f t="shared" si="122"/>
        <v>32.261001356978497</v>
      </c>
      <c r="J168">
        <f t="shared" si="122"/>
        <v>24.536051062266065</v>
      </c>
      <c r="K168">
        <f t="shared" si="122"/>
        <v>12.745462922711765</v>
      </c>
      <c r="L168">
        <f t="shared" si="82"/>
        <v>64.435344011903865</v>
      </c>
      <c r="M168">
        <f t="shared" si="84"/>
        <v>0.64465598809613311</v>
      </c>
      <c r="N168">
        <f t="shared" si="85"/>
        <v>0.41558134298820171</v>
      </c>
    </row>
    <row r="169" spans="1:14" x14ac:dyDescent="0.45">
      <c r="A169" s="23">
        <v>42184</v>
      </c>
      <c r="B169">
        <v>65.41</v>
      </c>
      <c r="C169">
        <v>63.99</v>
      </c>
      <c r="G169">
        <f t="shared" ref="G169:K169" si="123">SUMPRODUCT($B169:$B173,P$2:P$6)</f>
        <v>40.464813902335294</v>
      </c>
      <c r="H169">
        <f t="shared" si="123"/>
        <v>27.741836865677396</v>
      </c>
      <c r="I169">
        <f t="shared" si="123"/>
        <v>32.772008892361825</v>
      </c>
      <c r="J169">
        <f t="shared" si="123"/>
        <v>24.930367266559504</v>
      </c>
      <c r="K169">
        <f t="shared" si="123"/>
        <v>12.948280034200542</v>
      </c>
      <c r="L169">
        <f t="shared" si="82"/>
        <v>65.440588766321227</v>
      </c>
      <c r="M169">
        <f t="shared" si="84"/>
        <v>-1.1005887663212235</v>
      </c>
      <c r="N169">
        <f t="shared" si="85"/>
        <v>1.2112956325524726</v>
      </c>
    </row>
    <row r="170" spans="1:14" x14ac:dyDescent="0.45">
      <c r="A170" s="23">
        <v>42181</v>
      </c>
      <c r="B170">
        <v>66.37</v>
      </c>
      <c r="C170">
        <v>65.8</v>
      </c>
      <c r="G170">
        <f t="shared" ref="G170:K170" si="124">SUMPRODUCT($B170:$B174,P$2:P$6)</f>
        <v>41.02969144570897</v>
      </c>
      <c r="H170">
        <f t="shared" si="124"/>
        <v>28.114571523559782</v>
      </c>
      <c r="I170">
        <f t="shared" si="124"/>
        <v>33.222561607312024</v>
      </c>
      <c r="J170">
        <f t="shared" si="124"/>
        <v>25.279079715058362</v>
      </c>
      <c r="K170">
        <f t="shared" si="124"/>
        <v>13.128056310682567</v>
      </c>
      <c r="L170">
        <f t="shared" si="82"/>
        <v>66.328496074131863</v>
      </c>
      <c r="M170">
        <f t="shared" si="84"/>
        <v>-0.91849607413186618</v>
      </c>
      <c r="N170">
        <f t="shared" si="85"/>
        <v>0.84363503819565067</v>
      </c>
    </row>
    <row r="171" spans="1:14" x14ac:dyDescent="0.45">
      <c r="A171" s="23">
        <v>42180</v>
      </c>
      <c r="B171">
        <v>67.06</v>
      </c>
      <c r="C171">
        <v>66.59</v>
      </c>
      <c r="G171">
        <f t="shared" ref="G171:K171" si="125">SUMPRODUCT($B171:$B175,P$2:P$6)</f>
        <v>41.44344309433707</v>
      </c>
      <c r="H171">
        <f t="shared" si="125"/>
        <v>28.382331871500423</v>
      </c>
      <c r="I171">
        <f t="shared" si="125"/>
        <v>33.549907883221223</v>
      </c>
      <c r="J171">
        <f t="shared" si="125"/>
        <v>25.534661559741913</v>
      </c>
      <c r="K171">
        <f t="shared" si="125"/>
        <v>13.260983743608667</v>
      </c>
      <c r="L171">
        <f t="shared" si="82"/>
        <v>66.97556959514597</v>
      </c>
      <c r="M171">
        <f t="shared" si="84"/>
        <v>-0.60556959514596542</v>
      </c>
      <c r="N171">
        <f t="shared" si="85"/>
        <v>0.3667145345652485</v>
      </c>
    </row>
    <row r="172" spans="1:14" x14ac:dyDescent="0.45">
      <c r="A172" s="23">
        <v>42179</v>
      </c>
      <c r="B172">
        <v>67.459999999999994</v>
      </c>
      <c r="C172">
        <v>66.84</v>
      </c>
      <c r="G172">
        <f t="shared" ref="G172:K172" si="126">SUMPRODUCT($B172:$B176,P$2:P$6)</f>
        <v>41.675864488673348</v>
      </c>
      <c r="H172">
        <f t="shared" si="126"/>
        <v>28.515711207582864</v>
      </c>
      <c r="I172">
        <f t="shared" si="126"/>
        <v>33.725199378697845</v>
      </c>
      <c r="J172">
        <f t="shared" si="126"/>
        <v>25.678036061997467</v>
      </c>
      <c r="K172">
        <f t="shared" si="126"/>
        <v>13.336750405507345</v>
      </c>
      <c r="L172">
        <f t="shared" si="82"/>
        <v>67.327963227176639</v>
      </c>
      <c r="M172">
        <f t="shared" si="84"/>
        <v>-0.26796322717663656</v>
      </c>
      <c r="N172">
        <f t="shared" si="85"/>
        <v>7.1804291118917743E-2</v>
      </c>
    </row>
    <row r="173" spans="1:14" x14ac:dyDescent="0.45">
      <c r="A173" s="23">
        <v>42178</v>
      </c>
      <c r="B173">
        <v>68.040000000000006</v>
      </c>
      <c r="C173">
        <v>67.53</v>
      </c>
      <c r="G173">
        <f t="shared" ref="G173:K173" si="127">SUMPRODUCT($B173:$B177,P$2:P$6)</f>
        <v>41.991205849594849</v>
      </c>
      <c r="H173">
        <f t="shared" si="127"/>
        <v>28.702320558395915</v>
      </c>
      <c r="I173">
        <f t="shared" si="127"/>
        <v>33.966857832563761</v>
      </c>
      <c r="J173">
        <f t="shared" si="127"/>
        <v>25.875564845311512</v>
      </c>
      <c r="K173">
        <f t="shared" si="127"/>
        <v>13.437050386930013</v>
      </c>
      <c r="L173">
        <f t="shared" si="82"/>
        <v>67.811243577501457</v>
      </c>
      <c r="M173">
        <f t="shared" si="84"/>
        <v>-0.35124357750146373</v>
      </c>
      <c r="N173">
        <f t="shared" si="85"/>
        <v>0.12337205073602676</v>
      </c>
    </row>
    <row r="174" spans="1:14" x14ac:dyDescent="0.45">
      <c r="A174" s="23">
        <v>42177</v>
      </c>
      <c r="B174">
        <v>68.34</v>
      </c>
      <c r="C174">
        <v>68.02</v>
      </c>
      <c r="G174">
        <f t="shared" ref="G174:K174" si="128">SUMPRODUCT($B174:$B178,P$2:P$6)</f>
        <v>42.124768055095309</v>
      </c>
      <c r="H174">
        <f t="shared" si="128"/>
        <v>28.783400608539075</v>
      </c>
      <c r="I174">
        <f t="shared" si="128"/>
        <v>34.070998012712629</v>
      </c>
      <c r="J174">
        <f t="shared" si="128"/>
        <v>25.96111493375</v>
      </c>
      <c r="K174">
        <f t="shared" si="128"/>
        <v>13.47647250958906</v>
      </c>
      <c r="L174">
        <f t="shared" si="82"/>
        <v>68.018175392361002</v>
      </c>
      <c r="M174">
        <f t="shared" si="84"/>
        <v>2.1824607639004512E-2</v>
      </c>
      <c r="N174">
        <f t="shared" si="85"/>
        <v>4.7631349859649408E-4</v>
      </c>
    </row>
    <row r="175" spans="1:14" x14ac:dyDescent="0.45">
      <c r="A175" s="23">
        <v>42174</v>
      </c>
      <c r="B175">
        <v>68.34</v>
      </c>
      <c r="C175">
        <v>67.91</v>
      </c>
      <c r="G175">
        <f t="shared" ref="G175:K175" si="129">SUMPRODUCT($B175:$B179,P$2:P$6)</f>
        <v>42.089833553936529</v>
      </c>
      <c r="H175">
        <f t="shared" si="129"/>
        <v>28.742903970364612</v>
      </c>
      <c r="I175">
        <f t="shared" si="129"/>
        <v>34.034631364875615</v>
      </c>
      <c r="J175">
        <f t="shared" si="129"/>
        <v>25.939669874186325</v>
      </c>
      <c r="K175">
        <f t="shared" si="129"/>
        <v>13.463999346819037</v>
      </c>
      <c r="L175">
        <f t="shared" si="82"/>
        <v>67.952014297706711</v>
      </c>
      <c r="M175">
        <f t="shared" si="84"/>
        <v>0.38798570229329243</v>
      </c>
      <c r="N175">
        <f t="shared" si="85"/>
        <v>0.15053290518401935</v>
      </c>
    </row>
    <row r="176" spans="1:14" x14ac:dyDescent="0.45">
      <c r="A176" s="23">
        <v>42173</v>
      </c>
      <c r="B176">
        <v>67.599999999999994</v>
      </c>
      <c r="C176">
        <v>68.3</v>
      </c>
      <c r="G176">
        <f t="shared" ref="G176:K176" si="130">SUMPRODUCT($B176:$B180,P$2:P$6)</f>
        <v>41.658985210223186</v>
      </c>
      <c r="H176">
        <f t="shared" si="130"/>
        <v>28.487049470195352</v>
      </c>
      <c r="I176">
        <f t="shared" si="130"/>
        <v>33.70601347685475</v>
      </c>
      <c r="J176">
        <f t="shared" si="130"/>
        <v>25.676339537629318</v>
      </c>
      <c r="K176">
        <f t="shared" si="130"/>
        <v>13.324416106039948</v>
      </c>
      <c r="L176">
        <f t="shared" si="82"/>
        <v>67.294502230445261</v>
      </c>
      <c r="M176">
        <f t="shared" si="84"/>
        <v>1.0454977695547427</v>
      </c>
      <c r="N176">
        <f t="shared" si="85"/>
        <v>1.093065586143942</v>
      </c>
    </row>
    <row r="177" spans="1:14" x14ac:dyDescent="0.45">
      <c r="A177" s="23">
        <v>42172</v>
      </c>
      <c r="B177">
        <v>66.819999999999993</v>
      </c>
      <c r="C177">
        <v>67.23</v>
      </c>
      <c r="G177">
        <f t="shared" ref="G177:K177" si="131">SUMPRODUCT($B177:$B181,P$2:P$6)</f>
        <v>41.206541930234145</v>
      </c>
      <c r="H177">
        <f t="shared" si="131"/>
        <v>28.21692026413475</v>
      </c>
      <c r="I177">
        <f t="shared" si="131"/>
        <v>33.35837873895327</v>
      </c>
      <c r="J177">
        <f t="shared" si="131"/>
        <v>25.393149436714438</v>
      </c>
      <c r="K177">
        <f t="shared" si="131"/>
        <v>13.177982389993607</v>
      </c>
      <c r="L177">
        <f t="shared" si="82"/>
        <v>66.599619704236872</v>
      </c>
      <c r="M177">
        <f t="shared" si="84"/>
        <v>1.0003802957631223</v>
      </c>
      <c r="N177">
        <f t="shared" si="85"/>
        <v>1.0007607361511119</v>
      </c>
    </row>
    <row r="178" spans="1:14" x14ac:dyDescent="0.45">
      <c r="A178" s="23">
        <v>42171</v>
      </c>
      <c r="B178">
        <v>66.55</v>
      </c>
      <c r="C178">
        <v>66.63</v>
      </c>
      <c r="G178">
        <f t="shared" ref="G178:K178" si="132">SUMPRODUCT($B178:$B182,P$2:P$6)</f>
        <v>41.090246152742885</v>
      </c>
      <c r="H178">
        <f t="shared" si="132"/>
        <v>28.1022198786128</v>
      </c>
      <c r="I178">
        <f t="shared" si="132"/>
        <v>33.244521780810764</v>
      </c>
      <c r="J178">
        <f t="shared" si="132"/>
        <v>25.315387647247029</v>
      </c>
      <c r="K178">
        <f t="shared" si="132"/>
        <v>13.148605562464452</v>
      </c>
      <c r="L178">
        <f t="shared" si="82"/>
        <v>66.3893163700196</v>
      </c>
      <c r="M178">
        <f t="shared" si="84"/>
        <v>0.43068362998039333</v>
      </c>
      <c r="N178">
        <f t="shared" si="85"/>
        <v>0.18548838913308835</v>
      </c>
    </row>
    <row r="179" spans="1:14" x14ac:dyDescent="0.45">
      <c r="A179" s="23">
        <v>42170</v>
      </c>
      <c r="B179">
        <v>65.75</v>
      </c>
      <c r="C179">
        <v>66.7</v>
      </c>
      <c r="G179">
        <f t="shared" ref="G179:K179" si="133">SUMPRODUCT($B179:$B183,P$2:P$6)</f>
        <v>40.654477570256844</v>
      </c>
      <c r="H179">
        <f t="shared" si="133"/>
        <v>27.819137767729782</v>
      </c>
      <c r="I179">
        <f t="shared" si="133"/>
        <v>32.900126299808392</v>
      </c>
      <c r="J179">
        <f t="shared" si="133"/>
        <v>25.050802947971462</v>
      </c>
      <c r="K179">
        <f t="shared" si="133"/>
        <v>13.012727495963398</v>
      </c>
      <c r="L179">
        <f t="shared" si="82"/>
        <v>65.709607878450299</v>
      </c>
      <c r="M179">
        <f t="shared" si="84"/>
        <v>0.84039212154969789</v>
      </c>
      <c r="N179">
        <f t="shared" si="85"/>
        <v>0.70625891796280216</v>
      </c>
    </row>
    <row r="180" spans="1:14" x14ac:dyDescent="0.45">
      <c r="A180" s="23">
        <v>42167</v>
      </c>
      <c r="B180">
        <v>66.75</v>
      </c>
      <c r="C180">
        <v>66.260000000000005</v>
      </c>
      <c r="G180">
        <f t="shared" ref="G180:K180" si="134">SUMPRODUCT($B180:$B184,P$2:P$6)</f>
        <v>41.169327683146456</v>
      </c>
      <c r="H180">
        <f t="shared" si="134"/>
        <v>28.18555478477748</v>
      </c>
      <c r="I180">
        <f t="shared" si="134"/>
        <v>33.325756776514588</v>
      </c>
      <c r="J180">
        <f t="shared" si="134"/>
        <v>25.372127549468527</v>
      </c>
      <c r="K180">
        <f t="shared" si="134"/>
        <v>13.167248713565151</v>
      </c>
      <c r="L180">
        <f t="shared" si="82"/>
        <v>66.537763788233875</v>
      </c>
      <c r="M180">
        <f t="shared" si="84"/>
        <v>-0.78776378823387461</v>
      </c>
      <c r="N180">
        <f t="shared" si="85"/>
        <v>0.62057178605258478</v>
      </c>
    </row>
    <row r="181" spans="1:14" x14ac:dyDescent="0.45">
      <c r="A181" s="23">
        <v>42166</v>
      </c>
      <c r="B181">
        <v>67.739999999999995</v>
      </c>
      <c r="C181">
        <v>67.22</v>
      </c>
      <c r="G181">
        <f t="shared" ref="G181:K181" si="135">SUMPRODUCT($B181:$B185,P$2:P$6)</f>
        <v>41.7408113529128</v>
      </c>
      <c r="H181">
        <f t="shared" si="135"/>
        <v>28.544669465340338</v>
      </c>
      <c r="I181">
        <f t="shared" si="135"/>
        <v>33.771617865044583</v>
      </c>
      <c r="J181">
        <f t="shared" si="135"/>
        <v>25.721319916811165</v>
      </c>
      <c r="K181">
        <f t="shared" si="135"/>
        <v>13.349900986613651</v>
      </c>
      <c r="L181">
        <f t="shared" si="82"/>
        <v>67.422564601308508</v>
      </c>
      <c r="M181">
        <f t="shared" si="84"/>
        <v>-0.67256460130850826</v>
      </c>
      <c r="N181">
        <f t="shared" si="85"/>
        <v>0.45234314293327266</v>
      </c>
    </row>
    <row r="182" spans="1:14" x14ac:dyDescent="0.45">
      <c r="A182" s="23">
        <v>42165</v>
      </c>
      <c r="B182">
        <v>66.08</v>
      </c>
      <c r="C182">
        <v>67.72</v>
      </c>
      <c r="G182">
        <f t="shared" ref="G182:K182" si="136">SUMPRODUCT($B182:$B186,P$2:P$6)</f>
        <v>40.844581470497317</v>
      </c>
      <c r="H182">
        <f t="shared" si="136"/>
        <v>27.96204049418591</v>
      </c>
      <c r="I182">
        <f t="shared" si="136"/>
        <v>33.060179320425405</v>
      </c>
      <c r="J182">
        <f t="shared" si="136"/>
        <v>25.166606393586573</v>
      </c>
      <c r="K182">
        <f t="shared" si="136"/>
        <v>13.071018689244854</v>
      </c>
      <c r="L182">
        <f t="shared" si="82"/>
        <v>66.018858664885514</v>
      </c>
      <c r="M182">
        <f t="shared" si="84"/>
        <v>1.7211413351144813</v>
      </c>
      <c r="N182">
        <f t="shared" si="85"/>
        <v>2.9623274954396592</v>
      </c>
    </row>
    <row r="183" spans="1:14" x14ac:dyDescent="0.45">
      <c r="A183" s="23">
        <v>42164</v>
      </c>
      <c r="B183">
        <v>66.069999999999993</v>
      </c>
      <c r="C183">
        <v>65.69</v>
      </c>
      <c r="G183">
        <f t="shared" ref="G183:K183" si="137">SUMPRODUCT($B183:$B187,P$2:P$6)</f>
        <v>40.828435119900817</v>
      </c>
      <c r="H183">
        <f t="shared" si="137"/>
        <v>27.978719560830285</v>
      </c>
      <c r="I183">
        <f t="shared" si="137"/>
        <v>33.061554843364711</v>
      </c>
      <c r="J183">
        <f t="shared" si="137"/>
        <v>25.15805117210973</v>
      </c>
      <c r="K183">
        <f t="shared" si="137"/>
        <v>13.062159044180104</v>
      </c>
      <c r="L183">
        <f t="shared" si="82"/>
        <v>66.011812554410668</v>
      </c>
      <c r="M183">
        <f t="shared" si="84"/>
        <v>6.8187445589330764E-2</v>
      </c>
      <c r="N183">
        <f t="shared" si="85"/>
        <v>4.6495277359979437E-3</v>
      </c>
    </row>
    <row r="184" spans="1:14" x14ac:dyDescent="0.45">
      <c r="A184" s="23">
        <v>42163</v>
      </c>
      <c r="B184">
        <v>67.430000000000007</v>
      </c>
      <c r="C184">
        <v>65.95</v>
      </c>
      <c r="G184">
        <f t="shared" ref="G184:K184" si="138">SUMPRODUCT($B184:$B188,P$2:P$6)</f>
        <v>41.612501285868177</v>
      </c>
      <c r="H184">
        <f t="shared" si="138"/>
        <v>28.500897581758466</v>
      </c>
      <c r="I184">
        <f t="shared" si="138"/>
        <v>33.689223287002449</v>
      </c>
      <c r="J184">
        <f t="shared" si="138"/>
        <v>25.641097365013032</v>
      </c>
      <c r="K184">
        <f t="shared" si="138"/>
        <v>13.309709222539844</v>
      </c>
      <c r="L184">
        <f t="shared" si="82"/>
        <v>67.246811486948786</v>
      </c>
      <c r="M184">
        <f t="shared" si="84"/>
        <v>-1.1768114869487931</v>
      </c>
      <c r="N184">
        <f t="shared" si="85"/>
        <v>1.3848852758146295</v>
      </c>
    </row>
    <row r="185" spans="1:14" x14ac:dyDescent="0.45">
      <c r="A185" s="23">
        <v>42160</v>
      </c>
      <c r="B185">
        <v>66.95</v>
      </c>
      <c r="C185">
        <v>67.37</v>
      </c>
      <c r="G185">
        <f t="shared" ref="G185:K185" si="139">SUMPRODUCT($B185:$B189,P$2:P$6)</f>
        <v>41.386883801234518</v>
      </c>
      <c r="H185">
        <f t="shared" si="139"/>
        <v>28.347166753647034</v>
      </c>
      <c r="I185">
        <f t="shared" si="139"/>
        <v>33.505445974817697</v>
      </c>
      <c r="J185">
        <f t="shared" si="139"/>
        <v>25.498360262584821</v>
      </c>
      <c r="K185">
        <f t="shared" si="139"/>
        <v>13.243466538768242</v>
      </c>
      <c r="L185">
        <f t="shared" si="82"/>
        <v>66.887347143035484</v>
      </c>
      <c r="M185">
        <f t="shared" si="84"/>
        <v>0.54265285696452281</v>
      </c>
      <c r="N185">
        <f t="shared" si="85"/>
        <v>0.29447212317175886</v>
      </c>
    </row>
    <row r="186" spans="1:14" x14ac:dyDescent="0.45">
      <c r="A186" s="23">
        <v>42159</v>
      </c>
      <c r="B186">
        <v>66.92</v>
      </c>
      <c r="C186">
        <v>66.94</v>
      </c>
      <c r="G186">
        <f t="shared" ref="G186:K186" si="140">SUMPRODUCT($B186:$B190,P$2:P$6)</f>
        <v>41.388788595761909</v>
      </c>
      <c r="H186">
        <f t="shared" si="140"/>
        <v>28.35010424918806</v>
      </c>
      <c r="I186">
        <f t="shared" si="140"/>
        <v>33.50793832341401</v>
      </c>
      <c r="J186">
        <f t="shared" si="140"/>
        <v>25.50055409571646</v>
      </c>
      <c r="K186">
        <f t="shared" si="140"/>
        <v>13.245692965489427</v>
      </c>
      <c r="L186">
        <f t="shared" si="82"/>
        <v>66.891995400560816</v>
      </c>
      <c r="M186">
        <f t="shared" si="84"/>
        <v>5.8004599439186677E-2</v>
      </c>
      <c r="N186">
        <f t="shared" si="85"/>
        <v>3.3645335561004954E-3</v>
      </c>
    </row>
    <row r="187" spans="1:14" x14ac:dyDescent="0.45">
      <c r="A187" s="23">
        <v>42158</v>
      </c>
      <c r="B187">
        <v>68.08</v>
      </c>
      <c r="C187">
        <v>67.290000000000006</v>
      </c>
      <c r="G187">
        <f t="shared" ref="G187:K187" si="141">SUMPRODUCT($B187:$B191,P$2:P$6)</f>
        <v>42.03492928048076</v>
      </c>
      <c r="H187">
        <f t="shared" si="141"/>
        <v>28.76574151392607</v>
      </c>
      <c r="I187">
        <f t="shared" si="141"/>
        <v>34.018628566363397</v>
      </c>
      <c r="J187">
        <f t="shared" si="141"/>
        <v>25.901099086250863</v>
      </c>
      <c r="K187">
        <f t="shared" si="141"/>
        <v>13.449183865421157</v>
      </c>
      <c r="L187">
        <f t="shared" si="82"/>
        <v>67.901528113495331</v>
      </c>
      <c r="M187">
        <f t="shared" si="84"/>
        <v>-0.98152811349532953</v>
      </c>
      <c r="N187">
        <f t="shared" si="85"/>
        <v>0.96339743758170049</v>
      </c>
    </row>
    <row r="188" spans="1:14" x14ac:dyDescent="0.45">
      <c r="A188" s="23">
        <v>42157</v>
      </c>
      <c r="B188">
        <v>68.69</v>
      </c>
      <c r="C188">
        <v>67.709999999999994</v>
      </c>
      <c r="G188">
        <f t="shared" ref="G188:K188" si="142">SUMPRODUCT($B188:$B192,P$2:P$6)</f>
        <v>42.371081435328719</v>
      </c>
      <c r="H188">
        <f t="shared" si="142"/>
        <v>28.942541411702848</v>
      </c>
      <c r="I188">
        <f t="shared" si="142"/>
        <v>34.264119769335693</v>
      </c>
      <c r="J188">
        <f t="shared" si="142"/>
        <v>26.108286173832209</v>
      </c>
      <c r="K188">
        <f t="shared" si="142"/>
        <v>13.55875051187072</v>
      </c>
      <c r="L188">
        <f t="shared" si="82"/>
        <v>68.400687142046394</v>
      </c>
      <c r="M188">
        <f t="shared" si="84"/>
        <v>-0.32068714204639548</v>
      </c>
      <c r="N188">
        <f t="shared" si="85"/>
        <v>0.10284024307388503</v>
      </c>
    </row>
    <row r="189" spans="1:14" x14ac:dyDescent="0.45">
      <c r="A189" s="23">
        <v>42156</v>
      </c>
      <c r="B189">
        <v>68.41</v>
      </c>
      <c r="C189">
        <v>68.75</v>
      </c>
      <c r="G189">
        <f t="shared" ref="G189:K189" si="143">SUMPRODUCT($B189:$B193,P$2:P$6)</f>
        <v>42.19023767734754</v>
      </c>
      <c r="H189">
        <f t="shared" si="143"/>
        <v>28.834601065054386</v>
      </c>
      <c r="I189">
        <f t="shared" si="143"/>
        <v>34.12745553740664</v>
      </c>
      <c r="J189">
        <f t="shared" si="143"/>
        <v>26.002964182449123</v>
      </c>
      <c r="K189">
        <f t="shared" si="143"/>
        <v>13.498713185087411</v>
      </c>
      <c r="L189">
        <f t="shared" si="82"/>
        <v>68.127037962707618</v>
      </c>
      <c r="M189">
        <f t="shared" si="84"/>
        <v>0.56296203729237959</v>
      </c>
      <c r="N189">
        <f t="shared" si="85"/>
        <v>0.31692625543238662</v>
      </c>
    </row>
    <row r="190" spans="1:14" x14ac:dyDescent="0.45">
      <c r="A190" s="23">
        <v>42153</v>
      </c>
      <c r="B190">
        <v>68.5</v>
      </c>
      <c r="C190">
        <v>67.959999999999994</v>
      </c>
      <c r="G190">
        <f t="shared" ref="G190:K190" si="144">SUMPRODUCT($B190:$B194,P$2:P$6)</f>
        <v>42.174685220360452</v>
      </c>
      <c r="H190">
        <f t="shared" si="144"/>
        <v>28.793152983324912</v>
      </c>
      <c r="I190">
        <f t="shared" si="144"/>
        <v>34.099115961911728</v>
      </c>
      <c r="J190">
        <f t="shared" si="144"/>
        <v>25.990687203816858</v>
      </c>
      <c r="K190">
        <f t="shared" si="144"/>
        <v>13.490723571156281</v>
      </c>
      <c r="L190">
        <f t="shared" si="82"/>
        <v>68.080958048450441</v>
      </c>
      <c r="M190">
        <f t="shared" si="84"/>
        <v>0.32904195154955573</v>
      </c>
      <c r="N190">
        <f t="shared" si="85"/>
        <v>0.10826860587954018</v>
      </c>
    </row>
    <row r="191" spans="1:14" x14ac:dyDescent="0.45">
      <c r="A191" s="23">
        <v>42152</v>
      </c>
      <c r="B191">
        <v>68.349999999999994</v>
      </c>
      <c r="C191">
        <v>68.31</v>
      </c>
      <c r="G191">
        <f t="shared" ref="G191:K191" si="145">SUMPRODUCT($B191:$B195,P$2:P$6)</f>
        <v>42.090447254545303</v>
      </c>
      <c r="H191">
        <f t="shared" si="145"/>
        <v>28.749221505385744</v>
      </c>
      <c r="I191">
        <f t="shared" si="145"/>
        <v>34.039205450475336</v>
      </c>
      <c r="J191">
        <f t="shared" si="145"/>
        <v>25.943971482549344</v>
      </c>
      <c r="K191">
        <f t="shared" si="145"/>
        <v>13.463200383553849</v>
      </c>
      <c r="L191">
        <f t="shared" si="82"/>
        <v>67.958830207557995</v>
      </c>
      <c r="M191">
        <f t="shared" si="84"/>
        <v>0.54116979244200536</v>
      </c>
      <c r="N191">
        <f t="shared" si="85"/>
        <v>0.29286474425172315</v>
      </c>
    </row>
    <row r="192" spans="1:14" x14ac:dyDescent="0.45">
      <c r="A192" s="23">
        <v>42151</v>
      </c>
      <c r="B192">
        <v>66.569999999999993</v>
      </c>
      <c r="C192">
        <v>68.290000000000006</v>
      </c>
      <c r="G192">
        <f t="shared" ref="G192:K192" si="146">SUMPRODUCT($B192:$B196,P$2:P$6)</f>
        <v>41.029238137508429</v>
      </c>
      <c r="H192">
        <f t="shared" si="146"/>
        <v>28.020535465249679</v>
      </c>
      <c r="I192">
        <f t="shared" si="146"/>
        <v>33.176665764573052</v>
      </c>
      <c r="J192">
        <f t="shared" si="146"/>
        <v>25.281987671380953</v>
      </c>
      <c r="K192">
        <f t="shared" si="146"/>
        <v>13.126987544558512</v>
      </c>
      <c r="L192">
        <f t="shared" si="82"/>
        <v>66.268805055651967</v>
      </c>
      <c r="M192">
        <f t="shared" si="84"/>
        <v>2.0811949443480273</v>
      </c>
      <c r="N192">
        <f t="shared" si="85"/>
        <v>4.3313723963797885</v>
      </c>
    </row>
    <row r="193" spans="1:14" x14ac:dyDescent="0.45">
      <c r="A193" s="23">
        <v>42150</v>
      </c>
      <c r="B193">
        <v>66.95</v>
      </c>
      <c r="C193">
        <v>66.849999999999994</v>
      </c>
      <c r="G193">
        <f t="shared" ref="G193:K193" si="147">SUMPRODUCT($B193:$B197,P$2:P$6)</f>
        <v>41.238245631083714</v>
      </c>
      <c r="H193">
        <f t="shared" si="147"/>
        <v>28.146898759675487</v>
      </c>
      <c r="I193">
        <f t="shared" si="147"/>
        <v>33.339467580876345</v>
      </c>
      <c r="J193">
        <f t="shared" si="147"/>
        <v>25.4177154995518</v>
      </c>
      <c r="K193">
        <f t="shared" si="147"/>
        <v>13.193539827360368</v>
      </c>
      <c r="L193">
        <f t="shared" si="82"/>
        <v>66.59336704324879</v>
      </c>
      <c r="M193">
        <f t="shared" si="84"/>
        <v>-2.3367043248796904E-2</v>
      </c>
      <c r="N193">
        <f t="shared" si="85"/>
        <v>5.4601871019114494E-4</v>
      </c>
    </row>
    <row r="194" spans="1:14" x14ac:dyDescent="0.45">
      <c r="A194" s="23">
        <v>42146</v>
      </c>
      <c r="B194">
        <v>65.540000000000006</v>
      </c>
      <c r="C194">
        <v>67.099999999999994</v>
      </c>
      <c r="G194">
        <f t="shared" ref="G194:K194" si="148">SUMPRODUCT($B194:$B198,P$2:P$6)</f>
        <v>40.370223721224299</v>
      </c>
      <c r="H194">
        <f t="shared" si="148"/>
        <v>27.57236001328625</v>
      </c>
      <c r="I194">
        <f t="shared" si="148"/>
        <v>32.646062791107823</v>
      </c>
      <c r="J194">
        <f t="shared" si="148"/>
        <v>24.88016301290876</v>
      </c>
      <c r="K194">
        <f t="shared" si="148"/>
        <v>12.913956819126078</v>
      </c>
      <c r="L194">
        <f t="shared" ref="L194:L246" si="149">(G194+$P$7)*$U$2+(H194+$Q$7)*$U$3+(I194+$R$7)*$U$4+(J194+$S$7)*$U$5+(K194+$T$7)*$U$6+$U$7</f>
        <v>65.226850450614705</v>
      </c>
      <c r="M194">
        <f t="shared" si="84"/>
        <v>1.7231495493852975</v>
      </c>
      <c r="N194">
        <f t="shared" si="85"/>
        <v>2.9692443695467539</v>
      </c>
    </row>
    <row r="195" spans="1:14" x14ac:dyDescent="0.45">
      <c r="A195" s="23">
        <v>42145</v>
      </c>
      <c r="B195">
        <v>66</v>
      </c>
      <c r="C195">
        <v>65.489999999999995</v>
      </c>
      <c r="G195">
        <f t="shared" ref="G195:K195" si="150">SUMPRODUCT($B195:$B199,P$2:P$6)</f>
        <v>40.613831305853743</v>
      </c>
      <c r="H195">
        <f t="shared" si="150"/>
        <v>27.74597031305008</v>
      </c>
      <c r="I195">
        <f t="shared" si="150"/>
        <v>32.848056540676922</v>
      </c>
      <c r="J195">
        <f t="shared" si="150"/>
        <v>25.034207072570112</v>
      </c>
      <c r="K195">
        <f t="shared" si="150"/>
        <v>12.987795332912436</v>
      </c>
      <c r="L195">
        <f t="shared" si="149"/>
        <v>65.61991836753225</v>
      </c>
      <c r="M195">
        <f t="shared" ref="M195:M246" si="151">B194-L195</f>
        <v>-7.9918367532243906E-2</v>
      </c>
      <c r="N195">
        <f t="shared" ref="N195:N246" si="152">M195^2</f>
        <v>6.3869454690188166E-3</v>
      </c>
    </row>
    <row r="196" spans="1:14" x14ac:dyDescent="0.45">
      <c r="A196" s="23">
        <v>42144</v>
      </c>
      <c r="B196">
        <v>64.2</v>
      </c>
      <c r="C196">
        <v>66.180000000000007</v>
      </c>
      <c r="G196">
        <f t="shared" ref="G196:K196" si="153">SUMPRODUCT($B196:$B200,P$2:P$6)</f>
        <v>39.578049399672892</v>
      </c>
      <c r="H196">
        <f t="shared" si="153"/>
        <v>27.053437761738653</v>
      </c>
      <c r="I196">
        <f t="shared" si="153"/>
        <v>32.01533840530611</v>
      </c>
      <c r="J196">
        <f t="shared" si="153"/>
        <v>24.38810007136847</v>
      </c>
      <c r="K196">
        <f t="shared" si="153"/>
        <v>12.661042476864734</v>
      </c>
      <c r="L196">
        <f t="shared" si="149"/>
        <v>63.982515996055128</v>
      </c>
      <c r="M196">
        <f t="shared" si="151"/>
        <v>2.0174840039448725</v>
      </c>
      <c r="N196">
        <f t="shared" si="152"/>
        <v>4.0702417061734346</v>
      </c>
    </row>
    <row r="197" spans="1:14" x14ac:dyDescent="0.45">
      <c r="A197" s="23">
        <v>42143</v>
      </c>
      <c r="B197">
        <v>63.8</v>
      </c>
      <c r="C197">
        <v>63.45</v>
      </c>
      <c r="G197">
        <f t="shared" ref="G197:K197" si="154">SUMPRODUCT($B197:$B201,P$2:P$6)</f>
        <v>39.36085352173648</v>
      </c>
      <c r="H197">
        <f t="shared" si="154"/>
        <v>26.895730646053195</v>
      </c>
      <c r="I197">
        <f t="shared" si="154"/>
        <v>31.835166248872582</v>
      </c>
      <c r="J197">
        <f t="shared" si="154"/>
        <v>24.255748285245588</v>
      </c>
      <c r="K197">
        <f t="shared" si="154"/>
        <v>12.595091687025302</v>
      </c>
      <c r="L197">
        <f t="shared" si="149"/>
        <v>63.632780572783943</v>
      </c>
      <c r="M197">
        <f t="shared" si="151"/>
        <v>0.56721942721605956</v>
      </c>
      <c r="N197">
        <f t="shared" si="152"/>
        <v>0.3217378786113147</v>
      </c>
    </row>
    <row r="198" spans="1:14" x14ac:dyDescent="0.45">
      <c r="A198" s="23">
        <v>42142</v>
      </c>
      <c r="B198">
        <v>63.23</v>
      </c>
      <c r="C198">
        <v>63.36</v>
      </c>
      <c r="G198">
        <f t="shared" ref="G198:K198" si="155">SUMPRODUCT($B198:$B202,P$2:P$6)</f>
        <v>38.998366787282734</v>
      </c>
      <c r="H198">
        <f t="shared" si="155"/>
        <v>26.661322946248067</v>
      </c>
      <c r="I198">
        <f t="shared" si="155"/>
        <v>31.549088901826391</v>
      </c>
      <c r="J198">
        <f t="shared" si="155"/>
        <v>24.033553425594913</v>
      </c>
      <c r="K198">
        <f t="shared" si="155"/>
        <v>12.476819410858646</v>
      </c>
      <c r="L198">
        <f t="shared" si="149"/>
        <v>63.066853806598324</v>
      </c>
      <c r="M198">
        <f t="shared" si="151"/>
        <v>0.73314619340167297</v>
      </c>
      <c r="N198">
        <f t="shared" si="152"/>
        <v>0.53750334089936325</v>
      </c>
    </row>
    <row r="199" spans="1:14" x14ac:dyDescent="0.45">
      <c r="A199" s="23">
        <v>42139</v>
      </c>
      <c r="B199">
        <v>63.89</v>
      </c>
      <c r="C199">
        <v>63.18</v>
      </c>
      <c r="G199">
        <f t="shared" ref="G199:K199" si="156">SUMPRODUCT($B199:$B203,P$2:P$6)</f>
        <v>39.349079585121736</v>
      </c>
      <c r="H199">
        <f t="shared" si="156"/>
        <v>26.901008754640255</v>
      </c>
      <c r="I199">
        <f t="shared" si="156"/>
        <v>31.833786935403779</v>
      </c>
      <c r="J199">
        <f t="shared" si="156"/>
        <v>24.251921888548779</v>
      </c>
      <c r="K199">
        <f t="shared" si="156"/>
        <v>12.584219971445702</v>
      </c>
      <c r="L199">
        <f t="shared" si="149"/>
        <v>63.624353498191617</v>
      </c>
      <c r="M199">
        <f t="shared" si="151"/>
        <v>-0.39435349819162013</v>
      </c>
      <c r="N199">
        <f t="shared" si="152"/>
        <v>0.15551468153596815</v>
      </c>
    </row>
    <row r="200" spans="1:14" x14ac:dyDescent="0.45">
      <c r="A200" s="23">
        <v>42138</v>
      </c>
      <c r="B200">
        <v>62.97</v>
      </c>
      <c r="C200">
        <v>63.4</v>
      </c>
      <c r="G200">
        <f t="shared" ref="G200:K200" si="157">SUMPRODUCT($B200:$B204,P$2:P$6)</f>
        <v>38.834149193934714</v>
      </c>
      <c r="H200">
        <f t="shared" si="157"/>
        <v>26.567044069731018</v>
      </c>
      <c r="I200">
        <f t="shared" si="157"/>
        <v>31.424847954255743</v>
      </c>
      <c r="J200">
        <f t="shared" si="157"/>
        <v>23.930510295213235</v>
      </c>
      <c r="K200">
        <f t="shared" si="157"/>
        <v>12.422044600886728</v>
      </c>
      <c r="L200">
        <f t="shared" si="149"/>
        <v>62.816907066900498</v>
      </c>
      <c r="M200">
        <f t="shared" si="151"/>
        <v>1.0730929330995025</v>
      </c>
      <c r="N200">
        <f t="shared" si="152"/>
        <v>1.1515284430680934</v>
      </c>
    </row>
    <row r="201" spans="1:14" x14ac:dyDescent="0.45">
      <c r="A201" s="23">
        <v>42137</v>
      </c>
      <c r="B201">
        <v>62.25</v>
      </c>
      <c r="C201">
        <v>62.24</v>
      </c>
      <c r="G201">
        <f t="shared" ref="G201:K201" si="158">SUMPRODUCT($B201:$B205,P$2:P$6)</f>
        <v>38.43967197188816</v>
      </c>
      <c r="H201">
        <f t="shared" si="158"/>
        <v>26.289669133975917</v>
      </c>
      <c r="I201">
        <f t="shared" si="158"/>
        <v>31.100720555123054</v>
      </c>
      <c r="J201">
        <f t="shared" si="158"/>
        <v>23.684603829826056</v>
      </c>
      <c r="K201">
        <f t="shared" si="158"/>
        <v>12.300848756648307</v>
      </c>
      <c r="L201">
        <f t="shared" si="149"/>
        <v>62.18464806251253</v>
      </c>
      <c r="M201">
        <f t="shared" si="151"/>
        <v>0.78535193748746934</v>
      </c>
      <c r="N201">
        <f t="shared" si="152"/>
        <v>0.616777665715322</v>
      </c>
    </row>
    <row r="202" spans="1:14" x14ac:dyDescent="0.45">
      <c r="A202" s="23">
        <v>42136</v>
      </c>
      <c r="B202">
        <v>62.24</v>
      </c>
      <c r="C202">
        <v>62.08</v>
      </c>
      <c r="G202">
        <f t="shared" ref="G202:K202" si="159">SUMPRODUCT($B202:$B206,P$2:P$6)</f>
        <v>38.425342640792657</v>
      </c>
      <c r="H202">
        <f t="shared" si="159"/>
        <v>26.286140458397785</v>
      </c>
      <c r="I202">
        <f t="shared" si="159"/>
        <v>31.093308808023146</v>
      </c>
      <c r="J202">
        <f t="shared" si="159"/>
        <v>23.679316241460068</v>
      </c>
      <c r="K202">
        <f t="shared" si="159"/>
        <v>12.294996271504671</v>
      </c>
      <c r="L202">
        <f t="shared" si="149"/>
        <v>62.167787722840764</v>
      </c>
      <c r="M202">
        <f t="shared" si="151"/>
        <v>8.221227715923618E-2</v>
      </c>
      <c r="N202">
        <f t="shared" si="152"/>
        <v>6.7588585157070669E-3</v>
      </c>
    </row>
    <row r="203" spans="1:14" x14ac:dyDescent="0.45">
      <c r="A203" s="23">
        <v>42135</v>
      </c>
      <c r="B203">
        <v>62.75</v>
      </c>
      <c r="C203">
        <v>62.64</v>
      </c>
      <c r="G203">
        <f t="shared" ref="G203:K203" si="160">SUMPRODUCT($B203:$B207,P$2:P$6)</f>
        <v>38.689611345863604</v>
      </c>
      <c r="H203">
        <f t="shared" si="160"/>
        <v>26.480491126486676</v>
      </c>
      <c r="I203">
        <f t="shared" si="160"/>
        <v>31.314774944910457</v>
      </c>
      <c r="J203">
        <f t="shared" si="160"/>
        <v>23.84366971659766</v>
      </c>
      <c r="K203">
        <f t="shared" si="160"/>
        <v>12.373824090670128</v>
      </c>
      <c r="L203">
        <f t="shared" si="149"/>
        <v>62.596616350403799</v>
      </c>
      <c r="M203">
        <f t="shared" si="151"/>
        <v>-0.35661635040379736</v>
      </c>
      <c r="N203">
        <f t="shared" si="152"/>
        <v>0.12717522137532397</v>
      </c>
    </row>
    <row r="204" spans="1:14" x14ac:dyDescent="0.45">
      <c r="A204" s="23">
        <v>42132</v>
      </c>
      <c r="B204">
        <v>62.75</v>
      </c>
      <c r="C204">
        <v>62.72</v>
      </c>
      <c r="G204">
        <f t="shared" ref="G204:K204" si="161">SUMPRODUCT($B204:$B208,P$2:P$6)</f>
        <v>38.712036508984454</v>
      </c>
      <c r="H204">
        <f t="shared" si="161"/>
        <v>26.5082527946082</v>
      </c>
      <c r="I204">
        <f t="shared" si="161"/>
        <v>31.338263207758065</v>
      </c>
      <c r="J204">
        <f t="shared" si="161"/>
        <v>23.854670669837493</v>
      </c>
      <c r="K204">
        <f t="shared" si="161"/>
        <v>12.381582550150554</v>
      </c>
      <c r="L204">
        <f t="shared" si="149"/>
        <v>62.638778844270604</v>
      </c>
      <c r="M204">
        <f t="shared" si="151"/>
        <v>0.11122115572939606</v>
      </c>
      <c r="N204">
        <f t="shared" si="152"/>
        <v>1.2370145481782569E-2</v>
      </c>
    </row>
    <row r="205" spans="1:14" x14ac:dyDescent="0.45">
      <c r="A205" s="23">
        <v>42131</v>
      </c>
      <c r="B205">
        <v>61.83</v>
      </c>
      <c r="C205">
        <v>62.04</v>
      </c>
      <c r="G205">
        <f t="shared" ref="G205:K205" si="162">SUMPRODUCT($B205:$B209,P$2:P$6)</f>
        <v>38.225003326251532</v>
      </c>
      <c r="H205">
        <f t="shared" si="162"/>
        <v>26.162081322175997</v>
      </c>
      <c r="I205">
        <f t="shared" si="162"/>
        <v>30.935432475845783</v>
      </c>
      <c r="J205">
        <f t="shared" si="162"/>
        <v>23.548708035709168</v>
      </c>
      <c r="K205">
        <f t="shared" si="162"/>
        <v>12.233932683056539</v>
      </c>
      <c r="L205">
        <f t="shared" si="149"/>
        <v>61.854580882099896</v>
      </c>
      <c r="M205">
        <f t="shared" si="151"/>
        <v>0.89541911790010431</v>
      </c>
      <c r="N205">
        <f t="shared" si="152"/>
        <v>0.80177539670100095</v>
      </c>
    </row>
    <row r="206" spans="1:14" x14ac:dyDescent="0.45">
      <c r="A206" s="23">
        <v>42130</v>
      </c>
      <c r="B206">
        <v>62.07</v>
      </c>
      <c r="C206">
        <v>61.64</v>
      </c>
      <c r="G206">
        <f t="shared" ref="G206:K206" si="163">SUMPRODUCT($B206:$B210,P$2:P$6)</f>
        <v>38.368561124751309</v>
      </c>
      <c r="H206">
        <f t="shared" si="163"/>
        <v>26.259650957161032</v>
      </c>
      <c r="I206">
        <f t="shared" si="163"/>
        <v>31.052768144457264</v>
      </c>
      <c r="J206">
        <f t="shared" si="163"/>
        <v>23.642566635920875</v>
      </c>
      <c r="K206">
        <f t="shared" si="163"/>
        <v>12.279663603911921</v>
      </c>
      <c r="L206">
        <f t="shared" si="149"/>
        <v>62.084808587714868</v>
      </c>
      <c r="M206">
        <f t="shared" si="151"/>
        <v>-0.25480858771486936</v>
      </c>
      <c r="N206">
        <f t="shared" si="152"/>
        <v>6.4927416373246269E-2</v>
      </c>
    </row>
    <row r="207" spans="1:14" x14ac:dyDescent="0.45">
      <c r="A207" s="23">
        <v>42129</v>
      </c>
      <c r="B207">
        <v>63.04</v>
      </c>
      <c r="C207">
        <v>61.76</v>
      </c>
      <c r="G207">
        <f t="shared" ref="G207:K207" si="164">SUMPRODUCT($B207:$B211,P$2:P$6)</f>
        <v>38.877128744517798</v>
      </c>
      <c r="H207">
        <f t="shared" si="164"/>
        <v>26.601806132433016</v>
      </c>
      <c r="I207">
        <f t="shared" si="164"/>
        <v>31.462664191957384</v>
      </c>
      <c r="J207">
        <f t="shared" si="164"/>
        <v>23.958220161504979</v>
      </c>
      <c r="K207">
        <f t="shared" si="164"/>
        <v>12.43525119762978</v>
      </c>
      <c r="L207">
        <f t="shared" si="149"/>
        <v>62.889210010485229</v>
      </c>
      <c r="M207">
        <f t="shared" si="151"/>
        <v>-0.81921001048522868</v>
      </c>
      <c r="N207">
        <f t="shared" si="152"/>
        <v>0.67110504127920845</v>
      </c>
    </row>
    <row r="208" spans="1:14" x14ac:dyDescent="0.45">
      <c r="A208" s="23">
        <v>42128</v>
      </c>
      <c r="B208">
        <v>63.63</v>
      </c>
      <c r="C208">
        <v>63.25</v>
      </c>
      <c r="G208">
        <f t="shared" ref="G208:K208" si="165">SUMPRODUCT($B208:$B212,P$2:P$6)</f>
        <v>39.221060057312656</v>
      </c>
      <c r="H208">
        <f t="shared" si="165"/>
        <v>26.815981578570032</v>
      </c>
      <c r="I208">
        <f t="shared" si="165"/>
        <v>31.730263129511272</v>
      </c>
      <c r="J208">
        <f t="shared" si="165"/>
        <v>24.169404176756498</v>
      </c>
      <c r="K208">
        <f t="shared" si="165"/>
        <v>12.545710413763903</v>
      </c>
      <c r="L208">
        <f t="shared" si="149"/>
        <v>63.420993876935718</v>
      </c>
      <c r="M208">
        <f t="shared" si="151"/>
        <v>-0.38099387693571884</v>
      </c>
      <c r="N208">
        <f t="shared" si="152"/>
        <v>0.14515633426250968</v>
      </c>
    </row>
    <row r="209" spans="1:14" x14ac:dyDescent="0.45">
      <c r="A209" s="23">
        <v>42125</v>
      </c>
      <c r="B209">
        <v>62.35</v>
      </c>
      <c r="C209">
        <v>63.27</v>
      </c>
      <c r="G209">
        <f t="shared" ref="G209:K209" si="166">SUMPRODUCT($B209:$B213,P$2:P$6)</f>
        <v>38.507068465379135</v>
      </c>
      <c r="H209">
        <f t="shared" si="166"/>
        <v>26.337552370265346</v>
      </c>
      <c r="I209">
        <f t="shared" si="166"/>
        <v>31.156303515444343</v>
      </c>
      <c r="J209">
        <f t="shared" si="166"/>
        <v>23.726841221279766</v>
      </c>
      <c r="K209">
        <f t="shared" si="166"/>
        <v>12.322734739278262</v>
      </c>
      <c r="L209">
        <f t="shared" si="149"/>
        <v>62.293131892522872</v>
      </c>
      <c r="M209">
        <f t="shared" si="151"/>
        <v>1.3368681074771303</v>
      </c>
      <c r="N209">
        <f t="shared" si="152"/>
        <v>1.7872163367894838</v>
      </c>
    </row>
    <row r="210" spans="1:14" x14ac:dyDescent="0.45">
      <c r="A210" s="23">
        <v>42124</v>
      </c>
      <c r="B210">
        <v>62.55</v>
      </c>
      <c r="C210">
        <v>61.84</v>
      </c>
      <c r="G210">
        <f t="shared" ref="G210:K210" si="167">SUMPRODUCT($B210:$B214,P$2:P$6)</f>
        <v>38.608929373426598</v>
      </c>
      <c r="H210">
        <f t="shared" si="167"/>
        <v>26.440048873562063</v>
      </c>
      <c r="I210">
        <f t="shared" si="167"/>
        <v>31.256694133259817</v>
      </c>
      <c r="J210">
        <f t="shared" si="167"/>
        <v>23.79422897373361</v>
      </c>
      <c r="K210">
        <f t="shared" si="167"/>
        <v>12.35018083179467</v>
      </c>
      <c r="L210">
        <f t="shared" si="149"/>
        <v>62.478307164433211</v>
      </c>
      <c r="M210">
        <f t="shared" si="151"/>
        <v>-0.12830716443320966</v>
      </c>
      <c r="N210">
        <f t="shared" si="152"/>
        <v>1.6462728444890704E-2</v>
      </c>
    </row>
    <row r="211" spans="1:14" x14ac:dyDescent="0.45">
      <c r="A211" s="23">
        <v>42123</v>
      </c>
      <c r="B211">
        <v>63.05</v>
      </c>
      <c r="C211">
        <v>62.82</v>
      </c>
      <c r="G211">
        <f t="shared" ref="G211:K211" si="168">SUMPRODUCT($B211:$B215,P$2:P$6)</f>
        <v>38.882403408790459</v>
      </c>
      <c r="H211">
        <f t="shared" si="168"/>
        <v>26.604989837921956</v>
      </c>
      <c r="I211">
        <f t="shared" si="168"/>
        <v>31.465731900980643</v>
      </c>
      <c r="J211">
        <f t="shared" si="168"/>
        <v>23.957797939009382</v>
      </c>
      <c r="K211">
        <f t="shared" si="168"/>
        <v>12.436817767282397</v>
      </c>
      <c r="L211">
        <f t="shared" si="149"/>
        <v>62.895385140994911</v>
      </c>
      <c r="M211">
        <f t="shared" si="151"/>
        <v>-0.3453851409949138</v>
      </c>
      <c r="N211">
        <f t="shared" si="152"/>
        <v>0.11929089562007648</v>
      </c>
    </row>
    <row r="212" spans="1:14" x14ac:dyDescent="0.45">
      <c r="A212" s="23">
        <v>42122</v>
      </c>
      <c r="B212">
        <v>62.68</v>
      </c>
      <c r="C212">
        <v>63.22</v>
      </c>
      <c r="G212">
        <f t="shared" ref="G212:K212" si="169">SUMPRODUCT($B212:$B216,P$2:P$6)</f>
        <v>38.731847374811892</v>
      </c>
      <c r="H212">
        <f t="shared" si="169"/>
        <v>26.545638497164386</v>
      </c>
      <c r="I212">
        <f t="shared" si="169"/>
        <v>31.366143043775875</v>
      </c>
      <c r="J212">
        <f t="shared" si="169"/>
        <v>23.867926751270495</v>
      </c>
      <c r="K212">
        <f t="shared" si="169"/>
        <v>12.390918841430187</v>
      </c>
      <c r="L212">
        <f t="shared" si="149"/>
        <v>62.686245829394203</v>
      </c>
      <c r="M212">
        <f t="shared" si="151"/>
        <v>0.36375417060579451</v>
      </c>
      <c r="N212">
        <f t="shared" si="152"/>
        <v>0.13231709663310945</v>
      </c>
    </row>
    <row r="213" spans="1:14" x14ac:dyDescent="0.45">
      <c r="A213" s="23">
        <v>42121</v>
      </c>
      <c r="B213">
        <v>62.02</v>
      </c>
      <c r="C213">
        <v>62.67</v>
      </c>
      <c r="G213">
        <f t="shared" ref="G213:K213" si="170">SUMPRODUCT($B213:$B217,P$2:P$6)</f>
        <v>38.354929343302238</v>
      </c>
      <c r="H213">
        <f t="shared" si="170"/>
        <v>26.287627997813853</v>
      </c>
      <c r="I213">
        <f t="shared" si="170"/>
        <v>31.058575321007229</v>
      </c>
      <c r="J213">
        <f t="shared" si="170"/>
        <v>23.627284595969339</v>
      </c>
      <c r="K213">
        <f t="shared" si="170"/>
        <v>12.272767796375502</v>
      </c>
      <c r="L213">
        <f t="shared" si="149"/>
        <v>62.083649498087141</v>
      </c>
      <c r="M213">
        <f t="shared" si="151"/>
        <v>0.59635050191285899</v>
      </c>
      <c r="N213">
        <f t="shared" si="152"/>
        <v>0.35563392113171882</v>
      </c>
    </row>
    <row r="214" spans="1:14" x14ac:dyDescent="0.45">
      <c r="A214" s="23">
        <v>42118</v>
      </c>
      <c r="B214">
        <v>63.58</v>
      </c>
      <c r="C214">
        <v>62.53</v>
      </c>
      <c r="G214">
        <f t="shared" ref="G214:K214" si="171">SUMPRODUCT($B214:$B218,P$2:P$6)</f>
        <v>39.287378879311319</v>
      </c>
      <c r="H214">
        <f t="shared" si="171"/>
        <v>26.879994114984473</v>
      </c>
      <c r="I214">
        <f t="shared" si="171"/>
        <v>31.791815939815464</v>
      </c>
      <c r="J214">
        <f t="shared" si="171"/>
        <v>24.207279629231184</v>
      </c>
      <c r="K214">
        <f t="shared" si="171"/>
        <v>12.573314115195444</v>
      </c>
      <c r="L214">
        <f t="shared" si="149"/>
        <v>63.536876960078146</v>
      </c>
      <c r="M214">
        <f t="shared" si="151"/>
        <v>-1.5168769600781431</v>
      </c>
      <c r="N214">
        <f t="shared" si="152"/>
        <v>2.3009157120159087</v>
      </c>
    </row>
    <row r="215" spans="1:14" x14ac:dyDescent="0.45">
      <c r="A215" s="23">
        <v>42117</v>
      </c>
      <c r="B215">
        <v>63.04</v>
      </c>
      <c r="C215">
        <v>63.59</v>
      </c>
      <c r="G215">
        <f t="shared" ref="G215:K215" si="172">SUMPRODUCT($B215:$B219,P$2:P$6)</f>
        <v>38.95433194788211</v>
      </c>
      <c r="H215">
        <f t="shared" si="172"/>
        <v>26.657448045513792</v>
      </c>
      <c r="I215">
        <f t="shared" si="172"/>
        <v>31.524998431248946</v>
      </c>
      <c r="J215">
        <f t="shared" si="172"/>
        <v>24.002097312833982</v>
      </c>
      <c r="K215">
        <f t="shared" si="172"/>
        <v>12.466232022923933</v>
      </c>
      <c r="L215">
        <f t="shared" si="149"/>
        <v>63.011766543603905</v>
      </c>
      <c r="M215">
        <f t="shared" si="151"/>
        <v>0.56823345639609357</v>
      </c>
      <c r="N215">
        <f t="shared" si="152"/>
        <v>0.3228892609678512</v>
      </c>
    </row>
    <row r="216" spans="1:14" x14ac:dyDescent="0.45">
      <c r="A216" s="23">
        <v>42116</v>
      </c>
      <c r="B216">
        <v>64.739999999999995</v>
      </c>
      <c r="C216">
        <v>64.489999999999995</v>
      </c>
      <c r="G216">
        <f t="shared" ref="G216:K216" si="173">SUMPRODUCT($B216:$B220,P$2:P$6)</f>
        <v>39.896173341372112</v>
      </c>
      <c r="H216">
        <f t="shared" si="173"/>
        <v>27.272200461725095</v>
      </c>
      <c r="I216">
        <f t="shared" si="173"/>
        <v>32.274484321130878</v>
      </c>
      <c r="J216">
        <f t="shared" si="173"/>
        <v>24.587978845328529</v>
      </c>
      <c r="K216">
        <f t="shared" si="173"/>
        <v>12.761490791603276</v>
      </c>
      <c r="L216">
        <f t="shared" si="149"/>
        <v>64.490091655184472</v>
      </c>
      <c r="M216">
        <f t="shared" si="151"/>
        <v>-1.4500916551844725</v>
      </c>
      <c r="N216">
        <f t="shared" si="152"/>
        <v>2.1027658084356431</v>
      </c>
    </row>
    <row r="217" spans="1:14" x14ac:dyDescent="0.45">
      <c r="A217" s="23">
        <v>42115</v>
      </c>
      <c r="B217">
        <v>64.150000000000006</v>
      </c>
      <c r="C217">
        <v>64.37</v>
      </c>
      <c r="G217">
        <f t="shared" ref="G217:K217" si="174">SUMPRODUCT($B217:$B221,P$2:P$6)</f>
        <v>39.550067097456648</v>
      </c>
      <c r="H217">
        <f t="shared" si="174"/>
        <v>27.034365334279123</v>
      </c>
      <c r="I217">
        <f t="shared" si="174"/>
        <v>31.993022066380991</v>
      </c>
      <c r="J217">
        <f t="shared" si="174"/>
        <v>24.372012236341359</v>
      </c>
      <c r="K217">
        <f t="shared" si="174"/>
        <v>12.652358325594564</v>
      </c>
      <c r="L217">
        <f t="shared" si="149"/>
        <v>63.938762934103984</v>
      </c>
      <c r="M217">
        <f t="shared" si="151"/>
        <v>0.80123706589601085</v>
      </c>
      <c r="N217">
        <f t="shared" si="152"/>
        <v>0.64198083576564846</v>
      </c>
    </row>
    <row r="218" spans="1:14" x14ac:dyDescent="0.45">
      <c r="A218" s="23">
        <v>42114</v>
      </c>
      <c r="B218">
        <v>63.67</v>
      </c>
      <c r="C218">
        <v>63.72</v>
      </c>
      <c r="G218">
        <f t="shared" ref="G218:K218" si="175">SUMPRODUCT($B218:$B222,P$2:P$6)</f>
        <v>39.281878542111656</v>
      </c>
      <c r="H218">
        <f t="shared" si="175"/>
        <v>26.876679103286538</v>
      </c>
      <c r="I218">
        <f t="shared" si="175"/>
        <v>31.789273783141752</v>
      </c>
      <c r="J218">
        <f t="shared" si="175"/>
        <v>24.208461420911703</v>
      </c>
      <c r="K218">
        <f t="shared" si="175"/>
        <v>12.56635005780573</v>
      </c>
      <c r="L218">
        <f t="shared" si="149"/>
        <v>63.530711279729289</v>
      </c>
      <c r="M218">
        <f t="shared" si="151"/>
        <v>0.61928872027071691</v>
      </c>
      <c r="N218">
        <f t="shared" si="152"/>
        <v>0.38351851905454226</v>
      </c>
    </row>
    <row r="219" spans="1:14" x14ac:dyDescent="0.45">
      <c r="A219" s="23">
        <v>42111</v>
      </c>
      <c r="B219">
        <v>63.36</v>
      </c>
      <c r="C219">
        <v>63.42</v>
      </c>
      <c r="G219">
        <f t="shared" ref="G219:K219" si="176">SUMPRODUCT($B219:$B223,P$2:P$6)</f>
        <v>39.09712610195939</v>
      </c>
      <c r="H219">
        <f t="shared" si="176"/>
        <v>26.771478156408794</v>
      </c>
      <c r="I219">
        <f t="shared" si="176"/>
        <v>31.649723594901058</v>
      </c>
      <c r="J219">
        <f t="shared" si="176"/>
        <v>24.092045091734008</v>
      </c>
      <c r="K219">
        <f t="shared" si="176"/>
        <v>12.505555340935326</v>
      </c>
      <c r="L219">
        <f t="shared" si="149"/>
        <v>63.249833645056214</v>
      </c>
      <c r="M219">
        <f t="shared" si="151"/>
        <v>0.42016635494378818</v>
      </c>
      <c r="N219">
        <f t="shared" si="152"/>
        <v>0.17653976582674941</v>
      </c>
    </row>
    <row r="220" spans="1:14" x14ac:dyDescent="0.45">
      <c r="A220" s="23">
        <v>42110</v>
      </c>
      <c r="B220">
        <v>63.52</v>
      </c>
      <c r="C220">
        <v>64.099999999999994</v>
      </c>
      <c r="G220">
        <f t="shared" ref="G220:K220" si="177">SUMPRODUCT($B220:$B224,P$2:P$6)</f>
        <v>39.219105629362623</v>
      </c>
      <c r="H220">
        <f t="shared" si="177"/>
        <v>26.850600316833468</v>
      </c>
      <c r="I220">
        <f t="shared" si="177"/>
        <v>31.745588310549142</v>
      </c>
      <c r="J220">
        <f t="shared" si="177"/>
        <v>24.165406131991201</v>
      </c>
      <c r="K220">
        <f t="shared" si="177"/>
        <v>12.546990093298639</v>
      </c>
      <c r="L220">
        <f t="shared" si="149"/>
        <v>63.439728641259777</v>
      </c>
      <c r="M220">
        <f t="shared" si="151"/>
        <v>-7.9728641259777078E-2</v>
      </c>
      <c r="N220">
        <f t="shared" si="152"/>
        <v>6.3566562371302282E-3</v>
      </c>
    </row>
    <row r="221" spans="1:14" x14ac:dyDescent="0.45">
      <c r="A221" s="23">
        <v>42109</v>
      </c>
      <c r="B221">
        <v>62.93</v>
      </c>
      <c r="C221">
        <v>63.92</v>
      </c>
      <c r="G221">
        <f t="shared" ref="G221:K221" si="178">SUMPRODUCT($B221:$B225,P$2:P$6)</f>
        <v>38.902087058789135</v>
      </c>
      <c r="H221">
        <f t="shared" si="178"/>
        <v>26.622434244069318</v>
      </c>
      <c r="I221">
        <f t="shared" si="178"/>
        <v>31.482297437649354</v>
      </c>
      <c r="J221">
        <f t="shared" si="178"/>
        <v>23.967398111976131</v>
      </c>
      <c r="K221">
        <f t="shared" si="178"/>
        <v>12.45073179012082</v>
      </c>
      <c r="L221">
        <f t="shared" si="149"/>
        <v>62.928042137786292</v>
      </c>
      <c r="M221">
        <f t="shared" si="151"/>
        <v>0.59195786221371094</v>
      </c>
      <c r="N221">
        <f t="shared" si="152"/>
        <v>0.35041411063662681</v>
      </c>
    </row>
    <row r="222" spans="1:14" x14ac:dyDescent="0.45">
      <c r="A222" s="23">
        <v>42108</v>
      </c>
      <c r="B222">
        <v>63.63</v>
      </c>
      <c r="C222">
        <v>62.57</v>
      </c>
      <c r="G222">
        <f t="shared" ref="G222:K222" si="179">SUMPRODUCT($B222:$B226,P$2:P$6)</f>
        <v>39.287320563946381</v>
      </c>
      <c r="H222">
        <f t="shared" si="179"/>
        <v>26.868015025448088</v>
      </c>
      <c r="I222">
        <f t="shared" si="179"/>
        <v>31.786645853963702</v>
      </c>
      <c r="J222">
        <f t="shared" si="179"/>
        <v>24.209743310705587</v>
      </c>
      <c r="K222">
        <f t="shared" si="179"/>
        <v>12.571921614457963</v>
      </c>
      <c r="L222">
        <f t="shared" si="149"/>
        <v>63.53033846035747</v>
      </c>
      <c r="M222">
        <f t="shared" si="151"/>
        <v>-0.60033846035747018</v>
      </c>
      <c r="N222">
        <f t="shared" si="152"/>
        <v>0.36040626698437778</v>
      </c>
    </row>
    <row r="223" spans="1:14" x14ac:dyDescent="0.45">
      <c r="A223" s="23">
        <v>42107</v>
      </c>
      <c r="B223">
        <v>64.25</v>
      </c>
      <c r="C223">
        <v>63.75</v>
      </c>
      <c r="G223">
        <f t="shared" ref="G223:K223" si="180">SUMPRODUCT($B223:$B227,P$2:P$6)</f>
        <v>39.59967136909713</v>
      </c>
      <c r="H223">
        <f t="shared" si="180"/>
        <v>27.061566235148604</v>
      </c>
      <c r="I223">
        <f t="shared" si="180"/>
        <v>32.030230256595615</v>
      </c>
      <c r="J223">
        <f t="shared" si="180"/>
        <v>24.403977824131712</v>
      </c>
      <c r="K223">
        <f t="shared" si="180"/>
        <v>12.667913005699472</v>
      </c>
      <c r="L223">
        <f t="shared" si="149"/>
        <v>64.013853822183265</v>
      </c>
      <c r="M223">
        <f t="shared" si="151"/>
        <v>-0.38385382218326214</v>
      </c>
      <c r="N223">
        <f t="shared" si="152"/>
        <v>0.14734375680469944</v>
      </c>
    </row>
    <row r="224" spans="1:14" x14ac:dyDescent="0.45">
      <c r="A224" s="23">
        <v>42104</v>
      </c>
      <c r="B224">
        <v>64.28</v>
      </c>
      <c r="C224">
        <v>64.239999999999995</v>
      </c>
      <c r="G224">
        <f t="shared" ref="G224:K224" si="181">SUMPRODUCT($B224:$B228,P$2:P$6)</f>
        <v>39.598922057070695</v>
      </c>
      <c r="H224">
        <f t="shared" si="181"/>
        <v>27.035449885016295</v>
      </c>
      <c r="I224">
        <f t="shared" si="181"/>
        <v>32.016931993374506</v>
      </c>
      <c r="J224">
        <f t="shared" si="181"/>
        <v>24.403840404009962</v>
      </c>
      <c r="K224">
        <f t="shared" si="181"/>
        <v>12.668665951161689</v>
      </c>
      <c r="L224">
        <f t="shared" si="149"/>
        <v>63.996296884804984</v>
      </c>
      <c r="M224">
        <f t="shared" si="151"/>
        <v>0.25370311519501598</v>
      </c>
      <c r="N224">
        <f t="shared" si="152"/>
        <v>6.4365270659655555E-2</v>
      </c>
    </row>
    <row r="225" spans="1:14" x14ac:dyDescent="0.45">
      <c r="A225" s="23">
        <v>42103</v>
      </c>
      <c r="B225">
        <v>63.32</v>
      </c>
      <c r="C225">
        <v>64.03</v>
      </c>
      <c r="G225">
        <f t="shared" ref="G225:K225" si="182">SUMPRODUCT($B225:$B229,P$2:P$6)</f>
        <v>39.033256182840148</v>
      </c>
      <c r="H225">
        <f t="shared" si="182"/>
        <v>26.685674378121607</v>
      </c>
      <c r="I225">
        <f t="shared" si="182"/>
        <v>31.578435445932083</v>
      </c>
      <c r="J225">
        <f t="shared" si="182"/>
        <v>24.057712846403167</v>
      </c>
      <c r="K225">
        <f t="shared" si="182"/>
        <v>12.486213431669105</v>
      </c>
      <c r="L225">
        <f t="shared" si="149"/>
        <v>63.123886771886767</v>
      </c>
      <c r="M225">
        <f t="shared" si="151"/>
        <v>1.1561132281132345</v>
      </c>
      <c r="N225">
        <f t="shared" si="152"/>
        <v>1.3365977962184037</v>
      </c>
    </row>
    <row r="226" spans="1:14" x14ac:dyDescent="0.45">
      <c r="A226" s="23">
        <v>42102</v>
      </c>
      <c r="B226">
        <v>63.13</v>
      </c>
      <c r="C226">
        <v>63.67</v>
      </c>
      <c r="G226">
        <f t="shared" ref="G226:K226" si="183">SUMPRODUCT($B226:$B230,P$2:P$6)</f>
        <v>38.897339827381899</v>
      </c>
      <c r="H226">
        <f t="shared" si="183"/>
        <v>26.610439421183994</v>
      </c>
      <c r="I226">
        <f t="shared" si="183"/>
        <v>31.476895999112614</v>
      </c>
      <c r="J226">
        <f t="shared" si="183"/>
        <v>23.971558985419236</v>
      </c>
      <c r="K226">
        <f t="shared" si="183"/>
        <v>12.43922704008185</v>
      </c>
      <c r="L226">
        <f t="shared" si="149"/>
        <v>62.918333798643587</v>
      </c>
      <c r="M226">
        <f t="shared" si="151"/>
        <v>0.40166620135641296</v>
      </c>
      <c r="N226">
        <f t="shared" si="152"/>
        <v>0.16133573731209047</v>
      </c>
    </row>
    <row r="227" spans="1:14" x14ac:dyDescent="0.45">
      <c r="A227" s="23">
        <v>42101</v>
      </c>
      <c r="B227">
        <v>62.71</v>
      </c>
      <c r="C227">
        <v>63.24</v>
      </c>
      <c r="G227">
        <f t="shared" ref="G227:K227" si="184">SUMPRODUCT($B227:$B231,P$2:P$6)</f>
        <v>38.698364819283761</v>
      </c>
      <c r="H227">
        <f t="shared" si="184"/>
        <v>26.511974950847311</v>
      </c>
      <c r="I227">
        <f t="shared" si="184"/>
        <v>31.334060387344056</v>
      </c>
      <c r="J227">
        <f t="shared" si="184"/>
        <v>23.847513772173802</v>
      </c>
      <c r="K227">
        <f t="shared" si="184"/>
        <v>12.376837482017624</v>
      </c>
      <c r="L227">
        <f t="shared" si="149"/>
        <v>62.626192123969112</v>
      </c>
      <c r="M227">
        <f t="shared" si="151"/>
        <v>0.50380787603089061</v>
      </c>
      <c r="N227">
        <f t="shared" si="152"/>
        <v>0.25382237595075724</v>
      </c>
    </row>
    <row r="228" spans="1:14" x14ac:dyDescent="0.45">
      <c r="A228" s="23">
        <v>42100</v>
      </c>
      <c r="B228">
        <v>61.59</v>
      </c>
      <c r="C228">
        <v>62.78</v>
      </c>
      <c r="G228">
        <f t="shared" ref="G228:K228" si="185">SUMPRODUCT($B228:$B232,P$2:P$6)</f>
        <v>38.086513866164246</v>
      </c>
      <c r="H228">
        <f t="shared" si="185"/>
        <v>26.066540468496012</v>
      </c>
      <c r="I228">
        <f t="shared" si="185"/>
        <v>30.822125366547784</v>
      </c>
      <c r="J228">
        <f t="shared" si="185"/>
        <v>23.460526391185169</v>
      </c>
      <c r="K228">
        <f t="shared" si="185"/>
        <v>12.190470078395858</v>
      </c>
      <c r="L228">
        <f t="shared" si="149"/>
        <v>61.632814501748719</v>
      </c>
      <c r="M228">
        <f t="shared" si="151"/>
        <v>1.0771854982512821</v>
      </c>
      <c r="N228">
        <f t="shared" si="152"/>
        <v>1.1603285976428628</v>
      </c>
    </row>
    <row r="229" spans="1:14" x14ac:dyDescent="0.45">
      <c r="A229" s="23">
        <v>42096</v>
      </c>
      <c r="B229">
        <v>62.3</v>
      </c>
      <c r="C229">
        <v>62.24</v>
      </c>
      <c r="G229">
        <f t="shared" ref="G229:K229" si="186">SUMPRODUCT($B229:$B233,P$2:P$6)</f>
        <v>38.485854317498678</v>
      </c>
      <c r="H229">
        <f t="shared" si="186"/>
        <v>26.217795807466697</v>
      </c>
      <c r="I229">
        <f t="shared" si="186"/>
        <v>31.085094542390877</v>
      </c>
      <c r="J229">
        <f t="shared" si="186"/>
        <v>23.710580742275702</v>
      </c>
      <c r="K229">
        <f t="shared" si="186"/>
        <v>12.327583394553224</v>
      </c>
      <c r="L229">
        <f t="shared" si="149"/>
        <v>62.189989367963712</v>
      </c>
      <c r="M229">
        <f t="shared" si="151"/>
        <v>-0.59998936796370828</v>
      </c>
      <c r="N229">
        <f t="shared" si="152"/>
        <v>0.35998724166949014</v>
      </c>
    </row>
    <row r="230" spans="1:14" x14ac:dyDescent="0.45">
      <c r="A230" s="23">
        <v>42095</v>
      </c>
      <c r="B230">
        <v>62.83</v>
      </c>
      <c r="C230">
        <v>62.57</v>
      </c>
      <c r="G230">
        <f t="shared" ref="G230:K230" si="187">SUMPRODUCT($B230:$B234,P$2:P$6)</f>
        <v>38.658672498157046</v>
      </c>
      <c r="H230">
        <f t="shared" si="187"/>
        <v>26.319979964126034</v>
      </c>
      <c r="I230">
        <f t="shared" si="187"/>
        <v>31.222667960246628</v>
      </c>
      <c r="J230">
        <f t="shared" si="187"/>
        <v>23.834444262699147</v>
      </c>
      <c r="K230">
        <f t="shared" si="187"/>
        <v>12.371636164438629</v>
      </c>
      <c r="L230">
        <f t="shared" si="149"/>
        <v>62.462704825089226</v>
      </c>
      <c r="M230">
        <f t="shared" si="151"/>
        <v>-0.16270482508922868</v>
      </c>
      <c r="N230">
        <f t="shared" si="152"/>
        <v>2.6472860107316497E-2</v>
      </c>
    </row>
    <row r="231" spans="1:14" x14ac:dyDescent="0.45">
      <c r="A231" s="23">
        <v>42094</v>
      </c>
      <c r="B231">
        <v>64.180000000000007</v>
      </c>
      <c r="C231">
        <v>63</v>
      </c>
      <c r="G231">
        <f t="shared" ref="G231:K231" si="188">SUMPRODUCT($B231:$B235,P$2:P$6)</f>
        <v>39.272889917032749</v>
      </c>
      <c r="H231">
        <f t="shared" si="188"/>
        <v>26.800688093881718</v>
      </c>
      <c r="I231">
        <f t="shared" si="188"/>
        <v>31.754318579768682</v>
      </c>
      <c r="J231">
        <f t="shared" si="188"/>
        <v>24.222131510503718</v>
      </c>
      <c r="K231">
        <f t="shared" si="188"/>
        <v>12.543220301539128</v>
      </c>
      <c r="L231">
        <f t="shared" si="149"/>
        <v>63.48086702022038</v>
      </c>
      <c r="M231">
        <f t="shared" si="151"/>
        <v>-0.65086702022038168</v>
      </c>
      <c r="N231">
        <f t="shared" si="152"/>
        <v>0.42362787801055873</v>
      </c>
    </row>
    <row r="232" spans="1:14" x14ac:dyDescent="0.45">
      <c r="A232" s="23">
        <v>42093</v>
      </c>
      <c r="B232">
        <v>62.1</v>
      </c>
      <c r="C232">
        <v>64.81</v>
      </c>
      <c r="G232">
        <f t="shared" ref="G232:K232" si="189">SUMPRODUCT($B232:$B236,P$2:P$6)</f>
        <v>38.114920091774508</v>
      </c>
      <c r="H232">
        <f t="shared" si="189"/>
        <v>26.04789099324174</v>
      </c>
      <c r="I232">
        <f t="shared" si="189"/>
        <v>30.831523454459159</v>
      </c>
      <c r="J232">
        <f t="shared" si="189"/>
        <v>23.491100109039685</v>
      </c>
      <c r="K232">
        <f t="shared" si="189"/>
        <v>12.179101774745654</v>
      </c>
      <c r="L232">
        <f t="shared" si="149"/>
        <v>61.6596445052812</v>
      </c>
      <c r="M232">
        <f t="shared" si="151"/>
        <v>2.5203554947188067</v>
      </c>
      <c r="N232">
        <f t="shared" si="152"/>
        <v>6.3521918197592813</v>
      </c>
    </row>
    <row r="233" spans="1:14" x14ac:dyDescent="0.45">
      <c r="A233" s="23">
        <v>42090</v>
      </c>
      <c r="B233">
        <v>57.46</v>
      </c>
      <c r="C233">
        <v>58.84</v>
      </c>
      <c r="G233">
        <f t="shared" ref="G233:K233" si="190">SUMPRODUCT($B233:$B237,P$2:P$6)</f>
        <v>35.613155235055324</v>
      </c>
      <c r="H233">
        <f t="shared" si="190"/>
        <v>24.432897099630189</v>
      </c>
      <c r="I233">
        <f t="shared" si="190"/>
        <v>28.850220582380903</v>
      </c>
      <c r="J233">
        <f t="shared" si="190"/>
        <v>21.938649320385636</v>
      </c>
      <c r="K233">
        <f t="shared" si="190"/>
        <v>11.399680606658317</v>
      </c>
      <c r="L233">
        <f t="shared" si="149"/>
        <v>57.746538515520548</v>
      </c>
      <c r="M233">
        <f t="shared" si="151"/>
        <v>4.3534614844794532</v>
      </c>
      <c r="N233">
        <f t="shared" si="152"/>
        <v>18.952626896846045</v>
      </c>
    </row>
    <row r="234" spans="1:14" x14ac:dyDescent="0.45">
      <c r="A234" s="23">
        <v>42089</v>
      </c>
      <c r="B234">
        <v>56.92</v>
      </c>
      <c r="C234">
        <v>57.42</v>
      </c>
      <c r="G234">
        <f t="shared" ref="G234:K234" si="191">SUMPRODUCT($B234:$B238,P$2:P$6)</f>
        <v>35.308146709183021</v>
      </c>
      <c r="H234">
        <f t="shared" si="191"/>
        <v>24.228171790363472</v>
      </c>
      <c r="I234">
        <f t="shared" si="191"/>
        <v>28.604338065197386</v>
      </c>
      <c r="J234">
        <f t="shared" si="191"/>
        <v>21.747557155164536</v>
      </c>
      <c r="K234">
        <f t="shared" si="191"/>
        <v>11.304052447017311</v>
      </c>
      <c r="L234">
        <f t="shared" si="149"/>
        <v>57.263434596070311</v>
      </c>
      <c r="M234">
        <f t="shared" si="151"/>
        <v>0.19656540392968935</v>
      </c>
      <c r="N234">
        <f t="shared" si="152"/>
        <v>3.8637958022041938E-2</v>
      </c>
    </row>
    <row r="235" spans="1:14" x14ac:dyDescent="0.45">
      <c r="A235" s="23">
        <v>42088</v>
      </c>
      <c r="B235">
        <v>60.34</v>
      </c>
      <c r="C235">
        <v>57.56</v>
      </c>
      <c r="G235">
        <f t="shared" ref="G235:K235" si="192">SUMPRODUCT($B235:$B239,P$2:P$6)</f>
        <v>37.247403332547968</v>
      </c>
      <c r="H235">
        <f t="shared" si="192"/>
        <v>25.463304730321262</v>
      </c>
      <c r="I235">
        <f t="shared" si="192"/>
        <v>30.130929135097972</v>
      </c>
      <c r="J235">
        <f t="shared" si="192"/>
        <v>22.95101779935084</v>
      </c>
      <c r="K235">
        <f t="shared" si="192"/>
        <v>11.919367628935872</v>
      </c>
      <c r="L235">
        <f t="shared" si="149"/>
        <v>60.286155470992462</v>
      </c>
      <c r="M235">
        <f t="shared" si="151"/>
        <v>-3.3661554709924602</v>
      </c>
      <c r="N235">
        <f t="shared" si="152"/>
        <v>11.331002654892471</v>
      </c>
    </row>
    <row r="236" spans="1:14" x14ac:dyDescent="0.45">
      <c r="A236" s="23">
        <v>42087</v>
      </c>
      <c r="B236">
        <v>60.27</v>
      </c>
      <c r="C236">
        <v>60.36</v>
      </c>
      <c r="G236">
        <f t="shared" ref="G236:K236" si="193">SUMPRODUCT($B236:$B240,P$2:P$6)</f>
        <v>37.181843602727838</v>
      </c>
      <c r="H236">
        <f t="shared" si="193"/>
        <v>25.400917914258859</v>
      </c>
      <c r="I236">
        <f t="shared" si="193"/>
        <v>30.069800142686152</v>
      </c>
      <c r="J236">
        <f t="shared" si="193"/>
        <v>22.912866986573693</v>
      </c>
      <c r="K236">
        <f t="shared" si="193"/>
        <v>11.898329953620131</v>
      </c>
      <c r="L236">
        <f t="shared" si="149"/>
        <v>60.171943075960101</v>
      </c>
      <c r="M236">
        <f t="shared" si="151"/>
        <v>0.16805692403990236</v>
      </c>
      <c r="N236">
        <f t="shared" si="152"/>
        <v>2.8243129717753512E-2</v>
      </c>
    </row>
    <row r="237" spans="1:14" x14ac:dyDescent="0.45">
      <c r="A237" s="23">
        <v>42086</v>
      </c>
      <c r="B237">
        <v>60.68</v>
      </c>
      <c r="C237">
        <v>60.4</v>
      </c>
      <c r="G237">
        <f t="shared" ref="G237:K237" si="194">SUMPRODUCT($B237:$B241,P$2:P$6)</f>
        <v>37.369940952658077</v>
      </c>
      <c r="H237">
        <f t="shared" si="194"/>
        <v>25.520765019834414</v>
      </c>
      <c r="I237">
        <f t="shared" si="194"/>
        <v>30.219117950146781</v>
      </c>
      <c r="J237">
        <f t="shared" si="194"/>
        <v>23.032813889727844</v>
      </c>
      <c r="K237">
        <f t="shared" si="194"/>
        <v>11.9539159977745</v>
      </c>
      <c r="L237">
        <f t="shared" si="149"/>
        <v>60.466751337632729</v>
      </c>
      <c r="M237">
        <f t="shared" si="151"/>
        <v>-0.19675133763272612</v>
      </c>
      <c r="N237">
        <f t="shared" si="152"/>
        <v>3.8711088860266987E-2</v>
      </c>
    </row>
    <row r="238" spans="1:14" x14ac:dyDescent="0.45">
      <c r="A238" s="23">
        <v>42083</v>
      </c>
      <c r="B238">
        <v>60.38</v>
      </c>
      <c r="C238">
        <v>61.07</v>
      </c>
      <c r="G238">
        <f t="shared" ref="G238:K238" si="195">SUMPRODUCT($B238:$B242,P$2:P$6)</f>
        <v>37.16450592629225</v>
      </c>
      <c r="H238">
        <f t="shared" si="195"/>
        <v>25.374153447901698</v>
      </c>
      <c r="I238">
        <f t="shared" si="195"/>
        <v>30.049709506399076</v>
      </c>
      <c r="J238">
        <f t="shared" si="195"/>
        <v>22.90527508777776</v>
      </c>
      <c r="K238">
        <f t="shared" si="195"/>
        <v>11.887044332487074</v>
      </c>
      <c r="L238">
        <f t="shared" si="149"/>
        <v>60.136278628319332</v>
      </c>
      <c r="M238">
        <f t="shared" si="151"/>
        <v>0.54372137168066814</v>
      </c>
      <c r="N238">
        <f t="shared" si="152"/>
        <v>0.29563293002230728</v>
      </c>
    </row>
    <row r="239" spans="1:14" x14ac:dyDescent="0.45">
      <c r="A239" s="23">
        <v>42082</v>
      </c>
      <c r="B239">
        <v>59.43</v>
      </c>
      <c r="C239">
        <v>60</v>
      </c>
      <c r="G239">
        <f t="shared" ref="G239:K239" si="196">SUMPRODUCT($B239:$B243,P$2:P$6)</f>
        <v>36.61327820217236</v>
      </c>
      <c r="H239">
        <f t="shared" si="196"/>
        <v>25.005460432670489</v>
      </c>
      <c r="I239">
        <f t="shared" si="196"/>
        <v>29.607448427864181</v>
      </c>
      <c r="J239">
        <f t="shared" si="196"/>
        <v>22.564876792949651</v>
      </c>
      <c r="K239">
        <f t="shared" si="196"/>
        <v>11.712825647060674</v>
      </c>
      <c r="L239">
        <f t="shared" si="149"/>
        <v>59.266583700587425</v>
      </c>
      <c r="M239">
        <f t="shared" si="151"/>
        <v>1.1134162994125774</v>
      </c>
      <c r="N239">
        <f t="shared" si="152"/>
        <v>1.2396958557975981</v>
      </c>
    </row>
    <row r="240" spans="1:14" x14ac:dyDescent="0.45">
      <c r="A240" s="23">
        <v>42081</v>
      </c>
      <c r="B240">
        <v>58.55</v>
      </c>
      <c r="C240">
        <v>59.67</v>
      </c>
      <c r="G240">
        <f t="shared" ref="G240:K240" si="197">SUMPRODUCT($B240:$B244,P$2:P$6)</f>
        <v>36.085984385922735</v>
      </c>
      <c r="H240">
        <f t="shared" si="197"/>
        <v>24.652606939298035</v>
      </c>
      <c r="I240">
        <f t="shared" si="197"/>
        <v>29.184368693974843</v>
      </c>
      <c r="J240">
        <f t="shared" si="197"/>
        <v>22.239014031838483</v>
      </c>
      <c r="K240">
        <f t="shared" si="197"/>
        <v>11.544651840733822</v>
      </c>
      <c r="L240">
        <f t="shared" si="149"/>
        <v>58.434380140383475</v>
      </c>
      <c r="M240">
        <f t="shared" si="151"/>
        <v>0.9956198596165251</v>
      </c>
      <c r="N240">
        <f t="shared" si="152"/>
        <v>0.99125890486282919</v>
      </c>
    </row>
    <row r="241" spans="1:14" x14ac:dyDescent="0.45">
      <c r="A241" s="23">
        <v>42080</v>
      </c>
      <c r="B241">
        <v>58.42</v>
      </c>
      <c r="C241">
        <v>58.76</v>
      </c>
      <c r="G241">
        <f t="shared" ref="G241:K241" si="198">SUMPRODUCT($B241:$B245,P$2:P$6)</f>
        <v>35.992982864420917</v>
      </c>
      <c r="H241">
        <f t="shared" si="198"/>
        <v>24.606880619529178</v>
      </c>
      <c r="I241">
        <f t="shared" si="198"/>
        <v>29.118822333027172</v>
      </c>
      <c r="J241">
        <f t="shared" si="198"/>
        <v>22.183869521781748</v>
      </c>
      <c r="K241">
        <f t="shared" si="198"/>
        <v>11.511996881087388</v>
      </c>
      <c r="L241">
        <f t="shared" si="149"/>
        <v>58.299427964008451</v>
      </c>
      <c r="M241">
        <f t="shared" si="151"/>
        <v>0.25057203599154576</v>
      </c>
      <c r="N241">
        <f t="shared" si="152"/>
        <v>6.2786345220948503E-2</v>
      </c>
    </row>
    <row r="242" spans="1:14" x14ac:dyDescent="0.45">
      <c r="A242" s="23">
        <v>42079</v>
      </c>
      <c r="B242">
        <v>57.81</v>
      </c>
      <c r="C242">
        <v>58.8</v>
      </c>
      <c r="G242">
        <f t="shared" ref="G242:K242" si="199">SUMPRODUCT($B242:$B246,P$2:P$6)</f>
        <v>35.639522071569623</v>
      </c>
      <c r="H242">
        <f t="shared" si="199"/>
        <v>24.387173839910737</v>
      </c>
      <c r="I242">
        <f t="shared" si="199"/>
        <v>28.842911779881543</v>
      </c>
      <c r="J242">
        <f t="shared" si="199"/>
        <v>21.962824234394869</v>
      </c>
      <c r="K242">
        <f t="shared" si="199"/>
        <v>11.398534575086813</v>
      </c>
      <c r="L242">
        <f t="shared" si="149"/>
        <v>57.751076897658116</v>
      </c>
      <c r="M242">
        <f t="shared" si="151"/>
        <v>0.66892310234188557</v>
      </c>
      <c r="N242">
        <f t="shared" si="152"/>
        <v>0.44745811684669273</v>
      </c>
    </row>
    <row r="243" spans="1:14" x14ac:dyDescent="0.45">
      <c r="A243" s="23">
        <v>42076</v>
      </c>
      <c r="B243">
        <v>57.31</v>
      </c>
      <c r="C243">
        <v>57.53</v>
      </c>
      <c r="G243">
        <f t="shared" ref="G243:K243" si="200">SUMPRODUCT($B243:$B247,P$2:P$6)</f>
        <v>35.383474520244079</v>
      </c>
      <c r="H243">
        <f t="shared" si="200"/>
        <v>24.224094412825927</v>
      </c>
      <c r="I243">
        <f t="shared" si="200"/>
        <v>28.640753924939258</v>
      </c>
      <c r="J243">
        <f t="shared" si="200"/>
        <v>21.802531412529497</v>
      </c>
      <c r="K243">
        <f t="shared" si="200"/>
        <v>11.319838587698682</v>
      </c>
      <c r="L243">
        <f t="shared" si="149"/>
        <v>57.35130232890706</v>
      </c>
      <c r="M243">
        <f t="shared" si="151"/>
        <v>0.45869767109294202</v>
      </c>
      <c r="N243">
        <f t="shared" si="152"/>
        <v>0.21040355346608883</v>
      </c>
    </row>
    <row r="244" spans="1:14" x14ac:dyDescent="0.45">
      <c r="A244" s="23">
        <v>42075</v>
      </c>
      <c r="B244">
        <v>56.81</v>
      </c>
      <c r="C244">
        <v>57.51</v>
      </c>
      <c r="G244">
        <f t="shared" ref="G244:K244" si="201">SUMPRODUCT($B244:$B248,P$2:P$6)</f>
        <v>35.118303342241987</v>
      </c>
      <c r="H244">
        <f t="shared" si="201"/>
        <v>24.059237906969173</v>
      </c>
      <c r="I244">
        <f t="shared" si="201"/>
        <v>28.433827856527326</v>
      </c>
      <c r="J244">
        <f t="shared" si="201"/>
        <v>21.637707113099943</v>
      </c>
      <c r="K244">
        <f t="shared" si="201"/>
        <v>11.23700066848604</v>
      </c>
      <c r="L244">
        <f t="shared" si="149"/>
        <v>56.940478776632581</v>
      </c>
      <c r="M244">
        <f t="shared" si="151"/>
        <v>0.36952122336742121</v>
      </c>
      <c r="N244">
        <f t="shared" si="152"/>
        <v>0.13654593451895561</v>
      </c>
    </row>
    <row r="245" spans="1:14" x14ac:dyDescent="0.45">
      <c r="A245" s="23">
        <v>42074</v>
      </c>
      <c r="B245">
        <v>57.42</v>
      </c>
      <c r="C245">
        <v>57.29</v>
      </c>
      <c r="G245">
        <f t="shared" ref="G245:K245" si="202">SUMPRODUCT($B245:$B249,P$2:P$6)</f>
        <v>35.473506559455764</v>
      </c>
      <c r="H245">
        <f t="shared" si="202"/>
        <v>24.295582204541383</v>
      </c>
      <c r="I245">
        <f t="shared" si="202"/>
        <v>28.718234111117926</v>
      </c>
      <c r="J245">
        <f t="shared" si="202"/>
        <v>21.857251656733638</v>
      </c>
      <c r="K245">
        <f t="shared" si="202"/>
        <v>11.349512572979398</v>
      </c>
      <c r="L245">
        <f t="shared" si="149"/>
        <v>57.500206421521149</v>
      </c>
      <c r="M245">
        <f t="shared" si="151"/>
        <v>-0.69020642152114675</v>
      </c>
      <c r="N245">
        <f t="shared" si="152"/>
        <v>0.47638490430902691</v>
      </c>
    </row>
    <row r="246" spans="1:14" x14ac:dyDescent="0.45">
      <c r="A246" s="23">
        <v>42073</v>
      </c>
      <c r="B246">
        <v>57.82</v>
      </c>
      <c r="C246">
        <v>57.2</v>
      </c>
      <c r="G246">
        <f t="shared" ref="G246:K246" si="203">SUMPRODUCT($B246:$B250,P$2:P$6)</f>
        <v>35.712518704354942</v>
      </c>
      <c r="H246">
        <f t="shared" si="203"/>
        <v>24.444935223799071</v>
      </c>
      <c r="I246">
        <f t="shared" si="203"/>
        <v>28.90448941134364</v>
      </c>
      <c r="J246">
        <f t="shared" si="203"/>
        <v>22.004292477916064</v>
      </c>
      <c r="K246">
        <f t="shared" si="203"/>
        <v>11.42676196730887</v>
      </c>
      <c r="L246">
        <f t="shared" si="149"/>
        <v>57.87025435198791</v>
      </c>
      <c r="M246">
        <f t="shared" si="151"/>
        <v>-0.45025435198790831</v>
      </c>
      <c r="N246">
        <f t="shared" si="152"/>
        <v>0.20272898148405122</v>
      </c>
    </row>
    <row r="247" spans="1:14" x14ac:dyDescent="0.45">
      <c r="A247" s="23">
        <v>42072</v>
      </c>
      <c r="B247">
        <v>57.97</v>
      </c>
      <c r="C247">
        <v>58.46</v>
      </c>
      <c r="G247">
        <f>SUMPRODUCT($B247:$B251,P$2:P$6)</f>
        <v>35.811256902696456</v>
      </c>
      <c r="H247">
        <f>SUMPRODUCT($B247:$B251,Q$2:Q$6)</f>
        <v>24.536756846988602</v>
      </c>
      <c r="I247">
        <f>SUMPRODUCT($B247:$B251,R$2:R$6)</f>
        <v>28.99728181197289</v>
      </c>
      <c r="J247">
        <f>SUMPRODUCT($B247:$B251,S$2:S$6)</f>
        <v>22.06768689514406</v>
      </c>
      <c r="K247">
        <f>SUMPRODUCT($B247:$B251,T$2:T$6)</f>
        <v>11.456435393400179</v>
      </c>
      <c r="L247">
        <f>(G247+$P$7)*$U$2+(H247+$Q$7)*$U$3+(I247+$R$7)*$U$4+(J247+$S$7)*$U$5+(K247+$T$7)*$U$6+$U$7</f>
        <v>58.043941521337366</v>
      </c>
      <c r="M247">
        <f>B246-L247</f>
        <v>-0.22394152133736611</v>
      </c>
      <c r="N247">
        <f>M247^2</f>
        <v>5.0149804978894E-2</v>
      </c>
    </row>
    <row r="248" spans="1:14" x14ac:dyDescent="0.45">
      <c r="A248" s="23">
        <v>42069</v>
      </c>
      <c r="B248">
        <v>58.29</v>
      </c>
      <c r="C248">
        <v>57.93</v>
      </c>
    </row>
    <row r="249" spans="1:14" x14ac:dyDescent="0.45">
      <c r="A249" s="23">
        <v>42068</v>
      </c>
      <c r="B249">
        <v>58.56</v>
      </c>
      <c r="C249">
        <v>58.45</v>
      </c>
    </row>
    <row r="250" spans="1:14" x14ac:dyDescent="0.45">
      <c r="A250" s="23">
        <v>42067</v>
      </c>
      <c r="B250">
        <v>58.33</v>
      </c>
      <c r="C250">
        <v>58.4</v>
      </c>
    </row>
    <row r="251" spans="1:14" x14ac:dyDescent="0.45">
      <c r="A251" s="23">
        <v>42066</v>
      </c>
      <c r="B251">
        <v>59.54</v>
      </c>
      <c r="C251">
        <v>58.74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251"/>
  <sheetViews>
    <sheetView workbookViewId="0">
      <selection activeCell="C2" sqref="C2"/>
    </sheetView>
  </sheetViews>
  <sheetFormatPr defaultRowHeight="14.25" x14ac:dyDescent="0.45"/>
  <sheetData>
    <row r="1" spans="1:23" x14ac:dyDescent="0.45">
      <c r="A1" t="s">
        <v>3</v>
      </c>
      <c r="B1" t="s">
        <v>4</v>
      </c>
      <c r="C1" t="s">
        <v>5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</row>
    <row r="2" spans="1:23" x14ac:dyDescent="0.45">
      <c r="A2" s="23">
        <v>42426</v>
      </c>
      <c r="B2">
        <v>32.380000000000003</v>
      </c>
      <c r="C2">
        <v>31.89</v>
      </c>
      <c r="G2">
        <f t="shared" ref="G2" si="0">SUMPRODUCT($B2:$B6,P$2:P$6)</f>
        <v>26.417352163701398</v>
      </c>
      <c r="H2">
        <f t="shared" ref="H2" si="1">SUMPRODUCT($B2:$B6,Q$2:Q$6)</f>
        <v>21.697887799000995</v>
      </c>
      <c r="I2">
        <f t="shared" ref="I2" si="2">SUMPRODUCT($B2:$B6,R$2:R$6)</f>
        <v>17.860295154818942</v>
      </c>
      <c r="J2">
        <f t="shared" ref="J2" si="3">SUMPRODUCT($B2:$B6,S$2:S$6)</f>
        <v>14.594067985694327</v>
      </c>
      <c r="K2">
        <f t="shared" ref="K2" si="4">SUMPRODUCT($B2:$B6,T$2:T$6)</f>
        <v>13.112171117597461</v>
      </c>
      <c r="L2">
        <f t="shared" ref="L2" si="5">(G2+$P$7)*$U$2+(H2+$Q$7)*$U$3+(I2+$R$7)*$U$4+(J2+$S$7)*$U$5+(K2+$T$7)*$U$6+$U$7</f>
        <v>32.241701171039892</v>
      </c>
      <c r="P2">
        <v>0.71939460441909753</v>
      </c>
      <c r="Q2">
        <v>0.60864881512817504</v>
      </c>
      <c r="R2">
        <v>0.52378306942843533</v>
      </c>
      <c r="S2">
        <v>0.43395790555774266</v>
      </c>
      <c r="T2">
        <v>0.38935418428774554</v>
      </c>
      <c r="U2">
        <v>0.36072975155504383</v>
      </c>
      <c r="W2" t="s">
        <v>31</v>
      </c>
    </row>
    <row r="3" spans="1:23" x14ac:dyDescent="0.45">
      <c r="A3" s="23">
        <v>42425</v>
      </c>
      <c r="B3">
        <v>31.98</v>
      </c>
      <c r="C3">
        <v>32.32</v>
      </c>
      <c r="G3">
        <f t="shared" ref="G3:G65" si="6">SUMPRODUCT($B3:$B7,P$2:P$6)</f>
        <v>26.181857476763589</v>
      </c>
      <c r="H3">
        <f t="shared" ref="H3:H65" si="7">SUMPRODUCT($B3:$B7,Q$2:Q$6)</f>
        <v>21.473632701057511</v>
      </c>
      <c r="I3">
        <f t="shared" ref="I3:I65" si="8">SUMPRODUCT($B3:$B7,R$2:R$6)</f>
        <v>17.636185298485824</v>
      </c>
      <c r="J3">
        <f t="shared" ref="J3:J65" si="9">SUMPRODUCT($B3:$B7,S$2:S$6)</f>
        <v>14.399850235155633</v>
      </c>
      <c r="K3">
        <f t="shared" ref="K3:K65" si="10">SUMPRODUCT($B3:$B7,T$2:T$6)</f>
        <v>12.937218422592951</v>
      </c>
      <c r="L3">
        <f t="shared" ref="L3:L65" si="11">(G3+$P$7)*$U$2+(H3+$Q$7)*$U$3+(I3+$R$7)*$U$4+(J3+$S$7)*$U$5+(K3+$T$7)*$U$6+$U$7</f>
        <v>31.886369811603277</v>
      </c>
      <c r="M3">
        <f t="shared" ref="M3:M66" si="12">B2-L3</f>
        <v>0.49363018839672534</v>
      </c>
      <c r="N3">
        <f t="shared" ref="N3:N66" si="13">M3^2</f>
        <v>0.24367076289658657</v>
      </c>
      <c r="P3">
        <v>0</v>
      </c>
      <c r="Q3">
        <v>0</v>
      </c>
      <c r="R3">
        <v>1.2842689608462374E-7</v>
      </c>
      <c r="S3">
        <v>3.8482210892134553E-7</v>
      </c>
      <c r="T3">
        <v>9.4388908450522739E-7</v>
      </c>
      <c r="U3">
        <v>0.35077499528669231</v>
      </c>
      <c r="V3" t="s">
        <v>29</v>
      </c>
      <c r="W3">
        <f>SUM(N3:N251)</f>
        <v>115.86865622042018</v>
      </c>
    </row>
    <row r="4" spans="1:23" x14ac:dyDescent="0.45">
      <c r="A4" s="23">
        <v>42424</v>
      </c>
      <c r="B4">
        <v>30.44</v>
      </c>
      <c r="C4">
        <v>31.71</v>
      </c>
      <c r="G4">
        <f t="shared" si="6"/>
        <v>25.017718608601889</v>
      </c>
      <c r="H4">
        <f t="shared" si="7"/>
        <v>20.510719716194224</v>
      </c>
      <c r="I4">
        <f t="shared" si="8"/>
        <v>16.834927026731599</v>
      </c>
      <c r="J4">
        <f t="shared" si="9"/>
        <v>13.743405310002888</v>
      </c>
      <c r="K4">
        <f t="shared" si="10"/>
        <v>12.34864684579912</v>
      </c>
      <c r="L4">
        <f t="shared" si="11"/>
        <v>30.465836035580583</v>
      </c>
      <c r="M4">
        <f t="shared" si="12"/>
        <v>1.5141639644194171</v>
      </c>
      <c r="N4">
        <f t="shared" si="13"/>
        <v>2.2926925111463259</v>
      </c>
      <c r="P4">
        <v>8.6587409618714875E-2</v>
      </c>
      <c r="Q4">
        <v>4.9672200674615523E-2</v>
      </c>
      <c r="R4">
        <v>1.3397965728918763E-2</v>
      </c>
      <c r="S4">
        <v>3.4613495039503791E-3</v>
      </c>
      <c r="T4">
        <v>3.2182483803232581E-3</v>
      </c>
      <c r="U4">
        <v>0.35703891008455174</v>
      </c>
      <c r="V4" t="s">
        <v>30</v>
      </c>
      <c r="W4">
        <f>MAX(N3:N251)</f>
        <v>7.3806318638860766</v>
      </c>
    </row>
    <row r="5" spans="1:23" x14ac:dyDescent="0.45">
      <c r="A5" s="23">
        <v>42423</v>
      </c>
      <c r="B5">
        <v>31.35</v>
      </c>
      <c r="C5">
        <v>30.73</v>
      </c>
      <c r="G5">
        <f t="shared" si="6"/>
        <v>25.526714666999105</v>
      </c>
      <c r="H5">
        <f t="shared" si="7"/>
        <v>20.980254963792369</v>
      </c>
      <c r="I5">
        <f t="shared" si="8"/>
        <v>17.287392365096537</v>
      </c>
      <c r="J5">
        <f t="shared" si="9"/>
        <v>14.130841528073921</v>
      </c>
      <c r="K5">
        <f t="shared" si="10"/>
        <v>12.696015718414873</v>
      </c>
      <c r="L5">
        <f t="shared" si="11"/>
        <v>31.198050726534174</v>
      </c>
      <c r="M5">
        <f t="shared" si="12"/>
        <v>-0.75805072653417227</v>
      </c>
      <c r="N5">
        <f t="shared" si="13"/>
        <v>0.57464090399898649</v>
      </c>
      <c r="P5">
        <v>0</v>
      </c>
      <c r="Q5">
        <v>0</v>
      </c>
      <c r="R5">
        <v>0</v>
      </c>
      <c r="S5">
        <v>0</v>
      </c>
      <c r="T5">
        <v>0</v>
      </c>
      <c r="U5">
        <v>0.31400796194711944</v>
      </c>
    </row>
    <row r="6" spans="1:23" x14ac:dyDescent="0.45">
      <c r="A6" s="23">
        <v>42422</v>
      </c>
      <c r="B6">
        <v>30.51</v>
      </c>
      <c r="C6">
        <v>31.52</v>
      </c>
      <c r="G6">
        <f t="shared" si="6"/>
        <v>24.99242891462335</v>
      </c>
      <c r="H6">
        <f t="shared" si="7"/>
        <v>20.501359115293209</v>
      </c>
      <c r="I6">
        <f t="shared" si="8"/>
        <v>16.841849040025441</v>
      </c>
      <c r="J6">
        <f t="shared" si="9"/>
        <v>13.752688312995948</v>
      </c>
      <c r="K6">
        <f t="shared" si="10"/>
        <v>12.356267933509756</v>
      </c>
      <c r="L6">
        <f t="shared" si="11"/>
        <v>30.461025443602711</v>
      </c>
      <c r="M6">
        <f t="shared" si="12"/>
        <v>0.88897455639729017</v>
      </c>
      <c r="N6">
        <f t="shared" si="13"/>
        <v>0.79027576192175886</v>
      </c>
      <c r="P6">
        <v>1.5982763809155622E-2</v>
      </c>
      <c r="Q6">
        <v>1.5661008738622983E-2</v>
      </c>
      <c r="R6">
        <v>1.6137698552795177E-2</v>
      </c>
      <c r="S6">
        <v>1.432760466153145E-2</v>
      </c>
      <c r="T6">
        <v>1.3336249232720287E-2</v>
      </c>
      <c r="U6">
        <v>0.28988681617376233</v>
      </c>
    </row>
    <row r="7" spans="1:23" x14ac:dyDescent="0.45">
      <c r="A7" s="23">
        <v>42419</v>
      </c>
      <c r="B7">
        <v>28.85</v>
      </c>
      <c r="C7">
        <v>30.19</v>
      </c>
      <c r="G7">
        <f t="shared" si="6"/>
        <v>23.78944165851432</v>
      </c>
      <c r="H7">
        <f t="shared" si="7"/>
        <v>19.486607518973344</v>
      </c>
      <c r="I7">
        <f t="shared" si="8"/>
        <v>15.972375291021745</v>
      </c>
      <c r="J7">
        <f t="shared" si="9"/>
        <v>13.033335984662546</v>
      </c>
      <c r="K7">
        <f t="shared" si="10"/>
        <v>11.710888394915488</v>
      </c>
      <c r="L7">
        <f t="shared" si="11"/>
        <v>28.947717325266272</v>
      </c>
      <c r="M7">
        <f t="shared" si="12"/>
        <v>1.5622826747337299</v>
      </c>
      <c r="N7">
        <f t="shared" si="13"/>
        <v>2.4407271557731773</v>
      </c>
      <c r="O7" t="s">
        <v>28</v>
      </c>
      <c r="P7">
        <v>3.6637342161954138E-7</v>
      </c>
      <c r="Q7">
        <v>3.6637342161954138E-7</v>
      </c>
      <c r="R7">
        <v>3.6637342161954138E-7</v>
      </c>
      <c r="S7">
        <v>3.6637342161954138E-7</v>
      </c>
      <c r="T7">
        <v>3.6637342161954138E-7</v>
      </c>
      <c r="U7">
        <v>0.34057978614662243</v>
      </c>
    </row>
    <row r="8" spans="1:23" x14ac:dyDescent="0.45">
      <c r="A8" s="23">
        <v>42418</v>
      </c>
      <c r="B8">
        <v>29.88</v>
      </c>
      <c r="C8">
        <v>28.88</v>
      </c>
      <c r="G8">
        <f t="shared" si="6"/>
        <v>24.441537007504134</v>
      </c>
      <c r="H8">
        <f t="shared" si="7"/>
        <v>20.06863050596013</v>
      </c>
      <c r="I8">
        <f t="shared" si="8"/>
        <v>16.510963714886731</v>
      </c>
      <c r="J8">
        <f t="shared" si="9"/>
        <v>13.489626910185466</v>
      </c>
      <c r="K8">
        <f t="shared" si="10"/>
        <v>12.120597267687545</v>
      </c>
      <c r="L8">
        <f t="shared" si="11"/>
        <v>29.841451837119966</v>
      </c>
      <c r="M8">
        <f t="shared" si="12"/>
        <v>-0.9914518371199641</v>
      </c>
      <c r="N8">
        <f t="shared" si="13"/>
        <v>0.98297674532855184</v>
      </c>
    </row>
    <row r="9" spans="1:23" x14ac:dyDescent="0.45">
      <c r="A9" s="23">
        <v>42417</v>
      </c>
      <c r="B9">
        <v>29.76</v>
      </c>
      <c r="C9">
        <v>29.45</v>
      </c>
      <c r="G9">
        <f t="shared" si="6"/>
        <v>24.355237703478775</v>
      </c>
      <c r="H9">
        <f t="shared" si="7"/>
        <v>19.992102923493352</v>
      </c>
      <c r="I9">
        <f t="shared" si="8"/>
        <v>16.440735031797427</v>
      </c>
      <c r="J9">
        <f t="shared" si="9"/>
        <v>13.430160728165177</v>
      </c>
      <c r="K9">
        <f t="shared" si="10"/>
        <v>12.066993883158476</v>
      </c>
      <c r="L9">
        <f t="shared" si="11"/>
        <v>29.72419100667533</v>
      </c>
      <c r="M9">
        <f t="shared" si="12"/>
        <v>0.15580899332466913</v>
      </c>
      <c r="N9">
        <f t="shared" si="13"/>
        <v>2.4276442400846789E-2</v>
      </c>
    </row>
    <row r="10" spans="1:23" x14ac:dyDescent="0.45">
      <c r="A10" s="23">
        <v>42416</v>
      </c>
      <c r="B10">
        <v>28.56</v>
      </c>
      <c r="C10">
        <v>29.42</v>
      </c>
      <c r="G10">
        <f t="shared" si="6"/>
        <v>23.562967546741493</v>
      </c>
      <c r="H10">
        <f t="shared" si="7"/>
        <v>19.298236558293574</v>
      </c>
      <c r="I10">
        <f t="shared" si="8"/>
        <v>15.814299945051863</v>
      </c>
      <c r="J10">
        <f t="shared" si="9"/>
        <v>12.90335200548181</v>
      </c>
      <c r="K10">
        <f t="shared" si="10"/>
        <v>11.594125547878326</v>
      </c>
      <c r="L10">
        <f t="shared" si="11"/>
        <v>28.668842488748584</v>
      </c>
      <c r="M10">
        <f t="shared" si="12"/>
        <v>1.0911575112514171</v>
      </c>
      <c r="N10">
        <f t="shared" si="13"/>
        <v>1.1906247143603865</v>
      </c>
    </row>
    <row r="11" spans="1:23" x14ac:dyDescent="0.45">
      <c r="A11" s="23">
        <v>42412</v>
      </c>
      <c r="B11">
        <v>28.66</v>
      </c>
      <c r="C11">
        <v>28.12</v>
      </c>
      <c r="G11">
        <f t="shared" si="6"/>
        <v>23.608607743665019</v>
      </c>
      <c r="H11">
        <f t="shared" si="7"/>
        <v>19.352324542627539</v>
      </c>
      <c r="I11">
        <f t="shared" si="8"/>
        <v>15.880099725369949</v>
      </c>
      <c r="J11">
        <f t="shared" si="9"/>
        <v>12.963218363004994</v>
      </c>
      <c r="K11">
        <f t="shared" si="10"/>
        <v>11.648394398455348</v>
      </c>
      <c r="L11">
        <f t="shared" si="11"/>
        <v>28.762302397170348</v>
      </c>
      <c r="M11">
        <f t="shared" si="12"/>
        <v>-0.20230239717034948</v>
      </c>
      <c r="N11">
        <f t="shared" si="13"/>
        <v>4.0926259900869823E-2</v>
      </c>
    </row>
    <row r="12" spans="1:23" x14ac:dyDescent="0.45">
      <c r="A12" s="23">
        <v>42411</v>
      </c>
      <c r="B12">
        <v>29.6</v>
      </c>
      <c r="C12">
        <v>30.52</v>
      </c>
      <c r="G12">
        <f t="shared" si="6"/>
        <v>24.26180100428985</v>
      </c>
      <c r="H12">
        <f t="shared" si="7"/>
        <v>19.924742396585863</v>
      </c>
      <c r="I12">
        <f t="shared" si="8"/>
        <v>16.397313476548174</v>
      </c>
      <c r="J12">
        <f t="shared" si="9"/>
        <v>13.398690126943753</v>
      </c>
      <c r="K12">
        <f t="shared" si="10"/>
        <v>12.040034358942572</v>
      </c>
      <c r="L12">
        <f t="shared" si="11"/>
        <v>29.633656806130631</v>
      </c>
      <c r="M12">
        <f t="shared" si="12"/>
        <v>-0.97365680613063077</v>
      </c>
      <c r="N12">
        <f t="shared" si="13"/>
        <v>0.94800757612450071</v>
      </c>
    </row>
    <row r="13" spans="1:23" x14ac:dyDescent="0.45">
      <c r="A13" s="23">
        <v>42410</v>
      </c>
      <c r="B13">
        <v>29.06</v>
      </c>
      <c r="C13">
        <v>30.15</v>
      </c>
      <c r="G13">
        <f t="shared" si="6"/>
        <v>24.006056188634034</v>
      </c>
      <c r="H13">
        <f t="shared" si="7"/>
        <v>19.681108035252066</v>
      </c>
      <c r="I13">
        <f t="shared" si="8"/>
        <v>16.15372857872968</v>
      </c>
      <c r="J13">
        <f t="shared" si="9"/>
        <v>13.188411953559553</v>
      </c>
      <c r="K13">
        <f t="shared" si="10"/>
        <v>11.852172505274924</v>
      </c>
      <c r="L13">
        <f t="shared" si="11"/>
        <v>29.248484218632353</v>
      </c>
      <c r="M13">
        <f t="shared" si="12"/>
        <v>0.35151578136764883</v>
      </c>
      <c r="N13">
        <f t="shared" si="13"/>
        <v>0.12356334455050869</v>
      </c>
    </row>
    <row r="14" spans="1:23" x14ac:dyDescent="0.45">
      <c r="A14" s="23">
        <v>42409</v>
      </c>
      <c r="B14">
        <v>28.41</v>
      </c>
      <c r="C14">
        <v>28.81</v>
      </c>
      <c r="G14">
        <f t="shared" si="6"/>
        <v>23.729259959520686</v>
      </c>
      <c r="H14">
        <f t="shared" si="7"/>
        <v>19.399297358676833</v>
      </c>
      <c r="I14">
        <f t="shared" si="8"/>
        <v>15.851949774734146</v>
      </c>
      <c r="J14">
        <f t="shared" si="9"/>
        <v>12.923138909610763</v>
      </c>
      <c r="K14">
        <f t="shared" si="10"/>
        <v>11.614722737282912</v>
      </c>
      <c r="L14">
        <f t="shared" si="11"/>
        <v>28.789905264526048</v>
      </c>
      <c r="M14">
        <f t="shared" si="12"/>
        <v>0.27009473547395046</v>
      </c>
      <c r="N14">
        <f t="shared" si="13"/>
        <v>7.2951166130743275E-2</v>
      </c>
    </row>
    <row r="15" spans="1:23" x14ac:dyDescent="0.45">
      <c r="A15" s="23">
        <v>42408</v>
      </c>
      <c r="B15">
        <v>29.69</v>
      </c>
      <c r="C15">
        <v>28.72</v>
      </c>
      <c r="G15">
        <f t="shared" si="6"/>
        <v>24.775582392792707</v>
      </c>
      <c r="H15">
        <f t="shared" si="7"/>
        <v>20.253152990722725</v>
      </c>
      <c r="I15">
        <f t="shared" si="8"/>
        <v>16.54768679415681</v>
      </c>
      <c r="J15">
        <f t="shared" si="9"/>
        <v>13.489508747979533</v>
      </c>
      <c r="K15">
        <f t="shared" si="10"/>
        <v>12.123241643911634</v>
      </c>
      <c r="L15">
        <f t="shared" si="11"/>
        <v>30.040518853814547</v>
      </c>
      <c r="M15">
        <f t="shared" si="12"/>
        <v>-1.6305188538145465</v>
      </c>
      <c r="N15">
        <f t="shared" si="13"/>
        <v>2.6585917326447026</v>
      </c>
    </row>
    <row r="16" spans="1:23" x14ac:dyDescent="0.45">
      <c r="A16" s="23">
        <v>42405</v>
      </c>
      <c r="B16">
        <v>31.77</v>
      </c>
      <c r="C16">
        <v>30.53</v>
      </c>
      <c r="G16">
        <f t="shared" si="6"/>
        <v>26.33569052940026</v>
      </c>
      <c r="H16">
        <f t="shared" si="7"/>
        <v>21.558060863787222</v>
      </c>
      <c r="I16">
        <f t="shared" si="8"/>
        <v>17.651941963030183</v>
      </c>
      <c r="J16">
        <f t="shared" si="9"/>
        <v>14.399618760591723</v>
      </c>
      <c r="K16">
        <f t="shared" si="10"/>
        <v>12.940056916496786</v>
      </c>
      <c r="L16">
        <f t="shared" si="11"/>
        <v>31.977853158285377</v>
      </c>
      <c r="M16">
        <f t="shared" si="12"/>
        <v>-2.2878531582853761</v>
      </c>
      <c r="N16">
        <f t="shared" si="13"/>
        <v>5.2342720738763697</v>
      </c>
    </row>
    <row r="17" spans="1:14" x14ac:dyDescent="0.45">
      <c r="A17" s="23">
        <v>42404</v>
      </c>
      <c r="B17">
        <v>33.14</v>
      </c>
      <c r="C17">
        <v>31.94</v>
      </c>
      <c r="G17">
        <f t="shared" si="6"/>
        <v>27.342990442695594</v>
      </c>
      <c r="H17">
        <f t="shared" si="7"/>
        <v>22.398077608326449</v>
      </c>
      <c r="I17">
        <f t="shared" si="8"/>
        <v>18.359632411860382</v>
      </c>
      <c r="J17">
        <f t="shared" si="9"/>
        <v>14.981731952801658</v>
      </c>
      <c r="K17">
        <f t="shared" si="10"/>
        <v>13.461920466424488</v>
      </c>
      <c r="L17">
        <f t="shared" si="11"/>
        <v>33.222615641957944</v>
      </c>
      <c r="M17">
        <f t="shared" si="12"/>
        <v>-1.4526156419579443</v>
      </c>
      <c r="N17">
        <f t="shared" si="13"/>
        <v>2.1100922032608906</v>
      </c>
    </row>
    <row r="18" spans="1:14" x14ac:dyDescent="0.45">
      <c r="A18" s="23">
        <v>42403</v>
      </c>
      <c r="B18">
        <v>33.81</v>
      </c>
      <c r="C18">
        <v>33.119999999999997</v>
      </c>
      <c r="G18">
        <f t="shared" si="6"/>
        <v>27.870540782547369</v>
      </c>
      <c r="H18">
        <f t="shared" si="7"/>
        <v>22.837849214569946</v>
      </c>
      <c r="I18">
        <f t="shared" si="8"/>
        <v>18.72991431996093</v>
      </c>
      <c r="J18">
        <f t="shared" si="9"/>
        <v>15.286624845015654</v>
      </c>
      <c r="K18">
        <f t="shared" si="10"/>
        <v>13.735949369495946</v>
      </c>
      <c r="L18">
        <f t="shared" si="11"/>
        <v>33.87456083893224</v>
      </c>
      <c r="M18">
        <f t="shared" si="12"/>
        <v>-0.73456083893223934</v>
      </c>
      <c r="N18">
        <f t="shared" si="13"/>
        <v>0.53957962609283527</v>
      </c>
    </row>
    <row r="19" spans="1:14" x14ac:dyDescent="0.45">
      <c r="A19" s="23">
        <v>42402</v>
      </c>
      <c r="B19">
        <v>34.24</v>
      </c>
      <c r="C19">
        <v>33.42</v>
      </c>
      <c r="G19">
        <f t="shared" si="6"/>
        <v>28.107398265060016</v>
      </c>
      <c r="H19">
        <f t="shared" si="7"/>
        <v>23.062662096712494</v>
      </c>
      <c r="I19">
        <f t="shared" si="8"/>
        <v>18.953764202249797</v>
      </c>
      <c r="J19">
        <f t="shared" si="9"/>
        <v>15.480185249278914</v>
      </c>
      <c r="K19">
        <f t="shared" si="10"/>
        <v>13.909852407058393</v>
      </c>
      <c r="L19">
        <f t="shared" si="11"/>
        <v>34.229975941360181</v>
      </c>
      <c r="M19">
        <f t="shared" si="12"/>
        <v>-0.41997594136017824</v>
      </c>
      <c r="N19">
        <f t="shared" si="13"/>
        <v>0.17637979132136788</v>
      </c>
    </row>
    <row r="20" spans="1:14" x14ac:dyDescent="0.45">
      <c r="A20" s="23">
        <v>42401</v>
      </c>
      <c r="B20">
        <v>34.6</v>
      </c>
      <c r="C20">
        <v>34.67</v>
      </c>
      <c r="G20">
        <f t="shared" si="6"/>
        <v>28.437915885784076</v>
      </c>
      <c r="H20">
        <f t="shared" si="7"/>
        <v>23.320216247270345</v>
      </c>
      <c r="I20">
        <f t="shared" si="8"/>
        <v>19.14792907240486</v>
      </c>
      <c r="J20">
        <f t="shared" si="9"/>
        <v>15.633793894691197</v>
      </c>
      <c r="K20">
        <f t="shared" si="10"/>
        <v>14.047580921678771</v>
      </c>
      <c r="L20">
        <f t="shared" si="11"/>
        <v>34.597031468416418</v>
      </c>
      <c r="M20">
        <f t="shared" si="12"/>
        <v>-0.35703146841641598</v>
      </c>
      <c r="N20">
        <f t="shared" si="13"/>
        <v>0.12747146943958224</v>
      </c>
    </row>
    <row r="21" spans="1:14" x14ac:dyDescent="0.45">
      <c r="A21" s="23">
        <v>42398</v>
      </c>
      <c r="B21">
        <v>33.630000000000003</v>
      </c>
      <c r="C21">
        <v>34.82</v>
      </c>
      <c r="G21">
        <f t="shared" si="6"/>
        <v>27.816990369489357</v>
      </c>
      <c r="H21">
        <f t="shared" si="7"/>
        <v>22.779842399033885</v>
      </c>
      <c r="I21">
        <f t="shared" si="8"/>
        <v>18.664191451651345</v>
      </c>
      <c r="J21">
        <f t="shared" si="9"/>
        <v>15.228385364524923</v>
      </c>
      <c r="K21">
        <f t="shared" si="10"/>
        <v>13.684361338055444</v>
      </c>
      <c r="L21">
        <f t="shared" si="11"/>
        <v>33.778188299258296</v>
      </c>
      <c r="M21">
        <f t="shared" si="12"/>
        <v>0.82181170074170495</v>
      </c>
      <c r="N21">
        <f t="shared" si="13"/>
        <v>0.67537447147597363</v>
      </c>
    </row>
    <row r="22" spans="1:14" x14ac:dyDescent="0.45">
      <c r="A22" s="23">
        <v>42397</v>
      </c>
      <c r="B22">
        <v>34.53</v>
      </c>
      <c r="C22">
        <v>33.79</v>
      </c>
      <c r="G22">
        <f t="shared" si="6"/>
        <v>28.418942270228833</v>
      </c>
      <c r="H22">
        <f t="shared" si="7"/>
        <v>23.297107966437128</v>
      </c>
      <c r="I22">
        <f t="shared" si="8"/>
        <v>19.119263485296834</v>
      </c>
      <c r="J22">
        <f t="shared" si="9"/>
        <v>15.607820445627388</v>
      </c>
      <c r="K22">
        <f t="shared" si="10"/>
        <v>14.024424834684178</v>
      </c>
      <c r="L22">
        <f t="shared" si="11"/>
        <v>34.55697806957356</v>
      </c>
      <c r="M22">
        <f t="shared" si="12"/>
        <v>-0.92697806957355766</v>
      </c>
      <c r="N22">
        <f t="shared" si="13"/>
        <v>0.85928834147031952</v>
      </c>
    </row>
    <row r="23" spans="1:14" x14ac:dyDescent="0.45">
      <c r="A23" s="23">
        <v>42396</v>
      </c>
      <c r="B23">
        <v>35.25</v>
      </c>
      <c r="C23">
        <v>34.07</v>
      </c>
      <c r="G23">
        <f t="shared" si="6"/>
        <v>29.011065926658954</v>
      </c>
      <c r="H23">
        <f t="shared" si="7"/>
        <v>23.775995123409114</v>
      </c>
      <c r="I23">
        <f t="shared" si="8"/>
        <v>19.503899460147554</v>
      </c>
      <c r="J23">
        <f t="shared" si="9"/>
        <v>15.919264806396868</v>
      </c>
      <c r="K23">
        <f t="shared" si="10"/>
        <v>14.303820563564326</v>
      </c>
      <c r="L23">
        <f t="shared" si="11"/>
        <v>35.254675485799943</v>
      </c>
      <c r="M23">
        <f t="shared" si="12"/>
        <v>-0.72467548579994201</v>
      </c>
      <c r="N23">
        <f t="shared" si="13"/>
        <v>0.52515455971938196</v>
      </c>
    </row>
    <row r="24" spans="1:14" x14ac:dyDescent="0.45">
      <c r="A24" s="23">
        <v>42395</v>
      </c>
      <c r="B24">
        <v>34.85</v>
      </c>
      <c r="C24">
        <v>35.299999999999997</v>
      </c>
      <c r="G24">
        <f t="shared" si="6"/>
        <v>28.66027312776021</v>
      </c>
      <c r="H24">
        <f t="shared" si="7"/>
        <v>23.494686638627066</v>
      </c>
      <c r="I24">
        <f t="shared" si="8"/>
        <v>19.281079930925266</v>
      </c>
      <c r="J24">
        <f t="shared" si="9"/>
        <v>15.739603099487207</v>
      </c>
      <c r="K24">
        <f t="shared" si="10"/>
        <v>14.142423915089166</v>
      </c>
      <c r="L24">
        <f t="shared" si="11"/>
        <v>34.846700895329072</v>
      </c>
      <c r="M24">
        <f t="shared" si="12"/>
        <v>0.40329910467092844</v>
      </c>
      <c r="N24">
        <f t="shared" si="13"/>
        <v>0.16265016782837249</v>
      </c>
    </row>
    <row r="25" spans="1:14" x14ac:dyDescent="0.45">
      <c r="A25" s="23">
        <v>42394</v>
      </c>
      <c r="B25">
        <v>35.76</v>
      </c>
      <c r="C25">
        <v>34.729999999999997</v>
      </c>
      <c r="G25">
        <f t="shared" si="6"/>
        <v>29.305634805163226</v>
      </c>
      <c r="H25">
        <f t="shared" si="7"/>
        <v>24.0496565208493</v>
      </c>
      <c r="I25">
        <f t="shared" si="8"/>
        <v>19.769813348280728</v>
      </c>
      <c r="J25">
        <f t="shared" si="9"/>
        <v>16.147685069124488</v>
      </c>
      <c r="K25">
        <f t="shared" si="10"/>
        <v>14.509005175656535</v>
      </c>
      <c r="L25">
        <f t="shared" si="11"/>
        <v>35.683076519445059</v>
      </c>
      <c r="M25">
        <f t="shared" si="12"/>
        <v>-0.83307651944505778</v>
      </c>
      <c r="N25">
        <f t="shared" si="13"/>
        <v>0.69401648725069176</v>
      </c>
    </row>
    <row r="26" spans="1:14" x14ac:dyDescent="0.45">
      <c r="A26" s="23">
        <v>42391</v>
      </c>
      <c r="B26">
        <v>35.08</v>
      </c>
      <c r="C26">
        <v>35.92</v>
      </c>
      <c r="G26">
        <f t="shared" si="6"/>
        <v>28.774594603448296</v>
      </c>
      <c r="H26">
        <f t="shared" si="7"/>
        <v>23.603910733813009</v>
      </c>
      <c r="I26">
        <f t="shared" si="8"/>
        <v>19.390630737487189</v>
      </c>
      <c r="J26">
        <f t="shared" si="9"/>
        <v>15.834357229235332</v>
      </c>
      <c r="K26">
        <f t="shared" si="10"/>
        <v>14.227270450462559</v>
      </c>
      <c r="L26">
        <f t="shared" si="11"/>
        <v>35.019716478070279</v>
      </c>
      <c r="M26">
        <f t="shared" si="12"/>
        <v>0.7402835219297188</v>
      </c>
      <c r="N26">
        <f t="shared" si="13"/>
        <v>0.54801969284066843</v>
      </c>
    </row>
    <row r="27" spans="1:14" x14ac:dyDescent="0.45">
      <c r="A27" s="23">
        <v>42390</v>
      </c>
      <c r="B27">
        <v>34.79</v>
      </c>
      <c r="C27">
        <v>34.56</v>
      </c>
      <c r="G27">
        <f t="shared" si="6"/>
        <v>28.661441189612866</v>
      </c>
      <c r="H27">
        <f t="shared" si="7"/>
        <v>23.486131271424266</v>
      </c>
      <c r="I27">
        <f t="shared" si="8"/>
        <v>19.261841596150784</v>
      </c>
      <c r="J27">
        <f t="shared" si="9"/>
        <v>15.720675911422285</v>
      </c>
      <c r="K27">
        <f t="shared" si="10"/>
        <v>14.125678669536429</v>
      </c>
      <c r="L27">
        <f t="shared" si="11"/>
        <v>34.826454893352029</v>
      </c>
      <c r="M27">
        <f t="shared" si="12"/>
        <v>0.25354510664796948</v>
      </c>
      <c r="N27">
        <f t="shared" si="13"/>
        <v>6.4285121105130211E-2</v>
      </c>
    </row>
    <row r="28" spans="1:14" x14ac:dyDescent="0.45">
      <c r="A28" s="23">
        <v>42389</v>
      </c>
      <c r="B28">
        <v>34.53</v>
      </c>
      <c r="C28">
        <v>34.71</v>
      </c>
      <c r="G28">
        <f t="shared" si="6"/>
        <v>28.4105437021767</v>
      </c>
      <c r="H28">
        <f t="shared" si="7"/>
        <v>23.307871399045535</v>
      </c>
      <c r="I28">
        <f t="shared" si="8"/>
        <v>19.150759095005185</v>
      </c>
      <c r="J28">
        <f t="shared" si="9"/>
        <v>15.6403376719849</v>
      </c>
      <c r="K28">
        <f t="shared" si="10"/>
        <v>14.054694233567384</v>
      </c>
      <c r="L28">
        <f t="shared" si="11"/>
        <v>34.587954525038342</v>
      </c>
      <c r="M28">
        <f t="shared" si="12"/>
        <v>0.20204547496165759</v>
      </c>
      <c r="N28">
        <f t="shared" si="13"/>
        <v>4.0822373952481804E-2</v>
      </c>
    </row>
    <row r="29" spans="1:14" x14ac:dyDescent="0.45">
      <c r="A29" s="23">
        <v>42388</v>
      </c>
      <c r="B29">
        <v>35.520000000000003</v>
      </c>
      <c r="C29">
        <v>35.15</v>
      </c>
      <c r="G29">
        <f t="shared" si="6"/>
        <v>29.162296986457424</v>
      </c>
      <c r="H29">
        <f t="shared" si="7"/>
        <v>23.927735131180885</v>
      </c>
      <c r="I29">
        <f t="shared" si="8"/>
        <v>19.664082647638615</v>
      </c>
      <c r="J29">
        <f t="shared" si="9"/>
        <v>16.060175044180649</v>
      </c>
      <c r="K29">
        <f t="shared" si="10"/>
        <v>14.4310477785553</v>
      </c>
      <c r="L29">
        <f t="shared" si="11"/>
        <v>35.500775688483436</v>
      </c>
      <c r="M29">
        <f t="shared" si="12"/>
        <v>-0.97077568848343532</v>
      </c>
      <c r="N29">
        <f t="shared" si="13"/>
        <v>0.94240543735048787</v>
      </c>
    </row>
    <row r="30" spans="1:14" x14ac:dyDescent="0.45">
      <c r="A30" s="23">
        <v>42384</v>
      </c>
      <c r="B30">
        <v>34.31</v>
      </c>
      <c r="C30">
        <v>34.909999999999997</v>
      </c>
      <c r="G30">
        <f t="shared" si="6"/>
        <v>28.501506210877356</v>
      </c>
      <c r="H30">
        <f t="shared" si="7"/>
        <v>23.306685142048838</v>
      </c>
      <c r="I30">
        <f t="shared" si="8"/>
        <v>19.052500730322052</v>
      </c>
      <c r="J30">
        <f t="shared" si="9"/>
        <v>15.533201564431234</v>
      </c>
      <c r="K30">
        <f t="shared" si="10"/>
        <v>13.958166320268557</v>
      </c>
      <c r="L30">
        <f t="shared" si="11"/>
        <v>34.523645479235199</v>
      </c>
      <c r="M30">
        <f t="shared" si="12"/>
        <v>0.99635452076480391</v>
      </c>
      <c r="N30">
        <f t="shared" si="13"/>
        <v>0.99272233104846208</v>
      </c>
    </row>
    <row r="31" spans="1:14" x14ac:dyDescent="0.45">
      <c r="A31" s="23">
        <v>42383</v>
      </c>
      <c r="B31">
        <v>34.92</v>
      </c>
      <c r="C31">
        <v>35.4</v>
      </c>
      <c r="G31">
        <f t="shared" si="6"/>
        <v>28.882694029379621</v>
      </c>
      <c r="H31">
        <f t="shared" si="7"/>
        <v>23.650671290494472</v>
      </c>
      <c r="I31">
        <f t="shared" si="8"/>
        <v>19.375250971603233</v>
      </c>
      <c r="J31">
        <f t="shared" si="9"/>
        <v>15.80779552002654</v>
      </c>
      <c r="K31">
        <f t="shared" si="10"/>
        <v>14.20487290470159</v>
      </c>
      <c r="L31">
        <f t="shared" si="11"/>
        <v>35.054789074925473</v>
      </c>
      <c r="M31">
        <f t="shared" si="12"/>
        <v>-0.74478907492547108</v>
      </c>
      <c r="N31">
        <f t="shared" si="13"/>
        <v>0.55471076612833903</v>
      </c>
    </row>
    <row r="32" spans="1:14" x14ac:dyDescent="0.45">
      <c r="A32" s="23">
        <v>42382</v>
      </c>
      <c r="B32">
        <v>37.479999999999997</v>
      </c>
      <c r="C32">
        <v>34.86</v>
      </c>
      <c r="G32">
        <f t="shared" si="6"/>
        <v>30.643420895669312</v>
      </c>
      <c r="H32">
        <f t="shared" si="7"/>
        <v>25.155897097978013</v>
      </c>
      <c r="I32">
        <f t="shared" si="8"/>
        <v>20.689949349896217</v>
      </c>
      <c r="J32">
        <f t="shared" si="9"/>
        <v>16.901803822062512</v>
      </c>
      <c r="K32">
        <f t="shared" si="10"/>
        <v>15.185868897532313</v>
      </c>
      <c r="L32">
        <f t="shared" si="11"/>
        <v>37.315234813876003</v>
      </c>
      <c r="M32">
        <f t="shared" si="12"/>
        <v>-2.3952348138760016</v>
      </c>
      <c r="N32">
        <f t="shared" si="13"/>
        <v>5.7371498136036037</v>
      </c>
    </row>
    <row r="33" spans="1:14" x14ac:dyDescent="0.45">
      <c r="A33" s="23">
        <v>42381</v>
      </c>
      <c r="B33">
        <v>36.65</v>
      </c>
      <c r="C33">
        <v>37.119999999999997</v>
      </c>
      <c r="G33">
        <f t="shared" si="6"/>
        <v>30.131857033380975</v>
      </c>
      <c r="H33">
        <f t="shared" si="7"/>
        <v>24.703227174653506</v>
      </c>
      <c r="I33">
        <f t="shared" si="8"/>
        <v>20.275686475682168</v>
      </c>
      <c r="J33">
        <f t="shared" si="9"/>
        <v>16.552292703362138</v>
      </c>
      <c r="K33">
        <f t="shared" si="10"/>
        <v>14.8726366698085</v>
      </c>
      <c r="L33">
        <f t="shared" si="11"/>
        <v>36.623454086330902</v>
      </c>
      <c r="M33">
        <f t="shared" si="12"/>
        <v>0.85654591366909472</v>
      </c>
      <c r="N33">
        <f t="shared" si="13"/>
        <v>0.73367090222322429</v>
      </c>
    </row>
    <row r="34" spans="1:14" x14ac:dyDescent="0.45">
      <c r="A34" s="23">
        <v>42380</v>
      </c>
      <c r="B34">
        <v>35.9</v>
      </c>
      <c r="C34">
        <v>36.21</v>
      </c>
      <c r="G34">
        <f t="shared" si="6"/>
        <v>29.529218333247393</v>
      </c>
      <c r="H34">
        <f t="shared" si="7"/>
        <v>24.220090045478532</v>
      </c>
      <c r="I34">
        <f t="shared" si="8"/>
        <v>19.893173739054468</v>
      </c>
      <c r="J34">
        <f t="shared" si="9"/>
        <v>16.244424846034004</v>
      </c>
      <c r="K34">
        <f t="shared" si="10"/>
        <v>14.597007909645752</v>
      </c>
      <c r="L34">
        <f t="shared" si="11"/>
        <v>35.923445920807943</v>
      </c>
      <c r="M34">
        <f t="shared" si="12"/>
        <v>0.72655407919205572</v>
      </c>
      <c r="N34">
        <f t="shared" si="13"/>
        <v>0.52788082999061603</v>
      </c>
    </row>
    <row r="35" spans="1:14" x14ac:dyDescent="0.45">
      <c r="A35" s="23">
        <v>42377</v>
      </c>
      <c r="B35">
        <v>36.79</v>
      </c>
      <c r="C35">
        <v>35.71</v>
      </c>
      <c r="G35">
        <f t="shared" si="6"/>
        <v>30.219526376868689</v>
      </c>
      <c r="H35">
        <f t="shared" si="7"/>
        <v>24.792185619572198</v>
      </c>
      <c r="I35">
        <f t="shared" si="8"/>
        <v>20.370637265878933</v>
      </c>
      <c r="J35">
        <f t="shared" si="9"/>
        <v>16.636206689607381</v>
      </c>
      <c r="K35">
        <f t="shared" si="10"/>
        <v>14.948705286214841</v>
      </c>
      <c r="L35">
        <f t="shared" si="11"/>
        <v>36.76858550038731</v>
      </c>
      <c r="M35">
        <f t="shared" si="12"/>
        <v>-0.86858550038731153</v>
      </c>
      <c r="N35">
        <f t="shared" si="13"/>
        <v>0.75444077148307631</v>
      </c>
    </row>
    <row r="36" spans="1:14" x14ac:dyDescent="0.45">
      <c r="A36" s="23">
        <v>42376</v>
      </c>
      <c r="B36">
        <v>35.79</v>
      </c>
      <c r="C36">
        <v>36.270000000000003</v>
      </c>
      <c r="G36">
        <f t="shared" si="6"/>
        <v>29.646434753522001</v>
      </c>
      <c r="H36">
        <f t="shared" si="7"/>
        <v>24.275191539834672</v>
      </c>
      <c r="I36">
        <f t="shared" si="8"/>
        <v>19.885753135416088</v>
      </c>
      <c r="J36">
        <f t="shared" si="9"/>
        <v>16.224387021323384</v>
      </c>
      <c r="K36">
        <f t="shared" si="10"/>
        <v>14.579952563894322</v>
      </c>
      <c r="L36">
        <f t="shared" si="11"/>
        <v>35.971171996781756</v>
      </c>
      <c r="M36">
        <f t="shared" si="12"/>
        <v>0.81882800321824334</v>
      </c>
      <c r="N36">
        <f t="shared" si="13"/>
        <v>0.67047929885437552</v>
      </c>
    </row>
    <row r="37" spans="1:14" x14ac:dyDescent="0.45">
      <c r="A37" s="23">
        <v>42375</v>
      </c>
      <c r="B37">
        <v>36.32</v>
      </c>
      <c r="C37">
        <v>36.79</v>
      </c>
      <c r="G37">
        <f t="shared" si="6"/>
        <v>30.055500932422014</v>
      </c>
      <c r="H37">
        <f t="shared" si="7"/>
        <v>24.615858316911751</v>
      </c>
      <c r="I37">
        <f t="shared" si="8"/>
        <v>20.172167262612639</v>
      </c>
      <c r="J37">
        <f t="shared" si="9"/>
        <v>16.460013337366824</v>
      </c>
      <c r="K37">
        <f t="shared" si="10"/>
        <v>14.791549375909465</v>
      </c>
      <c r="L37">
        <f t="shared" si="11"/>
        <v>36.475820378226047</v>
      </c>
      <c r="M37">
        <f t="shared" si="12"/>
        <v>-0.68582037822604747</v>
      </c>
      <c r="N37">
        <f t="shared" si="13"/>
        <v>0.47034959119011882</v>
      </c>
    </row>
    <row r="38" spans="1:14" x14ac:dyDescent="0.45">
      <c r="A38" s="23">
        <v>42374</v>
      </c>
      <c r="B38">
        <v>37.79</v>
      </c>
      <c r="C38">
        <v>37.14</v>
      </c>
      <c r="G38">
        <f t="shared" si="6"/>
        <v>31.212373982688248</v>
      </c>
      <c r="H38">
        <f t="shared" si="7"/>
        <v>25.566079961943075</v>
      </c>
      <c r="I38">
        <f t="shared" si="8"/>
        <v>20.954360316613702</v>
      </c>
      <c r="J38">
        <f t="shared" si="9"/>
        <v>17.098755215428</v>
      </c>
      <c r="K38">
        <f t="shared" si="10"/>
        <v>15.36466265047267</v>
      </c>
      <c r="L38">
        <f t="shared" si="11"/>
        <v>37.872434272573045</v>
      </c>
      <c r="M38">
        <f t="shared" si="12"/>
        <v>-1.5524342725730449</v>
      </c>
      <c r="N38">
        <f t="shared" si="13"/>
        <v>2.4100521706593989</v>
      </c>
    </row>
    <row r="39" spans="1:14" x14ac:dyDescent="0.45">
      <c r="A39" s="23">
        <v>42373</v>
      </c>
      <c r="B39">
        <v>38.049999999999997</v>
      </c>
      <c r="C39">
        <v>37.619999999999997</v>
      </c>
      <c r="G39">
        <f t="shared" si="6"/>
        <v>31.418720422002082</v>
      </c>
      <c r="H39">
        <f t="shared" si="7"/>
        <v>25.731637095030621</v>
      </c>
      <c r="I39">
        <f t="shared" si="8"/>
        <v>21.08560553102302</v>
      </c>
      <c r="J39">
        <f t="shared" si="9"/>
        <v>17.204416963443936</v>
      </c>
      <c r="K39">
        <f t="shared" si="10"/>
        <v>15.459222859026022</v>
      </c>
      <c r="L39">
        <f t="shared" si="11"/>
        <v>38.112392911190483</v>
      </c>
      <c r="M39">
        <f t="shared" si="12"/>
        <v>-0.32239291119048374</v>
      </c>
      <c r="N39">
        <f t="shared" si="13"/>
        <v>0.10393718918587513</v>
      </c>
    </row>
    <row r="40" spans="1:14" x14ac:dyDescent="0.45">
      <c r="A40" s="23">
        <v>42369</v>
      </c>
      <c r="B40">
        <v>39.24</v>
      </c>
      <c r="C40">
        <v>38.71</v>
      </c>
      <c r="G40">
        <f t="shared" si="6"/>
        <v>32.257761794534154</v>
      </c>
      <c r="H40">
        <f t="shared" si="7"/>
        <v>26.447323560450947</v>
      </c>
      <c r="I40">
        <f t="shared" si="8"/>
        <v>21.708730679645591</v>
      </c>
      <c r="J40">
        <f t="shared" si="9"/>
        <v>17.722609856502114</v>
      </c>
      <c r="K40">
        <f t="shared" si="10"/>
        <v>15.924214977546253</v>
      </c>
      <c r="L40">
        <f t="shared" si="11"/>
        <v>39.186096716521817</v>
      </c>
      <c r="M40">
        <f t="shared" si="12"/>
        <v>-1.1360967165218199</v>
      </c>
      <c r="N40">
        <f t="shared" si="13"/>
        <v>1.2907157492916603</v>
      </c>
    </row>
    <row r="41" spans="1:14" x14ac:dyDescent="0.45">
      <c r="A41" s="23">
        <v>42368</v>
      </c>
      <c r="B41">
        <v>39.57</v>
      </c>
      <c r="C41">
        <v>39.43</v>
      </c>
      <c r="G41">
        <f t="shared" si="6"/>
        <v>32.451973732489627</v>
      </c>
      <c r="H41">
        <f t="shared" si="7"/>
        <v>26.626258636896956</v>
      </c>
      <c r="I41">
        <f t="shared" si="8"/>
        <v>21.880908830259241</v>
      </c>
      <c r="J41">
        <f t="shared" si="9"/>
        <v>17.870112440165869</v>
      </c>
      <c r="K41">
        <f t="shared" si="10"/>
        <v>16.056703006868531</v>
      </c>
      <c r="L41">
        <f t="shared" si="11"/>
        <v>39.465118509161528</v>
      </c>
      <c r="M41">
        <f t="shared" si="12"/>
        <v>-0.22511850916152554</v>
      </c>
      <c r="N41">
        <f t="shared" si="13"/>
        <v>5.0678343167107856E-2</v>
      </c>
    </row>
    <row r="42" spans="1:14" x14ac:dyDescent="0.45">
      <c r="A42" s="23">
        <v>42367</v>
      </c>
      <c r="B42">
        <v>39.340000000000003</v>
      </c>
      <c r="C42">
        <v>39.58</v>
      </c>
      <c r="G42">
        <f t="shared" si="6"/>
        <v>32.304975604690256</v>
      </c>
      <c r="H42">
        <f t="shared" si="7"/>
        <v>26.498029387111863</v>
      </c>
      <c r="I42">
        <f t="shared" si="8"/>
        <v>21.76575506937381</v>
      </c>
      <c r="J42">
        <f t="shared" si="9"/>
        <v>17.773503910440549</v>
      </c>
      <c r="K42">
        <f t="shared" si="10"/>
        <v>15.970130806597028</v>
      </c>
      <c r="L42">
        <f t="shared" si="11"/>
        <v>39.270565936242136</v>
      </c>
      <c r="M42">
        <f t="shared" si="12"/>
        <v>0.29943406375786452</v>
      </c>
      <c r="N42">
        <f t="shared" si="13"/>
        <v>8.9660758538548879E-2</v>
      </c>
    </row>
    <row r="43" spans="1:14" x14ac:dyDescent="0.45">
      <c r="A43" s="23">
        <v>42366</v>
      </c>
      <c r="B43">
        <v>38.76</v>
      </c>
      <c r="C43">
        <v>39.03</v>
      </c>
      <c r="G43">
        <f t="shared" si="6"/>
        <v>31.914637259692995</v>
      </c>
      <c r="H43">
        <f t="shared" si="7"/>
        <v>26.155906136517313</v>
      </c>
      <c r="I43">
        <f t="shared" si="8"/>
        <v>21.456559628155926</v>
      </c>
      <c r="J43">
        <f t="shared" si="9"/>
        <v>17.513302065003707</v>
      </c>
      <c r="K43">
        <f t="shared" si="10"/>
        <v>15.736386204434607</v>
      </c>
      <c r="L43">
        <f t="shared" si="11"/>
        <v>38.749891267379375</v>
      </c>
      <c r="M43">
        <f t="shared" si="12"/>
        <v>0.59010873262062802</v>
      </c>
      <c r="N43">
        <f t="shared" si="13"/>
        <v>0.34822831631512385</v>
      </c>
    </row>
    <row r="44" spans="1:14" x14ac:dyDescent="0.45">
      <c r="A44" s="23">
        <v>42362</v>
      </c>
      <c r="B44">
        <v>38.94</v>
      </c>
      <c r="C44">
        <v>38.92</v>
      </c>
      <c r="G44">
        <f t="shared" si="6"/>
        <v>32.053480744334237</v>
      </c>
      <c r="H44">
        <f t="shared" si="7"/>
        <v>26.268296125953746</v>
      </c>
      <c r="I44">
        <f t="shared" si="8"/>
        <v>21.546958568556498</v>
      </c>
      <c r="J44">
        <f t="shared" si="9"/>
        <v>17.586449934418539</v>
      </c>
      <c r="K44">
        <f t="shared" si="10"/>
        <v>15.801848520425295</v>
      </c>
      <c r="L44">
        <f t="shared" si="11"/>
        <v>38.913621456024934</v>
      </c>
      <c r="M44">
        <f t="shared" si="12"/>
        <v>-0.15362145602493626</v>
      </c>
      <c r="N44">
        <f t="shared" si="13"/>
        <v>2.3599551751221425E-2</v>
      </c>
    </row>
    <row r="45" spans="1:14" x14ac:dyDescent="0.45">
      <c r="A45" s="23">
        <v>42361</v>
      </c>
      <c r="B45">
        <v>39.380000000000003</v>
      </c>
      <c r="C45">
        <v>38.840000000000003</v>
      </c>
      <c r="G45">
        <f t="shared" si="6"/>
        <v>32.323627843335686</v>
      </c>
      <c r="H45">
        <f t="shared" si="7"/>
        <v>26.515269361915294</v>
      </c>
      <c r="I45">
        <f t="shared" si="8"/>
        <v>21.782407117923594</v>
      </c>
      <c r="J45">
        <f t="shared" si="9"/>
        <v>17.787720105627923</v>
      </c>
      <c r="K45">
        <f t="shared" si="10"/>
        <v>15.982781019362836</v>
      </c>
      <c r="L45">
        <f t="shared" si="11"/>
        <v>39.297418263379981</v>
      </c>
      <c r="M45">
        <f t="shared" si="12"/>
        <v>-0.35741826337998361</v>
      </c>
      <c r="N45">
        <f t="shared" si="13"/>
        <v>0.12774781499756332</v>
      </c>
    </row>
    <row r="46" spans="1:14" x14ac:dyDescent="0.45">
      <c r="A46" s="23">
        <v>42360</v>
      </c>
      <c r="B46">
        <v>39.56</v>
      </c>
      <c r="C46">
        <v>39.21</v>
      </c>
      <c r="G46">
        <f t="shared" si="6"/>
        <v>32.412637021579982</v>
      </c>
      <c r="H46">
        <f t="shared" si="7"/>
        <v>26.598876366705042</v>
      </c>
      <c r="I46">
        <f t="shared" si="8"/>
        <v>21.864684940495433</v>
      </c>
      <c r="J46">
        <f t="shared" si="9"/>
        <v>17.858464738988463</v>
      </c>
      <c r="K46">
        <f t="shared" si="10"/>
        <v>16.046007770266204</v>
      </c>
      <c r="L46">
        <f t="shared" si="11"/>
        <v>39.42877313259703</v>
      </c>
      <c r="M46">
        <f t="shared" si="12"/>
        <v>-4.8773132597027313E-2</v>
      </c>
      <c r="N46">
        <f t="shared" si="13"/>
        <v>2.3788184633272082E-3</v>
      </c>
    </row>
    <row r="47" spans="1:14" x14ac:dyDescent="0.45">
      <c r="A47" s="23">
        <v>42359</v>
      </c>
      <c r="B47">
        <v>38.86</v>
      </c>
      <c r="C47">
        <v>38.74</v>
      </c>
      <c r="G47">
        <f t="shared" si="6"/>
        <v>31.976374107123682</v>
      </c>
      <c r="H47">
        <f t="shared" si="7"/>
        <v>26.20747723938517</v>
      </c>
      <c r="I47">
        <f t="shared" si="8"/>
        <v>21.500116935190572</v>
      </c>
      <c r="J47">
        <f t="shared" si="9"/>
        <v>17.549034817232396</v>
      </c>
      <c r="K47">
        <f t="shared" si="10"/>
        <v>15.768188602174567</v>
      </c>
      <c r="L47">
        <f t="shared" si="11"/>
        <v>38.826242556339736</v>
      </c>
      <c r="M47">
        <f t="shared" si="12"/>
        <v>0.73375744366026652</v>
      </c>
      <c r="N47">
        <f t="shared" si="13"/>
        <v>0.53839998612684914</v>
      </c>
    </row>
    <row r="48" spans="1:14" x14ac:dyDescent="0.45">
      <c r="A48" s="23">
        <v>42356</v>
      </c>
      <c r="B48">
        <v>38.47</v>
      </c>
      <c r="C48">
        <v>38.47</v>
      </c>
      <c r="G48">
        <f t="shared" si="6"/>
        <v>31.642501769722667</v>
      </c>
      <c r="H48">
        <f t="shared" si="7"/>
        <v>25.9326412079389</v>
      </c>
      <c r="I48">
        <f t="shared" si="8"/>
        <v>21.273108546341312</v>
      </c>
      <c r="J48">
        <f t="shared" si="9"/>
        <v>17.363150548823672</v>
      </c>
      <c r="K48">
        <f t="shared" si="10"/>
        <v>15.600853221857209</v>
      </c>
      <c r="L48">
        <f t="shared" si="11"/>
        <v>38.421470974733509</v>
      </c>
      <c r="M48">
        <f t="shared" si="12"/>
        <v>0.43852902526649018</v>
      </c>
      <c r="N48">
        <f t="shared" si="13"/>
        <v>0.19230770600117797</v>
      </c>
    </row>
    <row r="49" spans="1:14" x14ac:dyDescent="0.45">
      <c r="A49" s="23">
        <v>42355</v>
      </c>
      <c r="B49">
        <v>39.36</v>
      </c>
      <c r="C49">
        <v>38.869999999999997</v>
      </c>
      <c r="G49">
        <f t="shared" si="6"/>
        <v>32.237776202054732</v>
      </c>
      <c r="H49">
        <f t="shared" si="7"/>
        <v>26.451712505273385</v>
      </c>
      <c r="I49">
        <f t="shared" si="8"/>
        <v>21.739010137389549</v>
      </c>
      <c r="J49">
        <f t="shared" si="9"/>
        <v>17.754282026231518</v>
      </c>
      <c r="K49">
        <f t="shared" si="10"/>
        <v>15.951949680051923</v>
      </c>
      <c r="L49">
        <f t="shared" si="11"/>
        <v>39.20922303347637</v>
      </c>
      <c r="M49">
        <f t="shared" si="12"/>
        <v>-0.73922303347637097</v>
      </c>
      <c r="N49">
        <f t="shared" si="13"/>
        <v>0.5464506932220079</v>
      </c>
    </row>
    <row r="50" spans="1:14" x14ac:dyDescent="0.45">
      <c r="A50" s="23">
        <v>42354</v>
      </c>
      <c r="B50">
        <v>38.94</v>
      </c>
      <c r="C50">
        <v>39.21</v>
      </c>
      <c r="G50">
        <f t="shared" si="6"/>
        <v>31.859031439621575</v>
      </c>
      <c r="H50">
        <f t="shared" si="7"/>
        <v>26.15830542850615</v>
      </c>
      <c r="I50">
        <f t="shared" si="8"/>
        <v>21.5201501398417</v>
      </c>
      <c r="J50">
        <f t="shared" si="9"/>
        <v>17.58196166511005</v>
      </c>
      <c r="K50">
        <f t="shared" si="10"/>
        <v>15.797678440366669</v>
      </c>
      <c r="L50">
        <f t="shared" si="11"/>
        <v>38.7927059645681</v>
      </c>
      <c r="M50">
        <f t="shared" si="12"/>
        <v>0.5672940354318996</v>
      </c>
      <c r="N50">
        <f t="shared" si="13"/>
        <v>0.32182252263660938</v>
      </c>
    </row>
    <row r="51" spans="1:14" x14ac:dyDescent="0.45">
      <c r="A51" s="23">
        <v>42353</v>
      </c>
      <c r="B51">
        <v>38.33</v>
      </c>
      <c r="C51">
        <v>38.71</v>
      </c>
      <c r="G51">
        <f t="shared" si="6"/>
        <v>31.470460115905581</v>
      </c>
      <c r="H51">
        <f t="shared" si="7"/>
        <v>25.81904292389045</v>
      </c>
      <c r="I51">
        <f t="shared" si="8"/>
        <v>21.215114806855887</v>
      </c>
      <c r="J51">
        <f t="shared" si="9"/>
        <v>17.325963522349475</v>
      </c>
      <c r="K51">
        <f t="shared" si="10"/>
        <v>15.568283091259106</v>
      </c>
      <c r="L51">
        <f t="shared" si="11"/>
        <v>38.277738298750208</v>
      </c>
      <c r="M51">
        <f t="shared" si="12"/>
        <v>0.66226170124978978</v>
      </c>
      <c r="N51">
        <f t="shared" si="13"/>
        <v>0.43859056094226578</v>
      </c>
    </row>
    <row r="52" spans="1:14" x14ac:dyDescent="0.45">
      <c r="A52" s="23">
        <v>42352</v>
      </c>
      <c r="B52">
        <v>37.270000000000003</v>
      </c>
      <c r="C52">
        <v>37.96</v>
      </c>
      <c r="G52">
        <f t="shared" si="6"/>
        <v>30.776254869845157</v>
      </c>
      <c r="H52">
        <f t="shared" si="7"/>
        <v>25.207438692892872</v>
      </c>
      <c r="I52">
        <f t="shared" si="8"/>
        <v>20.658593085892463</v>
      </c>
      <c r="J52">
        <f t="shared" si="9"/>
        <v>16.856791596994324</v>
      </c>
      <c r="K52">
        <f t="shared" si="10"/>
        <v>15.14702291754859</v>
      </c>
      <c r="L52">
        <f t="shared" si="11"/>
        <v>37.344640942252632</v>
      </c>
      <c r="M52">
        <f t="shared" si="12"/>
        <v>0.98535905774736676</v>
      </c>
      <c r="N52">
        <f t="shared" si="13"/>
        <v>0.97093247268477845</v>
      </c>
    </row>
    <row r="53" spans="1:14" x14ac:dyDescent="0.45">
      <c r="A53" s="23">
        <v>42349</v>
      </c>
      <c r="B53">
        <v>37.76</v>
      </c>
      <c r="C53">
        <v>37.22</v>
      </c>
      <c r="G53">
        <f t="shared" si="6"/>
        <v>31.180615887371079</v>
      </c>
      <c r="H53">
        <f t="shared" si="7"/>
        <v>25.539255985792025</v>
      </c>
      <c r="I53">
        <f t="shared" si="8"/>
        <v>20.931333157271268</v>
      </c>
      <c r="J53">
        <f t="shared" si="9"/>
        <v>17.079580684305853</v>
      </c>
      <c r="K53">
        <f t="shared" si="10"/>
        <v>15.347252693297877</v>
      </c>
      <c r="L53">
        <f t="shared" si="11"/>
        <v>37.832279538263421</v>
      </c>
      <c r="M53">
        <f t="shared" si="12"/>
        <v>-0.56227953826341803</v>
      </c>
      <c r="N53">
        <f t="shared" si="13"/>
        <v>0.31615827914972261</v>
      </c>
    </row>
    <row r="54" spans="1:14" x14ac:dyDescent="0.45">
      <c r="A54" s="23">
        <v>42348</v>
      </c>
      <c r="B54">
        <v>38.71</v>
      </c>
      <c r="C54">
        <v>38.380000000000003</v>
      </c>
      <c r="G54">
        <f t="shared" si="6"/>
        <v>31.775763676515528</v>
      </c>
      <c r="H54">
        <f t="shared" si="7"/>
        <v>26.061572128498586</v>
      </c>
      <c r="I54">
        <f t="shared" si="8"/>
        <v>21.404199370145538</v>
      </c>
      <c r="J54">
        <f t="shared" si="9"/>
        <v>17.477224149304273</v>
      </c>
      <c r="K54">
        <f t="shared" si="10"/>
        <v>15.703537392907503</v>
      </c>
      <c r="L54">
        <f t="shared" si="11"/>
        <v>38.627159583383531</v>
      </c>
      <c r="M54">
        <f t="shared" si="12"/>
        <v>-0.86715958338353261</v>
      </c>
      <c r="N54">
        <f t="shared" si="13"/>
        <v>0.75196574305390185</v>
      </c>
    </row>
    <row r="55" spans="1:14" x14ac:dyDescent="0.45">
      <c r="A55" s="23">
        <v>42347</v>
      </c>
      <c r="B55">
        <v>39.200000000000003</v>
      </c>
      <c r="C55">
        <v>38.590000000000003</v>
      </c>
      <c r="G55">
        <f t="shared" si="6"/>
        <v>32.187664641536685</v>
      </c>
      <c r="H55">
        <f t="shared" si="7"/>
        <v>26.397260370853505</v>
      </c>
      <c r="I55">
        <f t="shared" si="8"/>
        <v>21.677149365461588</v>
      </c>
      <c r="J55">
        <f t="shared" si="9"/>
        <v>17.699355738863659</v>
      </c>
      <c r="K55">
        <f t="shared" si="10"/>
        <v>15.903153738170399</v>
      </c>
      <c r="L55">
        <f t="shared" si="11"/>
        <v>39.118566561132091</v>
      </c>
      <c r="M55">
        <f t="shared" si="12"/>
        <v>-0.40856656113209056</v>
      </c>
      <c r="N55">
        <f t="shared" si="13"/>
        <v>0.16692663487530229</v>
      </c>
    </row>
    <row r="56" spans="1:14" x14ac:dyDescent="0.45">
      <c r="A56" s="23">
        <v>42346</v>
      </c>
      <c r="B56">
        <v>38.33</v>
      </c>
      <c r="C56">
        <v>39.36</v>
      </c>
      <c r="G56">
        <f t="shared" si="6"/>
        <v>31.495171741938925</v>
      </c>
      <c r="H56">
        <f t="shared" si="7"/>
        <v>25.830946841068052</v>
      </c>
      <c r="I56">
        <f t="shared" si="8"/>
        <v>21.214156112271908</v>
      </c>
      <c r="J56">
        <f t="shared" si="9"/>
        <v>17.322160968000802</v>
      </c>
      <c r="K56">
        <f t="shared" si="10"/>
        <v>15.564743348377757</v>
      </c>
      <c r="L56">
        <f t="shared" si="11"/>
        <v>38.288265665557063</v>
      </c>
      <c r="M56">
        <f t="shared" si="12"/>
        <v>0.91173433444294005</v>
      </c>
      <c r="N56">
        <f t="shared" si="13"/>
        <v>0.83125949660211085</v>
      </c>
    </row>
    <row r="57" spans="1:14" x14ac:dyDescent="0.45">
      <c r="A57" s="23">
        <v>42345</v>
      </c>
      <c r="B57">
        <v>38.92</v>
      </c>
      <c r="C57">
        <v>38.69</v>
      </c>
      <c r="G57">
        <f t="shared" si="6"/>
        <v>31.948817075376866</v>
      </c>
      <c r="H57">
        <f t="shared" si="7"/>
        <v>26.200374787693239</v>
      </c>
      <c r="I57">
        <f t="shared" si="8"/>
        <v>21.514178639820674</v>
      </c>
      <c r="J57">
        <f t="shared" si="9"/>
        <v>17.565811393701104</v>
      </c>
      <c r="K57">
        <f t="shared" si="10"/>
        <v>15.782932154974745</v>
      </c>
      <c r="L57">
        <f t="shared" si="11"/>
        <v>38.828373068526133</v>
      </c>
      <c r="M57">
        <f t="shared" si="12"/>
        <v>-0.49837306852613494</v>
      </c>
      <c r="N57">
        <f t="shared" si="13"/>
        <v>0.24837571543215559</v>
      </c>
    </row>
    <row r="58" spans="1:14" x14ac:dyDescent="0.45">
      <c r="A58" s="23">
        <v>42342</v>
      </c>
      <c r="B58">
        <v>38.11</v>
      </c>
      <c r="C58">
        <v>38.89</v>
      </c>
      <c r="G58">
        <f t="shared" si="6"/>
        <v>31.378603742751757</v>
      </c>
      <c r="H58">
        <f t="shared" si="7"/>
        <v>25.711876118004994</v>
      </c>
      <c r="I58">
        <f t="shared" si="8"/>
        <v>21.086245516419339</v>
      </c>
      <c r="J58">
        <f t="shared" si="9"/>
        <v>17.209192869286465</v>
      </c>
      <c r="K58">
        <f t="shared" si="10"/>
        <v>15.462795908982249</v>
      </c>
      <c r="L58">
        <f t="shared" si="11"/>
        <v>38.093753927052553</v>
      </c>
      <c r="M58">
        <f t="shared" si="12"/>
        <v>0.82624607294744834</v>
      </c>
      <c r="N58">
        <f t="shared" si="13"/>
        <v>0.68268257306108016</v>
      </c>
    </row>
    <row r="59" spans="1:14" x14ac:dyDescent="0.45">
      <c r="A59" s="23">
        <v>42341</v>
      </c>
      <c r="B59">
        <v>38.630000000000003</v>
      </c>
      <c r="C59">
        <v>37.619999999999997</v>
      </c>
      <c r="G59">
        <f t="shared" si="6"/>
        <v>31.662971710574876</v>
      </c>
      <c r="H59">
        <f t="shared" si="7"/>
        <v>25.975282771019121</v>
      </c>
      <c r="I59">
        <f t="shared" si="8"/>
        <v>21.341314330066215</v>
      </c>
      <c r="J59">
        <f t="shared" si="9"/>
        <v>17.427842427663066</v>
      </c>
      <c r="K59">
        <f t="shared" si="10"/>
        <v>15.658740164262777</v>
      </c>
      <c r="L59">
        <f t="shared" si="11"/>
        <v>38.505259230643432</v>
      </c>
      <c r="M59">
        <f t="shared" si="12"/>
        <v>-0.3952592306434326</v>
      </c>
      <c r="N59">
        <f t="shared" si="13"/>
        <v>0.15622985940883824</v>
      </c>
    </row>
    <row r="60" spans="1:14" x14ac:dyDescent="0.45">
      <c r="A60" s="23">
        <v>42340</v>
      </c>
      <c r="B60">
        <v>38.85</v>
      </c>
      <c r="C60">
        <v>38.380000000000003</v>
      </c>
      <c r="G60">
        <f t="shared" si="6"/>
        <v>31.782860788117752</v>
      </c>
      <c r="H60">
        <f t="shared" si="7"/>
        <v>26.086000926497778</v>
      </c>
      <c r="I60">
        <f t="shared" si="8"/>
        <v>21.448148526509485</v>
      </c>
      <c r="J60">
        <f t="shared" si="9"/>
        <v>17.519314663776182</v>
      </c>
      <c r="K60">
        <f t="shared" si="10"/>
        <v>15.740677143658067</v>
      </c>
      <c r="L60">
        <f t="shared" si="11"/>
        <v>38.677963373844108</v>
      </c>
      <c r="M60">
        <f t="shared" si="12"/>
        <v>-4.7963373844105206E-2</v>
      </c>
      <c r="N60">
        <f t="shared" si="13"/>
        <v>2.3004852305093955E-3</v>
      </c>
    </row>
    <row r="61" spans="1:14" x14ac:dyDescent="0.45">
      <c r="A61" s="23">
        <v>42339</v>
      </c>
      <c r="B61">
        <v>37.86</v>
      </c>
      <c r="C61">
        <v>38.57</v>
      </c>
      <c r="G61">
        <f t="shared" si="6"/>
        <v>31.051570519547631</v>
      </c>
      <c r="H61">
        <f t="shared" si="7"/>
        <v>25.473526310750408</v>
      </c>
      <c r="I61">
        <f t="shared" si="8"/>
        <v>20.928835775456527</v>
      </c>
      <c r="J61">
        <f t="shared" si="9"/>
        <v>17.091123258866812</v>
      </c>
      <c r="K61">
        <f t="shared" si="10"/>
        <v>15.356545352000825</v>
      </c>
      <c r="L61">
        <f t="shared" si="11"/>
        <v>37.768099325413715</v>
      </c>
      <c r="M61">
        <f t="shared" si="12"/>
        <v>1.0819006745862865</v>
      </c>
      <c r="N61">
        <f t="shared" si="13"/>
        <v>1.1705090696702618</v>
      </c>
    </row>
    <row r="62" spans="1:14" x14ac:dyDescent="0.45">
      <c r="A62" s="23">
        <v>42338</v>
      </c>
      <c r="B62">
        <v>37.450000000000003</v>
      </c>
      <c r="C62">
        <v>37.659999999999997</v>
      </c>
      <c r="G62">
        <f t="shared" si="6"/>
        <v>30.743270584937719</v>
      </c>
      <c r="H62">
        <f t="shared" si="7"/>
        <v>25.217231841649834</v>
      </c>
      <c r="I62">
        <f t="shared" si="8"/>
        <v>20.713932328850326</v>
      </c>
      <c r="J62">
        <f t="shared" si="9"/>
        <v>16.914583243124515</v>
      </c>
      <c r="K62">
        <f t="shared" si="10"/>
        <v>15.198197690654704</v>
      </c>
      <c r="L62">
        <f t="shared" si="11"/>
        <v>37.388917913115456</v>
      </c>
      <c r="M62">
        <f t="shared" si="12"/>
        <v>0.47108208688454312</v>
      </c>
      <c r="N62">
        <f t="shared" si="13"/>
        <v>0.22191833258349622</v>
      </c>
    </row>
    <row r="63" spans="1:14" x14ac:dyDescent="0.45">
      <c r="A63" s="23">
        <v>42335</v>
      </c>
      <c r="B63">
        <v>37.200000000000003</v>
      </c>
      <c r="C63">
        <v>37.24</v>
      </c>
      <c r="G63">
        <f t="shared" si="6"/>
        <v>30.573759711333921</v>
      </c>
      <c r="H63">
        <f t="shared" si="7"/>
        <v>25.06957176805323</v>
      </c>
      <c r="I63">
        <f t="shared" si="8"/>
        <v>20.581579919211389</v>
      </c>
      <c r="J63">
        <f t="shared" si="9"/>
        <v>16.803495440362187</v>
      </c>
      <c r="K63">
        <f t="shared" si="10"/>
        <v>15.098439919592385</v>
      </c>
      <c r="L63">
        <f t="shared" si="11"/>
        <v>37.164918958905616</v>
      </c>
      <c r="M63">
        <f t="shared" si="12"/>
        <v>0.28508104109438648</v>
      </c>
      <c r="N63">
        <f t="shared" si="13"/>
        <v>8.1271199991459278E-2</v>
      </c>
    </row>
    <row r="64" spans="1:14" x14ac:dyDescent="0.45">
      <c r="A64" s="23">
        <v>42333</v>
      </c>
      <c r="B64">
        <v>37.020000000000003</v>
      </c>
      <c r="C64">
        <v>37.229999999999997</v>
      </c>
      <c r="G64">
        <f t="shared" si="6"/>
        <v>30.454792643504192</v>
      </c>
      <c r="H64">
        <f t="shared" si="7"/>
        <v>24.965402988550743</v>
      </c>
      <c r="I64">
        <f t="shared" si="8"/>
        <v>20.487560932609345</v>
      </c>
      <c r="J64">
        <f t="shared" si="9"/>
        <v>16.724434907397736</v>
      </c>
      <c r="K64">
        <f t="shared" si="10"/>
        <v>15.027473247292818</v>
      </c>
      <c r="L64">
        <f t="shared" si="11"/>
        <v>37.006497818927528</v>
      </c>
      <c r="M64">
        <f t="shared" si="12"/>
        <v>0.19350218107247485</v>
      </c>
      <c r="N64">
        <f t="shared" si="13"/>
        <v>3.7443094079804846E-2</v>
      </c>
    </row>
    <row r="65" spans="1:14" x14ac:dyDescent="0.45">
      <c r="A65" s="23">
        <v>42332</v>
      </c>
      <c r="B65">
        <v>37.18</v>
      </c>
      <c r="C65">
        <v>36.840000000000003</v>
      </c>
      <c r="G65">
        <f t="shared" si="6"/>
        <v>30.538539821962075</v>
      </c>
      <c r="H65">
        <f t="shared" si="7"/>
        <v>25.039799938094095</v>
      </c>
      <c r="I65">
        <f t="shared" si="8"/>
        <v>20.555992661351645</v>
      </c>
      <c r="J65">
        <f t="shared" si="9"/>
        <v>16.782074473681824</v>
      </c>
      <c r="K65">
        <f t="shared" si="10"/>
        <v>15.078793122370461</v>
      </c>
      <c r="L65">
        <f t="shared" si="11"/>
        <v>37.120213535205913</v>
      </c>
      <c r="M65">
        <f t="shared" si="12"/>
        <v>-0.10021353520590992</v>
      </c>
      <c r="N65">
        <f t="shared" si="13"/>
        <v>1.0042752638466147E-2</v>
      </c>
    </row>
    <row r="66" spans="1:14" x14ac:dyDescent="0.45">
      <c r="A66" s="23">
        <v>42331</v>
      </c>
      <c r="B66">
        <v>37.32</v>
      </c>
      <c r="C66">
        <v>37.35</v>
      </c>
      <c r="G66">
        <f t="shared" ref="G66:K66" si="14">SUMPRODUCT($B66:$B70,P$2:P$6)</f>
        <v>30.610458043219342</v>
      </c>
      <c r="H66">
        <f t="shared" si="14"/>
        <v>25.100310681133912</v>
      </c>
      <c r="I66">
        <f t="shared" si="14"/>
        <v>20.60764896606829</v>
      </c>
      <c r="J66">
        <f t="shared" si="14"/>
        <v>16.824429578975117</v>
      </c>
      <c r="K66">
        <f t="shared" si="14"/>
        <v>15.116177001643887</v>
      </c>
      <c r="L66">
        <f t="shared" ref="L66:L129" si="15">(G66+$P$7)*$U$2+(H66+$Q$7)*$U$3+(I66+$R$7)*$U$4+(J66+$S$7)*$U$5+(K66+$T$7)*$U$6+$U$7</f>
        <v>37.209962477661939</v>
      </c>
      <c r="M66">
        <f t="shared" si="12"/>
        <v>-2.9962477661939602E-2</v>
      </c>
      <c r="N66">
        <f t="shared" si="13"/>
        <v>8.977500676422296E-4</v>
      </c>
    </row>
    <row r="67" spans="1:14" x14ac:dyDescent="0.45">
      <c r="A67" s="23">
        <v>42328</v>
      </c>
      <c r="B67">
        <v>37.1</v>
      </c>
      <c r="C67">
        <v>37.51</v>
      </c>
      <c r="G67">
        <f t="shared" ref="G67:K67" si="16">SUMPRODUCT($B67:$B71,P$2:P$6)</f>
        <v>30.377847198212333</v>
      </c>
      <c r="H67">
        <f t="shared" si="16"/>
        <v>24.920643063091724</v>
      </c>
      <c r="I67">
        <f t="shared" si="16"/>
        <v>20.474354149034738</v>
      </c>
      <c r="J67">
        <f t="shared" si="16"/>
        <v>16.719416311914625</v>
      </c>
      <c r="K67">
        <f t="shared" si="16"/>
        <v>15.021639535827122</v>
      </c>
      <c r="L67">
        <f t="shared" si="15"/>
        <v>36.955058314326223</v>
      </c>
      <c r="M67">
        <f t="shared" ref="M67:M130" si="17">B66-L67</f>
        <v>0.36494168567377727</v>
      </c>
      <c r="N67">
        <f t="shared" ref="N67:N130" si="18">M67^2</f>
        <v>0.13318243394241805</v>
      </c>
    </row>
    <row r="68" spans="1:14" x14ac:dyDescent="0.45">
      <c r="A68" s="23">
        <v>42327</v>
      </c>
      <c r="B68">
        <v>37</v>
      </c>
      <c r="C68">
        <v>37.01</v>
      </c>
      <c r="G68">
        <f t="shared" ref="G68:K68" si="19">SUMPRODUCT($B68:$B72,P$2:P$6)</f>
        <v>30.201442603155499</v>
      </c>
      <c r="H68">
        <f t="shared" si="19"/>
        <v>24.80173290126309</v>
      </c>
      <c r="I68">
        <f t="shared" si="19"/>
        <v>20.40977423896506</v>
      </c>
      <c r="J68">
        <f t="shared" si="19"/>
        <v>16.675813930022692</v>
      </c>
      <c r="K68">
        <f t="shared" si="19"/>
        <v>14.982515909922032</v>
      </c>
      <c r="L68">
        <f t="shared" si="15"/>
        <v>36.801622757993862</v>
      </c>
      <c r="M68">
        <f t="shared" si="17"/>
        <v>0.29837724200613991</v>
      </c>
      <c r="N68">
        <f t="shared" si="18"/>
        <v>8.9028978547190579E-2</v>
      </c>
    </row>
    <row r="69" spans="1:14" x14ac:dyDescent="0.45">
      <c r="A69" s="23">
        <v>42326</v>
      </c>
      <c r="B69">
        <v>36.229999999999997</v>
      </c>
      <c r="C69">
        <v>36.869999999999997</v>
      </c>
      <c r="G69">
        <f t="shared" ref="G69:K69" si="20">SUMPRODUCT($B69:$B73,P$2:P$6)</f>
        <v>29.603229731288252</v>
      </c>
      <c r="H69">
        <f t="shared" si="20"/>
        <v>24.30656828580501</v>
      </c>
      <c r="I69">
        <f t="shared" si="20"/>
        <v>19.997286681383418</v>
      </c>
      <c r="J69">
        <f t="shared" si="20"/>
        <v>16.337568717313015</v>
      </c>
      <c r="K69">
        <f t="shared" si="20"/>
        <v>14.678900077128104</v>
      </c>
      <c r="L69">
        <f t="shared" si="15"/>
        <v>36.07063818672242</v>
      </c>
      <c r="M69">
        <f t="shared" si="17"/>
        <v>0.9293618132775805</v>
      </c>
      <c r="N69">
        <f t="shared" si="18"/>
        <v>0.86371337997859243</v>
      </c>
    </row>
    <row r="70" spans="1:14" x14ac:dyDescent="0.45">
      <c r="A70" s="23">
        <v>42325</v>
      </c>
      <c r="B70">
        <v>34.97</v>
      </c>
      <c r="C70">
        <v>36.119999999999997</v>
      </c>
      <c r="G70">
        <f t="shared" ref="G70:K70" si="21">SUMPRODUCT($B70:$B74,P$2:P$6)</f>
        <v>28.71774735991924</v>
      </c>
      <c r="H70">
        <f t="shared" si="21"/>
        <v>23.550003854667107</v>
      </c>
      <c r="I70">
        <f t="shared" si="21"/>
        <v>19.337009560696337</v>
      </c>
      <c r="J70">
        <f t="shared" si="21"/>
        <v>15.788060185739797</v>
      </c>
      <c r="K70">
        <f t="shared" si="21"/>
        <v>14.18577921908857</v>
      </c>
      <c r="L70">
        <f t="shared" si="15"/>
        <v>34.934590553003929</v>
      </c>
      <c r="M70">
        <f t="shared" si="17"/>
        <v>1.295409446996068</v>
      </c>
      <c r="N70">
        <f t="shared" si="18"/>
        <v>1.6780856353666587</v>
      </c>
    </row>
    <row r="71" spans="1:14" x14ac:dyDescent="0.45">
      <c r="A71" s="23">
        <v>42324</v>
      </c>
      <c r="B71">
        <v>34.49</v>
      </c>
      <c r="C71">
        <v>34.950000000000003</v>
      </c>
      <c r="G71">
        <f t="shared" ref="G71:K71" si="22">SUMPRODUCT($B71:$B75,P$2:P$6)</f>
        <v>28.349726708258316</v>
      </c>
      <c r="H71">
        <f t="shared" si="22"/>
        <v>23.241577644921588</v>
      </c>
      <c r="I71">
        <f t="shared" si="22"/>
        <v>19.075247221164176</v>
      </c>
      <c r="J71">
        <f t="shared" si="22"/>
        <v>15.572008270924055</v>
      </c>
      <c r="K71">
        <f t="shared" si="22"/>
        <v>13.991674257517273</v>
      </c>
      <c r="L71">
        <f t="shared" si="15"/>
        <v>34.476076521326135</v>
      </c>
      <c r="M71">
        <f t="shared" si="17"/>
        <v>0.49392347867386377</v>
      </c>
      <c r="N71">
        <f t="shared" si="18"/>
        <v>0.24396040278529077</v>
      </c>
    </row>
    <row r="72" spans="1:14" x14ac:dyDescent="0.45">
      <c r="A72" s="23">
        <v>42321</v>
      </c>
      <c r="B72">
        <v>34.78</v>
      </c>
      <c r="C72">
        <v>34.590000000000003</v>
      </c>
      <c r="G72">
        <f t="shared" ref="G72:K72" si="23">SUMPRODUCT($B72:$B76,P$2:P$6)</f>
        <v>28.559013424562263</v>
      </c>
      <c r="H72">
        <f t="shared" si="23"/>
        <v>23.427879491804365</v>
      </c>
      <c r="I72">
        <f t="shared" si="23"/>
        <v>19.247060481277884</v>
      </c>
      <c r="J72">
        <f t="shared" si="23"/>
        <v>15.717731074004236</v>
      </c>
      <c r="K72">
        <f t="shared" si="23"/>
        <v>14.123087627308136</v>
      </c>
      <c r="L72">
        <f t="shared" si="15"/>
        <v>34.762119638869279</v>
      </c>
      <c r="M72">
        <f t="shared" si="17"/>
        <v>-0.27211963886927748</v>
      </c>
      <c r="N72">
        <f t="shared" si="18"/>
        <v>7.4049097858345986E-2</v>
      </c>
    </row>
    <row r="73" spans="1:14" x14ac:dyDescent="0.45">
      <c r="A73" s="23">
        <v>42320</v>
      </c>
      <c r="B73">
        <v>34.61</v>
      </c>
      <c r="C73">
        <v>35.01</v>
      </c>
      <c r="G73">
        <f t="shared" ref="G73:K73" si="24">SUMPRODUCT($B73:$B77,P$2:P$6)</f>
        <v>28.432900063610273</v>
      </c>
      <c r="H73">
        <f t="shared" si="24"/>
        <v>23.338255784479664</v>
      </c>
      <c r="I73">
        <f t="shared" si="24"/>
        <v>19.191178458644998</v>
      </c>
      <c r="J73">
        <f t="shared" si="24"/>
        <v>15.677616638767679</v>
      </c>
      <c r="K73">
        <f t="shared" si="24"/>
        <v>14.088228581982714</v>
      </c>
      <c r="L73">
        <f t="shared" si="15"/>
        <v>34.642535555819208</v>
      </c>
      <c r="M73">
        <f t="shared" si="17"/>
        <v>0.13746444418079307</v>
      </c>
      <c r="N73">
        <f t="shared" si="18"/>
        <v>1.8896473413934373E-2</v>
      </c>
    </row>
    <row r="74" spans="1:14" x14ac:dyDescent="0.45">
      <c r="A74" s="23">
        <v>42319</v>
      </c>
      <c r="B74">
        <v>34.35</v>
      </c>
      <c r="C74">
        <v>34.57</v>
      </c>
      <c r="G74">
        <f t="shared" ref="G74:K74" si="25">SUMPRODUCT($B74:$B78,P$2:P$6)</f>
        <v>28.366294725989512</v>
      </c>
      <c r="H74">
        <f t="shared" si="25"/>
        <v>23.247020260728174</v>
      </c>
      <c r="I74">
        <f t="shared" si="25"/>
        <v>19.069257783150196</v>
      </c>
      <c r="J74">
        <f t="shared" si="25"/>
        <v>15.565221514200649</v>
      </c>
      <c r="K74">
        <f t="shared" si="25"/>
        <v>13.987394882520357</v>
      </c>
      <c r="L74">
        <f t="shared" si="15"/>
        <v>34.47845213931943</v>
      </c>
      <c r="M74">
        <f t="shared" si="17"/>
        <v>0.13154786068056978</v>
      </c>
      <c r="N74">
        <f t="shared" si="18"/>
        <v>1.7304839649634599E-2</v>
      </c>
    </row>
    <row r="75" spans="1:14" x14ac:dyDescent="0.45">
      <c r="A75" s="23">
        <v>42318</v>
      </c>
      <c r="B75">
        <v>33.85</v>
      </c>
      <c r="C75">
        <v>33.86</v>
      </c>
      <c r="G75">
        <f t="shared" ref="G75:K75" si="26">SUMPRODUCT($B75:$B79,P$2:P$6)</f>
        <v>28.199690732586291</v>
      </c>
      <c r="H75">
        <f t="shared" si="26"/>
        <v>23.045026877470175</v>
      </c>
      <c r="I75">
        <f t="shared" si="26"/>
        <v>18.819480401886779</v>
      </c>
      <c r="J75">
        <f t="shared" si="26"/>
        <v>15.338166766628603</v>
      </c>
      <c r="K75">
        <f t="shared" si="26"/>
        <v>13.783331108512517</v>
      </c>
      <c r="L75">
        <f t="shared" si="15"/>
        <v>34.127866253861619</v>
      </c>
      <c r="M75">
        <f t="shared" si="17"/>
        <v>0.22213374613838255</v>
      </c>
      <c r="N75">
        <f t="shared" si="18"/>
        <v>4.9343401173471385E-2</v>
      </c>
    </row>
    <row r="76" spans="1:14" x14ac:dyDescent="0.45">
      <c r="A76" s="23">
        <v>42317</v>
      </c>
      <c r="B76">
        <v>35.299999999999997</v>
      </c>
      <c r="C76">
        <v>34.049999999999997</v>
      </c>
      <c r="G76">
        <f t="shared" ref="G76:K76" si="27">SUMPRODUCT($B76:$B80,P$2:P$6)</f>
        <v>29.170353199250354</v>
      </c>
      <c r="H76">
        <f t="shared" si="27"/>
        <v>23.867821730722007</v>
      </c>
      <c r="I76">
        <f t="shared" si="27"/>
        <v>19.529493264791356</v>
      </c>
      <c r="J76">
        <f t="shared" si="27"/>
        <v>15.926181755304384</v>
      </c>
      <c r="K76">
        <f t="shared" si="27"/>
        <v>14.309525669802467</v>
      </c>
      <c r="L76">
        <f t="shared" si="15"/>
        <v>35.357309418042682</v>
      </c>
      <c r="M76">
        <f t="shared" si="17"/>
        <v>-1.5073094180426807</v>
      </c>
      <c r="N76">
        <f t="shared" si="18"/>
        <v>2.2719816817201646</v>
      </c>
    </row>
    <row r="77" spans="1:14" x14ac:dyDescent="0.45">
      <c r="A77" s="23">
        <v>42314</v>
      </c>
      <c r="B77">
        <v>37.770000000000003</v>
      </c>
      <c r="C77">
        <v>35</v>
      </c>
      <c r="G77">
        <f t="shared" ref="G77:K77" si="28">SUMPRODUCT($B77:$B81,P$2:P$6)</f>
        <v>30.849078727089434</v>
      </c>
      <c r="H77">
        <f t="shared" si="28"/>
        <v>25.320705351076363</v>
      </c>
      <c r="I77">
        <f t="shared" si="28"/>
        <v>20.820343978432913</v>
      </c>
      <c r="J77">
        <f t="shared" si="28"/>
        <v>17.006452748729181</v>
      </c>
      <c r="K77">
        <f t="shared" si="28"/>
        <v>15.27904910436372</v>
      </c>
      <c r="L77">
        <f t="shared" si="15"/>
        <v>37.553660592238259</v>
      </c>
      <c r="M77">
        <f t="shared" si="17"/>
        <v>-2.253660592238262</v>
      </c>
      <c r="N77">
        <f t="shared" si="18"/>
        <v>5.0789860650077134</v>
      </c>
    </row>
    <row r="78" spans="1:14" x14ac:dyDescent="0.45">
      <c r="A78" s="23">
        <v>42313</v>
      </c>
      <c r="B78">
        <v>37.450000000000003</v>
      </c>
      <c r="C78">
        <v>37.36</v>
      </c>
      <c r="G78">
        <f t="shared" ref="G78:K78" si="29">SUMPRODUCT($B78:$B82,P$2:P$6)</f>
        <v>30.385857537390329</v>
      </c>
      <c r="H78">
        <f t="shared" si="29"/>
        <v>24.996095563502209</v>
      </c>
      <c r="I78">
        <f t="shared" si="29"/>
        <v>20.624740167366021</v>
      </c>
      <c r="J78">
        <f t="shared" si="29"/>
        <v>16.866347226821201</v>
      </c>
      <c r="K78">
        <f t="shared" si="29"/>
        <v>15.153311829918232</v>
      </c>
      <c r="L78">
        <f t="shared" si="15"/>
        <v>37.122415931789796</v>
      </c>
      <c r="M78">
        <f t="shared" si="17"/>
        <v>0.64758406821020742</v>
      </c>
      <c r="N78">
        <f t="shared" si="18"/>
        <v>0.41936512539968257</v>
      </c>
    </row>
    <row r="79" spans="1:14" x14ac:dyDescent="0.45">
      <c r="A79" s="23">
        <v>42312</v>
      </c>
      <c r="B79">
        <v>36.15</v>
      </c>
      <c r="C79">
        <v>36.99</v>
      </c>
      <c r="G79">
        <f t="shared" ref="G79:K79" si="30">SUMPRODUCT($B79:$B83,P$2:P$6)</f>
        <v>29.534327015273639</v>
      </c>
      <c r="H79">
        <f t="shared" si="30"/>
        <v>24.255195047588636</v>
      </c>
      <c r="I79">
        <f t="shared" si="30"/>
        <v>19.96168955814878</v>
      </c>
      <c r="J79">
        <f t="shared" si="30"/>
        <v>16.310474024325938</v>
      </c>
      <c r="K79">
        <f t="shared" si="30"/>
        <v>14.654846220720795</v>
      </c>
      <c r="L79">
        <f t="shared" si="15"/>
        <v>35.999572076442881</v>
      </c>
      <c r="M79">
        <f t="shared" si="17"/>
        <v>1.4504279235571218</v>
      </c>
      <c r="N79">
        <f t="shared" si="18"/>
        <v>2.1037411614342241</v>
      </c>
    </row>
    <row r="80" spans="1:14" x14ac:dyDescent="0.45">
      <c r="A80" s="23">
        <v>42311</v>
      </c>
      <c r="B80">
        <v>33.35</v>
      </c>
      <c r="C80">
        <v>35.82</v>
      </c>
      <c r="G80">
        <f t="shared" ref="G80:K80" si="31">SUMPRODUCT($B80:$B84,P$2:P$6)</f>
        <v>27.567912141813377</v>
      </c>
      <c r="H80">
        <f t="shared" si="31"/>
        <v>22.57715276188005</v>
      </c>
      <c r="I80">
        <f t="shared" si="31"/>
        <v>18.499774339402869</v>
      </c>
      <c r="J80">
        <f t="shared" si="31"/>
        <v>15.094568910379181</v>
      </c>
      <c r="K80">
        <f t="shared" si="31"/>
        <v>13.563886870913128</v>
      </c>
      <c r="L80">
        <f t="shared" si="15"/>
        <v>33.481593217245809</v>
      </c>
      <c r="M80">
        <f t="shared" si="17"/>
        <v>2.6684067827541895</v>
      </c>
      <c r="N80">
        <f t="shared" si="18"/>
        <v>7.1203947582485645</v>
      </c>
    </row>
    <row r="81" spans="1:14" x14ac:dyDescent="0.45">
      <c r="A81" s="23">
        <v>42310</v>
      </c>
      <c r="B81">
        <v>34.25</v>
      </c>
      <c r="C81">
        <v>34.57</v>
      </c>
      <c r="G81">
        <f t="shared" ref="G81:K81" si="32">SUMPRODUCT($B81:$B85,P$2:P$6)</f>
        <v>28.244940476872383</v>
      </c>
      <c r="H81">
        <f t="shared" si="32"/>
        <v>23.141252586864404</v>
      </c>
      <c r="I81">
        <f t="shared" si="32"/>
        <v>18.974388675467463</v>
      </c>
      <c r="J81">
        <f t="shared" si="32"/>
        <v>15.484944577781462</v>
      </c>
      <c r="K81">
        <f t="shared" si="32"/>
        <v>13.914131138160306</v>
      </c>
      <c r="L81">
        <f t="shared" si="15"/>
        <v>34.31725764228662</v>
      </c>
      <c r="M81">
        <f t="shared" si="17"/>
        <v>-0.96725764228661859</v>
      </c>
      <c r="N81">
        <f t="shared" si="18"/>
        <v>0.93558734656186826</v>
      </c>
    </row>
    <row r="82" spans="1:14" x14ac:dyDescent="0.45">
      <c r="A82" s="23">
        <v>42307</v>
      </c>
      <c r="B82">
        <v>34.840000000000003</v>
      </c>
      <c r="C82">
        <v>34.76</v>
      </c>
      <c r="G82">
        <f t="shared" ref="G82:K82" si="33">SUMPRODUCT($B82:$B86,P$2:P$6)</f>
        <v>28.653823915574918</v>
      </c>
      <c r="H82">
        <f t="shared" si="33"/>
        <v>23.492143658616353</v>
      </c>
      <c r="I82">
        <f t="shared" si="33"/>
        <v>19.282516286358945</v>
      </c>
      <c r="J82">
        <f t="shared" si="33"/>
        <v>15.741863647208469</v>
      </c>
      <c r="K82">
        <f t="shared" si="33"/>
        <v>14.144673784429683</v>
      </c>
      <c r="L82">
        <f t="shared" si="15"/>
        <v>34.845357331039772</v>
      </c>
      <c r="M82">
        <f t="shared" si="17"/>
        <v>-0.59535733103977151</v>
      </c>
      <c r="N82">
        <f t="shared" si="18"/>
        <v>0.35445035162280009</v>
      </c>
    </row>
    <row r="83" spans="1:14" x14ac:dyDescent="0.45">
      <c r="A83" s="23">
        <v>42306</v>
      </c>
      <c r="B83">
        <v>35.200000000000003</v>
      </c>
      <c r="C83">
        <v>34.99</v>
      </c>
      <c r="G83">
        <f t="shared" ref="G83:K83" si="34">SUMPRODUCT($B83:$B87,P$2:P$6)</f>
        <v>28.908142923156213</v>
      </c>
      <c r="H83">
        <f t="shared" si="34"/>
        <v>23.710205264179692</v>
      </c>
      <c r="I83">
        <f t="shared" si="34"/>
        <v>19.473772793733108</v>
      </c>
      <c r="J83">
        <f t="shared" si="34"/>
        <v>15.901324182459822</v>
      </c>
      <c r="K83">
        <f t="shared" si="34"/>
        <v>14.287853339465601</v>
      </c>
      <c r="L83">
        <f t="shared" si="15"/>
        <v>35.173452080099253</v>
      </c>
      <c r="M83">
        <f t="shared" si="17"/>
        <v>-0.33345208009924932</v>
      </c>
      <c r="N83">
        <f t="shared" si="18"/>
        <v>0.11119028972251618</v>
      </c>
    </row>
    <row r="84" spans="1:14" x14ac:dyDescent="0.45">
      <c r="A84" s="23">
        <v>42305</v>
      </c>
      <c r="B84">
        <v>35</v>
      </c>
      <c r="C84">
        <v>35.28</v>
      </c>
      <c r="G84">
        <f t="shared" ref="G84:K84" si="35">SUMPRODUCT($B84:$B88,P$2:P$6)</f>
        <v>28.751732403273813</v>
      </c>
      <c r="H84">
        <f t="shared" si="35"/>
        <v>23.572327251168961</v>
      </c>
      <c r="I84">
        <f t="shared" si="35"/>
        <v>19.348219919232054</v>
      </c>
      <c r="J84">
        <f t="shared" si="35"/>
        <v>15.795141216878582</v>
      </c>
      <c r="K84">
        <f t="shared" si="35"/>
        <v>14.191932391599824</v>
      </c>
      <c r="L84">
        <f t="shared" si="15"/>
        <v>34.962690216490813</v>
      </c>
      <c r="M84">
        <f t="shared" si="17"/>
        <v>0.23730978350918974</v>
      </c>
      <c r="N84">
        <f t="shared" si="18"/>
        <v>5.6315933349178504E-2</v>
      </c>
    </row>
    <row r="85" spans="1:14" x14ac:dyDescent="0.45">
      <c r="A85" s="23">
        <v>42304</v>
      </c>
      <c r="B85">
        <v>34.9</v>
      </c>
      <c r="C85">
        <v>34.880000000000003</v>
      </c>
      <c r="G85">
        <f t="shared" ref="G85:K85" si="36">SUMPRODUCT($B85:$B89,P$2:P$6)</f>
        <v>28.703357726893682</v>
      </c>
      <c r="H85">
        <f t="shared" si="36"/>
        <v>23.525759740873433</v>
      </c>
      <c r="I85">
        <f t="shared" si="36"/>
        <v>19.301127641674739</v>
      </c>
      <c r="J85">
        <f t="shared" si="36"/>
        <v>15.754330118588612</v>
      </c>
      <c r="K85">
        <f t="shared" si="36"/>
        <v>14.155401989001856</v>
      </c>
      <c r="L85">
        <f t="shared" si="15"/>
        <v>34.888686845940235</v>
      </c>
      <c r="M85">
        <f t="shared" si="17"/>
        <v>0.11131315405976494</v>
      </c>
      <c r="N85">
        <f t="shared" si="18"/>
        <v>1.2390618266732965E-2</v>
      </c>
    </row>
    <row r="86" spans="1:14" x14ac:dyDescent="0.45">
      <c r="A86" s="23">
        <v>42303</v>
      </c>
      <c r="B86">
        <v>35.01</v>
      </c>
      <c r="C86">
        <v>34.880000000000003</v>
      </c>
      <c r="G86">
        <f t="shared" ref="G86:K86" si="37">SUMPRODUCT($B86:$B90,P$2:P$6)</f>
        <v>28.659164644791758</v>
      </c>
      <c r="H86">
        <f t="shared" si="37"/>
        <v>23.520404831509293</v>
      </c>
      <c r="I86">
        <f t="shared" si="37"/>
        <v>19.336381571060006</v>
      </c>
      <c r="J86">
        <f t="shared" si="37"/>
        <v>15.793850296971272</v>
      </c>
      <c r="K86">
        <f t="shared" si="37"/>
        <v>14.190589302665078</v>
      </c>
      <c r="L86">
        <f t="shared" si="15"/>
        <v>34.906063731627363</v>
      </c>
      <c r="M86">
        <f t="shared" si="17"/>
        <v>-6.0637316273641773E-3</v>
      </c>
      <c r="N86">
        <f t="shared" si="18"/>
        <v>3.6768841248696617E-5</v>
      </c>
    </row>
    <row r="87" spans="1:14" x14ac:dyDescent="0.45">
      <c r="A87" s="23">
        <v>42300</v>
      </c>
      <c r="B87">
        <v>35.26</v>
      </c>
      <c r="C87">
        <v>34.9</v>
      </c>
      <c r="G87">
        <f t="shared" ref="G87:K87" si="38">SUMPRODUCT($B87:$B91,P$2:P$6)</f>
        <v>28.852280682536424</v>
      </c>
      <c r="H87">
        <f t="shared" si="38"/>
        <v>23.681346680945246</v>
      </c>
      <c r="I87">
        <f t="shared" si="38"/>
        <v>19.471839702814975</v>
      </c>
      <c r="J87">
        <f t="shared" si="38"/>
        <v>15.905333573085745</v>
      </c>
      <c r="K87">
        <f t="shared" si="38"/>
        <v>14.290713260837606</v>
      </c>
      <c r="L87">
        <f t="shared" si="15"/>
        <v>35.144575883926748</v>
      </c>
      <c r="M87">
        <f t="shared" si="17"/>
        <v>-0.13457588392675035</v>
      </c>
      <c r="N87">
        <f t="shared" si="18"/>
        <v>1.8110668534666183E-2</v>
      </c>
    </row>
    <row r="88" spans="1:14" x14ac:dyDescent="0.45">
      <c r="A88" s="23">
        <v>42299</v>
      </c>
      <c r="B88">
        <v>33.880000000000003</v>
      </c>
      <c r="C88">
        <v>34.75</v>
      </c>
      <c r="G88">
        <f t="shared" ref="G88:K88" si="39">SUMPRODUCT($B88:$B92,P$2:P$6)</f>
        <v>27.84065308178668</v>
      </c>
      <c r="H88">
        <f t="shared" si="39"/>
        <v>22.831369308955093</v>
      </c>
      <c r="I88">
        <f t="shared" si="39"/>
        <v>18.747740094466355</v>
      </c>
      <c r="J88">
        <f t="shared" si="39"/>
        <v>15.307360298273151</v>
      </c>
      <c r="K88">
        <f t="shared" si="39"/>
        <v>13.754232570083859</v>
      </c>
      <c r="L88">
        <f t="shared" si="15"/>
        <v>33.879682118526937</v>
      </c>
      <c r="M88">
        <f t="shared" si="17"/>
        <v>1.3803178814730614</v>
      </c>
      <c r="N88">
        <f t="shared" si="18"/>
        <v>1.9052774539142805</v>
      </c>
    </row>
    <row r="89" spans="1:14" x14ac:dyDescent="0.45">
      <c r="A89" s="23">
        <v>42298</v>
      </c>
      <c r="B89">
        <v>34</v>
      </c>
      <c r="C89">
        <v>33.78</v>
      </c>
      <c r="G89">
        <f t="shared" ref="G89:K89" si="40">SUMPRODUCT($B89:$B93,P$2:P$6)</f>
        <v>27.928501335896282</v>
      </c>
      <c r="H89">
        <f t="shared" si="40"/>
        <v>22.899566475201912</v>
      </c>
      <c r="I89">
        <f t="shared" si="40"/>
        <v>18.798804491080062</v>
      </c>
      <c r="J89">
        <f t="shared" si="40"/>
        <v>15.347449905391338</v>
      </c>
      <c r="K89">
        <f t="shared" si="40"/>
        <v>13.789798231048671</v>
      </c>
      <c r="L89">
        <f t="shared" si="15"/>
        <v>33.976423906634963</v>
      </c>
      <c r="M89">
        <f t="shared" si="17"/>
        <v>-9.6423906634960588E-2</v>
      </c>
      <c r="N89">
        <f t="shared" si="18"/>
        <v>9.2975697707475963E-3</v>
      </c>
    </row>
    <row r="90" spans="1:14" x14ac:dyDescent="0.45">
      <c r="A90" s="23">
        <v>42297</v>
      </c>
      <c r="B90">
        <v>33.76</v>
      </c>
      <c r="C90">
        <v>33.82</v>
      </c>
      <c r="G90">
        <f t="shared" ref="G90:K90" si="41">SUMPRODUCT($B90:$B94,P$2:P$6)</f>
        <v>27.759684186828189</v>
      </c>
      <c r="H90">
        <f t="shared" si="41"/>
        <v>22.753030410069265</v>
      </c>
      <c r="I90">
        <f t="shared" si="41"/>
        <v>18.668087877014898</v>
      </c>
      <c r="J90">
        <f t="shared" si="41"/>
        <v>15.237841121354704</v>
      </c>
      <c r="K90">
        <f t="shared" si="41"/>
        <v>13.69127172433987</v>
      </c>
      <c r="L90">
        <f t="shared" si="15"/>
        <v>33.754474867196009</v>
      </c>
      <c r="M90">
        <f t="shared" si="17"/>
        <v>0.24552513280399069</v>
      </c>
      <c r="N90">
        <f t="shared" si="18"/>
        <v>6.0282590838417263E-2</v>
      </c>
    </row>
    <row r="91" spans="1:14" x14ac:dyDescent="0.45">
      <c r="A91" s="23">
        <v>42296</v>
      </c>
      <c r="B91">
        <v>33.94</v>
      </c>
      <c r="C91">
        <v>33.75</v>
      </c>
      <c r="G91">
        <f t="shared" ref="G91:K91" si="42">SUMPRODUCT($B91:$B95,P$2:P$6)</f>
        <v>27.808662948930685</v>
      </c>
      <c r="H91">
        <f t="shared" si="42"/>
        <v>22.814647187839249</v>
      </c>
      <c r="I91">
        <f t="shared" si="42"/>
        <v>18.74622145647254</v>
      </c>
      <c r="J91">
        <f t="shared" si="42"/>
        <v>15.30903914971166</v>
      </c>
      <c r="K91">
        <f t="shared" si="42"/>
        <v>13.754922744910836</v>
      </c>
      <c r="L91">
        <f t="shared" si="15"/>
        <v>33.862461656341672</v>
      </c>
      <c r="M91">
        <f t="shared" si="17"/>
        <v>-0.10246165634167426</v>
      </c>
      <c r="N91">
        <f t="shared" si="18"/>
        <v>1.0498391020279356E-2</v>
      </c>
    </row>
    <row r="92" spans="1:14" x14ac:dyDescent="0.45">
      <c r="A92" s="23">
        <v>42293</v>
      </c>
      <c r="B92">
        <v>34.06</v>
      </c>
      <c r="C92">
        <v>34.17</v>
      </c>
      <c r="G92">
        <f t="shared" ref="G92:K92" si="43">SUMPRODUCT($B92:$B96,P$2:P$6)</f>
        <v>27.849580149955631</v>
      </c>
      <c r="H92">
        <f t="shared" si="43"/>
        <v>22.857609617960097</v>
      </c>
      <c r="I92">
        <f t="shared" si="43"/>
        <v>18.793576772736699</v>
      </c>
      <c r="J92">
        <f t="shared" si="43"/>
        <v>15.350811491548367</v>
      </c>
      <c r="K92">
        <f t="shared" si="43"/>
        <v>13.792056460042755</v>
      </c>
      <c r="L92">
        <f t="shared" si="15"/>
        <v>33.933080967208738</v>
      </c>
      <c r="M92">
        <f t="shared" si="17"/>
        <v>6.919032791259383E-3</v>
      </c>
      <c r="N92">
        <f t="shared" si="18"/>
        <v>4.7873014766522607E-5</v>
      </c>
    </row>
    <row r="93" spans="1:14" x14ac:dyDescent="0.45">
      <c r="A93" s="23">
        <v>42292</v>
      </c>
      <c r="B93">
        <v>33.18</v>
      </c>
      <c r="C93">
        <v>33.799999999999997</v>
      </c>
      <c r="G93">
        <f t="shared" ref="G93:K93" si="44">SUMPRODUCT($B93:$B97,P$2:P$6)</f>
        <v>27.189138606517485</v>
      </c>
      <c r="H93">
        <f t="shared" si="44"/>
        <v>22.304671914280494</v>
      </c>
      <c r="I93">
        <f t="shared" si="44"/>
        <v>18.32499574359964</v>
      </c>
      <c r="J93">
        <f t="shared" si="44"/>
        <v>14.964411911349037</v>
      </c>
      <c r="K93">
        <f t="shared" si="44"/>
        <v>13.445221401504144</v>
      </c>
      <c r="L93">
        <f t="shared" si="15"/>
        <v>33.111706217463414</v>
      </c>
      <c r="M93">
        <f t="shared" si="17"/>
        <v>0.94829378253658803</v>
      </c>
      <c r="N93">
        <f t="shared" si="18"/>
        <v>0.89926109799754972</v>
      </c>
    </row>
    <row r="94" spans="1:14" x14ac:dyDescent="0.45">
      <c r="A94" s="23">
        <v>42291</v>
      </c>
      <c r="B94">
        <v>32.770000000000003</v>
      </c>
      <c r="C94">
        <v>33.020000000000003</v>
      </c>
      <c r="G94">
        <f t="shared" ref="G94:K94" si="45">SUMPRODUCT($B94:$B98,P$2:P$6)</f>
        <v>26.842580384037241</v>
      </c>
      <c r="H94">
        <f t="shared" si="45"/>
        <v>22.026365066795705</v>
      </c>
      <c r="I94">
        <f t="shared" si="45"/>
        <v>18.104035812518653</v>
      </c>
      <c r="J94">
        <f t="shared" si="45"/>
        <v>14.786205618081947</v>
      </c>
      <c r="K94">
        <f t="shared" si="45"/>
        <v>13.285324329500572</v>
      </c>
      <c r="L94">
        <f t="shared" si="15"/>
        <v>32.707867731814943</v>
      </c>
      <c r="M94">
        <f t="shared" si="17"/>
        <v>0.4721322681850566</v>
      </c>
      <c r="N94">
        <f t="shared" si="18"/>
        <v>0.22290887866156622</v>
      </c>
    </row>
    <row r="95" spans="1:14" x14ac:dyDescent="0.45">
      <c r="A95" s="23">
        <v>42290</v>
      </c>
      <c r="B95">
        <v>32.5</v>
      </c>
      <c r="C95">
        <v>32.880000000000003</v>
      </c>
      <c r="G95">
        <f t="shared" ref="G95:K95" si="46">SUMPRODUCT($B95:$B99,P$2:P$6)</f>
        <v>26.631811472858335</v>
      </c>
      <c r="H95">
        <f t="shared" si="46"/>
        <v>21.854623359338806</v>
      </c>
      <c r="I95">
        <f t="shared" si="46"/>
        <v>17.964428876252963</v>
      </c>
      <c r="J95">
        <f t="shared" si="46"/>
        <v>14.672756241107349</v>
      </c>
      <c r="K95">
        <f t="shared" si="46"/>
        <v>13.183661152191037</v>
      </c>
      <c r="L95">
        <f t="shared" si="15"/>
        <v>32.456654487421247</v>
      </c>
      <c r="M95">
        <f t="shared" si="17"/>
        <v>0.31334551257875631</v>
      </c>
      <c r="N95">
        <f t="shared" si="18"/>
        <v>9.8185410253243524E-2</v>
      </c>
    </row>
    <row r="96" spans="1:14" x14ac:dyDescent="0.45">
      <c r="A96" s="23">
        <v>42289</v>
      </c>
      <c r="B96">
        <v>31.88</v>
      </c>
      <c r="C96">
        <v>32.58</v>
      </c>
      <c r="G96">
        <f t="shared" ref="G96:K96" si="47">SUMPRODUCT($B96:$B100,P$2:P$6)</f>
        <v>26.193367145692818</v>
      </c>
      <c r="H96">
        <f t="shared" si="47"/>
        <v>21.480116448037151</v>
      </c>
      <c r="I96">
        <f t="shared" si="47"/>
        <v>17.637713405978225</v>
      </c>
      <c r="J96">
        <f t="shared" si="47"/>
        <v>14.400856869819382</v>
      </c>
      <c r="K96">
        <f t="shared" si="47"/>
        <v>12.939612356926277</v>
      </c>
      <c r="L96">
        <f t="shared" si="15"/>
        <v>31.894351683067608</v>
      </c>
      <c r="M96">
        <f t="shared" si="17"/>
        <v>0.60564831693239185</v>
      </c>
      <c r="N96">
        <f t="shared" si="18"/>
        <v>0.36680988380303897</v>
      </c>
    </row>
    <row r="97" spans="1:14" x14ac:dyDescent="0.45">
      <c r="A97" s="23">
        <v>42286</v>
      </c>
      <c r="B97">
        <v>31.63</v>
      </c>
      <c r="C97">
        <v>32.07</v>
      </c>
      <c r="G97">
        <f t="shared" ref="G97:K97" si="48">SUMPRODUCT($B97:$B101,P$2:P$6)</f>
        <v>26.040746982751759</v>
      </c>
      <c r="H97">
        <f t="shared" si="48"/>
        <v>21.343379518208824</v>
      </c>
      <c r="I97">
        <f t="shared" si="48"/>
        <v>17.510570873393284</v>
      </c>
      <c r="J97">
        <f t="shared" si="48"/>
        <v>14.293045247158238</v>
      </c>
      <c r="K97">
        <f t="shared" si="48"/>
        <v>12.842903685564643</v>
      </c>
      <c r="L97">
        <f t="shared" si="15"/>
        <v>31.684050045688569</v>
      </c>
      <c r="M97">
        <f t="shared" si="17"/>
        <v>0.19594995431143047</v>
      </c>
      <c r="N97">
        <f t="shared" si="18"/>
        <v>3.8396384594651688E-2</v>
      </c>
    </row>
    <row r="98" spans="1:14" x14ac:dyDescent="0.45">
      <c r="A98" s="23">
        <v>42285</v>
      </c>
      <c r="B98">
        <v>31.76</v>
      </c>
      <c r="C98">
        <v>31.73</v>
      </c>
      <c r="G98">
        <f t="shared" ref="G98:K98" si="49">SUMPRODUCT($B98:$B102,P$2:P$6)</f>
        <v>26.094374722352494</v>
      </c>
      <c r="H98">
        <f t="shared" si="49"/>
        <v>21.391502997097049</v>
      </c>
      <c r="I98">
        <f t="shared" si="49"/>
        <v>17.555409058206944</v>
      </c>
      <c r="J98">
        <f t="shared" si="49"/>
        <v>14.330754281810997</v>
      </c>
      <c r="K98">
        <f t="shared" si="49"/>
        <v>12.876109522898183</v>
      </c>
      <c r="L98">
        <f t="shared" si="15"/>
        <v>31.757751528168743</v>
      </c>
      <c r="M98">
        <f t="shared" si="17"/>
        <v>-0.12775152816874424</v>
      </c>
      <c r="N98">
        <f t="shared" si="18"/>
        <v>1.6320452949449456E-2</v>
      </c>
    </row>
    <row r="99" spans="1:14" x14ac:dyDescent="0.45">
      <c r="A99" s="23">
        <v>42284</v>
      </c>
      <c r="B99">
        <v>32.08</v>
      </c>
      <c r="C99">
        <v>31.94</v>
      </c>
      <c r="G99">
        <f t="shared" ref="G99:K99" si="50">SUMPRODUCT($B99:$B103,P$2:P$6)</f>
        <v>26.335089239801551</v>
      </c>
      <c r="H99">
        <f t="shared" si="50"/>
        <v>21.597622479083494</v>
      </c>
      <c r="I99">
        <f t="shared" si="50"/>
        <v>17.735850584727277</v>
      </c>
      <c r="J99">
        <f t="shared" si="50"/>
        <v>14.481265518417727</v>
      </c>
      <c r="K99">
        <f t="shared" si="50"/>
        <v>13.011541821695195</v>
      </c>
      <c r="L99">
        <f t="shared" si="15"/>
        <v>32.067832387091315</v>
      </c>
      <c r="M99">
        <f t="shared" si="17"/>
        <v>-0.30783238709131311</v>
      </c>
      <c r="N99">
        <f t="shared" si="18"/>
        <v>9.4760778542336027E-2</v>
      </c>
    </row>
    <row r="100" spans="1:14" x14ac:dyDescent="0.45">
      <c r="A100" s="23">
        <v>42283</v>
      </c>
      <c r="B100">
        <v>31.85</v>
      </c>
      <c r="C100">
        <v>31.91</v>
      </c>
      <c r="G100">
        <f t="shared" ref="G100:K100" si="51">SUMPRODUCT($B100:$B104,P$2:P$6)</f>
        <v>26.055320768514285</v>
      </c>
      <c r="H100">
        <f t="shared" si="51"/>
        <v>21.389591817440074</v>
      </c>
      <c r="I100">
        <f t="shared" si="51"/>
        <v>17.59250069229472</v>
      </c>
      <c r="J100">
        <f t="shared" si="51"/>
        <v>14.371684011943463</v>
      </c>
      <c r="K100">
        <f t="shared" si="51"/>
        <v>12.912899745808501</v>
      </c>
      <c r="L100">
        <f t="shared" si="15"/>
        <v>31.779753629403967</v>
      </c>
      <c r="M100">
        <f t="shared" si="17"/>
        <v>0.30024637059603165</v>
      </c>
      <c r="N100">
        <f t="shared" si="18"/>
        <v>9.0147883056089576E-2</v>
      </c>
    </row>
    <row r="101" spans="1:14" x14ac:dyDescent="0.45">
      <c r="A101" s="23">
        <v>42282</v>
      </c>
      <c r="B101">
        <v>31.82</v>
      </c>
      <c r="C101">
        <v>31.97</v>
      </c>
      <c r="G101">
        <f t="shared" ref="G101:K101" si="52">SUMPRODUCT($B101:$B105,P$2:P$6)</f>
        <v>26.108576469583255</v>
      </c>
      <c r="H101">
        <f t="shared" si="52"/>
        <v>21.415822199636679</v>
      </c>
      <c r="I101">
        <f t="shared" si="52"/>
        <v>17.591646419228635</v>
      </c>
      <c r="J101">
        <f t="shared" si="52"/>
        <v>14.364941725461101</v>
      </c>
      <c r="K101">
        <f t="shared" si="52"/>
        <v>12.907057603906232</v>
      </c>
      <c r="L101">
        <f t="shared" si="15"/>
        <v>31.804049807133545</v>
      </c>
      <c r="M101">
        <f t="shared" si="17"/>
        <v>4.5950192866456518E-2</v>
      </c>
      <c r="N101">
        <f t="shared" si="18"/>
        <v>2.1114202244645517E-3</v>
      </c>
    </row>
    <row r="102" spans="1:14" x14ac:dyDescent="0.45">
      <c r="A102" s="23">
        <v>42279</v>
      </c>
      <c r="B102">
        <v>30.57</v>
      </c>
      <c r="C102">
        <v>31.46</v>
      </c>
      <c r="G102">
        <f t="shared" ref="G102:K102" si="53">SUMPRODUCT($B102:$B106,P$2:P$6)</f>
        <v>25.191933279299157</v>
      </c>
      <c r="H102">
        <f t="shared" si="53"/>
        <v>20.65132692294657</v>
      </c>
      <c r="I102">
        <f t="shared" si="53"/>
        <v>16.947480028372368</v>
      </c>
      <c r="J102">
        <f t="shared" si="53"/>
        <v>13.835077122778237</v>
      </c>
      <c r="K102">
        <f t="shared" si="53"/>
        <v>12.432078874906816</v>
      </c>
      <c r="L102">
        <f t="shared" si="15"/>
        <v>30.671159268159382</v>
      </c>
      <c r="M102">
        <f t="shared" si="17"/>
        <v>1.1488407318406182</v>
      </c>
      <c r="N102">
        <f t="shared" si="18"/>
        <v>1.3198350271360872</v>
      </c>
    </row>
    <row r="103" spans="1:14" x14ac:dyDescent="0.45">
      <c r="A103" s="23">
        <v>42278</v>
      </c>
      <c r="B103">
        <v>31.39</v>
      </c>
      <c r="C103">
        <v>30.9</v>
      </c>
      <c r="G103">
        <f t="shared" ref="G103:K103" si="54">SUMPRODUCT($B103:$B107,P$2:P$6)</f>
        <v>25.794466623688638</v>
      </c>
      <c r="H103">
        <f t="shared" si="54"/>
        <v>21.154353165056886</v>
      </c>
      <c r="I103">
        <f t="shared" si="54"/>
        <v>17.371967382014478</v>
      </c>
      <c r="J103">
        <f t="shared" si="54"/>
        <v>14.184446104606751</v>
      </c>
      <c r="K103">
        <f t="shared" si="54"/>
        <v>12.745319839847506</v>
      </c>
      <c r="L103">
        <f t="shared" si="15"/>
        <v>31.417027569552378</v>
      </c>
      <c r="M103">
        <f t="shared" si="17"/>
        <v>-0.84702756955237746</v>
      </c>
      <c r="N103">
        <f t="shared" si="18"/>
        <v>0.71745570358180766</v>
      </c>
    </row>
    <row r="104" spans="1:14" x14ac:dyDescent="0.45">
      <c r="A104" s="23">
        <v>42277</v>
      </c>
      <c r="B104">
        <v>31.01</v>
      </c>
      <c r="C104">
        <v>30.89</v>
      </c>
      <c r="G104">
        <f t="shared" ref="G104:K104" si="55">SUMPRODUCT($B104:$B108,P$2:P$6)</f>
        <v>25.599492494006331</v>
      </c>
      <c r="H104">
        <f t="shared" si="55"/>
        <v>20.965767296904041</v>
      </c>
      <c r="I104">
        <f t="shared" si="55"/>
        <v>17.180277678717705</v>
      </c>
      <c r="J104">
        <f t="shared" si="55"/>
        <v>14.01788504023941</v>
      </c>
      <c r="K104">
        <f t="shared" si="55"/>
        <v>12.595819490049005</v>
      </c>
      <c r="L104">
        <f t="shared" si="15"/>
        <v>31.116463029658778</v>
      </c>
      <c r="M104">
        <f t="shared" si="17"/>
        <v>0.27353697034122249</v>
      </c>
      <c r="N104">
        <f t="shared" si="18"/>
        <v>7.4822474143454831E-2</v>
      </c>
    </row>
    <row r="105" spans="1:14" x14ac:dyDescent="0.45">
      <c r="A105" s="23">
        <v>42276</v>
      </c>
      <c r="B105">
        <v>31.25</v>
      </c>
      <c r="C105">
        <v>30.66</v>
      </c>
      <c r="G105">
        <f t="shared" ref="G105:K105" si="56">SUMPRODUCT($B105:$B109,P$2:P$6)</f>
        <v>25.727508137247092</v>
      </c>
      <c r="H105">
        <f t="shared" si="56"/>
        <v>21.086040359928585</v>
      </c>
      <c r="I105">
        <f t="shared" si="56"/>
        <v>17.29866864647628</v>
      </c>
      <c r="J105">
        <f t="shared" si="56"/>
        <v>14.119840194463855</v>
      </c>
      <c r="K105">
        <f t="shared" si="56"/>
        <v>12.687224015699529</v>
      </c>
      <c r="L105">
        <f t="shared" si="15"/>
        <v>31.305612743160825</v>
      </c>
      <c r="M105">
        <f t="shared" si="17"/>
        <v>-0.29561274316082375</v>
      </c>
      <c r="N105">
        <f t="shared" si="18"/>
        <v>8.7386893919067149E-2</v>
      </c>
    </row>
    <row r="106" spans="1:14" x14ac:dyDescent="0.45">
      <c r="A106" s="23">
        <v>42275</v>
      </c>
      <c r="B106">
        <v>32.22</v>
      </c>
      <c r="C106">
        <v>31.31</v>
      </c>
      <c r="G106">
        <f t="shared" ref="G106:K106" si="57">SUMPRODUCT($B106:$B110,P$2:P$6)</f>
        <v>26.393896516700426</v>
      </c>
      <c r="H106">
        <f t="shared" si="57"/>
        <v>21.657948169755098</v>
      </c>
      <c r="I106">
        <f t="shared" si="57"/>
        <v>17.80091923142033</v>
      </c>
      <c r="J106">
        <f t="shared" si="57"/>
        <v>14.538564761942901</v>
      </c>
      <c r="K106">
        <f t="shared" si="57"/>
        <v>13.062837168695802</v>
      </c>
      <c r="L106">
        <f t="shared" si="15"/>
        <v>32.166300967540629</v>
      </c>
      <c r="M106">
        <f t="shared" si="17"/>
        <v>-0.91630096754062862</v>
      </c>
      <c r="N106">
        <f t="shared" si="18"/>
        <v>0.83960746311589218</v>
      </c>
    </row>
    <row r="107" spans="1:14" x14ac:dyDescent="0.45">
      <c r="A107" s="23">
        <v>42272</v>
      </c>
      <c r="B107">
        <v>31.71</v>
      </c>
      <c r="C107">
        <v>32.06</v>
      </c>
      <c r="G107">
        <f t="shared" ref="G107:K107" si="58">SUMPRODUCT($B107:$B111,P$2:P$6)</f>
        <v>26.022010231586751</v>
      </c>
      <c r="H107">
        <f t="shared" si="58"/>
        <v>21.343697956708692</v>
      </c>
      <c r="I107">
        <f t="shared" si="58"/>
        <v>17.530967227307631</v>
      </c>
      <c r="J107">
        <f t="shared" si="58"/>
        <v>14.314993114236364</v>
      </c>
      <c r="K107">
        <f t="shared" si="58"/>
        <v>12.862169219511557</v>
      </c>
      <c r="L107">
        <f t="shared" si="15"/>
        <v>31.69716176363848</v>
      </c>
      <c r="M107">
        <f t="shared" si="17"/>
        <v>0.52283823636151894</v>
      </c>
      <c r="N107">
        <f t="shared" si="18"/>
        <v>0.27335982140162357</v>
      </c>
    </row>
    <row r="108" spans="1:14" x14ac:dyDescent="0.45">
      <c r="A108" s="23">
        <v>42271</v>
      </c>
      <c r="B108">
        <v>31.36</v>
      </c>
      <c r="C108">
        <v>31.49</v>
      </c>
      <c r="G108">
        <f t="shared" ref="G108:K108" si="59">SUMPRODUCT($B108:$B112,P$2:P$6)</f>
        <v>25.756169619462177</v>
      </c>
      <c r="H108">
        <f t="shared" si="59"/>
        <v>21.119363312997301</v>
      </c>
      <c r="I108">
        <f t="shared" si="59"/>
        <v>17.338636442277444</v>
      </c>
      <c r="J108">
        <f t="shared" si="59"/>
        <v>14.155701738950446</v>
      </c>
      <c r="K108">
        <f t="shared" si="59"/>
        <v>12.71900182469119</v>
      </c>
      <c r="L108">
        <f t="shared" si="15"/>
        <v>31.362383487846497</v>
      </c>
      <c r="M108">
        <f t="shared" si="17"/>
        <v>0.34761651215350398</v>
      </c>
      <c r="N108">
        <f t="shared" si="18"/>
        <v>0.12083723952176718</v>
      </c>
    </row>
    <row r="109" spans="1:14" x14ac:dyDescent="0.45">
      <c r="A109" s="23">
        <v>42270</v>
      </c>
      <c r="B109">
        <v>31.33</v>
      </c>
      <c r="C109">
        <v>31.62</v>
      </c>
      <c r="G109">
        <f t="shared" ref="G109:K109" si="60">SUMPRODUCT($B109:$B113,P$2:P$6)</f>
        <v>25.717763806572602</v>
      </c>
      <c r="H109">
        <f t="shared" si="60"/>
        <v>21.08989437634499</v>
      </c>
      <c r="I109">
        <f t="shared" si="60"/>
        <v>17.317040198692705</v>
      </c>
      <c r="J109">
        <f t="shared" si="60"/>
        <v>14.138725147301809</v>
      </c>
      <c r="K109">
        <f t="shared" si="60"/>
        <v>12.703637696017422</v>
      </c>
      <c r="L109">
        <f t="shared" si="15"/>
        <v>31.320697059828923</v>
      </c>
      <c r="M109">
        <f t="shared" si="17"/>
        <v>3.9302940171076273E-2</v>
      </c>
      <c r="N109">
        <f t="shared" si="18"/>
        <v>1.5447211060912009E-3</v>
      </c>
    </row>
    <row r="110" spans="1:14" x14ac:dyDescent="0.45">
      <c r="A110" s="23">
        <v>42269</v>
      </c>
      <c r="B110">
        <v>31.26</v>
      </c>
      <c r="C110">
        <v>31.41</v>
      </c>
      <c r="G110">
        <f t="shared" ref="G110:K110" si="61">SUMPRODUCT($B110:$B114,P$2:P$6)</f>
        <v>25.61500230408269</v>
      </c>
      <c r="H110">
        <f t="shared" si="61"/>
        <v>21.013526083967697</v>
      </c>
      <c r="I110">
        <f t="shared" si="61"/>
        <v>17.264477893529126</v>
      </c>
      <c r="J110">
        <f t="shared" si="61"/>
        <v>14.098450626780403</v>
      </c>
      <c r="K110">
        <f t="shared" si="61"/>
        <v>12.667171975281105</v>
      </c>
      <c r="L110">
        <f t="shared" si="15"/>
        <v>31.21485560122942</v>
      </c>
      <c r="M110">
        <f t="shared" si="17"/>
        <v>0.11514439877057825</v>
      </c>
      <c r="N110">
        <f t="shared" si="18"/>
        <v>1.3258232568237941E-2</v>
      </c>
    </row>
    <row r="111" spans="1:14" x14ac:dyDescent="0.45">
      <c r="A111" s="23">
        <v>42268</v>
      </c>
      <c r="B111">
        <v>31.11</v>
      </c>
      <c r="C111">
        <v>31.52</v>
      </c>
      <c r="G111">
        <f t="shared" ref="G111:K111" si="62">SUMPRODUCT($B111:$B115,P$2:P$6)</f>
        <v>25.478800236121032</v>
      </c>
      <c r="H111">
        <f t="shared" si="62"/>
        <v>20.902946759429408</v>
      </c>
      <c r="I111">
        <f t="shared" si="62"/>
        <v>17.175110138806659</v>
      </c>
      <c r="J111">
        <f t="shared" si="62"/>
        <v>14.025792050463819</v>
      </c>
      <c r="K111">
        <f t="shared" si="62"/>
        <v>12.601727958942744</v>
      </c>
      <c r="L111">
        <f t="shared" si="15"/>
        <v>31.053240506304689</v>
      </c>
      <c r="M111">
        <f t="shared" si="17"/>
        <v>0.2067594936953121</v>
      </c>
      <c r="N111">
        <f t="shared" si="18"/>
        <v>4.2749488233141807E-2</v>
      </c>
    </row>
    <row r="112" spans="1:14" x14ac:dyDescent="0.45">
      <c r="A112" s="23">
        <v>42265</v>
      </c>
      <c r="B112">
        <v>30.61</v>
      </c>
      <c r="C112">
        <v>31.1</v>
      </c>
      <c r="G112">
        <f t="shared" ref="G112:K112" si="63">SUMPRODUCT($B112:$B116,P$2:P$6)</f>
        <v>25.066871212943163</v>
      </c>
      <c r="H112">
        <f t="shared" si="63"/>
        <v>20.567490215907842</v>
      </c>
      <c r="I112">
        <f t="shared" si="63"/>
        <v>16.902676947064997</v>
      </c>
      <c r="J112">
        <f t="shared" si="63"/>
        <v>13.804261067271312</v>
      </c>
      <c r="K112">
        <f t="shared" si="63"/>
        <v>12.402815713826817</v>
      </c>
      <c r="L112">
        <f t="shared" si="15"/>
        <v>30.56248190481741</v>
      </c>
      <c r="M112">
        <f t="shared" si="17"/>
        <v>0.54751809518258909</v>
      </c>
      <c r="N112">
        <f t="shared" si="18"/>
        <v>0.29977606455237071</v>
      </c>
    </row>
    <row r="113" spans="1:14" x14ac:dyDescent="0.45">
      <c r="A113" s="23">
        <v>42264</v>
      </c>
      <c r="B113">
        <v>30.37</v>
      </c>
      <c r="C113">
        <v>30.97</v>
      </c>
      <c r="G113">
        <f t="shared" ref="G113:K113" si="64">SUMPRODUCT($B113:$B117,P$2:P$6)</f>
        <v>24.848405940942857</v>
      </c>
      <c r="H113">
        <f t="shared" si="64"/>
        <v>20.393057043163651</v>
      </c>
      <c r="I113">
        <f t="shared" si="64"/>
        <v>16.765507829769358</v>
      </c>
      <c r="J113">
        <f t="shared" si="64"/>
        <v>13.693899282830309</v>
      </c>
      <c r="K113">
        <f t="shared" si="64"/>
        <v>12.303589995087757</v>
      </c>
      <c r="L113">
        <f t="shared" si="15"/>
        <v>30.310094767344665</v>
      </c>
      <c r="M113">
        <f t="shared" si="17"/>
        <v>0.29990523265533398</v>
      </c>
      <c r="N113">
        <f t="shared" si="18"/>
        <v>8.9943148574050003E-2</v>
      </c>
    </row>
    <row r="114" spans="1:14" x14ac:dyDescent="0.45">
      <c r="A114" s="23">
        <v>42263</v>
      </c>
      <c r="B114">
        <v>29.8</v>
      </c>
      <c r="C114">
        <v>30.52</v>
      </c>
      <c r="G114">
        <f t="shared" ref="G114:K114" si="65">SUMPRODUCT($B114:$B118,P$2:P$6)</f>
        <v>24.417650798273673</v>
      </c>
      <c r="H114">
        <f t="shared" si="65"/>
        <v>20.0321746996228</v>
      </c>
      <c r="I114">
        <f t="shared" si="65"/>
        <v>16.459375722466408</v>
      </c>
      <c r="J114">
        <f t="shared" si="65"/>
        <v>13.441335219393601</v>
      </c>
      <c r="K114">
        <f t="shared" si="65"/>
        <v>12.076810781952945</v>
      </c>
      <c r="L114">
        <f t="shared" si="15"/>
        <v>29.773771564569742</v>
      </c>
      <c r="M114">
        <f t="shared" si="17"/>
        <v>0.59622843543025894</v>
      </c>
      <c r="N114">
        <f t="shared" si="18"/>
        <v>0.35548834721561445</v>
      </c>
    </row>
    <row r="115" spans="1:14" x14ac:dyDescent="0.45">
      <c r="A115" s="23">
        <v>42262</v>
      </c>
      <c r="B115">
        <v>29.33</v>
      </c>
      <c r="C115">
        <v>29.8</v>
      </c>
      <c r="G115">
        <f t="shared" ref="G115:K115" si="66">SUMPRODUCT($B115:$B119,P$2:P$6)</f>
        <v>24.061257193766107</v>
      </c>
      <c r="H115">
        <f t="shared" si="66"/>
        <v>19.739454647452465</v>
      </c>
      <c r="I115">
        <f t="shared" si="66"/>
        <v>16.218431549831095</v>
      </c>
      <c r="J115">
        <f t="shared" si="66"/>
        <v>13.244720589422522</v>
      </c>
      <c r="K115">
        <f t="shared" si="66"/>
        <v>11.900652693003268</v>
      </c>
      <c r="L115">
        <f t="shared" si="15"/>
        <v>29.343700001655531</v>
      </c>
      <c r="M115">
        <f t="shared" si="17"/>
        <v>0.45629999834446977</v>
      </c>
      <c r="N115">
        <f t="shared" si="18"/>
        <v>0.2082096884891631</v>
      </c>
    </row>
    <row r="116" spans="1:14" x14ac:dyDescent="0.45">
      <c r="A116" s="23">
        <v>42261</v>
      </c>
      <c r="B116">
        <v>29.15</v>
      </c>
      <c r="C116">
        <v>29.21</v>
      </c>
      <c r="G116">
        <f t="shared" ref="G116:K116" si="67">SUMPRODUCT($B116:$B120,P$2:P$6)</f>
        <v>23.896546294902379</v>
      </c>
      <c r="H116">
        <f t="shared" si="67"/>
        <v>19.606642082406367</v>
      </c>
      <c r="I116">
        <f t="shared" si="67"/>
        <v>16.112278488884304</v>
      </c>
      <c r="J116">
        <f t="shared" si="67"/>
        <v>13.158766437246868</v>
      </c>
      <c r="K116">
        <f t="shared" si="67"/>
        <v>11.823270761165887</v>
      </c>
      <c r="L116">
        <f t="shared" si="15"/>
        <v>29.15037348997409</v>
      </c>
      <c r="M116">
        <f t="shared" si="17"/>
        <v>0.17962651002590846</v>
      </c>
      <c r="N116">
        <f t="shared" si="18"/>
        <v>3.226568310408779E-2</v>
      </c>
    </row>
    <row r="117" spans="1:14" x14ac:dyDescent="0.45">
      <c r="A117" s="23">
        <v>42258</v>
      </c>
      <c r="B117">
        <v>28.83</v>
      </c>
      <c r="C117">
        <v>29.15</v>
      </c>
      <c r="G117">
        <f t="shared" ref="G117:K117" si="68">SUMPRODUCT($B117:$B121,P$2:P$6)</f>
        <v>23.710713832363464</v>
      </c>
      <c r="H117">
        <f t="shared" si="68"/>
        <v>19.434603436293152</v>
      </c>
      <c r="I117">
        <f t="shared" si="68"/>
        <v>15.945794831958484</v>
      </c>
      <c r="J117">
        <f t="shared" si="68"/>
        <v>13.015924386574804</v>
      </c>
      <c r="K117">
        <f t="shared" si="68"/>
        <v>11.69497466201595</v>
      </c>
      <c r="L117">
        <f t="shared" si="15"/>
        <v>28.88150530431442</v>
      </c>
      <c r="M117">
        <f t="shared" si="17"/>
        <v>0.26849469568557893</v>
      </c>
      <c r="N117">
        <f t="shared" si="18"/>
        <v>7.208940161129164E-2</v>
      </c>
    </row>
    <row r="118" spans="1:14" x14ac:dyDescent="0.45">
      <c r="A118" s="23">
        <v>42257</v>
      </c>
      <c r="B118">
        <v>28.51</v>
      </c>
      <c r="C118">
        <v>29.06</v>
      </c>
      <c r="G118">
        <f t="shared" ref="G118:K118" si="69">SUMPRODUCT($B118:$B122,P$2:P$6)</f>
        <v>23.442528546276115</v>
      </c>
      <c r="H118">
        <f t="shared" si="69"/>
        <v>19.219152252620631</v>
      </c>
      <c r="I118">
        <f t="shared" si="69"/>
        <v>15.774630690374638</v>
      </c>
      <c r="J118">
        <f t="shared" si="69"/>
        <v>12.877866942366975</v>
      </c>
      <c r="K118">
        <f t="shared" si="69"/>
        <v>11.571136465569241</v>
      </c>
      <c r="L118">
        <f t="shared" si="15"/>
        <v>28.568825549023551</v>
      </c>
      <c r="M118">
        <f t="shared" si="17"/>
        <v>0.26117445097644776</v>
      </c>
      <c r="N118">
        <f t="shared" si="18"/>
        <v>6.8212093842848917E-2</v>
      </c>
    </row>
    <row r="119" spans="1:14" x14ac:dyDescent="0.45">
      <c r="A119" s="23">
        <v>42256</v>
      </c>
      <c r="B119">
        <v>29.1</v>
      </c>
      <c r="C119">
        <v>28.69</v>
      </c>
      <c r="G119">
        <f t="shared" ref="G119:K119" si="70">SUMPRODUCT($B119:$B123,P$2:P$6)</f>
        <v>23.83651827345291</v>
      </c>
      <c r="H119">
        <f t="shared" si="70"/>
        <v>19.56318730249621</v>
      </c>
      <c r="I119">
        <f t="shared" si="70"/>
        <v>16.084006443835165</v>
      </c>
      <c r="J119">
        <f t="shared" si="70"/>
        <v>13.13774937271276</v>
      </c>
      <c r="K119">
        <f t="shared" si="70"/>
        <v>11.804437738567513</v>
      </c>
      <c r="L119">
        <f t="shared" si="15"/>
        <v>29.091323555781475</v>
      </c>
      <c r="M119">
        <f t="shared" si="17"/>
        <v>-0.58132355578147354</v>
      </c>
      <c r="N119">
        <f t="shared" si="18"/>
        <v>0.33793707650641597</v>
      </c>
    </row>
    <row r="120" spans="1:14" x14ac:dyDescent="0.45">
      <c r="A120" s="23">
        <v>42255</v>
      </c>
      <c r="B120">
        <v>28.63</v>
      </c>
      <c r="C120">
        <v>28.87</v>
      </c>
      <c r="G120">
        <f t="shared" ref="G120:K120" si="71">SUMPRODUCT($B120:$B124,P$2:P$6)</f>
        <v>23.498898009220966</v>
      </c>
      <c r="H120">
        <f t="shared" si="71"/>
        <v>19.271628335723275</v>
      </c>
      <c r="I120">
        <f t="shared" si="71"/>
        <v>15.825743449726431</v>
      </c>
      <c r="J120">
        <f t="shared" si="71"/>
        <v>12.921625856742242</v>
      </c>
      <c r="K120">
        <f t="shared" si="71"/>
        <v>11.610118715926392</v>
      </c>
      <c r="L120">
        <f t="shared" si="15"/>
        <v>28.650857321043627</v>
      </c>
      <c r="M120">
        <f t="shared" si="17"/>
        <v>0.44914267895637394</v>
      </c>
      <c r="N120">
        <f t="shared" si="18"/>
        <v>0.20172914606010839</v>
      </c>
    </row>
    <row r="121" spans="1:14" x14ac:dyDescent="0.45">
      <c r="A121" s="23">
        <v>42251</v>
      </c>
      <c r="B121">
        <v>28.21</v>
      </c>
      <c r="C121">
        <v>28.1</v>
      </c>
      <c r="G121">
        <f t="shared" ref="G121:K121" si="72">SUMPRODUCT($B121:$B125,P$2:P$6)</f>
        <v>23.25244410736142</v>
      </c>
      <c r="H121">
        <f t="shared" si="72"/>
        <v>19.057552840552212</v>
      </c>
      <c r="I121">
        <f t="shared" si="72"/>
        <v>15.634595623576896</v>
      </c>
      <c r="J121">
        <f t="shared" si="72"/>
        <v>12.761849156043279</v>
      </c>
      <c r="K121">
        <f t="shared" si="72"/>
        <v>11.467518519751827</v>
      </c>
      <c r="L121">
        <f t="shared" si="15"/>
        <v>28.32710545092506</v>
      </c>
      <c r="M121">
        <f t="shared" si="17"/>
        <v>0.30289454907493862</v>
      </c>
      <c r="N121">
        <f t="shared" si="18"/>
        <v>9.1745107859310407E-2</v>
      </c>
    </row>
    <row r="122" spans="1:14" x14ac:dyDescent="0.45">
      <c r="A122" s="23">
        <v>42250</v>
      </c>
      <c r="B122">
        <v>28.38</v>
      </c>
      <c r="C122">
        <v>28.6</v>
      </c>
      <c r="G122">
        <f t="shared" ref="G122:K122" si="73">SUMPRODUCT($B122:$B126,P$2:P$6)</f>
        <v>23.303272362885217</v>
      </c>
      <c r="H122">
        <f t="shared" si="73"/>
        <v>19.122296233582112</v>
      </c>
      <c r="I122">
        <f t="shared" si="73"/>
        <v>15.71736279789242</v>
      </c>
      <c r="J122">
        <f t="shared" si="73"/>
        <v>12.837556202945294</v>
      </c>
      <c r="K122">
        <f t="shared" si="73"/>
        <v>11.535512526492671</v>
      </c>
      <c r="L122">
        <f t="shared" si="15"/>
        <v>28.441185361641175</v>
      </c>
      <c r="M122">
        <f t="shared" si="17"/>
        <v>-0.23118536164117387</v>
      </c>
      <c r="N122">
        <f t="shared" si="18"/>
        <v>5.3446671437160344E-2</v>
      </c>
    </row>
    <row r="123" spans="1:14" x14ac:dyDescent="0.45">
      <c r="A123" s="23">
        <v>42249</v>
      </c>
      <c r="B123">
        <v>28.75</v>
      </c>
      <c r="C123">
        <v>28.37</v>
      </c>
      <c r="G123">
        <f t="shared" ref="G123:K123" si="74">SUMPRODUCT($B123:$B127,P$2:P$6)</f>
        <v>23.662915135290113</v>
      </c>
      <c r="H123">
        <f t="shared" si="74"/>
        <v>19.387026763215157</v>
      </c>
      <c r="I123">
        <f t="shared" si="74"/>
        <v>15.89597260270024</v>
      </c>
      <c r="J123">
        <f t="shared" si="74"/>
        <v>12.972152180660308</v>
      </c>
      <c r="K123">
        <f t="shared" si="74"/>
        <v>11.655396081385724</v>
      </c>
      <c r="L123">
        <f t="shared" si="15"/>
        <v>28.804567580590746</v>
      </c>
      <c r="M123">
        <f t="shared" si="17"/>
        <v>-0.42456758059074673</v>
      </c>
      <c r="N123">
        <f t="shared" si="18"/>
        <v>0.18025763048868021</v>
      </c>
    </row>
    <row r="124" spans="1:14" x14ac:dyDescent="0.45">
      <c r="A124" s="23">
        <v>42248</v>
      </c>
      <c r="B124">
        <v>27.86</v>
      </c>
      <c r="C124">
        <v>27.86</v>
      </c>
      <c r="G124">
        <f t="shared" ref="G124:K124" si="75">SUMPRODUCT($B124:$B128,P$2:P$6)</f>
        <v>23.042410906609618</v>
      </c>
      <c r="H124">
        <f t="shared" si="75"/>
        <v>18.852378322219703</v>
      </c>
      <c r="I124">
        <f t="shared" si="75"/>
        <v>15.423844267941018</v>
      </c>
      <c r="J124">
        <f t="shared" si="75"/>
        <v>12.577685467500409</v>
      </c>
      <c r="K124">
        <f t="shared" si="75"/>
        <v>11.301196716764995</v>
      </c>
      <c r="L124">
        <f t="shared" si="15"/>
        <v>27.998080339151297</v>
      </c>
      <c r="M124">
        <f t="shared" si="17"/>
        <v>0.75191966084870288</v>
      </c>
      <c r="N124">
        <f t="shared" si="18"/>
        <v>0.56538317637082836</v>
      </c>
    </row>
    <row r="125" spans="1:14" x14ac:dyDescent="0.45">
      <c r="A125" s="23">
        <v>42247</v>
      </c>
      <c r="B125">
        <v>29.34</v>
      </c>
      <c r="C125">
        <v>28.63</v>
      </c>
      <c r="G125">
        <f t="shared" ref="G125:K125" si="76">SUMPRODUCT($B125:$B129,P$2:P$6)</f>
        <v>23.927051796543761</v>
      </c>
      <c r="H125">
        <f t="shared" si="76"/>
        <v>19.653063787427413</v>
      </c>
      <c r="I125">
        <f t="shared" si="76"/>
        <v>16.177877142303629</v>
      </c>
      <c r="J125">
        <f t="shared" si="76"/>
        <v>13.219452700274184</v>
      </c>
      <c r="K125">
        <f t="shared" si="76"/>
        <v>11.876992403010769</v>
      </c>
      <c r="L125">
        <f t="shared" si="15"/>
        <v>29.235711742567496</v>
      </c>
      <c r="M125">
        <f t="shared" si="17"/>
        <v>-1.3757117425674963</v>
      </c>
      <c r="N125">
        <f t="shared" si="18"/>
        <v>1.8925827986380972</v>
      </c>
    </row>
    <row r="126" spans="1:14" x14ac:dyDescent="0.45">
      <c r="A126" s="23">
        <v>42244</v>
      </c>
      <c r="B126">
        <v>29.69</v>
      </c>
      <c r="C126">
        <v>29.22</v>
      </c>
      <c r="G126">
        <f t="shared" ref="G126:K126" si="77">SUMPRODUCT($B126:$B130,P$2:P$6)</f>
        <v>24.084292550428671</v>
      </c>
      <c r="H126">
        <f t="shared" si="77"/>
        <v>19.796660459828651</v>
      </c>
      <c r="I126">
        <f t="shared" si="77"/>
        <v>16.31459606592259</v>
      </c>
      <c r="J126">
        <f t="shared" si="77"/>
        <v>13.335526046574827</v>
      </c>
      <c r="K126">
        <f t="shared" si="77"/>
        <v>11.979933452136589</v>
      </c>
      <c r="L126">
        <f t="shared" si="15"/>
        <v>29.457906466105218</v>
      </c>
      <c r="M126">
        <f t="shared" si="17"/>
        <v>-0.11790646610521804</v>
      </c>
      <c r="N126">
        <f t="shared" si="18"/>
        <v>1.3901934749420931E-2</v>
      </c>
    </row>
    <row r="127" spans="1:14" x14ac:dyDescent="0.45">
      <c r="A127" s="23">
        <v>42243</v>
      </c>
      <c r="B127">
        <v>27.52</v>
      </c>
      <c r="C127">
        <v>27.93</v>
      </c>
      <c r="G127">
        <f t="shared" ref="G127:K127" si="78">SUMPRODUCT($B127:$B131,P$2:P$6)</f>
        <v>22.606070481989562</v>
      </c>
      <c r="H127">
        <f t="shared" si="78"/>
        <v>18.539854261439789</v>
      </c>
      <c r="I127">
        <f t="shared" si="78"/>
        <v>15.225380101046873</v>
      </c>
      <c r="J127">
        <f t="shared" si="78"/>
        <v>12.431782038582543</v>
      </c>
      <c r="K127">
        <f t="shared" si="78"/>
        <v>11.170351901530527</v>
      </c>
      <c r="L127">
        <f t="shared" si="15"/>
        <v>27.57644928514215</v>
      </c>
      <c r="M127">
        <f t="shared" si="17"/>
        <v>2.1135507148578512</v>
      </c>
      <c r="N127">
        <f t="shared" si="18"/>
        <v>4.4670966242761336</v>
      </c>
    </row>
    <row r="128" spans="1:14" x14ac:dyDescent="0.45">
      <c r="A128" s="23">
        <v>42242</v>
      </c>
      <c r="B128">
        <v>26.86</v>
      </c>
      <c r="C128">
        <v>27.29</v>
      </c>
      <c r="G128">
        <f t="shared" ref="G128:K128" si="79">SUMPRODUCT($B128:$B132,P$2:P$6)</f>
        <v>21.946236544755234</v>
      </c>
      <c r="H128">
        <f t="shared" si="79"/>
        <v>18.039140203489076</v>
      </c>
      <c r="I128">
        <f t="shared" si="79"/>
        <v>14.866083566755693</v>
      </c>
      <c r="J128">
        <f t="shared" si="79"/>
        <v>12.153030816765707</v>
      </c>
      <c r="K128">
        <f t="shared" si="79"/>
        <v>10.9205177753523</v>
      </c>
      <c r="L128">
        <f t="shared" si="15"/>
        <v>26.874553016115566</v>
      </c>
      <c r="M128">
        <f t="shared" si="17"/>
        <v>0.64544698388443322</v>
      </c>
      <c r="N128">
        <f t="shared" si="18"/>
        <v>0.4166018090055118</v>
      </c>
    </row>
    <row r="129" spans="1:14" x14ac:dyDescent="0.45">
      <c r="A129" s="23">
        <v>42241</v>
      </c>
      <c r="B129">
        <v>27.35</v>
      </c>
      <c r="C129">
        <v>26.18</v>
      </c>
      <c r="G129">
        <f t="shared" ref="G129:K129" si="80">SUMPRODUCT($B129:$B133,P$2:P$6)</f>
        <v>22.526916222627161</v>
      </c>
      <c r="H129">
        <f t="shared" si="80"/>
        <v>18.471975565589677</v>
      </c>
      <c r="I129">
        <f t="shared" si="80"/>
        <v>15.165832311725946</v>
      </c>
      <c r="J129">
        <f t="shared" si="80"/>
        <v>12.382593238907333</v>
      </c>
      <c r="K129">
        <f t="shared" si="80"/>
        <v>11.127042947417708</v>
      </c>
      <c r="L129">
        <f t="shared" si="15"/>
        <v>27.47482459225763</v>
      </c>
      <c r="M129">
        <f t="shared" si="17"/>
        <v>-0.61482459225763009</v>
      </c>
      <c r="N129">
        <f t="shared" si="18"/>
        <v>0.37800927924476108</v>
      </c>
    </row>
    <row r="130" spans="1:14" x14ac:dyDescent="0.45">
      <c r="A130" s="23">
        <v>42240</v>
      </c>
      <c r="B130">
        <v>25.01</v>
      </c>
      <c r="C130">
        <v>26.16</v>
      </c>
      <c r="G130">
        <f t="shared" ref="G130:K130" si="81">SUMPRODUCT($B130:$B134,P$2:P$6)</f>
        <v>20.943414000371714</v>
      </c>
      <c r="H130">
        <f t="shared" si="81"/>
        <v>17.106918451466026</v>
      </c>
      <c r="I130">
        <f t="shared" si="81"/>
        <v>13.959597949065579</v>
      </c>
      <c r="J130">
        <f t="shared" si="81"/>
        <v>11.375095203308341</v>
      </c>
      <c r="K130">
        <f t="shared" si="81"/>
        <v>10.223364129719609</v>
      </c>
      <c r="L130">
        <f t="shared" ref="L130:L193" si="82">(G130+$P$7)*$U$2+(H130+$Q$7)*$U$3+(I130+$R$7)*$U$4+(J130+$S$7)*$U$5+(K130+$T$7)*$U$6+$U$7</f>
        <v>25.415780743982644</v>
      </c>
      <c r="M130">
        <f t="shared" si="17"/>
        <v>1.9342192560173572</v>
      </c>
      <c r="N130">
        <f t="shared" si="18"/>
        <v>3.741204130348339</v>
      </c>
    </row>
    <row r="131" spans="1:14" x14ac:dyDescent="0.45">
      <c r="A131" s="23">
        <v>42237</v>
      </c>
      <c r="B131">
        <v>27.54</v>
      </c>
      <c r="C131">
        <v>27.22</v>
      </c>
      <c r="G131">
        <f t="shared" ref="G131:K131" si="83">SUMPRODUCT($B131:$B135,P$2:P$6)</f>
        <v>22.799731306711195</v>
      </c>
      <c r="H131">
        <f t="shared" si="83"/>
        <v>18.662271080959165</v>
      </c>
      <c r="I131">
        <f t="shared" si="83"/>
        <v>15.279173183641294</v>
      </c>
      <c r="J131">
        <f t="shared" si="83"/>
        <v>12.463233461068546</v>
      </c>
      <c r="K131">
        <f t="shared" si="83"/>
        <v>11.199329931451553</v>
      </c>
      <c r="L131">
        <f t="shared" si="82"/>
        <v>27.726731835107412</v>
      </c>
      <c r="M131">
        <f t="shared" ref="M131:M194" si="84">B130-L131</f>
        <v>-2.7167318351074101</v>
      </c>
      <c r="N131">
        <f t="shared" ref="N131:N194" si="85">M131^2</f>
        <v>7.3806318638860766</v>
      </c>
    </row>
    <row r="132" spans="1:14" x14ac:dyDescent="0.45">
      <c r="A132" s="23">
        <v>42236</v>
      </c>
      <c r="B132">
        <v>28.64</v>
      </c>
      <c r="C132">
        <v>27.98</v>
      </c>
      <c r="G132">
        <f t="shared" ref="G132:K132" si="86">SUMPRODUCT($B132:$B136,P$2:P$6)</f>
        <v>23.617134686190177</v>
      </c>
      <c r="H132">
        <f t="shared" si="86"/>
        <v>19.347129376320115</v>
      </c>
      <c r="I132">
        <f t="shared" si="86"/>
        <v>15.860188305190459</v>
      </c>
      <c r="J132">
        <f t="shared" si="86"/>
        <v>12.942450824166501</v>
      </c>
      <c r="K132">
        <f t="shared" si="86"/>
        <v>11.629353539169108</v>
      </c>
      <c r="L132">
        <f t="shared" si="82"/>
        <v>28.744405966211826</v>
      </c>
      <c r="M132">
        <f t="shared" si="84"/>
        <v>-1.2044059662118265</v>
      </c>
      <c r="N132">
        <f t="shared" si="85"/>
        <v>1.4505937314466433</v>
      </c>
    </row>
    <row r="133" spans="1:14" x14ac:dyDescent="0.45">
      <c r="A133" s="23">
        <v>42235</v>
      </c>
      <c r="B133">
        <v>29.21</v>
      </c>
      <c r="C133">
        <v>28.98</v>
      </c>
      <c r="G133">
        <f t="shared" ref="G133:K133" si="87">SUMPRODUCT($B133:$B137,P$2:P$6)</f>
        <v>23.953470864974161</v>
      </c>
      <c r="H133">
        <f t="shared" si="87"/>
        <v>19.650665624904423</v>
      </c>
      <c r="I133">
        <f t="shared" si="87"/>
        <v>16.145014951356778</v>
      </c>
      <c r="J133">
        <f t="shared" si="87"/>
        <v>13.184532942547127</v>
      </c>
      <c r="K133">
        <f t="shared" si="87"/>
        <v>11.846379571899531</v>
      </c>
      <c r="L133">
        <f t="shared" si="82"/>
        <v>29.212828252171889</v>
      </c>
      <c r="M133">
        <f t="shared" si="84"/>
        <v>-0.57282825217188815</v>
      </c>
      <c r="N133">
        <f t="shared" si="85"/>
        <v>0.32813220648630026</v>
      </c>
    </row>
    <row r="134" spans="1:14" x14ac:dyDescent="0.45">
      <c r="A134" s="23">
        <v>42234</v>
      </c>
      <c r="B134">
        <v>29.5</v>
      </c>
      <c r="C134">
        <v>29.22</v>
      </c>
      <c r="G134">
        <f t="shared" ref="G134:K134" si="88">SUMPRODUCT($B134:$B138,P$2:P$6)</f>
        <v>24.161536749861522</v>
      </c>
      <c r="H134">
        <f t="shared" si="88"/>
        <v>19.824516150186167</v>
      </c>
      <c r="I134">
        <f t="shared" si="88"/>
        <v>16.291906242645698</v>
      </c>
      <c r="J134">
        <f t="shared" si="88"/>
        <v>13.305430162896828</v>
      </c>
      <c r="K134">
        <f t="shared" si="88"/>
        <v>11.954683556532967</v>
      </c>
      <c r="L134">
        <f t="shared" si="82"/>
        <v>29.470670717914789</v>
      </c>
      <c r="M134">
        <f t="shared" si="84"/>
        <v>-0.26067071791478824</v>
      </c>
      <c r="N134">
        <f t="shared" si="85"/>
        <v>6.7949223178211102E-2</v>
      </c>
    </row>
    <row r="135" spans="1:14" x14ac:dyDescent="0.45">
      <c r="A135" s="23">
        <v>42233</v>
      </c>
      <c r="B135">
        <v>28.68</v>
      </c>
      <c r="C135">
        <v>29.3</v>
      </c>
      <c r="G135">
        <f t="shared" ref="G135:K135" si="89">SUMPRODUCT($B135:$B139,P$2:P$6)</f>
        <v>23.563146592488252</v>
      </c>
      <c r="H135">
        <f t="shared" si="89"/>
        <v>19.323087641074444</v>
      </c>
      <c r="I135">
        <f t="shared" si="89"/>
        <v>15.866420181681669</v>
      </c>
      <c r="J135">
        <f t="shared" si="89"/>
        <v>12.954584039831133</v>
      </c>
      <c r="K135">
        <f t="shared" si="89"/>
        <v>11.640067217026466</v>
      </c>
      <c r="L135">
        <f t="shared" si="82"/>
        <v>28.725638317692809</v>
      </c>
      <c r="M135">
        <f t="shared" si="84"/>
        <v>0.77436168230719105</v>
      </c>
      <c r="N135">
        <f t="shared" si="85"/>
        <v>0.59963601502562303</v>
      </c>
    </row>
    <row r="136" spans="1:14" x14ac:dyDescent="0.45">
      <c r="A136" s="23">
        <v>42230</v>
      </c>
      <c r="B136">
        <v>28.74</v>
      </c>
      <c r="C136">
        <v>28.68</v>
      </c>
      <c r="G136">
        <f t="shared" ref="G136:K136" si="90">SUMPRODUCT($B136:$B140,P$2:P$6)</f>
        <v>23.579613975157223</v>
      </c>
      <c r="H136">
        <f t="shared" si="90"/>
        <v>19.346109660186087</v>
      </c>
      <c r="I136">
        <f t="shared" si="90"/>
        <v>15.897542431947176</v>
      </c>
      <c r="J136">
        <f t="shared" si="90"/>
        <v>12.983387092228645</v>
      </c>
      <c r="K136">
        <f t="shared" si="90"/>
        <v>11.666003887990833</v>
      </c>
      <c r="L136">
        <f t="shared" si="82"/>
        <v>28.76732908226051</v>
      </c>
      <c r="M136">
        <f t="shared" si="84"/>
        <v>-8.7329082260509949E-2</v>
      </c>
      <c r="N136">
        <f t="shared" si="85"/>
        <v>7.6263686084629134E-3</v>
      </c>
    </row>
    <row r="137" spans="1:14" x14ac:dyDescent="0.45">
      <c r="A137" s="23">
        <v>42229</v>
      </c>
      <c r="B137">
        <v>28.57</v>
      </c>
      <c r="C137">
        <v>28.85</v>
      </c>
      <c r="G137">
        <f t="shared" ref="G137:K137" si="91">SUMPRODUCT($B137:$B141,P$2:P$6)</f>
        <v>23.487569774119262</v>
      </c>
      <c r="H137">
        <f t="shared" si="91"/>
        <v>19.258566097954901</v>
      </c>
      <c r="I137">
        <f t="shared" si="91"/>
        <v>15.81017417686332</v>
      </c>
      <c r="J137">
        <f t="shared" si="91"/>
        <v>12.907811963028873</v>
      </c>
      <c r="K137">
        <f t="shared" si="91"/>
        <v>11.598134478898972</v>
      </c>
      <c r="L137">
        <f t="shared" si="82"/>
        <v>28.628818402076707</v>
      </c>
      <c r="M137">
        <f t="shared" si="84"/>
        <v>0.11118159792329152</v>
      </c>
      <c r="N137">
        <f t="shared" si="85"/>
        <v>1.2361347716776461E-2</v>
      </c>
    </row>
    <row r="138" spans="1:14" x14ac:dyDescent="0.45">
      <c r="A138" s="23">
        <v>42228</v>
      </c>
      <c r="B138">
        <v>28.21</v>
      </c>
      <c r="C138">
        <v>28.66</v>
      </c>
      <c r="G138">
        <f t="shared" ref="G138:K138" si="92">SUMPRODUCT($B138:$B142,P$2:P$6)</f>
        <v>23.255069778154908</v>
      </c>
      <c r="H138">
        <f t="shared" si="92"/>
        <v>19.055553281921053</v>
      </c>
      <c r="I138">
        <f t="shared" si="92"/>
        <v>15.627623030157064</v>
      </c>
      <c r="J138">
        <f t="shared" si="92"/>
        <v>12.754562309622429</v>
      </c>
      <c r="K138">
        <f t="shared" si="92"/>
        <v>11.460735525111199</v>
      </c>
      <c r="L138">
        <f t="shared" si="82"/>
        <v>28.320607297659432</v>
      </c>
      <c r="M138">
        <f t="shared" si="84"/>
        <v>0.24939270234056821</v>
      </c>
      <c r="N138">
        <f t="shared" si="85"/>
        <v>6.2196719980731258E-2</v>
      </c>
    </row>
    <row r="139" spans="1:14" x14ac:dyDescent="0.45">
      <c r="A139" s="23">
        <v>42227</v>
      </c>
      <c r="B139">
        <v>28.6</v>
      </c>
      <c r="C139">
        <v>28.46</v>
      </c>
      <c r="G139">
        <f t="shared" ref="G139:K139" si="93">SUMPRODUCT($B139:$B143,P$2:P$6)</f>
        <v>23.49948288648644</v>
      </c>
      <c r="H139">
        <f t="shared" si="93"/>
        <v>19.2652411563223</v>
      </c>
      <c r="I139">
        <f t="shared" si="93"/>
        <v>15.811683573281831</v>
      </c>
      <c r="J139">
        <f t="shared" si="93"/>
        <v>12.907713966661433</v>
      </c>
      <c r="K139">
        <f t="shared" si="93"/>
        <v>11.597606119949683</v>
      </c>
      <c r="L139">
        <f t="shared" si="82"/>
        <v>28.635812237027451</v>
      </c>
      <c r="M139">
        <f t="shared" si="84"/>
        <v>-0.42581223702745064</v>
      </c>
      <c r="N139">
        <f t="shared" si="85"/>
        <v>0.1813160612023218</v>
      </c>
    </row>
    <row r="140" spans="1:14" x14ac:dyDescent="0.45">
      <c r="A140" s="23">
        <v>42226</v>
      </c>
      <c r="B140">
        <v>28.88</v>
      </c>
      <c r="C140">
        <v>28.81</v>
      </c>
      <c r="G140">
        <f t="shared" ref="G140:K140" si="94">SUMPRODUCT($B140:$B144,P$2:P$6)</f>
        <v>23.678512843242636</v>
      </c>
      <c r="H140">
        <f t="shared" si="94"/>
        <v>19.408789153777214</v>
      </c>
      <c r="I140">
        <f t="shared" si="94"/>
        <v>15.925361090795887</v>
      </c>
      <c r="J140">
        <f t="shared" si="94"/>
        <v>12.998759058418379</v>
      </c>
      <c r="K140">
        <f t="shared" si="94"/>
        <v>11.678269340325219</v>
      </c>
      <c r="L140">
        <f t="shared" si="82"/>
        <v>28.843306101778897</v>
      </c>
      <c r="M140">
        <f t="shared" si="84"/>
        <v>-0.24330610177889511</v>
      </c>
      <c r="N140">
        <f t="shared" si="85"/>
        <v>5.9197859162842065E-2</v>
      </c>
    </row>
    <row r="141" spans="1:14" x14ac:dyDescent="0.45">
      <c r="A141" s="23">
        <v>42223</v>
      </c>
      <c r="B141">
        <v>28.66</v>
      </c>
      <c r="C141">
        <v>28.78</v>
      </c>
      <c r="G141">
        <f t="shared" ref="G141:K141" si="95">SUMPRODUCT($B141:$B145,P$2:P$6)</f>
        <v>23.432552158759243</v>
      </c>
      <c r="H141">
        <f t="shared" si="95"/>
        <v>19.226592072436144</v>
      </c>
      <c r="I141">
        <f t="shared" si="95"/>
        <v>15.800795696722821</v>
      </c>
      <c r="J141">
        <f t="shared" si="95"/>
        <v>12.904026286546621</v>
      </c>
      <c r="K141">
        <f t="shared" si="95"/>
        <v>11.593302263421585</v>
      </c>
      <c r="L141">
        <f t="shared" si="82"/>
        <v>28.591818212261895</v>
      </c>
      <c r="M141">
        <f t="shared" si="84"/>
        <v>0.28818178773810388</v>
      </c>
      <c r="N141">
        <f t="shared" si="85"/>
        <v>8.3048742783929555E-2</v>
      </c>
    </row>
    <row r="142" spans="1:14" x14ac:dyDescent="0.45">
      <c r="A142" s="23">
        <v>42222</v>
      </c>
      <c r="B142">
        <v>28.8</v>
      </c>
      <c r="C142">
        <v>28.71</v>
      </c>
      <c r="G142">
        <f t="shared" ref="G142:K142" si="96">SUMPRODUCT($B142:$B146,P$2:P$6)</f>
        <v>23.348795840810961</v>
      </c>
      <c r="H142">
        <f t="shared" si="96"/>
        <v>19.207016714495104</v>
      </c>
      <c r="I142">
        <f t="shared" si="96"/>
        <v>15.847767614820008</v>
      </c>
      <c r="J142">
        <f t="shared" si="96"/>
        <v>12.959595883382359</v>
      </c>
      <c r="K142">
        <f t="shared" si="96"/>
        <v>11.642993222636285</v>
      </c>
      <c r="L142">
        <f t="shared" si="82"/>
        <v>28.603363122657726</v>
      </c>
      <c r="M142">
        <f t="shared" si="84"/>
        <v>5.6636877342274516E-2</v>
      </c>
      <c r="N142">
        <f t="shared" si="85"/>
        <v>3.2077358750838485E-3</v>
      </c>
    </row>
    <row r="143" spans="1:14" x14ac:dyDescent="0.45">
      <c r="A143" s="23">
        <v>42221</v>
      </c>
      <c r="B143">
        <v>27.73</v>
      </c>
      <c r="C143">
        <v>28.71</v>
      </c>
      <c r="G143">
        <f t="shared" ref="G143:K143" si="97">SUMPRODUCT($B143:$B147,P$2:P$6)</f>
        <v>22.602848985940589</v>
      </c>
      <c r="H143">
        <f t="shared" si="97"/>
        <v>18.568185272856748</v>
      </c>
      <c r="I143">
        <f t="shared" si="97"/>
        <v>15.288406659780419</v>
      </c>
      <c r="J143">
        <f t="shared" si="97"/>
        <v>12.493610866680354</v>
      </c>
      <c r="K143">
        <f t="shared" si="97"/>
        <v>11.224845976291661</v>
      </c>
      <c r="L143">
        <f t="shared" si="82"/>
        <v>27.642939798039034</v>
      </c>
      <c r="M143">
        <f t="shared" si="84"/>
        <v>1.1570602019609666</v>
      </c>
      <c r="N143">
        <f t="shared" si="85"/>
        <v>1.3387883109619527</v>
      </c>
    </row>
    <row r="144" spans="1:14" x14ac:dyDescent="0.45">
      <c r="A144" s="23">
        <v>42220</v>
      </c>
      <c r="B144">
        <v>25.57</v>
      </c>
      <c r="C144">
        <v>25.67</v>
      </c>
      <c r="G144">
        <f t="shared" ref="G144:K144" si="98">SUMPRODUCT($B144:$B148,P$2:P$6)</f>
        <v>21.059134590258225</v>
      </c>
      <c r="H144">
        <f t="shared" si="98"/>
        <v>17.257849352277944</v>
      </c>
      <c r="I144">
        <f t="shared" si="98"/>
        <v>14.15546727347682</v>
      </c>
      <c r="J144">
        <f t="shared" si="98"/>
        <v>11.553520376818961</v>
      </c>
      <c r="K144">
        <f t="shared" si="98"/>
        <v>10.381288813253072</v>
      </c>
      <c r="L144">
        <f t="shared" si="82"/>
        <v>25.682207568548808</v>
      </c>
      <c r="M144">
        <f t="shared" si="84"/>
        <v>2.0477924314511924</v>
      </c>
      <c r="N144">
        <f t="shared" si="85"/>
        <v>4.1934538423087862</v>
      </c>
    </row>
    <row r="145" spans="1:14" x14ac:dyDescent="0.45">
      <c r="A145" s="23">
        <v>42219</v>
      </c>
      <c r="B145">
        <v>25.88</v>
      </c>
      <c r="C145">
        <v>25.52</v>
      </c>
      <c r="G145">
        <f t="shared" ref="G145:K145" si="99">SUMPRODUCT($B145:$B149,P$2:P$6)</f>
        <v>21.268572207286237</v>
      </c>
      <c r="H145">
        <f t="shared" si="99"/>
        <v>17.439911748412456</v>
      </c>
      <c r="I145">
        <f t="shared" si="99"/>
        <v>14.318199217798947</v>
      </c>
      <c r="J145">
        <f t="shared" si="99"/>
        <v>11.689968701546725</v>
      </c>
      <c r="K145">
        <f t="shared" si="99"/>
        <v>10.503777819074156</v>
      </c>
      <c r="L145">
        <f t="shared" si="82"/>
        <v>25.958076328560907</v>
      </c>
      <c r="M145">
        <f t="shared" si="84"/>
        <v>-0.38807632856090635</v>
      </c>
      <c r="N145">
        <f t="shared" si="85"/>
        <v>0.15060323678931253</v>
      </c>
    </row>
    <row r="146" spans="1:14" x14ac:dyDescent="0.45">
      <c r="A146" s="23">
        <v>42216</v>
      </c>
      <c r="B146">
        <v>26.04</v>
      </c>
      <c r="C146">
        <v>25.79</v>
      </c>
      <c r="G146">
        <f t="shared" ref="G146:K146" si="100">SUMPRODUCT($B146:$B150,P$2:P$6)</f>
        <v>21.367596103095188</v>
      </c>
      <c r="H146">
        <f t="shared" si="100"/>
        <v>17.52962959477507</v>
      </c>
      <c r="I146">
        <f t="shared" si="100"/>
        <v>14.402796000041405</v>
      </c>
      <c r="J146">
        <f t="shared" si="100"/>
        <v>11.762044408052621</v>
      </c>
      <c r="K146">
        <f t="shared" si="100"/>
        <v>10.568534811909647</v>
      </c>
      <c r="L146">
        <f t="shared" si="82"/>
        <v>26.096876858141453</v>
      </c>
      <c r="M146">
        <f t="shared" si="84"/>
        <v>-0.21687685814145397</v>
      </c>
      <c r="N146">
        <f t="shared" si="85"/>
        <v>4.7035571597308347E-2</v>
      </c>
    </row>
    <row r="147" spans="1:14" x14ac:dyDescent="0.45">
      <c r="A147" s="23">
        <v>42215</v>
      </c>
      <c r="B147">
        <v>25.85</v>
      </c>
      <c r="C147">
        <v>26.06</v>
      </c>
      <c r="G147">
        <f t="shared" ref="G147:K147" si="101">SUMPRODUCT($B147:$B151,P$2:P$6)</f>
        <v>21.246337034348834</v>
      </c>
      <c r="H147">
        <f t="shared" si="101"/>
        <v>17.422770705934759</v>
      </c>
      <c r="I147">
        <f t="shared" si="101"/>
        <v>14.305527444157494</v>
      </c>
      <c r="J147">
        <f t="shared" si="101"/>
        <v>11.680072084351663</v>
      </c>
      <c r="K147">
        <f t="shared" si="101"/>
        <v>10.495003222016617</v>
      </c>
      <c r="L147">
        <f t="shared" si="82"/>
        <v>25.933867218207503</v>
      </c>
      <c r="M147">
        <f t="shared" si="84"/>
        <v>0.10613278179249619</v>
      </c>
      <c r="N147">
        <f t="shared" si="85"/>
        <v>1.1264167371013611E-2</v>
      </c>
    </row>
    <row r="148" spans="1:14" x14ac:dyDescent="0.45">
      <c r="A148" s="23">
        <v>42214</v>
      </c>
      <c r="B148">
        <v>25.62</v>
      </c>
      <c r="C148">
        <v>25.98</v>
      </c>
      <c r="G148">
        <f t="shared" ref="G148:K148" si="102">SUMPRODUCT($B148:$B152,P$2:P$6)</f>
        <v>21.100378632536202</v>
      </c>
      <c r="H148">
        <f t="shared" si="102"/>
        <v>17.2934499259181</v>
      </c>
      <c r="I148">
        <f t="shared" si="102"/>
        <v>14.186981857196512</v>
      </c>
      <c r="J148">
        <f t="shared" si="102"/>
        <v>11.579946350849385</v>
      </c>
      <c r="K148">
        <f t="shared" si="102"/>
        <v>10.405157409203129</v>
      </c>
      <c r="L148">
        <f t="shared" si="82"/>
        <v>25.736042402881004</v>
      </c>
      <c r="M148">
        <f t="shared" si="84"/>
        <v>0.113957597118997</v>
      </c>
      <c r="N148">
        <f t="shared" si="85"/>
        <v>1.2986333941135634E-2</v>
      </c>
    </row>
    <row r="149" spans="1:14" x14ac:dyDescent="0.45">
      <c r="A149" s="23">
        <v>42213</v>
      </c>
      <c r="B149">
        <v>25.8</v>
      </c>
      <c r="C149">
        <v>25.71</v>
      </c>
      <c r="G149">
        <f t="shared" ref="G149:K149" si="103">SUMPRODUCT($B149:$B153,P$2:P$6)</f>
        <v>21.229643097787818</v>
      </c>
      <c r="H149">
        <f t="shared" si="103"/>
        <v>17.40313643098397</v>
      </c>
      <c r="I149">
        <f t="shared" si="103"/>
        <v>14.281774368800907</v>
      </c>
      <c r="J149">
        <f t="shared" si="103"/>
        <v>11.658597356898508</v>
      </c>
      <c r="K149">
        <f t="shared" si="103"/>
        <v>10.475742656393811</v>
      </c>
      <c r="L149">
        <f t="shared" si="82"/>
        <v>25.900150614332539</v>
      </c>
      <c r="M149">
        <f t="shared" si="84"/>
        <v>-0.28015061433253763</v>
      </c>
      <c r="N149">
        <f t="shared" si="85"/>
        <v>7.8484366710898243E-2</v>
      </c>
    </row>
    <row r="150" spans="1:14" x14ac:dyDescent="0.45">
      <c r="A150" s="23">
        <v>42212</v>
      </c>
      <c r="B150">
        <v>26.04</v>
      </c>
      <c r="C150">
        <v>25.61</v>
      </c>
      <c r="G150">
        <f t="shared" ref="G150:K150" si="104">SUMPRODUCT($B150:$B154,P$2:P$6)</f>
        <v>21.399526328669285</v>
      </c>
      <c r="H150">
        <f t="shared" si="104"/>
        <v>17.549310232832806</v>
      </c>
      <c r="I150">
        <f t="shared" si="104"/>
        <v>14.410606268544875</v>
      </c>
      <c r="J150">
        <f t="shared" si="104"/>
        <v>11.766195519635826</v>
      </c>
      <c r="K150">
        <f t="shared" si="104"/>
        <v>10.57239761611406</v>
      </c>
      <c r="L150">
        <f t="shared" si="82"/>
        <v>26.120510344056161</v>
      </c>
      <c r="M150">
        <f t="shared" si="84"/>
        <v>-0.32051034405616008</v>
      </c>
      <c r="N150">
        <f t="shared" si="85"/>
        <v>0.10272688064699811</v>
      </c>
    </row>
    <row r="151" spans="1:14" x14ac:dyDescent="0.45">
      <c r="A151" s="23">
        <v>42209</v>
      </c>
      <c r="B151">
        <v>26.03</v>
      </c>
      <c r="C151">
        <v>26.18</v>
      </c>
      <c r="G151">
        <f t="shared" ref="G151:K151" si="105">SUMPRODUCT($B151:$B155,P$2:P$6)</f>
        <v>21.388763462933817</v>
      </c>
      <c r="H151">
        <f t="shared" si="105"/>
        <v>17.538319788863511</v>
      </c>
      <c r="I151">
        <f t="shared" si="105"/>
        <v>14.398803758842369</v>
      </c>
      <c r="J151">
        <f t="shared" si="105"/>
        <v>11.755690217723565</v>
      </c>
      <c r="K151">
        <f t="shared" si="105"/>
        <v>10.562764779032872</v>
      </c>
      <c r="L151">
        <f t="shared" si="82"/>
        <v>26.102467549126118</v>
      </c>
      <c r="M151">
        <f t="shared" si="84"/>
        <v>-6.2467549126118627E-2</v>
      </c>
      <c r="N151">
        <f t="shared" si="85"/>
        <v>3.9021946938240441E-3</v>
      </c>
    </row>
    <row r="152" spans="1:14" x14ac:dyDescent="0.45">
      <c r="A152" s="23">
        <v>42208</v>
      </c>
      <c r="B152">
        <v>25.95</v>
      </c>
      <c r="C152">
        <v>25.94</v>
      </c>
      <c r="G152">
        <f t="shared" ref="G152:K152" si="106">SUMPRODUCT($B152:$B156,P$2:P$6)</f>
        <v>21.356441690928712</v>
      </c>
      <c r="H152">
        <f t="shared" si="106"/>
        <v>17.505205027314222</v>
      </c>
      <c r="I152">
        <f t="shared" si="106"/>
        <v>14.363127998268661</v>
      </c>
      <c r="J152">
        <f t="shared" si="106"/>
        <v>11.724309244335318</v>
      </c>
      <c r="K152">
        <f t="shared" si="106"/>
        <v>10.534720388993861</v>
      </c>
      <c r="L152">
        <f t="shared" si="82"/>
        <v>26.048471084905344</v>
      </c>
      <c r="M152">
        <f t="shared" si="84"/>
        <v>-1.8471084905343105E-2</v>
      </c>
      <c r="N152">
        <f t="shared" si="85"/>
        <v>3.4118097758039387E-4</v>
      </c>
    </row>
    <row r="153" spans="1:14" x14ac:dyDescent="0.45">
      <c r="A153" s="23">
        <v>42207</v>
      </c>
      <c r="B153">
        <v>25.99</v>
      </c>
      <c r="C153">
        <v>25.95</v>
      </c>
      <c r="G153">
        <f t="shared" ref="G153:K153" si="107">SUMPRODUCT($B153:$B157,P$2:P$6)</f>
        <v>21.345680566130415</v>
      </c>
      <c r="H153">
        <f t="shared" si="107"/>
        <v>17.506285720836043</v>
      </c>
      <c r="I153">
        <f t="shared" si="107"/>
        <v>14.376731856646314</v>
      </c>
      <c r="J153">
        <f t="shared" si="107"/>
        <v>11.738855182410099</v>
      </c>
      <c r="K153">
        <f t="shared" si="107"/>
        <v>10.547678510058246</v>
      </c>
      <c r="L153">
        <f t="shared" si="82"/>
        <v>26.058149342891948</v>
      </c>
      <c r="M153">
        <f t="shared" si="84"/>
        <v>-0.10814934289194866</v>
      </c>
      <c r="N153">
        <f t="shared" si="85"/>
        <v>1.1696280367960287E-2</v>
      </c>
    </row>
    <row r="154" spans="1:14" x14ac:dyDescent="0.45">
      <c r="A154" s="23">
        <v>42206</v>
      </c>
      <c r="B154">
        <v>26.25</v>
      </c>
      <c r="C154">
        <v>26.09</v>
      </c>
      <c r="G154">
        <f t="shared" ref="G154:K154" si="108">SUMPRODUCT($B154:$B158,P$2:P$6)</f>
        <v>21.548242161105019</v>
      </c>
      <c r="H154">
        <f t="shared" si="108"/>
        <v>17.673761737320984</v>
      </c>
      <c r="I154">
        <f t="shared" si="108"/>
        <v>14.515999937291431</v>
      </c>
      <c r="J154">
        <f t="shared" si="108"/>
        <v>11.852988878182133</v>
      </c>
      <c r="K154">
        <f t="shared" si="108"/>
        <v>10.650124097348154</v>
      </c>
      <c r="L154">
        <f t="shared" si="82"/>
        <v>26.305226373667356</v>
      </c>
      <c r="M154">
        <f t="shared" si="84"/>
        <v>-0.31522637366735751</v>
      </c>
      <c r="N154">
        <f t="shared" si="85"/>
        <v>9.9367666655472503E-2</v>
      </c>
    </row>
    <row r="155" spans="1:14" x14ac:dyDescent="0.45">
      <c r="A155" s="23">
        <v>42205</v>
      </c>
      <c r="B155">
        <v>25.81</v>
      </c>
      <c r="C155">
        <v>26.25</v>
      </c>
      <c r="G155">
        <f t="shared" ref="G155:K155" si="109">SUMPRODUCT($B155:$B159,P$2:P$6)</f>
        <v>21.221997736637832</v>
      </c>
      <c r="H155">
        <f t="shared" si="109"/>
        <v>17.399606439555239</v>
      </c>
      <c r="I155">
        <f t="shared" si="109"/>
        <v>14.282393067833553</v>
      </c>
      <c r="J155">
        <f t="shared" si="109"/>
        <v>11.660016631141746</v>
      </c>
      <c r="K155">
        <f t="shared" si="109"/>
        <v>10.476918424460536</v>
      </c>
      <c r="L155">
        <f t="shared" si="82"/>
        <v>25.897161875079856</v>
      </c>
      <c r="M155">
        <f t="shared" si="84"/>
        <v>0.35283812492014377</v>
      </c>
      <c r="N155">
        <f t="shared" si="85"/>
        <v>0.12449474239716297</v>
      </c>
    </row>
    <row r="156" spans="1:14" x14ac:dyDescent="0.45">
      <c r="A156" s="23">
        <v>42202</v>
      </c>
      <c r="B156">
        <v>25.98</v>
      </c>
      <c r="C156">
        <v>25.81</v>
      </c>
      <c r="G156">
        <f t="shared" ref="G156:K156" si="110">SUMPRODUCT($B156:$B160,P$2:P$6)</f>
        <v>21.344149016003453</v>
      </c>
      <c r="H156">
        <f t="shared" si="110"/>
        <v>17.501175265713947</v>
      </c>
      <c r="I156">
        <f t="shared" si="110"/>
        <v>14.367587520769632</v>
      </c>
      <c r="J156">
        <f t="shared" si="110"/>
        <v>11.729950778622541</v>
      </c>
      <c r="K156">
        <f t="shared" si="110"/>
        <v>10.539535313473289</v>
      </c>
      <c r="L156">
        <f t="shared" si="82"/>
        <v>26.047382704591751</v>
      </c>
      <c r="M156">
        <f t="shared" si="84"/>
        <v>-0.23738270459175226</v>
      </c>
      <c r="N156">
        <f t="shared" si="85"/>
        <v>5.6350548439295121E-2</v>
      </c>
    </row>
    <row r="157" spans="1:14" x14ac:dyDescent="0.45">
      <c r="A157" s="23">
        <v>42201</v>
      </c>
      <c r="B157">
        <v>25.89</v>
      </c>
      <c r="C157">
        <v>25.85</v>
      </c>
      <c r="G157">
        <f t="shared" ref="G157:K157" si="111">SUMPRODUCT($B157:$B161,P$2:P$6)</f>
        <v>21.266295942603932</v>
      </c>
      <c r="H157">
        <f t="shared" si="111"/>
        <v>17.43777383678589</v>
      </c>
      <c r="I157">
        <f t="shared" si="111"/>
        <v>14.316095886300971</v>
      </c>
      <c r="J157">
        <f t="shared" si="111"/>
        <v>11.688043531630514</v>
      </c>
      <c r="K157">
        <f t="shared" si="111"/>
        <v>10.501840131906645</v>
      </c>
      <c r="L157">
        <f t="shared" si="82"/>
        <v>25.954588086395752</v>
      </c>
      <c r="M157">
        <f t="shared" si="84"/>
        <v>2.5411913604248326E-2</v>
      </c>
      <c r="N157">
        <f t="shared" si="85"/>
        <v>6.4576535302978116E-4</v>
      </c>
    </row>
    <row r="158" spans="1:14" x14ac:dyDescent="0.45">
      <c r="A158" s="23">
        <v>42200</v>
      </c>
      <c r="B158">
        <v>25.94</v>
      </c>
      <c r="C158">
        <v>25.76</v>
      </c>
      <c r="G158">
        <f t="shared" ref="G158:K158" si="112">SUMPRODUCT($B158:$B162,P$2:P$6)</f>
        <v>21.273546024265087</v>
      </c>
      <c r="H158">
        <f t="shared" si="112"/>
        <v>17.449912978906593</v>
      </c>
      <c r="I158">
        <f t="shared" si="112"/>
        <v>14.334015038362288</v>
      </c>
      <c r="J158">
        <f t="shared" si="112"/>
        <v>11.704760473563416</v>
      </c>
      <c r="K158">
        <f t="shared" si="112"/>
        <v>10.516672468522689</v>
      </c>
      <c r="L158">
        <f t="shared" si="82"/>
        <v>25.977408300298301</v>
      </c>
      <c r="M158">
        <f t="shared" si="84"/>
        <v>-8.7408300298299935E-2</v>
      </c>
      <c r="N158">
        <f t="shared" si="85"/>
        <v>7.6402109610377803E-3</v>
      </c>
    </row>
    <row r="159" spans="1:14" x14ac:dyDescent="0.45">
      <c r="A159" s="23">
        <v>42199</v>
      </c>
      <c r="B159">
        <v>25.82</v>
      </c>
      <c r="C159">
        <v>26.06</v>
      </c>
      <c r="G159">
        <f t="shared" ref="G159:K159" si="113">SUMPRODUCT($B159:$B163,P$2:P$6)</f>
        <v>21.168503121147321</v>
      </c>
      <c r="H159">
        <f t="shared" si="113"/>
        <v>17.364515594791872</v>
      </c>
      <c r="I159">
        <f t="shared" si="113"/>
        <v>14.264848955259227</v>
      </c>
      <c r="J159">
        <f t="shared" si="113"/>
        <v>11.64851508656524</v>
      </c>
      <c r="K159">
        <f t="shared" si="113"/>
        <v>10.466068537586381</v>
      </c>
      <c r="L159">
        <f t="shared" si="82"/>
        <v>25.852535038252505</v>
      </c>
      <c r="M159">
        <f t="shared" si="84"/>
        <v>8.7464961747496517E-2</v>
      </c>
      <c r="N159">
        <f t="shared" si="85"/>
        <v>7.6501195334910286E-3</v>
      </c>
    </row>
    <row r="160" spans="1:14" x14ac:dyDescent="0.45">
      <c r="A160" s="23">
        <v>42198</v>
      </c>
      <c r="B160">
        <v>25.54</v>
      </c>
      <c r="C160">
        <v>25.88</v>
      </c>
      <c r="G160">
        <f t="shared" ref="G160:K160" si="114">SUMPRODUCT($B160:$B164,P$2:P$6)</f>
        <v>20.945545227064287</v>
      </c>
      <c r="H160">
        <f t="shared" si="114"/>
        <v>17.182848081852654</v>
      </c>
      <c r="I160">
        <f t="shared" si="114"/>
        <v>14.117181652336571</v>
      </c>
      <c r="J160">
        <f t="shared" si="114"/>
        <v>11.528473322520668</v>
      </c>
      <c r="K160">
        <f t="shared" si="114"/>
        <v>10.35841525834774</v>
      </c>
      <c r="L160">
        <f t="shared" si="82"/>
        <v>25.586758762581741</v>
      </c>
      <c r="M160">
        <f t="shared" si="84"/>
        <v>0.23324123741825886</v>
      </c>
      <c r="N160">
        <f t="shared" si="85"/>
        <v>5.4401474832400598E-2</v>
      </c>
    </row>
    <row r="161" spans="1:14" x14ac:dyDescent="0.45">
      <c r="A161" s="23">
        <v>42195</v>
      </c>
      <c r="B161">
        <v>25.37</v>
      </c>
      <c r="C161">
        <v>25.36</v>
      </c>
      <c r="G161">
        <f t="shared" ref="G161:K161" si="115">SUMPRODUCT($B161:$B165,P$2:P$6)</f>
        <v>20.79201163362287</v>
      </c>
      <c r="H161">
        <f t="shared" si="115"/>
        <v>17.057563127869038</v>
      </c>
      <c r="I161">
        <f t="shared" si="115"/>
        <v>14.0151063840103</v>
      </c>
      <c r="J161">
        <f t="shared" si="115"/>
        <v>11.445238470652754</v>
      </c>
      <c r="K161">
        <f t="shared" si="115"/>
        <v>10.283418471095167</v>
      </c>
      <c r="L161">
        <f t="shared" si="82"/>
        <v>25.403105969793447</v>
      </c>
      <c r="M161">
        <f t="shared" si="84"/>
        <v>0.13689403020655178</v>
      </c>
      <c r="N161">
        <f t="shared" si="85"/>
        <v>1.8739975506192309E-2</v>
      </c>
    </row>
    <row r="162" spans="1:14" x14ac:dyDescent="0.45">
      <c r="A162" s="23">
        <v>42194</v>
      </c>
      <c r="B162">
        <v>25.09</v>
      </c>
      <c r="C162">
        <v>25.12</v>
      </c>
      <c r="G162">
        <f t="shared" ref="G162:K162" si="116">SUMPRODUCT($B162:$B166,P$2:P$6)</f>
        <v>20.609936005525363</v>
      </c>
      <c r="H162">
        <f t="shared" si="116"/>
        <v>16.900127426282033</v>
      </c>
      <c r="I162">
        <f t="shared" si="116"/>
        <v>13.875404679217841</v>
      </c>
      <c r="J162">
        <f t="shared" si="116"/>
        <v>11.328473595658574</v>
      </c>
      <c r="K162">
        <f t="shared" si="116"/>
        <v>10.17881367802447</v>
      </c>
      <c r="L162">
        <f t="shared" si="82"/>
        <v>25.165333770963702</v>
      </c>
      <c r="M162">
        <f t="shared" si="84"/>
        <v>0.20466622903629883</v>
      </c>
      <c r="N162">
        <f t="shared" si="85"/>
        <v>4.1888265307938731E-2</v>
      </c>
    </row>
    <row r="163" spans="1:14" x14ac:dyDescent="0.45">
      <c r="A163" s="23">
        <v>42193</v>
      </c>
      <c r="B163">
        <v>24.84</v>
      </c>
      <c r="C163">
        <v>24.8</v>
      </c>
      <c r="G163">
        <f t="shared" ref="G163:K163" si="117">SUMPRODUCT($B163:$B167,P$2:P$6)</f>
        <v>20.373340079506608</v>
      </c>
      <c r="H163">
        <f t="shared" si="117"/>
        <v>16.713463599473634</v>
      </c>
      <c r="I163">
        <f t="shared" si="117"/>
        <v>13.731578844690114</v>
      </c>
      <c r="J163">
        <f t="shared" si="117"/>
        <v>11.213609093588069</v>
      </c>
      <c r="K163">
        <f t="shared" si="117"/>
        <v>10.075543468615667</v>
      </c>
      <c r="L163">
        <f t="shared" si="82"/>
        <v>24.89715311877498</v>
      </c>
      <c r="M163">
        <f t="shared" si="84"/>
        <v>0.19284688122501947</v>
      </c>
      <c r="N163">
        <f t="shared" si="85"/>
        <v>3.718991959821677E-2</v>
      </c>
    </row>
    <row r="164" spans="1:14" x14ac:dyDescent="0.45">
      <c r="A164" s="23">
        <v>42192</v>
      </c>
      <c r="B164">
        <v>25.01</v>
      </c>
      <c r="C164">
        <v>25.05</v>
      </c>
      <c r="G164">
        <f t="shared" ref="G164:K164" si="118">SUMPRODUCT($B164:$B168,P$2:P$6)</f>
        <v>20.524743201999573</v>
      </c>
      <c r="H164">
        <f t="shared" si="118"/>
        <v>16.835254088425721</v>
      </c>
      <c r="I164">
        <f t="shared" si="118"/>
        <v>13.828541724136395</v>
      </c>
      <c r="J164">
        <f t="shared" si="118"/>
        <v>11.291967399161148</v>
      </c>
      <c r="K164">
        <f t="shared" si="118"/>
        <v>10.146000467949607</v>
      </c>
      <c r="L164">
        <f t="shared" si="82"/>
        <v>25.074138995569523</v>
      </c>
      <c r="M164">
        <f t="shared" si="84"/>
        <v>-0.23413899556952344</v>
      </c>
      <c r="N164">
        <f t="shared" si="85"/>
        <v>5.4821069246305316E-2</v>
      </c>
    </row>
    <row r="165" spans="1:14" x14ac:dyDescent="0.45">
      <c r="A165" s="23">
        <v>42191</v>
      </c>
      <c r="B165">
        <v>24.41</v>
      </c>
      <c r="C165">
        <v>24.82</v>
      </c>
      <c r="G165">
        <f t="shared" ref="G165:K165" si="119">SUMPRODUCT($B165:$B169,P$2:P$6)</f>
        <v>20.06808918229105</v>
      </c>
      <c r="H165">
        <f t="shared" si="119"/>
        <v>16.456102799670745</v>
      </c>
      <c r="I165">
        <f t="shared" si="119"/>
        <v>13.511220791917628</v>
      </c>
      <c r="J165">
        <f t="shared" si="119"/>
        <v>11.03141401885342</v>
      </c>
      <c r="K165">
        <f t="shared" si="119"/>
        <v>9.9122229315446617</v>
      </c>
      <c r="L165">
        <f t="shared" si="82"/>
        <v>24.513532731530848</v>
      </c>
      <c r="M165">
        <f t="shared" si="84"/>
        <v>0.49646726846915357</v>
      </c>
      <c r="N165">
        <f t="shared" si="85"/>
        <v>0.2464797486612226</v>
      </c>
    </row>
    <row r="166" spans="1:14" x14ac:dyDescent="0.45">
      <c r="A166" s="23">
        <v>42187</v>
      </c>
      <c r="B166">
        <v>24.7</v>
      </c>
      <c r="C166">
        <v>24.63</v>
      </c>
      <c r="G166">
        <f t="shared" ref="G166:K166" si="120">SUMPRODUCT($B166:$B170,P$2:P$6)</f>
        <v>20.312105646853141</v>
      </c>
      <c r="H166">
        <f t="shared" si="120"/>
        <v>16.658497473741786</v>
      </c>
      <c r="I166">
        <f t="shared" si="120"/>
        <v>13.680345755711436</v>
      </c>
      <c r="J166">
        <f t="shared" si="120"/>
        <v>11.170448773403436</v>
      </c>
      <c r="K166">
        <f t="shared" si="120"/>
        <v>10.037409098256601</v>
      </c>
      <c r="L166">
        <f t="shared" si="82"/>
        <v>24.81288375296521</v>
      </c>
      <c r="M166">
        <f t="shared" si="84"/>
        <v>-0.4028837529652094</v>
      </c>
      <c r="N166">
        <f t="shared" si="85"/>
        <v>0.16231531840333188</v>
      </c>
    </row>
    <row r="167" spans="1:14" x14ac:dyDescent="0.45">
      <c r="A167" s="23">
        <v>42186</v>
      </c>
      <c r="B167">
        <v>24.4</v>
      </c>
      <c r="C167">
        <v>24.73</v>
      </c>
      <c r="G167">
        <f t="shared" ref="G167:K167" si="121">SUMPRODUCT($B167:$B171,P$2:P$6)</f>
        <v>20.099724406085524</v>
      </c>
      <c r="H167">
        <f t="shared" si="121"/>
        <v>16.477160450282561</v>
      </c>
      <c r="I167">
        <f t="shared" si="121"/>
        <v>13.522239598092558</v>
      </c>
      <c r="J167">
        <f t="shared" si="121"/>
        <v>11.038893142399109</v>
      </c>
      <c r="K167">
        <f t="shared" si="121"/>
        <v>9.9193291864297688</v>
      </c>
      <c r="L167">
        <f t="shared" si="82"/>
        <v>24.540673651737148</v>
      </c>
      <c r="M167">
        <f t="shared" si="84"/>
        <v>0.15932634826285152</v>
      </c>
      <c r="N167">
        <f t="shared" si="85"/>
        <v>2.5384885250775452E-2</v>
      </c>
    </row>
    <row r="168" spans="1:14" x14ac:dyDescent="0.45">
      <c r="A168" s="23">
        <v>42185</v>
      </c>
      <c r="B168">
        <v>24.65</v>
      </c>
      <c r="C168">
        <v>24.21</v>
      </c>
      <c r="G168">
        <f t="shared" ref="G168:K168" si="122">SUMPRODUCT($B168:$B172,P$2:P$6)</f>
        <v>20.352919435995751</v>
      </c>
      <c r="H168">
        <f t="shared" si="122"/>
        <v>16.670944476033068</v>
      </c>
      <c r="I168">
        <f t="shared" si="122"/>
        <v>13.663577984783457</v>
      </c>
      <c r="J168">
        <f t="shared" si="122"/>
        <v>11.149356470124962</v>
      </c>
      <c r="K168">
        <f t="shared" si="122"/>
        <v>10.018501945295839</v>
      </c>
      <c r="L168">
        <f t="shared" si="82"/>
        <v>24.813881765956076</v>
      </c>
      <c r="M168">
        <f t="shared" si="84"/>
        <v>-0.41388176595607717</v>
      </c>
      <c r="N168">
        <f t="shared" si="85"/>
        <v>0.17129811619092103</v>
      </c>
    </row>
    <row r="169" spans="1:14" x14ac:dyDescent="0.45">
      <c r="A169" s="23">
        <v>42184</v>
      </c>
      <c r="B169">
        <v>24.71</v>
      </c>
      <c r="C169">
        <v>24.49</v>
      </c>
      <c r="G169">
        <f t="shared" ref="G169:K169" si="123">SUMPRODUCT($B169:$B173,P$2:P$6)</f>
        <v>20.384161082631469</v>
      </c>
      <c r="H169">
        <f t="shared" si="123"/>
        <v>16.699650311555761</v>
      </c>
      <c r="I169">
        <f t="shared" si="123"/>
        <v>13.691110648383193</v>
      </c>
      <c r="J169">
        <f t="shared" si="123"/>
        <v>11.172864386260779</v>
      </c>
      <c r="K169">
        <f t="shared" si="123"/>
        <v>10.039509563390972</v>
      </c>
      <c r="L169">
        <f t="shared" si="82"/>
        <v>24.858522583269124</v>
      </c>
      <c r="M169">
        <f t="shared" si="84"/>
        <v>-0.20852258326912576</v>
      </c>
      <c r="N169">
        <f t="shared" si="85"/>
        <v>4.3481667733229486E-2</v>
      </c>
    </row>
    <row r="170" spans="1:14" x14ac:dyDescent="0.45">
      <c r="A170" s="23">
        <v>42181</v>
      </c>
      <c r="B170">
        <v>25.57</v>
      </c>
      <c r="C170">
        <v>25.04</v>
      </c>
      <c r="G170">
        <f t="shared" ref="G170:K170" si="124">SUMPRODUCT($B170:$B174,P$2:P$6)</f>
        <v>20.99550070265385</v>
      </c>
      <c r="H170">
        <f t="shared" si="124"/>
        <v>17.218358357819678</v>
      </c>
      <c r="I170">
        <f t="shared" si="124"/>
        <v>14.13933520047944</v>
      </c>
      <c r="J170">
        <f t="shared" si="124"/>
        <v>11.544679639871804</v>
      </c>
      <c r="K170">
        <f t="shared" si="124"/>
        <v>10.373061880725393</v>
      </c>
      <c r="L170">
        <f t="shared" si="82"/>
        <v>25.634479759859232</v>
      </c>
      <c r="M170">
        <f t="shared" si="84"/>
        <v>-0.92447975985923136</v>
      </c>
      <c r="N170">
        <f t="shared" si="85"/>
        <v>0.85466282638938207</v>
      </c>
    </row>
    <row r="171" spans="1:14" x14ac:dyDescent="0.45">
      <c r="A171" s="23">
        <v>42180</v>
      </c>
      <c r="B171">
        <v>25.46</v>
      </c>
      <c r="C171">
        <v>25.4</v>
      </c>
      <c r="G171">
        <f t="shared" ref="G171:K171" si="125">SUMPRODUCT($B171:$B175,P$2:P$6)</f>
        <v>20.903858667639216</v>
      </c>
      <c r="H171">
        <f t="shared" si="125"/>
        <v>17.144425988316545</v>
      </c>
      <c r="I171">
        <f t="shared" si="125"/>
        <v>14.080193489949675</v>
      </c>
      <c r="J171">
        <f t="shared" si="125"/>
        <v>11.496854869037159</v>
      </c>
      <c r="K171">
        <f t="shared" si="125"/>
        <v>10.330150204601441</v>
      </c>
      <c r="L171">
        <f t="shared" si="82"/>
        <v>25.526915344915697</v>
      </c>
      <c r="M171">
        <f t="shared" si="84"/>
        <v>4.3084655084303591E-2</v>
      </c>
      <c r="N171">
        <f t="shared" si="85"/>
        <v>1.8562875037334073E-3</v>
      </c>
    </row>
    <row r="172" spans="1:14" x14ac:dyDescent="0.45">
      <c r="A172" s="23">
        <v>42179</v>
      </c>
      <c r="B172">
        <v>25.39</v>
      </c>
      <c r="C172">
        <v>25.44</v>
      </c>
      <c r="G172">
        <f t="shared" ref="G172:K172" si="126">SUMPRODUCT($B172:$B176,P$2:P$6)</f>
        <v>20.842098878693818</v>
      </c>
      <c r="H172">
        <f t="shared" si="126"/>
        <v>17.093461712756792</v>
      </c>
      <c r="I172">
        <f t="shared" si="126"/>
        <v>14.037938262972553</v>
      </c>
      <c r="J172">
        <f t="shared" si="126"/>
        <v>11.462189120659255</v>
      </c>
      <c r="K172">
        <f t="shared" si="126"/>
        <v>10.298903660462349</v>
      </c>
      <c r="L172">
        <f t="shared" si="82"/>
        <v>25.451729715694356</v>
      </c>
      <c r="M172">
        <f t="shared" si="84"/>
        <v>8.270284305645248E-3</v>
      </c>
      <c r="N172">
        <f t="shared" si="85"/>
        <v>6.8397602496202101E-5</v>
      </c>
    </row>
    <row r="173" spans="1:14" x14ac:dyDescent="0.45">
      <c r="A173" s="23">
        <v>42178</v>
      </c>
      <c r="B173">
        <v>25.24</v>
      </c>
      <c r="C173">
        <v>25.42</v>
      </c>
      <c r="G173">
        <f t="shared" ref="G173:K173" si="127">SUMPRODUCT($B173:$B177,P$2:P$6)</f>
        <v>20.736307827405238</v>
      </c>
      <c r="H173">
        <f t="shared" si="127"/>
        <v>17.003184726245642</v>
      </c>
      <c r="I173">
        <f t="shared" si="127"/>
        <v>13.95928860029942</v>
      </c>
      <c r="J173">
        <f t="shared" si="127"/>
        <v>11.396769416385096</v>
      </c>
      <c r="K173">
        <f t="shared" si="127"/>
        <v>10.240196917282487</v>
      </c>
      <c r="L173">
        <f t="shared" si="82"/>
        <v>25.316259217810344</v>
      </c>
      <c r="M173">
        <f t="shared" si="84"/>
        <v>7.3740782189656073E-2</v>
      </c>
      <c r="N173">
        <f t="shared" si="85"/>
        <v>5.4377029579422984E-3</v>
      </c>
    </row>
    <row r="174" spans="1:14" x14ac:dyDescent="0.45">
      <c r="A174" s="23">
        <v>42177</v>
      </c>
      <c r="B174">
        <v>25.16</v>
      </c>
      <c r="C174">
        <v>25.23</v>
      </c>
      <c r="G174">
        <f t="shared" ref="G174:K174" si="128">SUMPRODUCT($B174:$B178,P$2:P$6)</f>
        <v>20.653073335615652</v>
      </c>
      <c r="H174">
        <f t="shared" si="128"/>
        <v>16.939175114060024</v>
      </c>
      <c r="I174">
        <f t="shared" si="128"/>
        <v>13.912182135324105</v>
      </c>
      <c r="J174">
        <f t="shared" si="128"/>
        <v>11.359794133204497</v>
      </c>
      <c r="K174">
        <f t="shared" si="128"/>
        <v>10.206947238878707</v>
      </c>
      <c r="L174">
        <f t="shared" si="82"/>
        <v>25.225713071215612</v>
      </c>
      <c r="M174">
        <f t="shared" si="84"/>
        <v>1.4286928784386532E-2</v>
      </c>
      <c r="N174">
        <f t="shared" si="85"/>
        <v>2.0411633409013244E-4</v>
      </c>
    </row>
    <row r="175" spans="1:14" x14ac:dyDescent="0.45">
      <c r="A175" s="23">
        <v>42174</v>
      </c>
      <c r="B175">
        <v>25.19</v>
      </c>
      <c r="C175">
        <v>25.01</v>
      </c>
      <c r="G175">
        <f t="shared" ref="G175:K175" si="129">SUMPRODUCT($B175:$B179,P$2:P$6)</f>
        <v>20.679569450449964</v>
      </c>
      <c r="H175">
        <f t="shared" si="129"/>
        <v>16.96330508660078</v>
      </c>
      <c r="I175">
        <f t="shared" si="129"/>
        <v>13.935078370795376</v>
      </c>
      <c r="J175">
        <f t="shared" si="129"/>
        <v>11.379442896326841</v>
      </c>
      <c r="K175">
        <f t="shared" si="129"/>
        <v>10.224799089806362</v>
      </c>
      <c r="L175">
        <f t="shared" si="82"/>
        <v>25.263254930389976</v>
      </c>
      <c r="M175">
        <f t="shared" si="84"/>
        <v>-0.10325493038997635</v>
      </c>
      <c r="N175">
        <f t="shared" si="85"/>
        <v>1.0661580649838862E-2</v>
      </c>
    </row>
    <row r="176" spans="1:14" x14ac:dyDescent="0.45">
      <c r="A176" s="23">
        <v>42173</v>
      </c>
      <c r="B176">
        <v>24.91</v>
      </c>
      <c r="C176">
        <v>25.14</v>
      </c>
      <c r="G176">
        <f t="shared" ref="G176:K176" si="130">SUMPRODUCT($B176:$B180,P$2:P$6)</f>
        <v>20.47018626670884</v>
      </c>
      <c r="H176">
        <f t="shared" si="130"/>
        <v>16.788256310216788</v>
      </c>
      <c r="I176">
        <f t="shared" si="130"/>
        <v>13.787051913601472</v>
      </c>
      <c r="J176">
        <f t="shared" si="130"/>
        <v>11.257479873724041</v>
      </c>
      <c r="K176">
        <f t="shared" si="130"/>
        <v>10.115356885042566</v>
      </c>
      <c r="L176">
        <f t="shared" si="82"/>
        <v>25.003447035433584</v>
      </c>
      <c r="M176">
        <f t="shared" si="84"/>
        <v>0.18655296456641679</v>
      </c>
      <c r="N176">
        <f t="shared" si="85"/>
        <v>3.4802008588518757E-2</v>
      </c>
    </row>
    <row r="177" spans="1:14" x14ac:dyDescent="0.45">
      <c r="A177" s="23">
        <v>42172</v>
      </c>
      <c r="B177">
        <v>24.88</v>
      </c>
      <c r="C177">
        <v>24.87</v>
      </c>
      <c r="G177">
        <f t="shared" ref="G177:K177" si="131">SUMPRODUCT($B177:$B181,P$2:P$6)</f>
        <v>20.486583441249508</v>
      </c>
      <c r="H177">
        <f t="shared" si="131"/>
        <v>16.790680408594447</v>
      </c>
      <c r="I177">
        <f t="shared" si="131"/>
        <v>13.774892045098815</v>
      </c>
      <c r="J177">
        <f t="shared" si="131"/>
        <v>11.243652243397712</v>
      </c>
      <c r="K177">
        <f t="shared" si="131"/>
        <v>10.102921588933103</v>
      </c>
      <c r="L177">
        <f t="shared" si="82"/>
        <v>24.997923936617202</v>
      </c>
      <c r="M177">
        <f t="shared" si="84"/>
        <v>-8.7923936617201548E-2</v>
      </c>
      <c r="N177">
        <f t="shared" si="85"/>
        <v>7.7306186302656755E-3</v>
      </c>
    </row>
    <row r="178" spans="1:14" x14ac:dyDescent="0.45">
      <c r="A178" s="23">
        <v>42171</v>
      </c>
      <c r="B178">
        <v>24.79</v>
      </c>
      <c r="C178">
        <v>24.74</v>
      </c>
      <c r="G178">
        <f t="shared" ref="G178:K178" si="132">SUMPRODUCT($B178:$B182,P$2:P$6)</f>
        <v>20.427684813555448</v>
      </c>
      <c r="H178">
        <f t="shared" si="132"/>
        <v>16.741982916896387</v>
      </c>
      <c r="I178">
        <f t="shared" si="132"/>
        <v>13.734395482945782</v>
      </c>
      <c r="J178">
        <f t="shared" si="132"/>
        <v>11.210579193226712</v>
      </c>
      <c r="K178">
        <f t="shared" si="132"/>
        <v>10.073449198169016</v>
      </c>
      <c r="L178">
        <f t="shared" si="82"/>
        <v>24.926207879844835</v>
      </c>
      <c r="M178">
        <f t="shared" si="84"/>
        <v>-4.6207879844835986E-2</v>
      </c>
      <c r="N178">
        <f t="shared" si="85"/>
        <v>2.1351681597547999E-3</v>
      </c>
    </row>
    <row r="179" spans="1:14" x14ac:dyDescent="0.45">
      <c r="A179" s="23">
        <v>42170</v>
      </c>
      <c r="B179">
        <v>25.26</v>
      </c>
      <c r="C179">
        <v>24.54</v>
      </c>
      <c r="G179">
        <f t="shared" ref="G179:K179" si="133">SUMPRODUCT($B179:$B183,P$2:P$6)</f>
        <v>20.750281279806785</v>
      </c>
      <c r="H179">
        <f t="shared" si="133"/>
        <v>17.018820535455013</v>
      </c>
      <c r="I179">
        <f t="shared" si="133"/>
        <v>13.977488985191323</v>
      </c>
      <c r="J179">
        <f t="shared" si="133"/>
        <v>11.413234595341882</v>
      </c>
      <c r="K179">
        <f t="shared" si="133"/>
        <v>10.255231740659076</v>
      </c>
      <c r="L179">
        <f t="shared" si="82"/>
        <v>25.342811348677856</v>
      </c>
      <c r="M179">
        <f t="shared" si="84"/>
        <v>-0.55281134867785653</v>
      </c>
      <c r="N179">
        <f t="shared" si="85"/>
        <v>0.30560038722703065</v>
      </c>
    </row>
    <row r="180" spans="1:14" x14ac:dyDescent="0.45">
      <c r="A180" s="23">
        <v>42167</v>
      </c>
      <c r="B180">
        <v>25.25</v>
      </c>
      <c r="C180">
        <v>25.4</v>
      </c>
      <c r="G180">
        <f t="shared" ref="G180:K180" si="134">SUMPRODUCT($B180:$B184,P$2:P$6)</f>
        <v>20.784568530221382</v>
      </c>
      <c r="H180">
        <f t="shared" si="134"/>
        <v>17.038607894383428</v>
      </c>
      <c r="I180">
        <f t="shared" si="134"/>
        <v>13.983042341807504</v>
      </c>
      <c r="J180">
        <f t="shared" si="134"/>
        <v>11.414933551149895</v>
      </c>
      <c r="K180">
        <f t="shared" si="134"/>
        <v>10.256957302429258</v>
      </c>
      <c r="L180">
        <f t="shared" si="82"/>
        <v>25.365137158388201</v>
      </c>
      <c r="M180">
        <f t="shared" si="84"/>
        <v>-0.10513715838819948</v>
      </c>
      <c r="N180">
        <f t="shared" si="85"/>
        <v>1.1053822073945344E-2</v>
      </c>
    </row>
    <row r="181" spans="1:14" x14ac:dyDescent="0.45">
      <c r="A181" s="23">
        <v>42166</v>
      </c>
      <c r="B181">
        <v>25.08</v>
      </c>
      <c r="C181">
        <v>25.3</v>
      </c>
      <c r="G181">
        <f t="shared" ref="G181:K181" si="135">SUMPRODUCT($B181:$B185,P$2:P$6)</f>
        <v>20.655704490055918</v>
      </c>
      <c r="H181">
        <f t="shared" si="135"/>
        <v>16.930461444554503</v>
      </c>
      <c r="I181">
        <f t="shared" si="135"/>
        <v>13.891070097860132</v>
      </c>
      <c r="J181">
        <f t="shared" si="135"/>
        <v>11.338981936702549</v>
      </c>
      <c r="K181">
        <f t="shared" si="135"/>
        <v>10.188739500222159</v>
      </c>
      <c r="L181">
        <f t="shared" si="82"/>
        <v>25.20425447188153</v>
      </c>
      <c r="M181">
        <f t="shared" si="84"/>
        <v>4.5745528118469991E-2</v>
      </c>
      <c r="N181">
        <f t="shared" si="85"/>
        <v>2.0926533428377286E-3</v>
      </c>
    </row>
    <row r="182" spans="1:14" x14ac:dyDescent="0.45">
      <c r="A182" s="23">
        <v>42165</v>
      </c>
      <c r="B182">
        <v>25.5</v>
      </c>
      <c r="C182">
        <v>25.5</v>
      </c>
      <c r="G182">
        <f t="shared" ref="G182:K182" si="136">SUMPRODUCT($B182:$B186,P$2:P$6)</f>
        <v>20.987795781923207</v>
      </c>
      <c r="H182">
        <f t="shared" si="136"/>
        <v>17.204181592347616</v>
      </c>
      <c r="I182">
        <f t="shared" si="136"/>
        <v>14.117605607429374</v>
      </c>
      <c r="J182">
        <f t="shared" si="136"/>
        <v>11.524357734289577</v>
      </c>
      <c r="K182">
        <f t="shared" si="136"/>
        <v>10.355165124802845</v>
      </c>
      <c r="L182">
        <f t="shared" si="82"/>
        <v>25.607399926908514</v>
      </c>
      <c r="M182">
        <f t="shared" si="84"/>
        <v>-0.52739992690851523</v>
      </c>
      <c r="N182">
        <f t="shared" si="85"/>
        <v>0.27815068290310718</v>
      </c>
    </row>
    <row r="183" spans="1:14" x14ac:dyDescent="0.45">
      <c r="A183" s="23">
        <v>42164</v>
      </c>
      <c r="B183">
        <v>25.45</v>
      </c>
      <c r="C183">
        <v>25.52</v>
      </c>
      <c r="G183">
        <f t="shared" ref="G183:K183" si="137">SUMPRODUCT($B183:$B187,P$2:P$6)</f>
        <v>20.939543986717542</v>
      </c>
      <c r="H183">
        <f t="shared" si="137"/>
        <v>17.166638433409378</v>
      </c>
      <c r="I183">
        <f t="shared" si="137"/>
        <v>14.089379402866983</v>
      </c>
      <c r="J183">
        <f t="shared" si="137"/>
        <v>11.502032097177596</v>
      </c>
      <c r="K183">
        <f t="shared" si="137"/>
        <v>10.335113800367392</v>
      </c>
      <c r="L183">
        <f t="shared" si="82"/>
        <v>25.553923971690139</v>
      </c>
      <c r="M183">
        <f t="shared" si="84"/>
        <v>-5.3923971690139183E-2</v>
      </c>
      <c r="N183">
        <f t="shared" si="85"/>
        <v>2.9077947228389319E-3</v>
      </c>
    </row>
    <row r="184" spans="1:14" x14ac:dyDescent="0.45">
      <c r="A184" s="23">
        <v>42163</v>
      </c>
      <c r="B184">
        <v>25.77</v>
      </c>
      <c r="C184">
        <v>25.44</v>
      </c>
      <c r="G184">
        <f t="shared" ref="G184:K184" si="138">SUMPRODUCT($B184:$B188,P$2:P$6)</f>
        <v>21.174680253764155</v>
      </c>
      <c r="H184">
        <f t="shared" si="138"/>
        <v>17.361312708412463</v>
      </c>
      <c r="I184">
        <f t="shared" si="138"/>
        <v>14.251603717957609</v>
      </c>
      <c r="J184">
        <f t="shared" si="138"/>
        <v>11.634935739913841</v>
      </c>
      <c r="K184">
        <f t="shared" si="138"/>
        <v>10.45415624981352</v>
      </c>
      <c r="L184">
        <f t="shared" si="82"/>
        <v>25.841193518079677</v>
      </c>
      <c r="M184">
        <f t="shared" si="84"/>
        <v>-0.39119351807967817</v>
      </c>
      <c r="N184">
        <f t="shared" si="85"/>
        <v>0.15303236858755548</v>
      </c>
    </row>
    <row r="185" spans="1:14" x14ac:dyDescent="0.45">
      <c r="A185" s="23">
        <v>42160</v>
      </c>
      <c r="B185">
        <v>25.63</v>
      </c>
      <c r="C185">
        <v>25.77</v>
      </c>
      <c r="G185">
        <f t="shared" ref="G185:K185" si="139">SUMPRODUCT($B185:$B189,P$2:P$6)</f>
        <v>21.075176894344487</v>
      </c>
      <c r="H185">
        <f t="shared" si="139"/>
        <v>17.277641083423791</v>
      </c>
      <c r="I185">
        <f t="shared" si="139"/>
        <v>14.180238027371967</v>
      </c>
      <c r="J185">
        <f t="shared" si="139"/>
        <v>11.576009662121812</v>
      </c>
      <c r="K185">
        <f t="shared" si="139"/>
        <v>10.401348326074157</v>
      </c>
      <c r="L185">
        <f t="shared" si="82"/>
        <v>25.716657875237605</v>
      </c>
      <c r="M185">
        <f t="shared" si="84"/>
        <v>5.334212476239486E-2</v>
      </c>
      <c r="N185">
        <f t="shared" si="85"/>
        <v>2.8453822741668989E-3</v>
      </c>
    </row>
    <row r="186" spans="1:14" x14ac:dyDescent="0.45">
      <c r="A186" s="23">
        <v>42159</v>
      </c>
      <c r="B186">
        <v>25.77</v>
      </c>
      <c r="C186">
        <v>25.68</v>
      </c>
      <c r="G186">
        <f t="shared" ref="G186:K186" si="140">SUMPRODUCT($B186:$B190,P$2:P$6)</f>
        <v>21.144120048348856</v>
      </c>
      <c r="H186">
        <f t="shared" si="140"/>
        <v>17.34754688117054</v>
      </c>
      <c r="I186">
        <f t="shared" si="140"/>
        <v>14.254800535578424</v>
      </c>
      <c r="J186">
        <f t="shared" si="140"/>
        <v>11.641653579872585</v>
      </c>
      <c r="K186">
        <f t="shared" si="140"/>
        <v>10.460411002819129</v>
      </c>
      <c r="L186">
        <f t="shared" si="82"/>
        <v>25.830404848734805</v>
      </c>
      <c r="M186">
        <f t="shared" si="84"/>
        <v>-0.2004048487348058</v>
      </c>
      <c r="N186">
        <f t="shared" si="85"/>
        <v>4.0162103396420394E-2</v>
      </c>
    </row>
    <row r="187" spans="1:14" x14ac:dyDescent="0.45">
      <c r="A187" s="23">
        <v>42158</v>
      </c>
      <c r="B187">
        <v>25.76</v>
      </c>
      <c r="C187">
        <v>25.96</v>
      </c>
      <c r="G187">
        <f t="shared" ref="G187:K187" si="141">SUMPRODUCT($B187:$B191,P$2:P$6)</f>
        <v>21.144666257517084</v>
      </c>
      <c r="H187">
        <f t="shared" si="141"/>
        <v>17.344472357184461</v>
      </c>
      <c r="I187">
        <f t="shared" si="141"/>
        <v>14.24775408895518</v>
      </c>
      <c r="J187">
        <f t="shared" si="141"/>
        <v>11.634611730057038</v>
      </c>
      <c r="K187">
        <f t="shared" si="141"/>
        <v>10.454001433684409</v>
      </c>
      <c r="L187">
        <f t="shared" si="82"/>
        <v>25.822938314374866</v>
      </c>
      <c r="M187">
        <f t="shared" si="84"/>
        <v>-5.2938314374866735E-2</v>
      </c>
      <c r="N187">
        <f t="shared" si="85"/>
        <v>2.8024651288522219E-3</v>
      </c>
    </row>
    <row r="188" spans="1:14" x14ac:dyDescent="0.45">
      <c r="A188" s="23">
        <v>42157</v>
      </c>
      <c r="B188">
        <v>25.31</v>
      </c>
      <c r="C188">
        <v>25.53</v>
      </c>
      <c r="G188">
        <f t="shared" ref="G188:K188" si="142">SUMPRODUCT($B188:$B192,P$2:P$6)</f>
        <v>20.857026122371263</v>
      </c>
      <c r="H188">
        <f t="shared" si="142"/>
        <v>17.090113899107404</v>
      </c>
      <c r="I188">
        <f t="shared" si="142"/>
        <v>14.01517602324639</v>
      </c>
      <c r="J188">
        <f t="shared" si="142"/>
        <v>11.438309361020629</v>
      </c>
      <c r="K188">
        <f t="shared" si="142"/>
        <v>10.277839860369758</v>
      </c>
      <c r="L188">
        <f t="shared" si="82"/>
        <v>25.434208529416246</v>
      </c>
      <c r="M188">
        <f t="shared" si="84"/>
        <v>0.32579147058375568</v>
      </c>
      <c r="N188">
        <f t="shared" si="85"/>
        <v>0.10614008230512614</v>
      </c>
    </row>
    <row r="189" spans="1:14" x14ac:dyDescent="0.45">
      <c r="A189" s="23">
        <v>42156</v>
      </c>
      <c r="B189">
        <v>25.44</v>
      </c>
      <c r="C189">
        <v>25.4</v>
      </c>
      <c r="G189">
        <f t="shared" ref="G189:K189" si="143">SUMPRODUCT($B189:$B193,P$2:P$6)</f>
        <v>20.929899914448715</v>
      </c>
      <c r="H189">
        <f t="shared" si="143"/>
        <v>17.156744260051791</v>
      </c>
      <c r="I189">
        <f t="shared" si="143"/>
        <v>14.07870655774855</v>
      </c>
      <c r="J189">
        <f t="shared" si="143"/>
        <v>11.492529804556064</v>
      </c>
      <c r="K189">
        <f t="shared" si="143"/>
        <v>10.326414689510312</v>
      </c>
      <c r="L189">
        <f t="shared" si="82"/>
        <v>25.537658265205348</v>
      </c>
      <c r="M189">
        <f t="shared" si="84"/>
        <v>-0.22765826520534915</v>
      </c>
      <c r="N189">
        <f t="shared" si="85"/>
        <v>5.182828571630909E-2</v>
      </c>
    </row>
    <row r="190" spans="1:14" x14ac:dyDescent="0.45">
      <c r="A190" s="23">
        <v>42153</v>
      </c>
      <c r="B190">
        <v>25.89</v>
      </c>
      <c r="C190">
        <v>25.26</v>
      </c>
      <c r="G190">
        <f t="shared" ref="G190:K190" si="144">SUMPRODUCT($B190:$B194,P$2:P$6)</f>
        <v>21.239799856724947</v>
      </c>
      <c r="H190">
        <f t="shared" si="144"/>
        <v>17.423417941699288</v>
      </c>
      <c r="I190">
        <f t="shared" si="144"/>
        <v>14.313772423747029</v>
      </c>
      <c r="J190">
        <f t="shared" si="144"/>
        <v>11.688763770998241</v>
      </c>
      <c r="K190">
        <f t="shared" si="144"/>
        <v>10.502511567491339</v>
      </c>
      <c r="L190">
        <f t="shared" si="82"/>
        <v>25.939585705570106</v>
      </c>
      <c r="M190">
        <f t="shared" si="84"/>
        <v>-0.49958570557010518</v>
      </c>
      <c r="N190">
        <f t="shared" si="85"/>
        <v>0.24958587720997982</v>
      </c>
    </row>
    <row r="191" spans="1:14" x14ac:dyDescent="0.45">
      <c r="A191" s="23">
        <v>42152</v>
      </c>
      <c r="B191">
        <v>25.67</v>
      </c>
      <c r="C191">
        <v>25.72</v>
      </c>
      <c r="G191">
        <f t="shared" ref="G191:K191" si="145">SUMPRODUCT($B191:$B195,P$2:P$6)</f>
        <v>21.075111889724155</v>
      </c>
      <c r="H191">
        <f t="shared" si="145"/>
        <v>17.286740523527033</v>
      </c>
      <c r="I191">
        <f t="shared" si="145"/>
        <v>14.199459606580433</v>
      </c>
      <c r="J191">
        <f t="shared" si="145"/>
        <v>11.594952692209779</v>
      </c>
      <c r="K191">
        <f t="shared" si="145"/>
        <v>10.418398727102549</v>
      </c>
      <c r="L191">
        <f t="shared" si="82"/>
        <v>25.737580082626717</v>
      </c>
      <c r="M191">
        <f t="shared" si="84"/>
        <v>0.1524199173732832</v>
      </c>
      <c r="N191">
        <f t="shared" si="85"/>
        <v>2.3231831212078478E-2</v>
      </c>
    </row>
    <row r="192" spans="1:14" x14ac:dyDescent="0.45">
      <c r="A192" s="23">
        <v>42151</v>
      </c>
      <c r="B192">
        <v>25.49</v>
      </c>
      <c r="C192">
        <v>25.71</v>
      </c>
      <c r="G192">
        <f t="shared" ref="G192:K192" si="146">SUMPRODUCT($B192:$B196,P$2:P$6)</f>
        <v>20.952748061415399</v>
      </c>
      <c r="H192">
        <f t="shared" si="146"/>
        <v>17.180298527567377</v>
      </c>
      <c r="I192">
        <f t="shared" si="146"/>
        <v>14.104231762687885</v>
      </c>
      <c r="J192">
        <f t="shared" si="146"/>
        <v>11.515071838473377</v>
      </c>
      <c r="K192">
        <f t="shared" si="146"/>
        <v>10.346668449478772</v>
      </c>
      <c r="L192">
        <f t="shared" si="82"/>
        <v>25.576225687133441</v>
      </c>
      <c r="M192">
        <f t="shared" si="84"/>
        <v>9.3774312866560905E-2</v>
      </c>
      <c r="N192">
        <f t="shared" si="85"/>
        <v>8.7936217535956509E-3</v>
      </c>
    </row>
    <row r="193" spans="1:14" x14ac:dyDescent="0.45">
      <c r="A193" s="23">
        <v>42150</v>
      </c>
      <c r="B193">
        <v>25.39</v>
      </c>
      <c r="C193">
        <v>25.41</v>
      </c>
      <c r="G193">
        <f t="shared" ref="G193:K193" si="147">SUMPRODUCT($B193:$B197,P$2:P$6)</f>
        <v>20.894688942339119</v>
      </c>
      <c r="H193">
        <f t="shared" si="147"/>
        <v>17.128110465110257</v>
      </c>
      <c r="I193">
        <f t="shared" si="147"/>
        <v>14.055504331914856</v>
      </c>
      <c r="J193">
        <f t="shared" si="147"/>
        <v>11.473736715691356</v>
      </c>
      <c r="K193">
        <f t="shared" si="147"/>
        <v>10.309650677066642</v>
      </c>
      <c r="L193">
        <f t="shared" si="82"/>
        <v>25.495867657548697</v>
      </c>
      <c r="M193">
        <f t="shared" si="84"/>
        <v>-5.8676575486984461E-3</v>
      </c>
      <c r="N193">
        <f t="shared" si="85"/>
        <v>3.4429405108797858E-5</v>
      </c>
    </row>
    <row r="194" spans="1:14" x14ac:dyDescent="0.45">
      <c r="A194" s="23">
        <v>42146</v>
      </c>
      <c r="B194">
        <v>25.5</v>
      </c>
      <c r="C194">
        <v>25.49</v>
      </c>
      <c r="G194">
        <f t="shared" ref="G194:K194" si="148">SUMPRODUCT($B194:$B198,P$2:P$6)</f>
        <v>20.956998374068213</v>
      </c>
      <c r="H194">
        <f t="shared" si="148"/>
        <v>17.183852362575891</v>
      </c>
      <c r="I194">
        <f t="shared" si="148"/>
        <v>14.107237745019741</v>
      </c>
      <c r="J194">
        <f t="shared" si="148"/>
        <v>11.517514311633443</v>
      </c>
      <c r="K194">
        <f t="shared" si="148"/>
        <v>10.348796332409863</v>
      </c>
      <c r="L194">
        <f t="shared" ref="L194:L246" si="149">(G194+$P$7)*$U$2+(H194+$Q$7)*$U$3+(I194+$R$7)*$U$4+(J194+$S$7)*$U$5+(K194+$T$7)*$U$6+$U$7</f>
        <v>25.581462551701772</v>
      </c>
      <c r="M194">
        <f t="shared" si="84"/>
        <v>-0.19146255170177184</v>
      </c>
      <c r="N194">
        <f t="shared" si="85"/>
        <v>3.6657908704153655E-2</v>
      </c>
    </row>
    <row r="195" spans="1:14" x14ac:dyDescent="0.45">
      <c r="A195" s="23">
        <v>42145</v>
      </c>
      <c r="B195">
        <v>25.64</v>
      </c>
      <c r="C195">
        <v>25.62</v>
      </c>
      <c r="G195">
        <f t="shared" ref="G195:K195" si="150">SUMPRODUCT($B195:$B199,P$2:P$6)</f>
        <v>21.066598923192579</v>
      </c>
      <c r="H195">
        <f t="shared" si="150"/>
        <v>17.273900698418501</v>
      </c>
      <c r="I195">
        <f t="shared" si="150"/>
        <v>14.181395623763759</v>
      </c>
      <c r="J195">
        <f t="shared" si="150"/>
        <v>11.578076004947185</v>
      </c>
      <c r="K195">
        <f t="shared" si="150"/>
        <v>10.403126333979312</v>
      </c>
      <c r="L195">
        <f t="shared" si="149"/>
        <v>25.713829088406612</v>
      </c>
      <c r="M195">
        <f t="shared" ref="M195:M246" si="151">B194-L195</f>
        <v>-0.2138290884066123</v>
      </c>
      <c r="N195">
        <f t="shared" ref="N195:N246" si="152">M195^2</f>
        <v>4.5722879048802817E-2</v>
      </c>
    </row>
    <row r="196" spans="1:14" x14ac:dyDescent="0.45">
      <c r="A196" s="23">
        <v>42144</v>
      </c>
      <c r="B196">
        <v>25.49</v>
      </c>
      <c r="C196">
        <v>25.75</v>
      </c>
      <c r="G196">
        <f t="shared" ref="G196:K196" si="153">SUMPRODUCT($B196:$B200,P$2:P$6)</f>
        <v>20.929437889402372</v>
      </c>
      <c r="H196">
        <f t="shared" si="153"/>
        <v>17.162381713355895</v>
      </c>
      <c r="I196">
        <f t="shared" si="153"/>
        <v>14.091059685468528</v>
      </c>
      <c r="J196">
        <f t="shared" si="153"/>
        <v>11.504558007092392</v>
      </c>
      <c r="K196">
        <f t="shared" si="153"/>
        <v>10.336882718459332</v>
      </c>
      <c r="L196">
        <f t="shared" si="149"/>
        <v>25.55069111888659</v>
      </c>
      <c r="M196">
        <f t="shared" si="151"/>
        <v>8.9308881113410621E-2</v>
      </c>
      <c r="N196">
        <f t="shared" si="152"/>
        <v>7.9760762457293122E-3</v>
      </c>
    </row>
    <row r="197" spans="1:14" x14ac:dyDescent="0.45">
      <c r="A197" s="23">
        <v>42143</v>
      </c>
      <c r="B197">
        <v>25.6</v>
      </c>
      <c r="C197">
        <v>25.48</v>
      </c>
      <c r="G197">
        <f t="shared" ref="G197:K197" si="154">SUMPRODUCT($B197:$B201,P$2:P$6)</f>
        <v>21.005267627141816</v>
      </c>
      <c r="H197">
        <f t="shared" si="154"/>
        <v>17.227502805080395</v>
      </c>
      <c r="I197">
        <f t="shared" si="154"/>
        <v>14.148301250639575</v>
      </c>
      <c r="J197">
        <f t="shared" si="154"/>
        <v>11.552298106412898</v>
      </c>
      <c r="K197">
        <f t="shared" si="154"/>
        <v>10.379716084754717</v>
      </c>
      <c r="L197">
        <f t="shared" si="149"/>
        <v>25.64873307749691</v>
      </c>
      <c r="M197">
        <f t="shared" si="151"/>
        <v>-0.15873307749691179</v>
      </c>
      <c r="N197">
        <f t="shared" si="152"/>
        <v>2.5196189891640602E-2</v>
      </c>
    </row>
    <row r="198" spans="1:14" x14ac:dyDescent="0.45">
      <c r="A198" s="23">
        <v>42142</v>
      </c>
      <c r="B198">
        <v>25.36</v>
      </c>
      <c r="C198">
        <v>25.42</v>
      </c>
      <c r="G198">
        <f t="shared" ref="G198:K198" si="155">SUMPRODUCT($B198:$B202,P$2:P$6)</f>
        <v>20.782566076392936</v>
      </c>
      <c r="H198">
        <f t="shared" si="155"/>
        <v>17.051028960820044</v>
      </c>
      <c r="I198">
        <f t="shared" si="155"/>
        <v>14.011296585379618</v>
      </c>
      <c r="J198">
        <f t="shared" si="155"/>
        <v>11.442588501237063</v>
      </c>
      <c r="K198">
        <f t="shared" si="155"/>
        <v>10.281097946328016</v>
      </c>
      <c r="L198">
        <f t="shared" si="149"/>
        <v>25.394541606481994</v>
      </c>
      <c r="M198">
        <f t="shared" si="151"/>
        <v>0.20545839351800765</v>
      </c>
      <c r="N198">
        <f t="shared" si="152"/>
        <v>4.2213151467000491E-2</v>
      </c>
    </row>
    <row r="199" spans="1:14" x14ac:dyDescent="0.45">
      <c r="A199" s="23">
        <v>42139</v>
      </c>
      <c r="B199">
        <v>25.32</v>
      </c>
      <c r="C199">
        <v>25.42</v>
      </c>
      <c r="G199">
        <f t="shared" ref="G199:K199" si="156">SUMPRODUCT($B199:$B203,P$2:P$6)</f>
        <v>20.762008237664567</v>
      </c>
      <c r="H199">
        <f t="shared" si="156"/>
        <v>17.034383794241432</v>
      </c>
      <c r="I199">
        <f t="shared" si="156"/>
        <v>13.997902515527802</v>
      </c>
      <c r="J199">
        <f t="shared" si="156"/>
        <v>11.431855292698382</v>
      </c>
      <c r="K199">
        <f t="shared" si="156"/>
        <v>10.271690135826146</v>
      </c>
      <c r="L199">
        <f t="shared" si="149"/>
        <v>25.370407356923415</v>
      </c>
      <c r="M199">
        <f t="shared" si="151"/>
        <v>-1.0407356923415989E-2</v>
      </c>
      <c r="N199">
        <f t="shared" si="152"/>
        <v>1.0831307813137472E-4</v>
      </c>
    </row>
    <row r="200" spans="1:14" x14ac:dyDescent="0.45">
      <c r="A200" s="23">
        <v>42138</v>
      </c>
      <c r="B200">
        <v>24.79</v>
      </c>
      <c r="C200">
        <v>25.17</v>
      </c>
      <c r="G200">
        <f t="shared" ref="G200:K200" si="157">SUMPRODUCT($B200:$B204,P$2:P$6)</f>
        <v>20.352622403488379</v>
      </c>
      <c r="H200">
        <f t="shared" si="157"/>
        <v>16.693403796989582</v>
      </c>
      <c r="I200">
        <f t="shared" si="157"/>
        <v>13.711165824432001</v>
      </c>
      <c r="J200">
        <f t="shared" si="157"/>
        <v>11.195942994098436</v>
      </c>
      <c r="K200">
        <f t="shared" si="157"/>
        <v>10.059827995782195</v>
      </c>
      <c r="L200">
        <f t="shared" si="149"/>
        <v>24.865251912745187</v>
      </c>
      <c r="M200">
        <f t="shared" si="151"/>
        <v>0.45474808725481353</v>
      </c>
      <c r="N200">
        <f t="shared" si="152"/>
        <v>0.2067958228619115</v>
      </c>
    </row>
    <row r="201" spans="1:14" x14ac:dyDescent="0.45">
      <c r="A201" s="23">
        <v>42137</v>
      </c>
      <c r="B201">
        <v>24.8</v>
      </c>
      <c r="C201">
        <v>24.63</v>
      </c>
      <c r="G201">
        <f t="shared" ref="G201:K201" si="158">SUMPRODUCT($B201:$B205,P$2:P$6)</f>
        <v>20.377110860986267</v>
      </c>
      <c r="H201">
        <f t="shared" si="158"/>
        <v>16.700257475129728</v>
      </c>
      <c r="I201">
        <f t="shared" si="158"/>
        <v>13.699812531011156</v>
      </c>
      <c r="J201">
        <f t="shared" si="158"/>
        <v>11.181672771299322</v>
      </c>
      <c r="K201">
        <f t="shared" si="158"/>
        <v>10.046397575050722</v>
      </c>
      <c r="L201">
        <f t="shared" si="149"/>
        <v>24.864061893859422</v>
      </c>
      <c r="M201">
        <f t="shared" si="151"/>
        <v>-7.4061893859422412E-2</v>
      </c>
      <c r="N201">
        <f t="shared" si="152"/>
        <v>5.485164122044351E-3</v>
      </c>
    </row>
    <row r="202" spans="1:14" x14ac:dyDescent="0.45">
      <c r="A202" s="23">
        <v>42136</v>
      </c>
      <c r="B202">
        <v>24.54</v>
      </c>
      <c r="C202">
        <v>24.61</v>
      </c>
      <c r="G202">
        <f t="shared" ref="G202:K202" si="159">SUMPRODUCT($B202:$B206,P$2:P$6)</f>
        <v>20.152250771480446</v>
      </c>
      <c r="H202">
        <f t="shared" si="159"/>
        <v>16.517262838853135</v>
      </c>
      <c r="I202">
        <f t="shared" si="159"/>
        <v>13.551354985711198</v>
      </c>
      <c r="J202">
        <f t="shared" si="159"/>
        <v>11.060898446355173</v>
      </c>
      <c r="K202">
        <f t="shared" si="159"/>
        <v>9.9377714972523954</v>
      </c>
      <c r="L202">
        <f t="shared" si="149"/>
        <v>24.596339739314555</v>
      </c>
      <c r="M202">
        <f t="shared" si="151"/>
        <v>0.20366026068544585</v>
      </c>
      <c r="N202">
        <f t="shared" si="152"/>
        <v>4.147750178246376E-2</v>
      </c>
    </row>
    <row r="203" spans="1:14" x14ac:dyDescent="0.45">
      <c r="A203" s="23">
        <v>42135</v>
      </c>
      <c r="B203">
        <v>25</v>
      </c>
      <c r="C203">
        <v>24.64</v>
      </c>
      <c r="G203">
        <f t="shared" ref="G203:K203" si="160">SUMPRODUCT($B203:$B207,P$2:P$6)</f>
        <v>20.367317319836417</v>
      </c>
      <c r="H203">
        <f t="shared" si="160"/>
        <v>16.73331128426895</v>
      </c>
      <c r="I203">
        <f t="shared" si="160"/>
        <v>13.779697723456682</v>
      </c>
      <c r="J203">
        <f t="shared" si="160"/>
        <v>11.261226211241427</v>
      </c>
      <c r="K203">
        <f t="shared" si="160"/>
        <v>10.117537498648087</v>
      </c>
      <c r="L203">
        <f t="shared" si="149"/>
        <v>24.946248583477843</v>
      </c>
      <c r="M203">
        <f t="shared" si="151"/>
        <v>-0.40624858347784354</v>
      </c>
      <c r="N203">
        <f t="shared" si="152"/>
        <v>0.16503791157775441</v>
      </c>
    </row>
    <row r="204" spans="1:14" x14ac:dyDescent="0.45">
      <c r="A204" s="23">
        <v>42132</v>
      </c>
      <c r="B204">
        <v>24.65</v>
      </c>
      <c r="C204">
        <v>25.04</v>
      </c>
      <c r="G204">
        <f t="shared" ref="G204:K204" si="161">SUMPRODUCT($B204:$B208,P$2:P$6)</f>
        <v>20.074033987578478</v>
      </c>
      <c r="H204">
        <f t="shared" si="161"/>
        <v>16.496155214220085</v>
      </c>
      <c r="I204">
        <f t="shared" si="161"/>
        <v>13.589269539254573</v>
      </c>
      <c r="J204">
        <f t="shared" si="161"/>
        <v>11.106997187197111</v>
      </c>
      <c r="K204">
        <f t="shared" si="161"/>
        <v>9.9790828140633767</v>
      </c>
      <c r="L204">
        <f t="shared" si="149"/>
        <v>24.600708539994848</v>
      </c>
      <c r="M204">
        <f t="shared" si="151"/>
        <v>0.39929146000515203</v>
      </c>
      <c r="N204">
        <f t="shared" si="152"/>
        <v>0.15943367003304593</v>
      </c>
    </row>
    <row r="205" spans="1:14" x14ac:dyDescent="0.45">
      <c r="A205" s="23">
        <v>42131</v>
      </c>
      <c r="B205">
        <v>23.24</v>
      </c>
      <c r="C205">
        <v>24.41</v>
      </c>
      <c r="G205">
        <f t="shared" ref="G205:K205" si="162">SUMPRODUCT($B205:$B209,P$2:P$6)</f>
        <v>19.088342200679921</v>
      </c>
      <c r="H205">
        <f t="shared" si="162"/>
        <v>15.652321020356101</v>
      </c>
      <c r="I205">
        <f t="shared" si="162"/>
        <v>12.850796494097219</v>
      </c>
      <c r="J205">
        <f t="shared" si="162"/>
        <v>10.491881452309149</v>
      </c>
      <c r="K205">
        <f t="shared" si="162"/>
        <v>9.4270804877036429</v>
      </c>
      <c r="L205">
        <f t="shared" si="149"/>
        <v>23.332311204869185</v>
      </c>
      <c r="M205">
        <f t="shared" si="151"/>
        <v>1.3176887951308132</v>
      </c>
      <c r="N205">
        <f t="shared" si="152"/>
        <v>1.7363037608132941</v>
      </c>
    </row>
    <row r="206" spans="1:14" x14ac:dyDescent="0.45">
      <c r="A206" s="23">
        <v>42130</v>
      </c>
      <c r="B206">
        <v>22.77</v>
      </c>
      <c r="C206">
        <v>23.2</v>
      </c>
      <c r="G206">
        <f t="shared" ref="G206:K206" si="163">SUMPRODUCT($B206:$B210,P$2:P$6)</f>
        <v>18.752450299283762</v>
      </c>
      <c r="H206">
        <f t="shared" si="163"/>
        <v>15.370193480794963</v>
      </c>
      <c r="I206">
        <f t="shared" si="163"/>
        <v>12.610565059672545</v>
      </c>
      <c r="J206">
        <f t="shared" si="163"/>
        <v>10.293622637213666</v>
      </c>
      <c r="K206">
        <f t="shared" si="163"/>
        <v>9.2493913389715452</v>
      </c>
      <c r="L206">
        <f t="shared" si="149"/>
        <v>22.912645158793602</v>
      </c>
      <c r="M206">
        <f t="shared" si="151"/>
        <v>0.32735484120639669</v>
      </c>
      <c r="N206">
        <f t="shared" si="152"/>
        <v>0.10716119206126519</v>
      </c>
    </row>
    <row r="207" spans="1:14" x14ac:dyDescent="0.45">
      <c r="A207" s="23">
        <v>42129</v>
      </c>
      <c r="B207">
        <v>23.16</v>
      </c>
      <c r="C207">
        <v>22.71</v>
      </c>
      <c r="G207">
        <f t="shared" ref="G207:K207" si="164">SUMPRODUCT($B207:$B211,P$2:P$6)</f>
        <v>19.006904500310135</v>
      </c>
      <c r="H207">
        <f t="shared" si="164"/>
        <v>15.593237515352937</v>
      </c>
      <c r="I207">
        <f t="shared" si="164"/>
        <v>12.812166871150318</v>
      </c>
      <c r="J207">
        <f t="shared" si="164"/>
        <v>10.463191329764969</v>
      </c>
      <c r="K207">
        <f t="shared" si="164"/>
        <v>9.4015432090908782</v>
      </c>
      <c r="L207">
        <f t="shared" si="149"/>
        <v>23.252005061485722</v>
      </c>
      <c r="M207">
        <f t="shared" si="151"/>
        <v>-0.48200506148572231</v>
      </c>
      <c r="N207">
        <f t="shared" si="152"/>
        <v>0.23232887929785495</v>
      </c>
    </row>
    <row r="208" spans="1:14" x14ac:dyDescent="0.45">
      <c r="A208" s="23">
        <v>42128</v>
      </c>
      <c r="B208">
        <v>23.11</v>
      </c>
      <c r="C208">
        <v>23.19</v>
      </c>
      <c r="G208">
        <f t="shared" ref="G208:K208" si="165">SUMPRODUCT($B208:$B212,P$2:P$6)</f>
        <v>19.012029575366057</v>
      </c>
      <c r="H208">
        <f t="shared" si="165"/>
        <v>15.588652029931639</v>
      </c>
      <c r="I208">
        <f t="shared" si="165"/>
        <v>12.797119037024624</v>
      </c>
      <c r="J208">
        <f t="shared" si="165"/>
        <v>10.447927126272162</v>
      </c>
      <c r="K208">
        <f t="shared" si="165"/>
        <v>9.3880623668993692</v>
      </c>
      <c r="L208">
        <f t="shared" si="149"/>
        <v>23.238171692763178</v>
      </c>
      <c r="M208">
        <f t="shared" si="151"/>
        <v>-7.8171692763177703E-2</v>
      </c>
      <c r="N208">
        <f t="shared" si="152"/>
        <v>6.1108135494606494E-3</v>
      </c>
    </row>
    <row r="209" spans="1:14" x14ac:dyDescent="0.45">
      <c r="A209" s="23">
        <v>42125</v>
      </c>
      <c r="B209">
        <v>22.79</v>
      </c>
      <c r="C209">
        <v>23.05</v>
      </c>
      <c r="G209">
        <f t="shared" ref="G209:K209" si="166">SUMPRODUCT($B209:$B213,P$2:P$6)</f>
        <v>18.795756354970841</v>
      </c>
      <c r="H209">
        <f t="shared" si="166"/>
        <v>15.40401976204183</v>
      </c>
      <c r="I209">
        <f t="shared" si="166"/>
        <v>12.636173744557865</v>
      </c>
      <c r="J209">
        <f t="shared" si="166"/>
        <v>10.31413499875945</v>
      </c>
      <c r="K209">
        <f t="shared" si="166"/>
        <v>9.268192202006647</v>
      </c>
      <c r="L209">
        <f t="shared" si="149"/>
        <v>22.961166819257798</v>
      </c>
      <c r="M209">
        <f t="shared" si="151"/>
        <v>0.14883318074220142</v>
      </c>
      <c r="N209">
        <f t="shared" si="152"/>
        <v>2.2151315689840797E-2</v>
      </c>
    </row>
    <row r="210" spans="1:14" x14ac:dyDescent="0.45">
      <c r="A210" s="23">
        <v>42124</v>
      </c>
      <c r="B210">
        <v>23.2</v>
      </c>
      <c r="C210">
        <v>22.82</v>
      </c>
      <c r="G210">
        <f t="shared" ref="G210:K210" si="167">SUMPRODUCT($B210:$B214,P$2:P$6)</f>
        <v>19.120214597958764</v>
      </c>
      <c r="H210">
        <f t="shared" si="167"/>
        <v>15.670167996043565</v>
      </c>
      <c r="I210">
        <f t="shared" si="167"/>
        <v>12.854807218943694</v>
      </c>
      <c r="J210">
        <f t="shared" si="167"/>
        <v>10.492552870613642</v>
      </c>
      <c r="K210">
        <f t="shared" si="167"/>
        <v>9.428287086425005</v>
      </c>
      <c r="L210">
        <f t="shared" si="149"/>
        <v>23.35206139221668</v>
      </c>
      <c r="M210">
        <f t="shared" si="151"/>
        <v>-0.56206139221668039</v>
      </c>
      <c r="N210">
        <f t="shared" si="152"/>
        <v>0.31591300862055305</v>
      </c>
    </row>
    <row r="211" spans="1:14" x14ac:dyDescent="0.45">
      <c r="A211" s="23">
        <v>42123</v>
      </c>
      <c r="B211">
        <v>23.3</v>
      </c>
      <c r="C211">
        <v>23.19</v>
      </c>
      <c r="G211">
        <f t="shared" ref="G211:K211" si="168">SUMPRODUCT($B211:$B215,P$2:P$6)</f>
        <v>19.212097211117907</v>
      </c>
      <c r="H211">
        <f t="shared" si="168"/>
        <v>15.73896775906015</v>
      </c>
      <c r="I211">
        <f t="shared" si="168"/>
        <v>12.902892542307988</v>
      </c>
      <c r="J211">
        <f t="shared" si="168"/>
        <v>10.529354134676229</v>
      </c>
      <c r="K211">
        <f t="shared" si="168"/>
        <v>9.4610832825947995</v>
      </c>
      <c r="L211">
        <f t="shared" si="149"/>
        <v>23.447570827242366</v>
      </c>
      <c r="M211">
        <f t="shared" si="151"/>
        <v>-0.24757082724236668</v>
      </c>
      <c r="N211">
        <f t="shared" si="152"/>
        <v>6.1291314501469768E-2</v>
      </c>
    </row>
    <row r="212" spans="1:14" x14ac:dyDescent="0.45">
      <c r="A212" s="23">
        <v>42122</v>
      </c>
      <c r="B212">
        <v>23.65</v>
      </c>
      <c r="C212">
        <v>23.47</v>
      </c>
      <c r="G212">
        <f t="shared" ref="G212:K212" si="169">SUMPRODUCT($B212:$B216,P$2:P$6)</f>
        <v>19.45939612454556</v>
      </c>
      <c r="H212">
        <f t="shared" si="169"/>
        <v>15.949354624233894</v>
      </c>
      <c r="I212">
        <f t="shared" si="169"/>
        <v>13.08538538371684</v>
      </c>
      <c r="J212">
        <f t="shared" si="169"/>
        <v>10.680923185090922</v>
      </c>
      <c r="K212">
        <f t="shared" si="169"/>
        <v>9.5970632836675644</v>
      </c>
      <c r="L212">
        <f t="shared" si="149"/>
        <v>23.762747097866775</v>
      </c>
      <c r="M212">
        <f t="shared" si="151"/>
        <v>-0.46274709786677448</v>
      </c>
      <c r="N212">
        <f t="shared" si="152"/>
        <v>0.21413487658412217</v>
      </c>
    </row>
    <row r="213" spans="1:14" x14ac:dyDescent="0.45">
      <c r="A213" s="23">
        <v>42121</v>
      </c>
      <c r="B213">
        <v>23.98</v>
      </c>
      <c r="C213">
        <v>23.72</v>
      </c>
      <c r="G213">
        <f t="shared" ref="G213:K213" si="170">SUMPRODUCT($B213:$B217,P$2:P$6)</f>
        <v>19.647002417686018</v>
      </c>
      <c r="H213">
        <f t="shared" si="170"/>
        <v>16.120410153201561</v>
      </c>
      <c r="I213">
        <f t="shared" si="170"/>
        <v>13.247932725988232</v>
      </c>
      <c r="J213">
        <f t="shared" si="170"/>
        <v>10.819537901066049</v>
      </c>
      <c r="K213">
        <f t="shared" si="170"/>
        <v>9.7212783758084758</v>
      </c>
      <c r="L213">
        <f t="shared" si="149"/>
        <v>24.027994439711293</v>
      </c>
      <c r="M213">
        <f t="shared" si="151"/>
        <v>-0.37799443971129421</v>
      </c>
      <c r="N213">
        <f t="shared" si="152"/>
        <v>0.14287979645265522</v>
      </c>
    </row>
    <row r="214" spans="1:14" x14ac:dyDescent="0.45">
      <c r="A214" s="23">
        <v>42118</v>
      </c>
      <c r="B214">
        <v>23.93</v>
      </c>
      <c r="C214">
        <v>23.94</v>
      </c>
      <c r="G214">
        <f t="shared" ref="G214:K214" si="171">SUMPRODUCT($B214:$B218,P$2:P$6)</f>
        <v>19.605212156588038</v>
      </c>
      <c r="H214">
        <f t="shared" si="171"/>
        <v>16.084626077729432</v>
      </c>
      <c r="I214">
        <f t="shared" si="171"/>
        <v>13.216606836957631</v>
      </c>
      <c r="J214">
        <f t="shared" si="171"/>
        <v>10.793363627044108</v>
      </c>
      <c r="K214">
        <f t="shared" si="171"/>
        <v>9.6976437371480362</v>
      </c>
      <c r="L214">
        <f t="shared" si="149"/>
        <v>23.974112428432239</v>
      </c>
      <c r="M214">
        <f t="shared" si="151"/>
        <v>5.8875715677615403E-3</v>
      </c>
      <c r="N214">
        <f t="shared" si="152"/>
        <v>3.4663498965514085E-5</v>
      </c>
    </row>
    <row r="215" spans="1:14" x14ac:dyDescent="0.45">
      <c r="A215" s="23">
        <v>42117</v>
      </c>
      <c r="B215">
        <v>23.39</v>
      </c>
      <c r="C215">
        <v>23.74</v>
      </c>
      <c r="G215">
        <f t="shared" ref="G215:K215" si="172">SUMPRODUCT($B215:$B219,P$2:P$6)</f>
        <v>19.202525049307454</v>
      </c>
      <c r="H215">
        <f t="shared" si="172"/>
        <v>15.74871054065545</v>
      </c>
      <c r="I215">
        <f t="shared" si="172"/>
        <v>12.933477642490903</v>
      </c>
      <c r="J215">
        <f t="shared" si="172"/>
        <v>10.56037456244157</v>
      </c>
      <c r="K215">
        <f t="shared" si="172"/>
        <v>9.4886480758940834</v>
      </c>
      <c r="L215">
        <f t="shared" si="149"/>
        <v>23.476186790162277</v>
      </c>
      <c r="M215">
        <f t="shared" si="151"/>
        <v>0.45381320983772255</v>
      </c>
      <c r="N215">
        <f t="shared" si="152"/>
        <v>0.20594642942321681</v>
      </c>
    </row>
    <row r="216" spans="1:14" x14ac:dyDescent="0.45">
      <c r="A216" s="23">
        <v>42116</v>
      </c>
      <c r="B216">
        <v>23.38</v>
      </c>
      <c r="C216">
        <v>23.49</v>
      </c>
      <c r="G216">
        <f t="shared" ref="G216:K216" si="173">SUMPRODUCT($B216:$B220,P$2:P$6)</f>
        <v>19.166091591710085</v>
      </c>
      <c r="H216">
        <f t="shared" si="173"/>
        <v>15.724876518984242</v>
      </c>
      <c r="I216">
        <f t="shared" si="173"/>
        <v>12.921665763236625</v>
      </c>
      <c r="J216">
        <f t="shared" si="173"/>
        <v>10.552812751224337</v>
      </c>
      <c r="K216">
        <f t="shared" si="173"/>
        <v>9.4817562603294689</v>
      </c>
      <c r="L216">
        <f t="shared" si="149"/>
        <v>23.446094163319877</v>
      </c>
      <c r="M216">
        <f t="shared" si="151"/>
        <v>-5.60941633198766E-2</v>
      </c>
      <c r="N216">
        <f t="shared" si="152"/>
        <v>3.1465551585569893E-3</v>
      </c>
    </row>
    <row r="217" spans="1:14" x14ac:dyDescent="0.45">
      <c r="A217" s="23">
        <v>42115</v>
      </c>
      <c r="B217">
        <v>23.19</v>
      </c>
      <c r="C217">
        <v>23.39</v>
      </c>
      <c r="G217">
        <f t="shared" ref="G217:K217" si="174">SUMPRODUCT($B217:$B221,P$2:P$6)</f>
        <v>19.044565579340819</v>
      </c>
      <c r="H217">
        <f t="shared" si="174"/>
        <v>15.619162943864675</v>
      </c>
      <c r="I217">
        <f t="shared" si="174"/>
        <v>12.827088818159964</v>
      </c>
      <c r="J217">
        <f t="shared" si="174"/>
        <v>10.473567463689758</v>
      </c>
      <c r="K217">
        <f t="shared" si="174"/>
        <v>9.4107631148366444</v>
      </c>
      <c r="L217">
        <f t="shared" si="149"/>
        <v>23.28594315871711</v>
      </c>
      <c r="M217">
        <f t="shared" si="151"/>
        <v>9.4056841282888826E-2</v>
      </c>
      <c r="N217">
        <f t="shared" si="152"/>
        <v>8.8466893921145401E-3</v>
      </c>
    </row>
    <row r="218" spans="1:14" x14ac:dyDescent="0.45">
      <c r="A218" s="23">
        <v>42114</v>
      </c>
      <c r="B218">
        <v>22.88</v>
      </c>
      <c r="C218">
        <v>23.08</v>
      </c>
      <c r="G218">
        <f t="shared" ref="G218:K218" si="175">SUMPRODUCT($B218:$B222,P$2:P$6)</f>
        <v>18.804249794299619</v>
      </c>
      <c r="H218">
        <f t="shared" si="175"/>
        <v>15.41880250871432</v>
      </c>
      <c r="I218">
        <f t="shared" si="175"/>
        <v>12.658349211148321</v>
      </c>
      <c r="J218">
        <f t="shared" si="175"/>
        <v>10.334652911157745</v>
      </c>
      <c r="K218">
        <f t="shared" si="175"/>
        <v>9.2859799253020316</v>
      </c>
      <c r="L218">
        <f t="shared" si="149"/>
        <v>22.988932792161833</v>
      </c>
      <c r="M218">
        <f t="shared" si="151"/>
        <v>0.20106720783816812</v>
      </c>
      <c r="N218">
        <f t="shared" si="152"/>
        <v>4.0428022067837091E-2</v>
      </c>
    </row>
    <row r="219" spans="1:14" x14ac:dyDescent="0.45">
      <c r="A219" s="23">
        <v>42111</v>
      </c>
      <c r="B219">
        <v>23.02</v>
      </c>
      <c r="C219">
        <v>22.8</v>
      </c>
      <c r="G219">
        <f t="shared" ref="G219:K219" si="176">SUMPRODUCT($B219:$B223,P$2:P$6)</f>
        <v>18.922375612574395</v>
      </c>
      <c r="H219">
        <f t="shared" si="176"/>
        <v>15.514390721484759</v>
      </c>
      <c r="I219">
        <f t="shared" si="176"/>
        <v>12.735192697005933</v>
      </c>
      <c r="J219">
        <f t="shared" si="176"/>
        <v>10.396924272897957</v>
      </c>
      <c r="K219">
        <f t="shared" si="176"/>
        <v>9.3419010116651773</v>
      </c>
      <c r="L219">
        <f t="shared" si="149"/>
        <v>23.12827484763255</v>
      </c>
      <c r="M219">
        <f t="shared" si="151"/>
        <v>-0.24827484763255114</v>
      </c>
      <c r="N219">
        <f t="shared" si="152"/>
        <v>6.1640399966966485E-2</v>
      </c>
    </row>
    <row r="220" spans="1:14" x14ac:dyDescent="0.45">
      <c r="A220" s="23">
        <v>42110</v>
      </c>
      <c r="B220">
        <v>22.87</v>
      </c>
      <c r="C220">
        <v>23.18</v>
      </c>
      <c r="G220">
        <f t="shared" ref="G220:K220" si="177">SUMPRODUCT($B220:$B224,P$2:P$6)</f>
        <v>18.794923684628678</v>
      </c>
      <c r="H220">
        <f t="shared" si="177"/>
        <v>15.413440547130657</v>
      </c>
      <c r="I220">
        <f t="shared" si="177"/>
        <v>12.65688085789864</v>
      </c>
      <c r="J220">
        <f t="shared" si="177"/>
        <v>10.334334720933198</v>
      </c>
      <c r="K220">
        <f t="shared" si="177"/>
        <v>9.2858298361141074</v>
      </c>
      <c r="L220">
        <f t="shared" si="149"/>
        <v>22.983020062503389</v>
      </c>
      <c r="M220">
        <f t="shared" si="151"/>
        <v>3.697993749661066E-2</v>
      </c>
      <c r="N220">
        <f t="shared" si="152"/>
        <v>1.3675157772532311E-3</v>
      </c>
    </row>
    <row r="221" spans="1:14" x14ac:dyDescent="0.45">
      <c r="A221" s="23">
        <v>42109</v>
      </c>
      <c r="B221">
        <v>23.06</v>
      </c>
      <c r="C221">
        <v>22.9</v>
      </c>
      <c r="G221">
        <f t="shared" ref="G221:K221" si="178">SUMPRODUCT($B221:$B225,P$2:P$6)</f>
        <v>18.933767178921684</v>
      </c>
      <c r="H221">
        <f t="shared" si="178"/>
        <v>15.529088562385146</v>
      </c>
      <c r="I221">
        <f t="shared" si="178"/>
        <v>12.754137321633484</v>
      </c>
      <c r="J221">
        <f t="shared" si="178"/>
        <v>10.414272055171745</v>
      </c>
      <c r="K221">
        <f t="shared" si="178"/>
        <v>9.3574660838273278</v>
      </c>
      <c r="L221">
        <f t="shared" si="149"/>
        <v>23.154263178701065</v>
      </c>
      <c r="M221">
        <f t="shared" si="151"/>
        <v>-0.28426317870106388</v>
      </c>
      <c r="N221">
        <f t="shared" si="152"/>
        <v>8.0805554765232976E-2</v>
      </c>
    </row>
    <row r="222" spans="1:14" x14ac:dyDescent="0.45">
      <c r="A222" s="23">
        <v>42108</v>
      </c>
      <c r="B222">
        <v>22.79</v>
      </c>
      <c r="C222">
        <v>22.92</v>
      </c>
      <c r="G222">
        <f t="shared" ref="G222:K222" si="179">SUMPRODUCT($B222:$B226,P$2:P$6)</f>
        <v>18.758074027103739</v>
      </c>
      <c r="H222">
        <f t="shared" si="179"/>
        <v>15.374482169239041</v>
      </c>
      <c r="I222">
        <f t="shared" si="179"/>
        <v>12.613672134570969</v>
      </c>
      <c r="J222">
        <f t="shared" si="179"/>
        <v>10.295928302988813</v>
      </c>
      <c r="K222">
        <f t="shared" si="179"/>
        <v>9.2512458154216812</v>
      </c>
      <c r="L222">
        <f t="shared" si="149"/>
        <v>22.918549101721744</v>
      </c>
      <c r="M222">
        <f t="shared" si="151"/>
        <v>0.1414508982782543</v>
      </c>
      <c r="N222">
        <f t="shared" si="152"/>
        <v>2.0008356623725045E-2</v>
      </c>
    </row>
    <row r="223" spans="1:14" x14ac:dyDescent="0.45">
      <c r="A223" s="23">
        <v>42107</v>
      </c>
      <c r="B223">
        <v>22.85</v>
      </c>
      <c r="C223">
        <v>22.79</v>
      </c>
      <c r="G223">
        <f t="shared" ref="G223:K223" si="180">SUMPRODUCT($B223:$B227,P$2:P$6)</f>
        <v>18.7815895427795</v>
      </c>
      <c r="H223">
        <f t="shared" si="180"/>
        <v>15.39843117827083</v>
      </c>
      <c r="I223">
        <f t="shared" si="180"/>
        <v>12.639325996360077</v>
      </c>
      <c r="J223">
        <f t="shared" si="180"/>
        <v>10.318442692341529</v>
      </c>
      <c r="K223">
        <f t="shared" si="180"/>
        <v>9.27132857597352</v>
      </c>
      <c r="L223">
        <f t="shared" si="149"/>
        <v>22.957483413263521</v>
      </c>
      <c r="M223">
        <f t="shared" si="151"/>
        <v>-0.1674834132635219</v>
      </c>
      <c r="N223">
        <f t="shared" si="152"/>
        <v>2.8050693718399661E-2</v>
      </c>
    </row>
    <row r="224" spans="1:14" x14ac:dyDescent="0.45">
      <c r="A224" s="23">
        <v>42104</v>
      </c>
      <c r="B224">
        <v>23.09</v>
      </c>
      <c r="C224">
        <v>22.92</v>
      </c>
      <c r="G224">
        <f t="shared" ref="G224:K224" si="181">SUMPRODUCT($B224:$B228,P$2:P$6)</f>
        <v>18.941642527579191</v>
      </c>
      <c r="H224">
        <f t="shared" si="181"/>
        <v>15.537082955544987</v>
      </c>
      <c r="I224">
        <f t="shared" si="181"/>
        <v>12.762674062463157</v>
      </c>
      <c r="J224">
        <f t="shared" si="181"/>
        <v>10.421678099488787</v>
      </c>
      <c r="K224">
        <f t="shared" si="181"/>
        <v>9.363922758613425</v>
      </c>
      <c r="L224">
        <f t="shared" si="149"/>
        <v>23.167153494909059</v>
      </c>
      <c r="M224">
        <f t="shared" si="151"/>
        <v>-0.31715349490905709</v>
      </c>
      <c r="N224">
        <f t="shared" si="152"/>
        <v>0.1005863393330293</v>
      </c>
    </row>
    <row r="225" spans="1:14" x14ac:dyDescent="0.45">
      <c r="A225" s="23">
        <v>42103</v>
      </c>
      <c r="B225">
        <v>22.9</v>
      </c>
      <c r="C225">
        <v>23</v>
      </c>
      <c r="G225">
        <f t="shared" ref="G225:K225" si="182">SUMPRODUCT($B225:$B229,P$2:P$6)</f>
        <v>18.786681104987263</v>
      </c>
      <c r="H225">
        <f t="shared" si="182"/>
        <v>15.410565580011392</v>
      </c>
      <c r="I225">
        <f t="shared" si="182"/>
        <v>12.659507406233038</v>
      </c>
      <c r="J225">
        <f t="shared" si="182"/>
        <v>10.337674117377238</v>
      </c>
      <c r="K225">
        <f t="shared" si="182"/>
        <v>9.2885015068242538</v>
      </c>
      <c r="L225">
        <f t="shared" si="149"/>
        <v>22.981799111361614</v>
      </c>
      <c r="M225">
        <f t="shared" si="151"/>
        <v>0.10820088863838606</v>
      </c>
      <c r="N225">
        <f t="shared" si="152"/>
        <v>1.1707432302136422E-2</v>
      </c>
    </row>
    <row r="226" spans="1:14" x14ac:dyDescent="0.45">
      <c r="A226" s="23">
        <v>42102</v>
      </c>
      <c r="B226">
        <v>22.76</v>
      </c>
      <c r="C226">
        <v>22.96</v>
      </c>
      <c r="G226">
        <f t="shared" ref="G226:K226" si="183">SUMPRODUCT($B226:$B230,P$2:P$6)</f>
        <v>18.687523756670412</v>
      </c>
      <c r="H226">
        <f t="shared" si="183"/>
        <v>15.327936442145253</v>
      </c>
      <c r="I226">
        <f t="shared" si="183"/>
        <v>12.589971613479539</v>
      </c>
      <c r="J226">
        <f t="shared" si="183"/>
        <v>10.280541270361612</v>
      </c>
      <c r="K226">
        <f t="shared" si="183"/>
        <v>9.2373626095952517</v>
      </c>
      <c r="L226">
        <f t="shared" si="149"/>
        <v>22.859454225684338</v>
      </c>
      <c r="M226">
        <f t="shared" si="151"/>
        <v>4.054577431566031E-2</v>
      </c>
      <c r="N226">
        <f t="shared" si="152"/>
        <v>1.6439598148564594E-3</v>
      </c>
    </row>
    <row r="227" spans="1:14" x14ac:dyDescent="0.45">
      <c r="A227" s="23">
        <v>42101</v>
      </c>
      <c r="B227">
        <v>22.56</v>
      </c>
      <c r="C227">
        <v>22.77</v>
      </c>
      <c r="G227">
        <f t="shared" ref="G227:K227" si="184">SUMPRODUCT($B227:$B231,P$2:P$6)</f>
        <v>18.540687178142754</v>
      </c>
      <c r="H227">
        <f t="shared" si="184"/>
        <v>15.205418888302546</v>
      </c>
      <c r="I227">
        <f t="shared" si="184"/>
        <v>12.4866703955947</v>
      </c>
      <c r="J227">
        <f t="shared" si="184"/>
        <v>10.195547861387777</v>
      </c>
      <c r="K227">
        <f t="shared" si="184"/>
        <v>9.1611657244107896</v>
      </c>
      <c r="L227">
        <f t="shared" si="149"/>
        <v>22.677850174997847</v>
      </c>
      <c r="M227">
        <f t="shared" si="151"/>
        <v>8.2149825002154842E-2</v>
      </c>
      <c r="N227">
        <f t="shared" si="152"/>
        <v>6.7485937478846646E-3</v>
      </c>
    </row>
    <row r="228" spans="1:14" x14ac:dyDescent="0.45">
      <c r="A228" s="23">
        <v>42100</v>
      </c>
      <c r="B228">
        <v>22.53</v>
      </c>
      <c r="C228">
        <v>22.67</v>
      </c>
      <c r="G228">
        <f t="shared" ref="G228:K228" si="185">SUMPRODUCT($B228:$B232,P$2:P$6)</f>
        <v>18.54097875595868</v>
      </c>
      <c r="H228">
        <f t="shared" si="185"/>
        <v>15.199447755674559</v>
      </c>
      <c r="I228">
        <f t="shared" si="185"/>
        <v>12.47379485895364</v>
      </c>
      <c r="J228">
        <f t="shared" si="185"/>
        <v>10.182855947816286</v>
      </c>
      <c r="K228">
        <f t="shared" si="185"/>
        <v>9.1497883368583874</v>
      </c>
      <c r="L228">
        <f t="shared" si="149"/>
        <v>22.663980247634697</v>
      </c>
      <c r="M228">
        <f t="shared" si="151"/>
        <v>-0.10398024763469849</v>
      </c>
      <c r="N228">
        <f t="shared" si="152"/>
        <v>1.081189189817322E-2</v>
      </c>
    </row>
    <row r="229" spans="1:14" x14ac:dyDescent="0.45">
      <c r="A229" s="23">
        <v>42096</v>
      </c>
      <c r="B229">
        <v>22.47</v>
      </c>
      <c r="C229">
        <v>22.64</v>
      </c>
      <c r="G229">
        <f t="shared" ref="G229:K229" si="186">SUMPRODUCT($B229:$B233,P$2:P$6)</f>
        <v>18.50434334970695</v>
      </c>
      <c r="H229">
        <f t="shared" si="186"/>
        <v>15.164401581802794</v>
      </c>
      <c r="I229">
        <f t="shared" si="186"/>
        <v>12.438595428887497</v>
      </c>
      <c r="J229">
        <f t="shared" si="186"/>
        <v>10.152288500835585</v>
      </c>
      <c r="K229">
        <f t="shared" si="186"/>
        <v>9.1222101987540771</v>
      </c>
      <c r="L229">
        <f t="shared" si="149"/>
        <v>22.608310918638896</v>
      </c>
      <c r="M229">
        <f t="shared" si="151"/>
        <v>-7.8310918638894833E-2</v>
      </c>
      <c r="N229">
        <f t="shared" si="152"/>
        <v>6.1325999780676059E-3</v>
      </c>
    </row>
    <row r="230" spans="1:14" x14ac:dyDescent="0.45">
      <c r="A230" s="23">
        <v>42095</v>
      </c>
      <c r="B230">
        <v>22.73</v>
      </c>
      <c r="C230">
        <v>22.43</v>
      </c>
      <c r="G230">
        <f t="shared" ref="G230:K230" si="187">SUMPRODUCT($B230:$B234,P$2:P$6)</f>
        <v>18.687602795194987</v>
      </c>
      <c r="H230">
        <f t="shared" si="187"/>
        <v>15.320350165534364</v>
      </c>
      <c r="I230">
        <f t="shared" si="187"/>
        <v>12.573920372318444</v>
      </c>
      <c r="J230">
        <f t="shared" si="187"/>
        <v>10.264692604082304</v>
      </c>
      <c r="K230">
        <f t="shared" si="187"/>
        <v>9.2230469638934967</v>
      </c>
      <c r="L230">
        <f t="shared" si="149"/>
        <v>22.841964219087682</v>
      </c>
      <c r="M230">
        <f t="shared" si="151"/>
        <v>-0.37196421908768329</v>
      </c>
      <c r="N230">
        <f t="shared" si="152"/>
        <v>0.13835738028151007</v>
      </c>
    </row>
    <row r="231" spans="1:14" x14ac:dyDescent="0.45">
      <c r="A231" s="23">
        <v>42094</v>
      </c>
      <c r="B231">
        <v>22.87</v>
      </c>
      <c r="C231">
        <v>22.72</v>
      </c>
      <c r="G231">
        <f t="shared" ref="G231:K231" si="188">SUMPRODUCT($B231:$B235,P$2:P$6)</f>
        <v>18.769200381113514</v>
      </c>
      <c r="H231">
        <f t="shared" si="188"/>
        <v>15.399138435533228</v>
      </c>
      <c r="I231">
        <f t="shared" si="188"/>
        <v>12.653857097883185</v>
      </c>
      <c r="J231">
        <f t="shared" si="188"/>
        <v>10.334264546404196</v>
      </c>
      <c r="K231">
        <f t="shared" si="188"/>
        <v>9.2857654994680097</v>
      </c>
      <c r="L231">
        <f t="shared" si="149"/>
        <v>22.967603792802404</v>
      </c>
      <c r="M231">
        <f t="shared" si="151"/>
        <v>-0.23760379280240329</v>
      </c>
      <c r="N231">
        <f t="shared" si="152"/>
        <v>5.6455562354087392E-2</v>
      </c>
    </row>
    <row r="232" spans="1:14" x14ac:dyDescent="0.45">
      <c r="A232" s="23">
        <v>42093</v>
      </c>
      <c r="B232">
        <v>22.83</v>
      </c>
      <c r="C232">
        <v>23.02</v>
      </c>
      <c r="G232">
        <f t="shared" ref="G232:K232" si="189">SUMPRODUCT($B232:$B236,P$2:P$6)</f>
        <v>18.739491986934834</v>
      </c>
      <c r="H232">
        <f t="shared" si="189"/>
        <v>15.374582089351538</v>
      </c>
      <c r="I232">
        <f t="shared" si="189"/>
        <v>12.633444655769694</v>
      </c>
      <c r="J232">
        <f t="shared" si="189"/>
        <v>10.317553248737141</v>
      </c>
      <c r="K232">
        <f t="shared" si="189"/>
        <v>9.2707934492293482</v>
      </c>
      <c r="L232">
        <f t="shared" si="149"/>
        <v>22.931397622353519</v>
      </c>
      <c r="M232">
        <f t="shared" si="151"/>
        <v>-6.1397622353517534E-2</v>
      </c>
      <c r="N232">
        <f t="shared" si="152"/>
        <v>3.7696680306651561E-3</v>
      </c>
    </row>
    <row r="233" spans="1:14" x14ac:dyDescent="0.45">
      <c r="A233" s="23">
        <v>42090</v>
      </c>
      <c r="B233">
        <v>22.48</v>
      </c>
      <c r="C233">
        <v>22.76</v>
      </c>
      <c r="G233">
        <f t="shared" ref="G233:K233" si="190">SUMPRODUCT($B233:$B237,P$2:P$6)</f>
        <v>18.5511919596069</v>
      </c>
      <c r="H233">
        <f t="shared" si="190"/>
        <v>15.199144526101863</v>
      </c>
      <c r="I233">
        <f t="shared" si="190"/>
        <v>12.462403940650951</v>
      </c>
      <c r="J233">
        <f t="shared" si="190"/>
        <v>10.170669887587334</v>
      </c>
      <c r="K233">
        <f t="shared" si="190"/>
        <v>9.1391727645789729</v>
      </c>
      <c r="L233">
        <f t="shared" si="149"/>
        <v>22.656587253255111</v>
      </c>
      <c r="M233">
        <f t="shared" si="151"/>
        <v>0.17341274674488716</v>
      </c>
      <c r="N233">
        <f t="shared" si="152"/>
        <v>3.0071980733606372E-2</v>
      </c>
    </row>
    <row r="234" spans="1:14" x14ac:dyDescent="0.45">
      <c r="A234" s="23">
        <v>42089</v>
      </c>
      <c r="B234">
        <v>22.46</v>
      </c>
      <c r="C234">
        <v>22.48</v>
      </c>
      <c r="G234">
        <f t="shared" ref="G234:K234" si="191">SUMPRODUCT($B234:$B238,P$2:P$6)</f>
        <v>18.541293265637545</v>
      </c>
      <c r="H234">
        <f t="shared" si="191"/>
        <v>15.189611769920415</v>
      </c>
      <c r="I234">
        <f t="shared" si="191"/>
        <v>12.452759644433183</v>
      </c>
      <c r="J234">
        <f t="shared" si="191"/>
        <v>10.162307342373468</v>
      </c>
      <c r="K234">
        <f t="shared" si="191"/>
        <v>9.1316806165269213</v>
      </c>
      <c r="L234">
        <f t="shared" si="149"/>
        <v>22.641431477599674</v>
      </c>
      <c r="M234">
        <f t="shared" si="151"/>
        <v>-0.16143147759967391</v>
      </c>
      <c r="N234">
        <f t="shared" si="152"/>
        <v>2.6060121960014018E-2</v>
      </c>
    </row>
    <row r="235" spans="1:14" x14ac:dyDescent="0.45">
      <c r="A235" s="23">
        <v>42088</v>
      </c>
      <c r="B235">
        <v>23.16</v>
      </c>
      <c r="C235">
        <v>22.7</v>
      </c>
      <c r="G235">
        <f t="shared" ref="G235:K235" si="192">SUMPRODUCT($B235:$B239,P$2:P$6)</f>
        <v>19.063651775224109</v>
      </c>
      <c r="H235">
        <f t="shared" si="192"/>
        <v>15.627739138379294</v>
      </c>
      <c r="I235">
        <f t="shared" si="192"/>
        <v>12.825046972996196</v>
      </c>
      <c r="J235">
        <f t="shared" si="192"/>
        <v>10.469566459348009</v>
      </c>
      <c r="K235">
        <f t="shared" si="192"/>
        <v>9.4074751272777988</v>
      </c>
      <c r="L235">
        <f t="shared" si="149"/>
        <v>23.292897922370681</v>
      </c>
      <c r="M235">
        <f t="shared" si="151"/>
        <v>-0.83289792237068028</v>
      </c>
      <c r="N235">
        <f t="shared" si="152"/>
        <v>0.6937189490893958</v>
      </c>
    </row>
    <row r="236" spans="1:14" x14ac:dyDescent="0.45">
      <c r="A236" s="23">
        <v>42087</v>
      </c>
      <c r="B236">
        <v>23.21</v>
      </c>
      <c r="C236">
        <v>23.18</v>
      </c>
      <c r="G236">
        <f t="shared" ref="G236:K236" si="193">SUMPRODUCT($B236:$B240,P$2:P$6)</f>
        <v>19.090897721255761</v>
      </c>
      <c r="H236">
        <f t="shared" si="193"/>
        <v>15.649271695899275</v>
      </c>
      <c r="I236">
        <f t="shared" si="193"/>
        <v>12.841687510110074</v>
      </c>
      <c r="J236">
        <f t="shared" si="193"/>
        <v>10.482702474591997</v>
      </c>
      <c r="K236">
        <f t="shared" si="193"/>
        <v>9.4189734393363924</v>
      </c>
      <c r="L236">
        <f t="shared" si="149"/>
        <v>23.323678770159411</v>
      </c>
      <c r="M236">
        <f t="shared" si="151"/>
        <v>-0.1636787701594109</v>
      </c>
      <c r="N236">
        <f t="shared" si="152"/>
        <v>2.6790739800897259E-2</v>
      </c>
    </row>
    <row r="237" spans="1:14" x14ac:dyDescent="0.45">
      <c r="A237" s="23">
        <v>42086</v>
      </c>
      <c r="B237">
        <v>23.39</v>
      </c>
      <c r="C237">
        <v>23.18</v>
      </c>
      <c r="G237">
        <f t="shared" ref="G237:K237" si="194">SUMPRODUCT($B237:$B241,P$2:P$6)</f>
        <v>19.238185714889216</v>
      </c>
      <c r="H237">
        <f t="shared" si="194"/>
        <v>15.769232753019427</v>
      </c>
      <c r="I237">
        <f t="shared" si="194"/>
        <v>12.939132187993827</v>
      </c>
      <c r="J237">
        <f t="shared" si="194"/>
        <v>10.561936999481247</v>
      </c>
      <c r="K237">
        <f t="shared" si="194"/>
        <v>9.4901009391001239</v>
      </c>
      <c r="L237">
        <f t="shared" si="149"/>
        <v>23.499180008466144</v>
      </c>
      <c r="M237">
        <f t="shared" si="151"/>
        <v>-0.28918000846614333</v>
      </c>
      <c r="N237">
        <f t="shared" si="152"/>
        <v>8.3625077296478736E-2</v>
      </c>
    </row>
    <row r="238" spans="1:14" x14ac:dyDescent="0.45">
      <c r="A238" s="23">
        <v>42083</v>
      </c>
      <c r="B238">
        <v>23.4</v>
      </c>
      <c r="C238">
        <v>23.42</v>
      </c>
      <c r="G238">
        <f t="shared" ref="G238:K238" si="195">SUMPRODUCT($B238:$B242,P$2:P$6)</f>
        <v>19.193267387524084</v>
      </c>
      <c r="H238">
        <f t="shared" si="195"/>
        <v>15.745359310678554</v>
      </c>
      <c r="I238">
        <f t="shared" si="195"/>
        <v>12.936169887950609</v>
      </c>
      <c r="J238">
        <f t="shared" si="195"/>
        <v>10.56405656975226</v>
      </c>
      <c r="K238">
        <f t="shared" si="195"/>
        <v>9.4919303582002943</v>
      </c>
      <c r="L238">
        <f t="shared" si="149"/>
        <v>23.47474065481148</v>
      </c>
      <c r="M238">
        <f t="shared" si="151"/>
        <v>-8.4740654811479743E-2</v>
      </c>
      <c r="N238">
        <f t="shared" si="152"/>
        <v>7.1809785778783651E-3</v>
      </c>
    </row>
    <row r="239" spans="1:14" x14ac:dyDescent="0.45">
      <c r="A239" s="23">
        <v>42082</v>
      </c>
      <c r="B239">
        <v>23.6</v>
      </c>
      <c r="C239">
        <v>23.15</v>
      </c>
      <c r="G239">
        <f t="shared" ref="G239:K239" si="196">SUMPRODUCT($B239:$B243,P$2:P$6)</f>
        <v>19.333990135725173</v>
      </c>
      <c r="H239">
        <f t="shared" si="196"/>
        <v>15.862941276578523</v>
      </c>
      <c r="I239">
        <f t="shared" si="196"/>
        <v>13.035518792273024</v>
      </c>
      <c r="J239">
        <f t="shared" si="196"/>
        <v>10.645793822777513</v>
      </c>
      <c r="K239">
        <f t="shared" si="196"/>
        <v>9.5650961264520244</v>
      </c>
      <c r="L239">
        <f t="shared" si="149"/>
        <v>23.649095714708949</v>
      </c>
      <c r="M239">
        <f t="shared" si="151"/>
        <v>-0.24909571470895031</v>
      </c>
      <c r="N239">
        <f t="shared" si="152"/>
        <v>6.2048675086362762E-2</v>
      </c>
    </row>
    <row r="240" spans="1:14" x14ac:dyDescent="0.45">
      <c r="A240" s="23">
        <v>42081</v>
      </c>
      <c r="B240">
        <v>23</v>
      </c>
      <c r="C240">
        <v>23.58</v>
      </c>
      <c r="G240">
        <f t="shared" ref="G240:K240" si="197">SUMPRODUCT($B240:$B244,P$2:P$6)</f>
        <v>18.907401121586911</v>
      </c>
      <c r="H240">
        <f t="shared" si="197"/>
        <v>15.503049838728161</v>
      </c>
      <c r="I240">
        <f t="shared" si="197"/>
        <v>12.727085923276011</v>
      </c>
      <c r="J240">
        <f t="shared" si="197"/>
        <v>10.390685691217257</v>
      </c>
      <c r="K240">
        <f t="shared" si="197"/>
        <v>9.3363858739283518</v>
      </c>
      <c r="L240">
        <f t="shared" si="149"/>
        <v>23.112442841428361</v>
      </c>
      <c r="M240">
        <f t="shared" si="151"/>
        <v>0.48755715857164006</v>
      </c>
      <c r="N240">
        <f t="shared" si="152"/>
        <v>0.23771198287445136</v>
      </c>
    </row>
    <row r="241" spans="1:14" x14ac:dyDescent="0.45">
      <c r="A241" s="23">
        <v>42080</v>
      </c>
      <c r="B241">
        <v>23.03</v>
      </c>
      <c r="C241">
        <v>23.1</v>
      </c>
      <c r="G241">
        <f t="shared" ref="G241:K241" si="198">SUMPRODUCT($B241:$B245,P$2:P$6)</f>
        <v>18.892057697285455</v>
      </c>
      <c r="H241">
        <f t="shared" si="198"/>
        <v>15.497789347793242</v>
      </c>
      <c r="I241">
        <f t="shared" si="198"/>
        <v>12.73216657493318</v>
      </c>
      <c r="J241">
        <f t="shared" si="198"/>
        <v>10.397300401036194</v>
      </c>
      <c r="K241">
        <f t="shared" si="198"/>
        <v>9.3421068708773998</v>
      </c>
      <c r="L241">
        <f t="shared" si="149"/>
        <v>23.110612266579402</v>
      </c>
      <c r="M241">
        <f t="shared" si="151"/>
        <v>-0.11061226657940182</v>
      </c>
      <c r="N241">
        <f t="shared" si="152"/>
        <v>1.2235073517832653E-2</v>
      </c>
    </row>
    <row r="242" spans="1:14" x14ac:dyDescent="0.45">
      <c r="A242" s="23">
        <v>42079</v>
      </c>
      <c r="B242">
        <v>23.02</v>
      </c>
      <c r="C242">
        <v>23.18</v>
      </c>
      <c r="G242">
        <f t="shared" ref="G242:K242" si="199">SUMPRODUCT($B242:$B246,P$2:P$6)</f>
        <v>18.925371957619038</v>
      </c>
      <c r="H242">
        <f t="shared" si="199"/>
        <v>15.518381908523038</v>
      </c>
      <c r="I242">
        <f t="shared" si="199"/>
        <v>12.740438925557896</v>
      </c>
      <c r="J242">
        <f t="shared" si="199"/>
        <v>10.401835013231732</v>
      </c>
      <c r="K242">
        <f t="shared" si="199"/>
        <v>9.3464719532285123</v>
      </c>
      <c r="L242">
        <f t="shared" si="149"/>
        <v>23.135495902035437</v>
      </c>
      <c r="M242">
        <f t="shared" si="151"/>
        <v>-0.10549590203543602</v>
      </c>
      <c r="N242">
        <f t="shared" si="152"/>
        <v>1.1129385346270313E-2</v>
      </c>
    </row>
    <row r="243" spans="1:14" x14ac:dyDescent="0.45">
      <c r="A243" s="23">
        <v>42076</v>
      </c>
      <c r="B243">
        <v>22.66</v>
      </c>
      <c r="C243">
        <v>22.99</v>
      </c>
      <c r="G243">
        <f t="shared" ref="G243:K243" si="200">SUMPRODUCT($B243:$B247,P$2:P$6)</f>
        <v>18.632980845632144</v>
      </c>
      <c r="H243">
        <f t="shared" si="200"/>
        <v>15.279193801610626</v>
      </c>
      <c r="I243">
        <f t="shared" si="200"/>
        <v>12.544794522621805</v>
      </c>
      <c r="J243">
        <f t="shared" si="200"/>
        <v>10.242358359141086</v>
      </c>
      <c r="K243">
        <f t="shared" si="200"/>
        <v>9.2032791518143888</v>
      </c>
      <c r="L243">
        <f t="shared" si="149"/>
        <v>22.78468121295813</v>
      </c>
      <c r="M243">
        <f t="shared" si="151"/>
        <v>0.23531878704186937</v>
      </c>
      <c r="N243">
        <f t="shared" si="152"/>
        <v>5.5374931534856668E-2</v>
      </c>
    </row>
    <row r="244" spans="1:14" x14ac:dyDescent="0.45">
      <c r="A244" s="23">
        <v>42075</v>
      </c>
      <c r="B244">
        <v>23.03</v>
      </c>
      <c r="C244">
        <v>22.79</v>
      </c>
      <c r="G244">
        <f t="shared" ref="G244:K244" si="201">SUMPRODUCT($B244:$B248,P$2:P$6)</f>
        <v>18.946007142193679</v>
      </c>
      <c r="H244">
        <f t="shared" si="201"/>
        <v>15.531659790089916</v>
      </c>
      <c r="I244">
        <f t="shared" si="201"/>
        <v>12.746663395826141</v>
      </c>
      <c r="J244">
        <f t="shared" si="201"/>
        <v>10.405616817178279</v>
      </c>
      <c r="K244">
        <f t="shared" si="201"/>
        <v>9.3498457067963194</v>
      </c>
      <c r="L244">
        <f t="shared" si="149"/>
        <v>23.151985077194873</v>
      </c>
      <c r="M244">
        <f t="shared" si="151"/>
        <v>-0.49198507719487239</v>
      </c>
      <c r="N244">
        <f t="shared" si="152"/>
        <v>0.24204931618244455</v>
      </c>
    </row>
    <row r="245" spans="1:14" x14ac:dyDescent="0.45">
      <c r="A245" s="23">
        <v>42074</v>
      </c>
      <c r="B245">
        <v>22.67</v>
      </c>
      <c r="C245">
        <v>22.81</v>
      </c>
      <c r="G245">
        <f t="shared" ref="G245:K245" si="202">SUMPRODUCT($B245:$B249,P$2:P$6)</f>
        <v>18.671546466856263</v>
      </c>
      <c r="H245">
        <f t="shared" si="202"/>
        <v>15.302303296714216</v>
      </c>
      <c r="I245">
        <f t="shared" si="202"/>
        <v>12.552836927000024</v>
      </c>
      <c r="J245">
        <f t="shared" si="202"/>
        <v>10.245898789223736</v>
      </c>
      <c r="K245">
        <f t="shared" si="202"/>
        <v>9.2064275336018291</v>
      </c>
      <c r="L245">
        <f t="shared" si="149"/>
        <v>22.811595061857698</v>
      </c>
      <c r="M245">
        <f t="shared" si="151"/>
        <v>0.218404938142303</v>
      </c>
      <c r="N245">
        <f t="shared" si="152"/>
        <v>4.7700717004943195E-2</v>
      </c>
    </row>
    <row r="246" spans="1:14" x14ac:dyDescent="0.45">
      <c r="A246" s="23">
        <v>42073</v>
      </c>
      <c r="B246">
        <v>23.2</v>
      </c>
      <c r="C246">
        <v>22.74</v>
      </c>
      <c r="G246">
        <f t="shared" ref="G246:K246" si="203">SUMPRODUCT($B246:$B250,P$2:P$6)</f>
        <v>19.05961912815642</v>
      </c>
      <c r="H246">
        <f t="shared" si="203"/>
        <v>15.629433601646484</v>
      </c>
      <c r="I246">
        <f t="shared" si="203"/>
        <v>12.832859583616342</v>
      </c>
      <c r="J246">
        <f t="shared" si="203"/>
        <v>10.477536866730633</v>
      </c>
      <c r="K246">
        <f t="shared" si="203"/>
        <v>9.4143118389559532</v>
      </c>
      <c r="L246">
        <f t="shared" si="149"/>
        <v>23.299311651880728</v>
      </c>
      <c r="M246">
        <f t="shared" si="151"/>
        <v>-0.62931165188072669</v>
      </c>
      <c r="N246">
        <f t="shared" si="152"/>
        <v>0.39603315519284893</v>
      </c>
    </row>
    <row r="247" spans="1:14" x14ac:dyDescent="0.45">
      <c r="A247" s="23">
        <v>42072</v>
      </c>
      <c r="B247">
        <v>23.06</v>
      </c>
      <c r="C247">
        <v>23.32</v>
      </c>
      <c r="G247">
        <f>SUMPRODUCT($B247:$B251,P$2:P$6)</f>
        <v>18.944556390832012</v>
      </c>
      <c r="H247">
        <f>SUMPRODUCT($B247:$B251,Q$2:Q$6)</f>
        <v>15.537550247484141</v>
      </c>
      <c r="I247">
        <f>SUMPRODUCT($B247:$B251,R$2:R$6)</f>
        <v>12.760589436451573</v>
      </c>
      <c r="J247">
        <f>SUMPRODUCT($B247:$B251,S$2:S$6)</f>
        <v>10.419494524764811</v>
      </c>
      <c r="K247">
        <f>SUMPRODUCT($B247:$B251,T$2:T$6)</f>
        <v>9.3623271774449979</v>
      </c>
      <c r="L247">
        <f>(G247+$P$7)*$U$2+(H247+$Q$7)*$U$3+(I247+$R$7)*$U$4+(J247+$S$7)*$U$5+(K247+$T$7)*$U$6+$U$7</f>
        <v>23.166476036011257</v>
      </c>
      <c r="M247">
        <f>B246-L247</f>
        <v>3.3523963988741912E-2</v>
      </c>
      <c r="N247">
        <f>M247^2</f>
        <v>1.1238561615184645E-3</v>
      </c>
    </row>
    <row r="248" spans="1:14" x14ac:dyDescent="0.45">
      <c r="A248" s="23">
        <v>42069</v>
      </c>
      <c r="B248">
        <v>23.12</v>
      </c>
      <c r="C248">
        <v>23.07</v>
      </c>
    </row>
    <row r="249" spans="1:14" x14ac:dyDescent="0.45">
      <c r="A249" s="23">
        <v>42068</v>
      </c>
      <c r="B249">
        <v>22.91</v>
      </c>
      <c r="C249">
        <v>23.29</v>
      </c>
    </row>
    <row r="250" spans="1:14" x14ac:dyDescent="0.45">
      <c r="A250" s="23">
        <v>42067</v>
      </c>
      <c r="B250">
        <v>23.01</v>
      </c>
      <c r="C250">
        <v>22.93</v>
      </c>
    </row>
    <row r="251" spans="1:14" x14ac:dyDescent="0.45">
      <c r="A251" s="23">
        <v>42066</v>
      </c>
      <c r="B251">
        <v>23.25</v>
      </c>
      <c r="C251">
        <v>23.1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W251"/>
  <sheetViews>
    <sheetView workbookViewId="0">
      <selection activeCell="C2" sqref="C2"/>
    </sheetView>
  </sheetViews>
  <sheetFormatPr defaultRowHeight="14.25" x14ac:dyDescent="0.45"/>
  <sheetData>
    <row r="1" spans="1:23" x14ac:dyDescent="0.45">
      <c r="A1" t="s">
        <v>3</v>
      </c>
      <c r="B1" t="s">
        <v>4</v>
      </c>
      <c r="C1" t="s">
        <v>5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</row>
    <row r="2" spans="1:23" x14ac:dyDescent="0.45">
      <c r="A2" s="23">
        <v>42426</v>
      </c>
      <c r="B2">
        <v>560.12</v>
      </c>
      <c r="C2">
        <v>555.23</v>
      </c>
      <c r="G2">
        <f t="shared" ref="G2" si="0">SUMPRODUCT($B2:$B6,P$2:P$6)</f>
        <v>600.96222258756802</v>
      </c>
      <c r="H2">
        <f t="shared" ref="H2" si="1">SUMPRODUCT($B2:$B6,Q$2:Q$6)</f>
        <v>68.56593120141298</v>
      </c>
      <c r="I2">
        <f t="shared" ref="I2" si="2">SUMPRODUCT($B2:$B6,R$2:R$6)</f>
        <v>142.59435853192943</v>
      </c>
      <c r="J2">
        <f t="shared" ref="J2" si="3">SUMPRODUCT($B2:$B6,S$2:S$6)</f>
        <v>396.97794371730646</v>
      </c>
      <c r="K2">
        <f t="shared" ref="K2" si="4">SUMPRODUCT($B2:$B6,T$2:T$6)</f>
        <v>515.60969715418435</v>
      </c>
      <c r="L2">
        <f t="shared" ref="L2" si="5">(G2+$P$7)*$U$2+(H2+$Q$7)*$U$3+(I2+$R$7)*$U$4+(J2+$S$7)*$U$5+(K2+$T$7)*$U$6+$U$7</f>
        <v>559.86217770240717</v>
      </c>
      <c r="P2">
        <v>5.8328004584710533E-2</v>
      </c>
      <c r="Q2">
        <v>6.5320570639138514E-2</v>
      </c>
      <c r="R2">
        <v>0.22711101924800647</v>
      </c>
      <c r="S2">
        <v>0.63501629048015107</v>
      </c>
      <c r="T2">
        <v>0.80511357050012244</v>
      </c>
      <c r="U2">
        <v>0</v>
      </c>
      <c r="W2" t="s">
        <v>31</v>
      </c>
    </row>
    <row r="3" spans="1:23" x14ac:dyDescent="0.45">
      <c r="A3" s="23">
        <v>42425</v>
      </c>
      <c r="B3">
        <v>555.52</v>
      </c>
      <c r="C3">
        <v>555.15</v>
      </c>
      <c r="G3">
        <f t="shared" ref="G3:G65" si="6">SUMPRODUCT($B3:$B7,P$2:P$6)</f>
        <v>587.68235104487803</v>
      </c>
      <c r="H3">
        <f t="shared" ref="H3:H65" si="7">SUMPRODUCT($B3:$B7,Q$2:Q$6)</f>
        <v>68.018900777364124</v>
      </c>
      <c r="I3">
        <f t="shared" ref="I3:I65" si="8">SUMPRODUCT($B3:$B7,R$2:R$6)</f>
        <v>141.27906629741153</v>
      </c>
      <c r="J3">
        <f t="shared" ref="J3:J65" si="9">SUMPRODUCT($B3:$B7,S$2:S$6)</f>
        <v>393.33066621047067</v>
      </c>
      <c r="K3">
        <f t="shared" ref="K3:K65" si="10">SUMPRODUCT($B3:$B7,T$2:T$6)</f>
        <v>510.7691761355469</v>
      </c>
      <c r="L3">
        <f t="shared" ref="L3:L65" si="11">(G3+$P$7)*$U$2+(H3+$Q$7)*$U$3+(I3+$R$7)*$U$4+(J3+$S$7)*$U$5+(K3+$T$7)*$U$6+$U$7</f>
        <v>554.7161149172407</v>
      </c>
      <c r="M3">
        <f t="shared" ref="M3:M66" si="12">B2-L3</f>
        <v>5.4038850827593023</v>
      </c>
      <c r="N3">
        <f t="shared" ref="N3:N66" si="13">M3^2</f>
        <v>29.201973987668513</v>
      </c>
      <c r="P3">
        <v>3.9279688101278569E-2</v>
      </c>
      <c r="Q3">
        <v>4.1568744355615486E-2</v>
      </c>
      <c r="R3">
        <v>2.7693998026304241E-2</v>
      </c>
      <c r="S3">
        <v>7.4330665992264747E-2</v>
      </c>
      <c r="T3">
        <v>0.1163765193794207</v>
      </c>
      <c r="U3">
        <v>5.7882847700469186E-8</v>
      </c>
      <c r="V3" t="s">
        <v>29</v>
      </c>
      <c r="W3">
        <f>SUM(N3:N251)</f>
        <v>40315.687453595783</v>
      </c>
    </row>
    <row r="4" spans="1:23" x14ac:dyDescent="0.45">
      <c r="A4" s="23">
        <v>42424</v>
      </c>
      <c r="B4">
        <v>545.75</v>
      </c>
      <c r="C4">
        <v>554.04</v>
      </c>
      <c r="G4">
        <f t="shared" si="6"/>
        <v>567.93000106643308</v>
      </c>
      <c r="H4">
        <f t="shared" si="7"/>
        <v>67.570717943452934</v>
      </c>
      <c r="I4">
        <f t="shared" si="8"/>
        <v>139.33159236385907</v>
      </c>
      <c r="J4">
        <f t="shared" si="9"/>
        <v>387.85498663204385</v>
      </c>
      <c r="K4">
        <f t="shared" si="10"/>
        <v>504.04370644167898</v>
      </c>
      <c r="L4">
        <f t="shared" si="11"/>
        <v>547.34798833860373</v>
      </c>
      <c r="M4">
        <f t="shared" si="12"/>
        <v>8.1720116613962546</v>
      </c>
      <c r="N4">
        <f t="shared" si="13"/>
        <v>66.781774593996374</v>
      </c>
      <c r="P4">
        <v>3.3665220220294029E-2</v>
      </c>
      <c r="Q4">
        <v>1.6282738086279801E-2</v>
      </c>
      <c r="R4">
        <v>1.4823561088677226E-8</v>
      </c>
      <c r="S4">
        <v>8.2001198583193029E-7</v>
      </c>
      <c r="T4">
        <v>0</v>
      </c>
      <c r="U4">
        <v>0.1908608103819773</v>
      </c>
      <c r="V4" t="s">
        <v>30</v>
      </c>
      <c r="W4">
        <f>MAX(N3:N251)</f>
        <v>7546.263958798756</v>
      </c>
    </row>
    <row r="5" spans="1:23" x14ac:dyDescent="0.45">
      <c r="A5" s="23">
        <v>42423</v>
      </c>
      <c r="B5">
        <v>555.54999999999995</v>
      </c>
      <c r="C5">
        <v>552.94000000000005</v>
      </c>
      <c r="G5">
        <f t="shared" si="6"/>
        <v>585.69660287058048</v>
      </c>
      <c r="H5">
        <f t="shared" si="7"/>
        <v>67.306000757094864</v>
      </c>
      <c r="I5">
        <f t="shared" si="8"/>
        <v>141.1875677138691</v>
      </c>
      <c r="J5">
        <f t="shared" si="9"/>
        <v>393.08581426569498</v>
      </c>
      <c r="K5">
        <f t="shared" si="10"/>
        <v>510.38019289886489</v>
      </c>
      <c r="L5">
        <f t="shared" si="11"/>
        <v>554.32836623652179</v>
      </c>
      <c r="M5">
        <f t="shared" si="12"/>
        <v>-8.5783662365217879</v>
      </c>
      <c r="N5">
        <f t="shared" si="13"/>
        <v>73.588367287896986</v>
      </c>
      <c r="P5">
        <v>0.9197415303408869</v>
      </c>
      <c r="Q5">
        <v>0</v>
      </c>
      <c r="R5">
        <v>3.2316411668744219E-7</v>
      </c>
      <c r="S5">
        <v>0</v>
      </c>
      <c r="T5">
        <v>0</v>
      </c>
      <c r="U5">
        <v>0.47837531946514278</v>
      </c>
    </row>
    <row r="6" spans="1:23" x14ac:dyDescent="0.45">
      <c r="A6" s="23">
        <v>42422</v>
      </c>
      <c r="B6">
        <v>542.20000000000005</v>
      </c>
      <c r="C6">
        <v>559.5</v>
      </c>
      <c r="G6">
        <f t="shared" si="6"/>
        <v>573.01983215661005</v>
      </c>
      <c r="H6">
        <f t="shared" si="7"/>
        <v>65.874129298867203</v>
      </c>
      <c r="I6">
        <f t="shared" si="8"/>
        <v>137.56048484621027</v>
      </c>
      <c r="J6">
        <f t="shared" si="9"/>
        <v>383.01099756945672</v>
      </c>
      <c r="K6">
        <f t="shared" si="10"/>
        <v>497.1309953312246</v>
      </c>
      <c r="L6">
        <f t="shared" si="11"/>
        <v>540.19384976869947</v>
      </c>
      <c r="M6">
        <f t="shared" si="12"/>
        <v>15.356150231300489</v>
      </c>
      <c r="N6">
        <f t="shared" si="13"/>
        <v>235.81134992627008</v>
      </c>
      <c r="P6">
        <v>3.1603997066492952E-2</v>
      </c>
      <c r="Q6">
        <v>0</v>
      </c>
      <c r="R6">
        <v>3.26490925887523E-7</v>
      </c>
      <c r="S6">
        <v>0</v>
      </c>
      <c r="T6">
        <v>0</v>
      </c>
      <c r="U6">
        <v>0.65080958373976339</v>
      </c>
    </row>
    <row r="7" spans="1:23" x14ac:dyDescent="0.45">
      <c r="A7" s="23">
        <v>42419</v>
      </c>
      <c r="B7">
        <v>520.71</v>
      </c>
      <c r="C7">
        <v>534.9</v>
      </c>
      <c r="G7">
        <f t="shared" si="6"/>
        <v>563.35738969345573</v>
      </c>
      <c r="H7">
        <f t="shared" si="7"/>
        <v>65.118998031060954</v>
      </c>
      <c r="I7">
        <f t="shared" si="8"/>
        <v>133.24703607850589</v>
      </c>
      <c r="J7">
        <f t="shared" si="9"/>
        <v>370.88677931741063</v>
      </c>
      <c r="K7">
        <f t="shared" si="10"/>
        <v>482.21249581806751</v>
      </c>
      <c r="L7">
        <f t="shared" si="11"/>
        <v>523.86155215987787</v>
      </c>
      <c r="M7">
        <f t="shared" si="12"/>
        <v>18.338447840122171</v>
      </c>
      <c r="N7">
        <f t="shared" si="13"/>
        <v>336.29866918488153</v>
      </c>
      <c r="O7" t="s">
        <v>28</v>
      </c>
      <c r="P7">
        <v>1E-8</v>
      </c>
      <c r="Q7">
        <v>1E-8</v>
      </c>
      <c r="R7">
        <v>1E-8</v>
      </c>
      <c r="S7">
        <v>1E-8</v>
      </c>
      <c r="T7">
        <v>1E-8</v>
      </c>
      <c r="U7">
        <v>7.1783158716310123</v>
      </c>
    </row>
    <row r="8" spans="1:23" x14ac:dyDescent="0.45">
      <c r="A8" s="23">
        <v>42418</v>
      </c>
      <c r="B8">
        <v>541.19000000000005</v>
      </c>
      <c r="C8">
        <v>525</v>
      </c>
      <c r="G8">
        <f t="shared" si="6"/>
        <v>555.05861847214805</v>
      </c>
      <c r="H8">
        <f t="shared" si="7"/>
        <v>65.788454295844147</v>
      </c>
      <c r="I8">
        <f t="shared" si="8"/>
        <v>137.55347012626268</v>
      </c>
      <c r="J8">
        <f t="shared" si="9"/>
        <v>382.9664885615295</v>
      </c>
      <c r="K8">
        <f t="shared" si="10"/>
        <v>497.25233407563621</v>
      </c>
      <c r="L8">
        <f t="shared" si="11"/>
        <v>540.25018733546233</v>
      </c>
      <c r="M8">
        <f t="shared" si="12"/>
        <v>-19.540187335462292</v>
      </c>
      <c r="N8">
        <f t="shared" si="13"/>
        <v>381.81892110496096</v>
      </c>
    </row>
    <row r="9" spans="1:23" x14ac:dyDescent="0.45">
      <c r="A9" s="23">
        <v>42417</v>
      </c>
      <c r="B9">
        <v>528.74</v>
      </c>
      <c r="C9">
        <v>534.1</v>
      </c>
      <c r="G9">
        <f t="shared" si="6"/>
        <v>535.72921854042829</v>
      </c>
      <c r="H9">
        <f t="shared" si="7"/>
        <v>64.447324178256324</v>
      </c>
      <c r="I9">
        <f t="shared" si="8"/>
        <v>134.46948526598501</v>
      </c>
      <c r="J9">
        <f t="shared" si="9"/>
        <v>374.37222657825788</v>
      </c>
      <c r="K9">
        <f t="shared" si="10"/>
        <v>486.15102355345624</v>
      </c>
      <c r="L9">
        <f t="shared" si="11"/>
        <v>528.32545330647497</v>
      </c>
      <c r="M9">
        <f t="shared" si="12"/>
        <v>12.864546693525085</v>
      </c>
      <c r="N9">
        <f t="shared" si="13"/>
        <v>165.4965616298872</v>
      </c>
    </row>
    <row r="10" spans="1:23" x14ac:dyDescent="0.45">
      <c r="A10" s="23">
        <v>42416</v>
      </c>
      <c r="B10">
        <v>519.48</v>
      </c>
      <c r="C10">
        <v>521.1</v>
      </c>
      <c r="G10">
        <f t="shared" si="6"/>
        <v>534.29483634877909</v>
      </c>
      <c r="H10">
        <f t="shared" si="7"/>
        <v>63.159480243870561</v>
      </c>
      <c r="I10">
        <f t="shared" si="8"/>
        <v>132.12327933698998</v>
      </c>
      <c r="J10">
        <f t="shared" si="9"/>
        <v>367.83933646616561</v>
      </c>
      <c r="K10">
        <f t="shared" si="10"/>
        <v>477.67388605047375</v>
      </c>
      <c r="L10">
        <f t="shared" si="11"/>
        <v>519.23547874297628</v>
      </c>
      <c r="M10">
        <f t="shared" si="12"/>
        <v>9.5045212570237254</v>
      </c>
      <c r="N10">
        <f t="shared" si="13"/>
        <v>90.335924325215856</v>
      </c>
    </row>
    <row r="11" spans="1:23" x14ac:dyDescent="0.45">
      <c r="A11" s="23">
        <v>42412</v>
      </c>
      <c r="B11">
        <v>510.7</v>
      </c>
      <c r="C11">
        <v>507.08</v>
      </c>
      <c r="G11">
        <f t="shared" si="6"/>
        <v>520.65637041283264</v>
      </c>
      <c r="H11">
        <f t="shared" si="7"/>
        <v>61.783734871864652</v>
      </c>
      <c r="I11">
        <f t="shared" si="8"/>
        <v>129.58837913389129</v>
      </c>
      <c r="J11">
        <f t="shared" si="9"/>
        <v>360.81221601272802</v>
      </c>
      <c r="K11">
        <f t="shared" si="10"/>
        <v>468.33215547800262</v>
      </c>
      <c r="L11">
        <f t="shared" si="11"/>
        <v>509.31037677923126</v>
      </c>
      <c r="M11">
        <f t="shared" si="12"/>
        <v>10.169623220768756</v>
      </c>
      <c r="N11">
        <f t="shared" si="13"/>
        <v>103.42123645239909</v>
      </c>
    </row>
    <row r="12" spans="1:23" x14ac:dyDescent="0.45">
      <c r="A12" s="23">
        <v>42411</v>
      </c>
      <c r="B12">
        <v>491.17</v>
      </c>
      <c r="C12">
        <v>503.82</v>
      </c>
      <c r="G12">
        <f t="shared" si="6"/>
        <v>528.21148318234441</v>
      </c>
      <c r="H12">
        <f t="shared" si="7"/>
        <v>60.308662037765735</v>
      </c>
      <c r="I12">
        <f t="shared" si="8"/>
        <v>125.16925689403425</v>
      </c>
      <c r="J12">
        <f t="shared" si="9"/>
        <v>348.45419167742125</v>
      </c>
      <c r="K12">
        <f t="shared" si="10"/>
        <v>452.67694959256909</v>
      </c>
      <c r="L12">
        <f t="shared" si="11"/>
        <v>492.3666075769541</v>
      </c>
      <c r="M12">
        <f t="shared" si="12"/>
        <v>18.333392423045893</v>
      </c>
      <c r="N12">
        <f t="shared" si="13"/>
        <v>336.11327773739657</v>
      </c>
    </row>
    <row r="13" spans="1:23" x14ac:dyDescent="0.45">
      <c r="A13" s="23">
        <v>42410</v>
      </c>
      <c r="B13">
        <v>491.76</v>
      </c>
      <c r="C13">
        <v>490.48</v>
      </c>
      <c r="G13">
        <f t="shared" si="6"/>
        <v>567.22947856316932</v>
      </c>
      <c r="H13">
        <f t="shared" si="7"/>
        <v>59.913382903763043</v>
      </c>
      <c r="I13">
        <f t="shared" si="8"/>
        <v>124.92247248521089</v>
      </c>
      <c r="J13">
        <f t="shared" si="9"/>
        <v>347.80681156871231</v>
      </c>
      <c r="K13">
        <f t="shared" si="10"/>
        <v>451.55178945769711</v>
      </c>
      <c r="L13">
        <f t="shared" si="11"/>
        <v>491.27755041648089</v>
      </c>
      <c r="M13">
        <f t="shared" si="12"/>
        <v>-0.10755041648087627</v>
      </c>
      <c r="N13">
        <f t="shared" si="13"/>
        <v>1.1567092085209941E-2</v>
      </c>
    </row>
    <row r="14" spans="1:23" x14ac:dyDescent="0.45">
      <c r="A14" s="23">
        <v>42409</v>
      </c>
      <c r="B14">
        <v>478.01</v>
      </c>
      <c r="C14">
        <v>482.07</v>
      </c>
      <c r="G14">
        <f t="shared" si="6"/>
        <v>565.16520290563312</v>
      </c>
      <c r="H14">
        <f t="shared" si="7"/>
        <v>60.063960652197039</v>
      </c>
      <c r="I14">
        <f t="shared" si="8"/>
        <v>122.03399575029896</v>
      </c>
      <c r="J14">
        <f t="shared" si="9"/>
        <v>339.70421011361793</v>
      </c>
      <c r="K14">
        <f t="shared" si="10"/>
        <v>441.46602321727033</v>
      </c>
      <c r="L14">
        <f t="shared" si="11"/>
        <v>480.28625552659383</v>
      </c>
      <c r="M14">
        <f t="shared" si="12"/>
        <v>11.473744473406157</v>
      </c>
      <c r="N14">
        <f t="shared" si="13"/>
        <v>131.64681224101832</v>
      </c>
    </row>
    <row r="15" spans="1:23" x14ac:dyDescent="0.45">
      <c r="A15" s="23">
        <v>42408</v>
      </c>
      <c r="B15">
        <v>486.47</v>
      </c>
      <c r="C15">
        <v>488.1</v>
      </c>
      <c r="G15">
        <f t="shared" si="6"/>
        <v>593.93023369580521</v>
      </c>
      <c r="H15">
        <f t="shared" si="7"/>
        <v>62.32644050665877</v>
      </c>
      <c r="I15">
        <f t="shared" si="8"/>
        <v>125.14094956247594</v>
      </c>
      <c r="J15">
        <f t="shared" si="9"/>
        <v>348.25854023255755</v>
      </c>
      <c r="K15">
        <f t="shared" si="10"/>
        <v>453.25936281833435</v>
      </c>
      <c r="L15">
        <f t="shared" si="11"/>
        <v>492.64665022009223</v>
      </c>
      <c r="M15">
        <f t="shared" si="12"/>
        <v>-14.636650220092235</v>
      </c>
      <c r="N15">
        <f t="shared" si="13"/>
        <v>214.23152966532609</v>
      </c>
    </row>
    <row r="16" spans="1:23" x14ac:dyDescent="0.45">
      <c r="A16" s="23">
        <v>42405</v>
      </c>
      <c r="B16">
        <v>529.28</v>
      </c>
      <c r="C16">
        <v>502.13</v>
      </c>
      <c r="G16">
        <f t="shared" si="6"/>
        <v>612.65190510999798</v>
      </c>
      <c r="H16">
        <f t="shared" si="7"/>
        <v>65.408957945337235</v>
      </c>
      <c r="I16">
        <f t="shared" si="8"/>
        <v>134.74505040051099</v>
      </c>
      <c r="J16">
        <f t="shared" si="9"/>
        <v>375.12547574790744</v>
      </c>
      <c r="K16">
        <f t="shared" si="10"/>
        <v>487.22818326850063</v>
      </c>
      <c r="L16">
        <f t="shared" si="11"/>
        <v>529.43940962496299</v>
      </c>
      <c r="M16">
        <f t="shared" si="12"/>
        <v>-42.969409624962964</v>
      </c>
      <c r="N16">
        <f t="shared" si="13"/>
        <v>1846.3701635178597</v>
      </c>
    </row>
    <row r="17" spans="1:14" x14ac:dyDescent="0.45">
      <c r="A17" s="23">
        <v>42404</v>
      </c>
      <c r="B17">
        <v>525</v>
      </c>
      <c r="C17">
        <v>536.26</v>
      </c>
      <c r="G17">
        <f t="shared" si="6"/>
        <v>621.37810530527463</v>
      </c>
      <c r="H17">
        <f t="shared" si="7"/>
        <v>66.582760295560377</v>
      </c>
      <c r="I17">
        <f t="shared" si="8"/>
        <v>134.56229504580648</v>
      </c>
      <c r="J17">
        <f t="shared" si="9"/>
        <v>374.52604353562975</v>
      </c>
      <c r="K17">
        <f t="shared" si="10"/>
        <v>487.09902798907365</v>
      </c>
      <c r="L17">
        <f t="shared" si="11"/>
        <v>529.03371978811776</v>
      </c>
      <c r="M17">
        <f t="shared" si="12"/>
        <v>0.24628021188220828</v>
      </c>
      <c r="N17">
        <f t="shared" si="13"/>
        <v>6.0653942764745401E-2</v>
      </c>
    </row>
    <row r="18" spans="1:14" x14ac:dyDescent="0.45">
      <c r="A18" s="23">
        <v>42403</v>
      </c>
      <c r="B18">
        <v>553.5</v>
      </c>
      <c r="C18">
        <v>531.07000000000005</v>
      </c>
      <c r="G18">
        <f t="shared" si="6"/>
        <v>619.43820404545193</v>
      </c>
      <c r="H18">
        <f t="shared" si="7"/>
        <v>69.262985156046653</v>
      </c>
      <c r="I18">
        <f t="shared" si="8"/>
        <v>141.4919200697029</v>
      </c>
      <c r="J18">
        <f t="shared" si="9"/>
        <v>393.85047048628411</v>
      </c>
      <c r="K18">
        <f t="shared" si="10"/>
        <v>511.96497731808756</v>
      </c>
      <c r="L18">
        <f t="shared" si="11"/>
        <v>555.78364083907059</v>
      </c>
      <c r="M18">
        <f t="shared" si="12"/>
        <v>-30.783640839070586</v>
      </c>
      <c r="N18">
        <f t="shared" si="13"/>
        <v>947.63254330889436</v>
      </c>
    </row>
    <row r="19" spans="1:14" x14ac:dyDescent="0.45">
      <c r="A19" s="23">
        <v>42402</v>
      </c>
      <c r="B19">
        <v>570</v>
      </c>
      <c r="C19">
        <v>552.1</v>
      </c>
      <c r="G19">
        <f t="shared" si="6"/>
        <v>653.78079195818646</v>
      </c>
      <c r="H19">
        <f t="shared" si="7"/>
        <v>70.579095344098363</v>
      </c>
      <c r="I19">
        <f t="shared" si="8"/>
        <v>145.46496755667809</v>
      </c>
      <c r="J19">
        <f t="shared" si="9"/>
        <v>404.93402914756956</v>
      </c>
      <c r="K19">
        <f t="shared" si="10"/>
        <v>526.19781986428188</v>
      </c>
      <c r="L19">
        <f t="shared" si="11"/>
        <v>571.10691122662638</v>
      </c>
      <c r="M19">
        <f t="shared" si="12"/>
        <v>-17.60691122662638</v>
      </c>
      <c r="N19">
        <f t="shared" si="13"/>
        <v>310.00332294230208</v>
      </c>
    </row>
    <row r="20" spans="1:14" x14ac:dyDescent="0.45">
      <c r="A20" s="23">
        <v>42401</v>
      </c>
      <c r="B20">
        <v>578.15</v>
      </c>
      <c r="C20">
        <v>574.80999999999995</v>
      </c>
      <c r="G20">
        <f t="shared" si="6"/>
        <v>649.41707775592579</v>
      </c>
      <c r="H20">
        <f t="shared" si="7"/>
        <v>71.447507681092915</v>
      </c>
      <c r="I20">
        <f t="shared" si="8"/>
        <v>147.14504935004612</v>
      </c>
      <c r="J20">
        <f t="shared" si="9"/>
        <v>409.65082154604676</v>
      </c>
      <c r="K20">
        <f t="shared" si="10"/>
        <v>532.04145233928682</v>
      </c>
      <c r="L20">
        <f t="shared" si="11"/>
        <v>577.48706213854121</v>
      </c>
      <c r="M20">
        <f t="shared" si="12"/>
        <v>-7.4870621385412051</v>
      </c>
      <c r="N20">
        <f t="shared" si="13"/>
        <v>56.056099466377205</v>
      </c>
    </row>
    <row r="21" spans="1:14" x14ac:dyDescent="0.45">
      <c r="A21" s="23">
        <v>42398</v>
      </c>
      <c r="B21">
        <v>571.98</v>
      </c>
      <c r="C21">
        <v>587</v>
      </c>
      <c r="G21">
        <f t="shared" si="6"/>
        <v>651.44206252295271</v>
      </c>
      <c r="H21">
        <f t="shared" si="7"/>
        <v>72.453282498359826</v>
      </c>
      <c r="I21">
        <f t="shared" si="8"/>
        <v>146.75155754406799</v>
      </c>
      <c r="J21">
        <f t="shared" si="9"/>
        <v>408.43765873756632</v>
      </c>
      <c r="K21">
        <f t="shared" si="10"/>
        <v>531.30884314951822</v>
      </c>
      <c r="L21">
        <f t="shared" si="11"/>
        <v>576.35482380388339</v>
      </c>
      <c r="M21">
        <f t="shared" si="12"/>
        <v>1.7951761961165857</v>
      </c>
      <c r="N21">
        <f t="shared" si="13"/>
        <v>3.2226575751036144</v>
      </c>
    </row>
    <row r="22" spans="1:14" x14ac:dyDescent="0.45">
      <c r="A22" s="23">
        <v>42397</v>
      </c>
      <c r="B22">
        <v>608.37</v>
      </c>
      <c r="C22">
        <v>635.35</v>
      </c>
      <c r="G22">
        <f t="shared" si="6"/>
        <v>648.04872365272877</v>
      </c>
      <c r="H22">
        <f t="shared" si="7"/>
        <v>74.588862272535209</v>
      </c>
      <c r="I22">
        <f t="shared" si="8"/>
        <v>154.83943506095542</v>
      </c>
      <c r="J22">
        <f t="shared" si="9"/>
        <v>431.07167309632581</v>
      </c>
      <c r="K22">
        <f t="shared" si="10"/>
        <v>559.86444378637702</v>
      </c>
      <c r="L22">
        <f t="shared" si="11"/>
        <v>607.31029519820333</v>
      </c>
      <c r="M22">
        <f t="shared" si="12"/>
        <v>-35.330295198203316</v>
      </c>
      <c r="N22">
        <f t="shared" si="13"/>
        <v>1248.2297587921882</v>
      </c>
    </row>
    <row r="23" spans="1:14" x14ac:dyDescent="0.45">
      <c r="A23" s="23">
        <v>42396</v>
      </c>
      <c r="B23">
        <v>601.99</v>
      </c>
      <c r="C23">
        <v>583.35</v>
      </c>
      <c r="G23">
        <f t="shared" si="6"/>
        <v>638.55452009918952</v>
      </c>
      <c r="H23">
        <f t="shared" si="7"/>
        <v>74.143903648665614</v>
      </c>
      <c r="I23">
        <f t="shared" si="8"/>
        <v>153.43089197549764</v>
      </c>
      <c r="J23">
        <f t="shared" si="9"/>
        <v>427.12878745814572</v>
      </c>
      <c r="K23">
        <f t="shared" si="10"/>
        <v>554.89772892488008</v>
      </c>
      <c r="L23">
        <f t="shared" si="11"/>
        <v>601.92289468935564</v>
      </c>
      <c r="M23">
        <f t="shared" si="12"/>
        <v>6.4471053106443605</v>
      </c>
      <c r="N23">
        <f t="shared" si="13"/>
        <v>41.565166886538719</v>
      </c>
    </row>
    <row r="24" spans="1:14" x14ac:dyDescent="0.45">
      <c r="A24" s="23">
        <v>42395</v>
      </c>
      <c r="B24">
        <v>603.45000000000005</v>
      </c>
      <c r="C24">
        <v>601.25</v>
      </c>
      <c r="G24">
        <f t="shared" si="6"/>
        <v>623.88799891199267</v>
      </c>
      <c r="H24">
        <f t="shared" si="7"/>
        <v>73.861528182938159</v>
      </c>
      <c r="I24">
        <f t="shared" si="8"/>
        <v>153.61125679092729</v>
      </c>
      <c r="J24">
        <f t="shared" si="9"/>
        <v>427.65005821261803</v>
      </c>
      <c r="K24">
        <f t="shared" si="10"/>
        <v>555.43777894199866</v>
      </c>
      <c r="L24">
        <f t="shared" si="11"/>
        <v>602.55815203838631</v>
      </c>
      <c r="M24">
        <f t="shared" si="12"/>
        <v>-0.56815203838630168</v>
      </c>
      <c r="N24">
        <f t="shared" si="13"/>
        <v>0.32279673872250964</v>
      </c>
    </row>
    <row r="25" spans="1:14" x14ac:dyDescent="0.45">
      <c r="A25" s="23">
        <v>42394</v>
      </c>
      <c r="B25">
        <v>597.99</v>
      </c>
      <c r="C25">
        <v>596.53</v>
      </c>
      <c r="G25">
        <f t="shared" si="6"/>
        <v>614.61807198171834</v>
      </c>
      <c r="H25">
        <f t="shared" si="7"/>
        <v>72.873267812508317</v>
      </c>
      <c r="I25">
        <f t="shared" si="8"/>
        <v>152.11478515618896</v>
      </c>
      <c r="J25">
        <f t="shared" si="9"/>
        <v>423.49455487632639</v>
      </c>
      <c r="K25">
        <f t="shared" si="10"/>
        <v>549.96421227761459</v>
      </c>
      <c r="L25">
        <f t="shared" si="11"/>
        <v>596.7223943138066</v>
      </c>
      <c r="M25">
        <f t="shared" si="12"/>
        <v>6.7276056861934421</v>
      </c>
      <c r="N25">
        <f t="shared" si="13"/>
        <v>45.260678268902332</v>
      </c>
    </row>
    <row r="26" spans="1:14" x14ac:dyDescent="0.45">
      <c r="A26" s="23">
        <v>42391</v>
      </c>
      <c r="B26">
        <v>588.73</v>
      </c>
      <c r="C26">
        <v>596.38</v>
      </c>
      <c r="G26">
        <f t="shared" si="6"/>
        <v>624.72750434956549</v>
      </c>
      <c r="H26">
        <f t="shared" si="7"/>
        <v>71.488506006246823</v>
      </c>
      <c r="I26">
        <f t="shared" si="8"/>
        <v>149.59217544157892</v>
      </c>
      <c r="J26">
        <f t="shared" si="9"/>
        <v>416.48818687618689</v>
      </c>
      <c r="K26">
        <f t="shared" si="10"/>
        <v>540.7457563461852</v>
      </c>
      <c r="L26">
        <f t="shared" si="11"/>
        <v>586.88979390143072</v>
      </c>
      <c r="M26">
        <f t="shared" si="12"/>
        <v>11.100206098569288</v>
      </c>
      <c r="N26">
        <f t="shared" si="13"/>
        <v>123.21457543071482</v>
      </c>
    </row>
    <row r="27" spans="1:14" x14ac:dyDescent="0.45">
      <c r="A27" s="23">
        <v>42390</v>
      </c>
      <c r="B27">
        <v>573.58000000000004</v>
      </c>
      <c r="C27">
        <v>575.02</v>
      </c>
      <c r="G27">
        <f t="shared" si="6"/>
        <v>619.70263620356707</v>
      </c>
      <c r="H27">
        <f t="shared" si="7"/>
        <v>70.32291479394344</v>
      </c>
      <c r="I27">
        <f t="shared" si="8"/>
        <v>145.89610607471937</v>
      </c>
      <c r="J27">
        <f t="shared" si="9"/>
        <v>406.18237177371651</v>
      </c>
      <c r="K27">
        <f t="shared" si="10"/>
        <v>527.47529424443019</v>
      </c>
      <c r="L27">
        <f t="shared" si="11"/>
        <v>572.61776753090567</v>
      </c>
      <c r="M27">
        <f t="shared" si="12"/>
        <v>16.112232469094351</v>
      </c>
      <c r="N27">
        <f t="shared" si="13"/>
        <v>259.60403513813827</v>
      </c>
    </row>
    <row r="28" spans="1:14" x14ac:dyDescent="0.45">
      <c r="A28" s="23">
        <v>42389</v>
      </c>
      <c r="B28">
        <v>564.36</v>
      </c>
      <c r="C28">
        <v>571.77</v>
      </c>
      <c r="G28">
        <f t="shared" si="6"/>
        <v>628.15280617159897</v>
      </c>
      <c r="H28">
        <f t="shared" si="7"/>
        <v>70.170857968579114</v>
      </c>
      <c r="I28">
        <f t="shared" si="8"/>
        <v>144.15470285410419</v>
      </c>
      <c r="J28">
        <f t="shared" si="9"/>
        <v>401.27374697651288</v>
      </c>
      <c r="K28">
        <f t="shared" si="10"/>
        <v>521.53362021611906</v>
      </c>
      <c r="L28">
        <f t="shared" si="11"/>
        <v>566.07033853563644</v>
      </c>
      <c r="M28">
        <f t="shared" si="12"/>
        <v>7.509661464363603</v>
      </c>
      <c r="N28">
        <f t="shared" si="13"/>
        <v>56.395015309347691</v>
      </c>
    </row>
    <row r="29" spans="1:14" x14ac:dyDescent="0.45">
      <c r="A29" s="23">
        <v>42388</v>
      </c>
      <c r="B29">
        <v>577.09</v>
      </c>
      <c r="C29">
        <v>574.48</v>
      </c>
      <c r="G29">
        <f t="shared" si="6"/>
        <v>666.48168144156648</v>
      </c>
      <c r="H29">
        <f t="shared" si="7"/>
        <v>70.931205154761699</v>
      </c>
      <c r="I29">
        <f t="shared" si="8"/>
        <v>146.91152491436389</v>
      </c>
      <c r="J29">
        <f t="shared" si="9"/>
        <v>408.99700719255878</v>
      </c>
      <c r="K29">
        <f t="shared" si="10"/>
        <v>531.21828984959541</v>
      </c>
      <c r="L29">
        <f t="shared" si="11"/>
        <v>576.59400075813096</v>
      </c>
      <c r="M29">
        <f t="shared" si="12"/>
        <v>-12.234000758130946</v>
      </c>
      <c r="N29">
        <f t="shared" si="13"/>
        <v>149.67077454994856</v>
      </c>
    </row>
    <row r="30" spans="1:14" x14ac:dyDescent="0.45">
      <c r="A30" s="23">
        <v>42384</v>
      </c>
      <c r="B30">
        <v>572.24</v>
      </c>
      <c r="C30">
        <v>570.17999999999995</v>
      </c>
      <c r="G30">
        <f t="shared" si="6"/>
        <v>671.49692626362298</v>
      </c>
      <c r="H30">
        <f t="shared" si="7"/>
        <v>71.608933677895919</v>
      </c>
      <c r="I30">
        <f t="shared" si="8"/>
        <v>146.0318632404211</v>
      </c>
      <c r="J30">
        <f t="shared" si="9"/>
        <v>406.51260013541503</v>
      </c>
      <c r="K30">
        <f t="shared" si="10"/>
        <v>528.24566495289889</v>
      </c>
      <c r="L30">
        <f t="shared" si="11"/>
        <v>573.30301606613295</v>
      </c>
      <c r="M30">
        <f t="shared" si="12"/>
        <v>3.7869839338670772</v>
      </c>
      <c r="N30">
        <f t="shared" si="13"/>
        <v>14.341247315367363</v>
      </c>
    </row>
    <row r="31" spans="1:14" x14ac:dyDescent="0.45">
      <c r="A31" s="23">
        <v>42383</v>
      </c>
      <c r="B31">
        <v>580.25</v>
      </c>
      <c r="C31">
        <v>593</v>
      </c>
      <c r="G31">
        <f t="shared" si="6"/>
        <v>662.18900167674838</v>
      </c>
      <c r="H31">
        <f t="shared" si="7"/>
        <v>73.892245097321108</v>
      </c>
      <c r="I31">
        <f t="shared" si="8"/>
        <v>148.97622792658444</v>
      </c>
      <c r="J31">
        <f t="shared" si="9"/>
        <v>414.61913916487913</v>
      </c>
      <c r="K31">
        <f t="shared" si="10"/>
        <v>539.42300263499078</v>
      </c>
      <c r="L31">
        <f t="shared" si="11"/>
        <v>585.01726671053621</v>
      </c>
      <c r="M31">
        <f t="shared" si="12"/>
        <v>-12.777266710536196</v>
      </c>
      <c r="N31">
        <f t="shared" si="13"/>
        <v>163.25854459217646</v>
      </c>
    </row>
    <row r="32" spans="1:14" x14ac:dyDescent="0.45">
      <c r="A32" s="23">
        <v>42382</v>
      </c>
      <c r="B32">
        <v>620.88</v>
      </c>
      <c r="C32">
        <v>581.80999999999995</v>
      </c>
      <c r="G32">
        <f t="shared" si="6"/>
        <v>670.97199261938454</v>
      </c>
      <c r="H32">
        <f t="shared" si="7"/>
        <v>76.51994472986155</v>
      </c>
      <c r="I32">
        <f t="shared" si="8"/>
        <v>158.32477423971793</v>
      </c>
      <c r="J32">
        <f t="shared" si="9"/>
        <v>440.74466558592081</v>
      </c>
      <c r="K32">
        <f t="shared" si="10"/>
        <v>572.64333239409882</v>
      </c>
      <c r="L32">
        <f t="shared" si="11"/>
        <v>620.91945401793669</v>
      </c>
      <c r="M32">
        <f t="shared" si="12"/>
        <v>-40.669454017936687</v>
      </c>
      <c r="N32">
        <f t="shared" si="13"/>
        <v>1654.0044901170666</v>
      </c>
    </row>
    <row r="33" spans="1:14" x14ac:dyDescent="0.45">
      <c r="A33" s="23">
        <v>42381</v>
      </c>
      <c r="B33">
        <v>625.25</v>
      </c>
      <c r="C33">
        <v>617.89</v>
      </c>
      <c r="G33">
        <f t="shared" si="6"/>
        <v>672.94156833789077</v>
      </c>
      <c r="H33">
        <f t="shared" si="7"/>
        <v>76.39147281759287</v>
      </c>
      <c r="I33">
        <f t="shared" si="8"/>
        <v>158.96359790233842</v>
      </c>
      <c r="J33">
        <f t="shared" si="9"/>
        <v>442.57049005828389</v>
      </c>
      <c r="K33">
        <f t="shared" si="10"/>
        <v>574.67555054470915</v>
      </c>
      <c r="L33">
        <f t="shared" si="11"/>
        <v>623.2373968263604</v>
      </c>
      <c r="M33">
        <f t="shared" si="12"/>
        <v>-2.3573968263604002</v>
      </c>
      <c r="N33">
        <f t="shared" si="13"/>
        <v>5.5573197969340864</v>
      </c>
    </row>
    <row r="34" spans="1:14" x14ac:dyDescent="0.45">
      <c r="A34" s="23">
        <v>42380</v>
      </c>
      <c r="B34">
        <v>612.48</v>
      </c>
      <c r="C34">
        <v>617.74</v>
      </c>
      <c r="G34">
        <f t="shared" si="6"/>
        <v>673.5204151243239</v>
      </c>
      <c r="H34">
        <f t="shared" si="7"/>
        <v>75.890637774509031</v>
      </c>
      <c r="I34">
        <f t="shared" si="8"/>
        <v>156.26224130528988</v>
      </c>
      <c r="J34">
        <f t="shared" si="9"/>
        <v>434.99502796550246</v>
      </c>
      <c r="K34">
        <f t="shared" si="10"/>
        <v>565.2298336585668</v>
      </c>
      <c r="L34">
        <f t="shared" si="11"/>
        <v>612.95053651460285</v>
      </c>
      <c r="M34">
        <f t="shared" si="12"/>
        <v>12.299463485397155</v>
      </c>
      <c r="N34">
        <f t="shared" si="13"/>
        <v>151.27680202861794</v>
      </c>
    </row>
    <row r="35" spans="1:14" x14ac:dyDescent="0.45">
      <c r="A35" s="23">
        <v>42377</v>
      </c>
      <c r="B35">
        <v>619.66</v>
      </c>
      <c r="C35">
        <v>607.04999999999995</v>
      </c>
      <c r="G35">
        <f t="shared" si="6"/>
        <v>697.19280191043435</v>
      </c>
      <c r="H35">
        <f t="shared" si="7"/>
        <v>76.451853132236309</v>
      </c>
      <c r="I35">
        <f t="shared" si="8"/>
        <v>157.95217469490092</v>
      </c>
      <c r="J35">
        <f t="shared" si="9"/>
        <v>439.71351272037583</v>
      </c>
      <c r="K35">
        <f t="shared" si="10"/>
        <v>571.25959484622967</v>
      </c>
      <c r="L35">
        <f t="shared" si="11"/>
        <v>619.45451162391737</v>
      </c>
      <c r="M35">
        <f t="shared" si="12"/>
        <v>-6.9745116239173512</v>
      </c>
      <c r="N35">
        <f t="shared" si="13"/>
        <v>48.643812392158246</v>
      </c>
    </row>
    <row r="36" spans="1:14" x14ac:dyDescent="0.45">
      <c r="A36" s="23">
        <v>42376</v>
      </c>
      <c r="B36">
        <v>621.79999999999995</v>
      </c>
      <c r="C36">
        <v>607.94000000000005</v>
      </c>
      <c r="G36">
        <f t="shared" si="6"/>
        <v>707.77704285626783</v>
      </c>
      <c r="H36">
        <f t="shared" si="7"/>
        <v>77.0047417711001</v>
      </c>
      <c r="I36">
        <f t="shared" si="8"/>
        <v>158.44374421781296</v>
      </c>
      <c r="J36">
        <f t="shared" si="9"/>
        <v>441.08733410069971</v>
      </c>
      <c r="K36">
        <f t="shared" si="10"/>
        <v>573.0058131909758</v>
      </c>
      <c r="L36">
        <f t="shared" si="11"/>
        <v>621.34199088918558</v>
      </c>
      <c r="M36">
        <f t="shared" si="12"/>
        <v>-1.681990889185613</v>
      </c>
      <c r="N36">
        <f t="shared" si="13"/>
        <v>2.8290933513034093</v>
      </c>
    </row>
    <row r="37" spans="1:14" x14ac:dyDescent="0.45">
      <c r="A37" s="23">
        <v>42375</v>
      </c>
      <c r="B37">
        <v>622</v>
      </c>
      <c r="C37">
        <v>632.65</v>
      </c>
      <c r="G37">
        <f t="shared" si="6"/>
        <v>736.66538394187126</v>
      </c>
      <c r="H37">
        <f t="shared" si="7"/>
        <v>78.20475109006216</v>
      </c>
      <c r="I37">
        <f t="shared" si="8"/>
        <v>159.17765087635399</v>
      </c>
      <c r="J37">
        <f t="shared" si="9"/>
        <v>443.0622054480765</v>
      </c>
      <c r="K37">
        <f t="shared" si="10"/>
        <v>576.05995617684823</v>
      </c>
      <c r="L37">
        <f t="shared" si="11"/>
        <v>624.41446021526076</v>
      </c>
      <c r="M37">
        <f t="shared" si="12"/>
        <v>-2.6144602152608059</v>
      </c>
      <c r="N37">
        <f t="shared" si="13"/>
        <v>6.8354022171815796</v>
      </c>
    </row>
    <row r="38" spans="1:14" x14ac:dyDescent="0.45">
      <c r="A38" s="23">
        <v>42374</v>
      </c>
      <c r="B38">
        <v>646.86</v>
      </c>
      <c r="C38">
        <v>633.79</v>
      </c>
      <c r="G38">
        <f t="shared" si="6"/>
        <v>744.39279919709031</v>
      </c>
      <c r="H38">
        <f t="shared" si="7"/>
        <v>80.705676503014885</v>
      </c>
      <c r="I38">
        <f t="shared" si="8"/>
        <v>165.0847829939361</v>
      </c>
      <c r="J38">
        <f t="shared" si="9"/>
        <v>459.5496730378772</v>
      </c>
      <c r="K38">
        <f t="shared" si="10"/>
        <v>597.17251011722919</v>
      </c>
      <c r="L38">
        <f t="shared" si="11"/>
        <v>647.16935040008127</v>
      </c>
      <c r="M38">
        <f t="shared" si="12"/>
        <v>-25.169350400081271</v>
      </c>
      <c r="N38">
        <f t="shared" si="13"/>
        <v>633.49619956207118</v>
      </c>
    </row>
    <row r="39" spans="1:14" x14ac:dyDescent="0.45">
      <c r="A39" s="23">
        <v>42373</v>
      </c>
      <c r="B39">
        <v>656.29</v>
      </c>
      <c r="C39">
        <v>636.99</v>
      </c>
      <c r="G39">
        <f t="shared" si="6"/>
        <v>733.12244278773369</v>
      </c>
      <c r="H39">
        <f t="shared" si="7"/>
        <v>82.654585086777018</v>
      </c>
      <c r="I39">
        <f t="shared" si="8"/>
        <v>168.05143564254311</v>
      </c>
      <c r="J39">
        <f t="shared" si="9"/>
        <v>467.75219196128421</v>
      </c>
      <c r="K39">
        <f t="shared" si="10"/>
        <v>608.23158759935825</v>
      </c>
      <c r="L39">
        <f t="shared" si="11"/>
        <v>658.85680446461856</v>
      </c>
      <c r="M39">
        <f t="shared" si="12"/>
        <v>-11.996804464618549</v>
      </c>
      <c r="N39">
        <f t="shared" si="13"/>
        <v>143.92331736229156</v>
      </c>
    </row>
    <row r="40" spans="1:14" x14ac:dyDescent="0.45">
      <c r="A40" s="23">
        <v>42369</v>
      </c>
      <c r="B40">
        <v>686.08</v>
      </c>
      <c r="C40">
        <v>675.89</v>
      </c>
      <c r="G40">
        <f t="shared" si="6"/>
        <v>723.12693117856543</v>
      </c>
      <c r="H40">
        <f t="shared" si="7"/>
        <v>84.615506404042932</v>
      </c>
      <c r="I40">
        <f t="shared" si="8"/>
        <v>174.97797009303508</v>
      </c>
      <c r="J40">
        <f t="shared" si="9"/>
        <v>487.10117701773623</v>
      </c>
      <c r="K40">
        <f t="shared" si="10"/>
        <v>632.89206844215141</v>
      </c>
      <c r="L40">
        <f t="shared" si="11"/>
        <v>685.48416273630892</v>
      </c>
      <c r="M40">
        <f t="shared" si="12"/>
        <v>-29.194162736308954</v>
      </c>
      <c r="N40">
        <f t="shared" si="13"/>
        <v>852.29913787409032</v>
      </c>
    </row>
    <row r="41" spans="1:14" x14ac:dyDescent="0.45">
      <c r="A41" s="23">
        <v>42368</v>
      </c>
      <c r="B41">
        <v>691.89</v>
      </c>
      <c r="C41">
        <v>689.07</v>
      </c>
      <c r="G41">
        <f t="shared" si="6"/>
        <v>720.56823819728402</v>
      </c>
      <c r="H41">
        <f t="shared" si="7"/>
        <v>84.214566078438125</v>
      </c>
      <c r="I41">
        <f t="shared" si="8"/>
        <v>175.9122617324652</v>
      </c>
      <c r="J41">
        <f t="shared" si="9"/>
        <v>489.75667191692469</v>
      </c>
      <c r="K41">
        <f t="shared" si="10"/>
        <v>635.95098090218926</v>
      </c>
      <c r="L41">
        <f t="shared" si="11"/>
        <v>688.92357513808713</v>
      </c>
      <c r="M41">
        <f t="shared" si="12"/>
        <v>-2.8435751380870897</v>
      </c>
      <c r="N41">
        <f t="shared" si="13"/>
        <v>8.0859195659470107</v>
      </c>
    </row>
    <row r="42" spans="1:14" x14ac:dyDescent="0.45">
      <c r="A42" s="23">
        <v>42367</v>
      </c>
      <c r="B42">
        <v>677.98</v>
      </c>
      <c r="C42">
        <v>693.97</v>
      </c>
      <c r="G42">
        <f t="shared" si="6"/>
        <v>722.10225693021164</v>
      </c>
      <c r="H42">
        <f t="shared" si="7"/>
        <v>82.753688284780267</v>
      </c>
      <c r="I42">
        <f t="shared" si="8"/>
        <v>172.40918909218757</v>
      </c>
      <c r="J42">
        <f t="shared" si="9"/>
        <v>480.00040663249536</v>
      </c>
      <c r="K42">
        <f t="shared" si="10"/>
        <v>623.30645476584027</v>
      </c>
      <c r="L42">
        <f t="shared" si="11"/>
        <v>675.35864045696758</v>
      </c>
      <c r="M42">
        <f t="shared" si="12"/>
        <v>16.531359543032409</v>
      </c>
      <c r="N42">
        <f t="shared" si="13"/>
        <v>273.28584834100866</v>
      </c>
    </row>
    <row r="43" spans="1:14" x14ac:dyDescent="0.45">
      <c r="A43" s="23">
        <v>42366</v>
      </c>
      <c r="B43">
        <v>665.56</v>
      </c>
      <c r="C43">
        <v>675.2</v>
      </c>
      <c r="G43">
        <f t="shared" si="6"/>
        <v>721.7533538263732</v>
      </c>
      <c r="H43">
        <f t="shared" si="7"/>
        <v>81.901830497388033</v>
      </c>
      <c r="I43">
        <f t="shared" si="8"/>
        <v>169.52726719606744</v>
      </c>
      <c r="J43">
        <f t="shared" si="9"/>
        <v>471.94923611592668</v>
      </c>
      <c r="K43">
        <f t="shared" si="10"/>
        <v>613.04975211240014</v>
      </c>
      <c r="L43">
        <f t="shared" si="11"/>
        <v>664.2819528067489</v>
      </c>
      <c r="M43">
        <f t="shared" si="12"/>
        <v>13.698047193251114</v>
      </c>
      <c r="N43">
        <f t="shared" si="13"/>
        <v>187.63649690853472</v>
      </c>
    </row>
    <row r="44" spans="1:14" x14ac:dyDescent="0.45">
      <c r="A44" s="23">
        <v>42362</v>
      </c>
      <c r="B44">
        <v>663.35</v>
      </c>
      <c r="C44">
        <v>662.79</v>
      </c>
      <c r="G44">
        <f t="shared" si="6"/>
        <v>723.29999843166206</v>
      </c>
      <c r="H44">
        <f t="shared" si="7"/>
        <v>81.893786884564221</v>
      </c>
      <c r="I44">
        <f t="shared" si="8"/>
        <v>169.1125885308617</v>
      </c>
      <c r="J44">
        <f t="shared" si="9"/>
        <v>470.77999198244515</v>
      </c>
      <c r="K44">
        <f t="shared" si="10"/>
        <v>611.63703715764018</v>
      </c>
      <c r="L44">
        <f t="shared" si="11"/>
        <v>662.7240609326567</v>
      </c>
      <c r="M44">
        <f t="shared" si="12"/>
        <v>2.8359390673432472</v>
      </c>
      <c r="N44">
        <f t="shared" si="13"/>
        <v>8.0425503936836868</v>
      </c>
    </row>
    <row r="45" spans="1:14" x14ac:dyDescent="0.45">
      <c r="A45" s="23">
        <v>42361</v>
      </c>
      <c r="B45">
        <v>666.5</v>
      </c>
      <c r="C45">
        <v>663.7</v>
      </c>
      <c r="G45">
        <f t="shared" si="6"/>
        <v>724.04958145720093</v>
      </c>
      <c r="H45">
        <f t="shared" si="7"/>
        <v>82.140456540318951</v>
      </c>
      <c r="I45">
        <f t="shared" si="8"/>
        <v>169.83713103974358</v>
      </c>
      <c r="J45">
        <f t="shared" si="9"/>
        <v>472.80482378665511</v>
      </c>
      <c r="K45">
        <f t="shared" si="10"/>
        <v>614.21154915611066</v>
      </c>
      <c r="L45">
        <f t="shared" si="11"/>
        <v>665.50649436059575</v>
      </c>
      <c r="M45">
        <f t="shared" si="12"/>
        <v>-2.1564943605957296</v>
      </c>
      <c r="N45">
        <f t="shared" si="13"/>
        <v>4.6504679272811851</v>
      </c>
    </row>
    <row r="46" spans="1:14" x14ac:dyDescent="0.45">
      <c r="A46" s="23">
        <v>42360</v>
      </c>
      <c r="B46">
        <v>666.83</v>
      </c>
      <c r="C46">
        <v>663.15</v>
      </c>
      <c r="G46">
        <f t="shared" si="6"/>
        <v>734.05897321847203</v>
      </c>
      <c r="H46">
        <f t="shared" si="7"/>
        <v>82.233874542416686</v>
      </c>
      <c r="I46">
        <f t="shared" si="8"/>
        <v>169.95832495542484</v>
      </c>
      <c r="J46">
        <f t="shared" si="9"/>
        <v>473.13851149772245</v>
      </c>
      <c r="K46">
        <f t="shared" si="10"/>
        <v>614.67158542173945</v>
      </c>
      <c r="L46">
        <f t="shared" si="11"/>
        <v>665.98864951088581</v>
      </c>
      <c r="M46">
        <f t="shared" si="12"/>
        <v>0.5113504891141929</v>
      </c>
      <c r="N46">
        <f t="shared" si="13"/>
        <v>0.26147932271732433</v>
      </c>
    </row>
    <row r="47" spans="1:14" x14ac:dyDescent="0.45">
      <c r="A47" s="23">
        <v>42359</v>
      </c>
      <c r="B47">
        <v>668.5</v>
      </c>
      <c r="C47">
        <v>664.51</v>
      </c>
      <c r="G47">
        <f t="shared" si="6"/>
        <v>719.47028030572756</v>
      </c>
      <c r="H47">
        <f t="shared" si="7"/>
        <v>82.534004284316651</v>
      </c>
      <c r="I47">
        <f t="shared" si="8"/>
        <v>170.34174979264392</v>
      </c>
      <c r="J47">
        <f t="shared" si="9"/>
        <v>474.21014760985918</v>
      </c>
      <c r="K47">
        <f t="shared" si="10"/>
        <v>616.03358156238141</v>
      </c>
      <c r="L47">
        <f t="shared" si="11"/>
        <v>667.46087471225064</v>
      </c>
      <c r="M47">
        <f t="shared" si="12"/>
        <v>-0.63087471225060199</v>
      </c>
      <c r="N47">
        <f t="shared" si="13"/>
        <v>0.39800290255727988</v>
      </c>
    </row>
    <row r="48" spans="1:14" x14ac:dyDescent="0.45">
      <c r="A48" s="23">
        <v>42356</v>
      </c>
      <c r="B48">
        <v>668.65</v>
      </c>
      <c r="C48">
        <v>664.14</v>
      </c>
      <c r="G48">
        <f t="shared" si="6"/>
        <v>719.98767674383623</v>
      </c>
      <c r="H48">
        <f t="shared" si="7"/>
        <v>82.747919404210307</v>
      </c>
      <c r="I48">
        <f t="shared" si="8"/>
        <v>170.6901359537728</v>
      </c>
      <c r="J48">
        <f t="shared" si="9"/>
        <v>475.14903963144633</v>
      </c>
      <c r="K48">
        <f t="shared" si="10"/>
        <v>617.47522209291287</v>
      </c>
      <c r="L48">
        <f t="shared" si="11"/>
        <v>668.91474423401905</v>
      </c>
      <c r="M48">
        <f t="shared" si="12"/>
        <v>-0.41474423401905369</v>
      </c>
      <c r="N48">
        <f t="shared" si="13"/>
        <v>0.17201277965205158</v>
      </c>
    </row>
    <row r="49" spans="1:14" x14ac:dyDescent="0.45">
      <c r="A49" s="23">
        <v>42355</v>
      </c>
      <c r="B49">
        <v>680</v>
      </c>
      <c r="C49">
        <v>670.65</v>
      </c>
      <c r="G49">
        <f t="shared" si="6"/>
        <v>698.94145246306607</v>
      </c>
      <c r="H49">
        <f t="shared" si="7"/>
        <v>82.829853348745047</v>
      </c>
      <c r="I49">
        <f t="shared" si="8"/>
        <v>172.81255228834922</v>
      </c>
      <c r="J49">
        <f t="shared" si="9"/>
        <v>481.13447958490087</v>
      </c>
      <c r="K49">
        <f t="shared" si="10"/>
        <v>624.70003113949167</v>
      </c>
      <c r="L49">
        <f t="shared" si="11"/>
        <v>676.88509205842342</v>
      </c>
      <c r="M49">
        <f t="shared" si="12"/>
        <v>-8.2350920584234473</v>
      </c>
      <c r="N49">
        <f t="shared" si="13"/>
        <v>67.816741210708926</v>
      </c>
    </row>
    <row r="50" spans="1:14" x14ac:dyDescent="0.45">
      <c r="A50" s="23">
        <v>42354</v>
      </c>
      <c r="B50">
        <v>663.56</v>
      </c>
      <c r="C50">
        <v>675.77</v>
      </c>
      <c r="G50">
        <f t="shared" si="6"/>
        <v>706.42953798798044</v>
      </c>
      <c r="H50">
        <f t="shared" si="7"/>
        <v>81.438027078991766</v>
      </c>
      <c r="I50">
        <f t="shared" si="8"/>
        <v>169.11956471592364</v>
      </c>
      <c r="J50">
        <f t="shared" si="9"/>
        <v>470.80405875853677</v>
      </c>
      <c r="K50">
        <f t="shared" si="10"/>
        <v>611.63503752395729</v>
      </c>
      <c r="L50">
        <f t="shared" si="11"/>
        <v>662.73560395754691</v>
      </c>
      <c r="M50">
        <f t="shared" si="12"/>
        <v>17.264396042453086</v>
      </c>
      <c r="N50">
        <f t="shared" si="13"/>
        <v>298.05937071066978</v>
      </c>
    </row>
    <row r="51" spans="1:14" x14ac:dyDescent="0.45">
      <c r="A51" s="23">
        <v>42353</v>
      </c>
      <c r="B51">
        <v>665.03</v>
      </c>
      <c r="C51">
        <v>658.64</v>
      </c>
      <c r="G51">
        <f t="shared" si="6"/>
        <v>719.51968928270071</v>
      </c>
      <c r="H51">
        <f t="shared" si="7"/>
        <v>80.720688306290526</v>
      </c>
      <c r="I51">
        <f t="shared" si="8"/>
        <v>168.80871047308236</v>
      </c>
      <c r="J51">
        <f t="shared" si="9"/>
        <v>470.00712257495627</v>
      </c>
      <c r="K51">
        <f t="shared" si="10"/>
        <v>610.10930910143964</v>
      </c>
      <c r="L51">
        <f t="shared" si="11"/>
        <v>661.30208074235361</v>
      </c>
      <c r="M51">
        <f t="shared" si="12"/>
        <v>2.2579192576463356</v>
      </c>
      <c r="N51">
        <f t="shared" si="13"/>
        <v>5.0981993740501794</v>
      </c>
    </row>
    <row r="52" spans="1:14" x14ac:dyDescent="0.45">
      <c r="A52" s="23">
        <v>42352</v>
      </c>
      <c r="B52">
        <v>641.75</v>
      </c>
      <c r="C52">
        <v>657.91</v>
      </c>
      <c r="G52">
        <f t="shared" si="6"/>
        <v>729.96165829668405</v>
      </c>
      <c r="H52">
        <f t="shared" si="7"/>
        <v>79.827917237221584</v>
      </c>
      <c r="I52">
        <f t="shared" si="8"/>
        <v>163.78410441469109</v>
      </c>
      <c r="J52">
        <f t="shared" si="9"/>
        <v>455.92860982155719</v>
      </c>
      <c r="K52">
        <f t="shared" si="10"/>
        <v>592.46951458391368</v>
      </c>
      <c r="L52">
        <f t="shared" si="11"/>
        <v>642.12811994331537</v>
      </c>
      <c r="M52">
        <f t="shared" si="12"/>
        <v>22.901880056684604</v>
      </c>
      <c r="N52">
        <f t="shared" si="13"/>
        <v>524.49611013076799</v>
      </c>
    </row>
    <row r="53" spans="1:14" x14ac:dyDescent="0.45">
      <c r="A53" s="23">
        <v>42349</v>
      </c>
      <c r="B53">
        <v>651.23</v>
      </c>
      <c r="C53">
        <v>640.15</v>
      </c>
      <c r="G53">
        <f t="shared" si="6"/>
        <v>718.18681533398819</v>
      </c>
      <c r="H53">
        <f t="shared" si="7"/>
        <v>81.246152195478004</v>
      </c>
      <c r="I53">
        <f t="shared" si="8"/>
        <v>166.33480185788954</v>
      </c>
      <c r="J53">
        <f t="shared" si="9"/>
        <v>463.01596279530668</v>
      </c>
      <c r="K53">
        <f t="shared" si="10"/>
        <v>601.77315805054332</v>
      </c>
      <c r="L53">
        <f t="shared" si="11"/>
        <v>652.06026328121493</v>
      </c>
      <c r="M53">
        <f t="shared" si="12"/>
        <v>-10.31026328121493</v>
      </c>
      <c r="N53">
        <f t="shared" si="13"/>
        <v>106.30152892796885</v>
      </c>
    </row>
    <row r="54" spans="1:14" x14ac:dyDescent="0.45">
      <c r="A54" s="23">
        <v>42348</v>
      </c>
      <c r="B54">
        <v>665.59</v>
      </c>
      <c r="C54">
        <v>662.32</v>
      </c>
      <c r="G54">
        <f t="shared" si="6"/>
        <v>729.41324481738229</v>
      </c>
      <c r="H54">
        <f t="shared" si="7"/>
        <v>82.457899391966222</v>
      </c>
      <c r="I54">
        <f t="shared" si="8"/>
        <v>169.93979928777571</v>
      </c>
      <c r="J54">
        <f t="shared" si="9"/>
        <v>473.05722809798749</v>
      </c>
      <c r="K54">
        <f t="shared" si="10"/>
        <v>614.7788215284238</v>
      </c>
      <c r="L54">
        <f t="shared" si="11"/>
        <v>666.01602001355036</v>
      </c>
      <c r="M54">
        <f t="shared" si="12"/>
        <v>-14.786020013550342</v>
      </c>
      <c r="N54">
        <f t="shared" si="13"/>
        <v>218.62638784111124</v>
      </c>
    </row>
    <row r="55" spans="1:14" x14ac:dyDescent="0.45">
      <c r="A55" s="23">
        <v>42347</v>
      </c>
      <c r="B55">
        <v>678</v>
      </c>
      <c r="C55">
        <v>664.79</v>
      </c>
      <c r="G55">
        <f t="shared" si="6"/>
        <v>722.33007634436444</v>
      </c>
      <c r="H55">
        <f t="shared" si="7"/>
        <v>82.839443034211641</v>
      </c>
      <c r="I55">
        <f t="shared" si="8"/>
        <v>172.34643902167753</v>
      </c>
      <c r="J55">
        <f t="shared" si="9"/>
        <v>479.83249277988023</v>
      </c>
      <c r="K55">
        <f t="shared" si="10"/>
        <v>623.03976209515827</v>
      </c>
      <c r="L55">
        <f t="shared" si="11"/>
        <v>675.09277194374181</v>
      </c>
      <c r="M55">
        <f t="shared" si="12"/>
        <v>-9.5027719437417772</v>
      </c>
      <c r="N55">
        <f t="shared" si="13"/>
        <v>90.302674614765877</v>
      </c>
    </row>
    <row r="56" spans="1:14" x14ac:dyDescent="0.45">
      <c r="A56" s="23">
        <v>42346</v>
      </c>
      <c r="B56">
        <v>663.13</v>
      </c>
      <c r="C56">
        <v>677.33</v>
      </c>
      <c r="G56">
        <f t="shared" si="6"/>
        <v>734.03517047352568</v>
      </c>
      <c r="H56">
        <f t="shared" si="7"/>
        <v>82.208428139902253</v>
      </c>
      <c r="I56">
        <f t="shared" si="8"/>
        <v>169.29083020563874</v>
      </c>
      <c r="J56">
        <f t="shared" si="9"/>
        <v>471.2527724057058</v>
      </c>
      <c r="K56">
        <f t="shared" si="10"/>
        <v>612.41885469181648</v>
      </c>
      <c r="L56">
        <f t="shared" si="11"/>
        <v>663.49306113135276</v>
      </c>
      <c r="M56">
        <f t="shared" si="12"/>
        <v>14.506938868647239</v>
      </c>
      <c r="N56">
        <f t="shared" si="13"/>
        <v>210.45127533866804</v>
      </c>
    </row>
    <row r="57" spans="1:14" x14ac:dyDescent="0.45">
      <c r="A57" s="23">
        <v>42345</v>
      </c>
      <c r="B57">
        <v>674.74</v>
      </c>
      <c r="C57">
        <v>669.83</v>
      </c>
      <c r="G57">
        <f t="shared" si="6"/>
        <v>736.02718250110934</v>
      </c>
      <c r="H57">
        <f t="shared" si="7"/>
        <v>82.822329139234185</v>
      </c>
      <c r="I57">
        <f t="shared" si="8"/>
        <v>171.68554193266365</v>
      </c>
      <c r="J57">
        <f t="shared" si="9"/>
        <v>477.97567253836911</v>
      </c>
      <c r="K57">
        <f t="shared" si="10"/>
        <v>620.74909246594689</v>
      </c>
      <c r="L57">
        <f t="shared" si="11"/>
        <v>672.58758586466843</v>
      </c>
      <c r="M57">
        <f t="shared" si="12"/>
        <v>-9.457585864668431</v>
      </c>
      <c r="N57">
        <f t="shared" si="13"/>
        <v>89.445930387576112</v>
      </c>
    </row>
    <row r="58" spans="1:14" x14ac:dyDescent="0.45">
      <c r="A58" s="23">
        <v>42342</v>
      </c>
      <c r="B58">
        <v>666</v>
      </c>
      <c r="C58">
        <v>672.64</v>
      </c>
      <c r="G58">
        <f t="shared" si="6"/>
        <v>729.49765499138516</v>
      </c>
      <c r="H58">
        <f t="shared" si="7"/>
        <v>82.835512347402187</v>
      </c>
      <c r="I58">
        <f t="shared" si="8"/>
        <v>170.07279734004999</v>
      </c>
      <c r="J58">
        <f t="shared" si="9"/>
        <v>473.4246355897273</v>
      </c>
      <c r="K58">
        <f t="shared" si="10"/>
        <v>615.27650028023515</v>
      </c>
      <c r="L58">
        <f t="shared" si="11"/>
        <v>666.54105692898133</v>
      </c>
      <c r="M58">
        <f t="shared" si="12"/>
        <v>8.1989430710186753</v>
      </c>
      <c r="N58">
        <f t="shared" si="13"/>
        <v>67.222667481805146</v>
      </c>
    </row>
    <row r="59" spans="1:14" x14ac:dyDescent="0.45">
      <c r="A59" s="23">
        <v>42341</v>
      </c>
      <c r="B59">
        <v>679.44</v>
      </c>
      <c r="C59">
        <v>666.25</v>
      </c>
      <c r="G59">
        <f t="shared" si="6"/>
        <v>732.23109071570343</v>
      </c>
      <c r="H59">
        <f t="shared" si="7"/>
        <v>83.660218206861444</v>
      </c>
      <c r="I59">
        <f t="shared" si="8"/>
        <v>173.16837426280182</v>
      </c>
      <c r="J59">
        <f t="shared" si="9"/>
        <v>482.07520442764167</v>
      </c>
      <c r="K59">
        <f t="shared" si="10"/>
        <v>626.27877403798868</v>
      </c>
      <c r="L59">
        <f t="shared" si="11"/>
        <v>678.43048513266081</v>
      </c>
      <c r="M59">
        <f t="shared" si="12"/>
        <v>-12.430485132660806</v>
      </c>
      <c r="N59">
        <f t="shared" si="13"/>
        <v>154.51696063330132</v>
      </c>
    </row>
    <row r="60" spans="1:14" x14ac:dyDescent="0.45">
      <c r="A60" s="23">
        <v>42340</v>
      </c>
      <c r="B60">
        <v>681</v>
      </c>
      <c r="C60">
        <v>676.01</v>
      </c>
      <c r="G60">
        <f t="shared" si="6"/>
        <v>736.4331152032795</v>
      </c>
      <c r="H60">
        <f t="shared" si="7"/>
        <v>83.495752787365774</v>
      </c>
      <c r="I60">
        <f t="shared" si="8"/>
        <v>173.32188568886545</v>
      </c>
      <c r="J60">
        <f t="shared" si="9"/>
        <v>482.52693427537241</v>
      </c>
      <c r="K60">
        <f t="shared" si="10"/>
        <v>626.69102144246801</v>
      </c>
      <c r="L60">
        <f t="shared" si="11"/>
        <v>678.94417541024973</v>
      </c>
      <c r="M60">
        <f t="shared" si="12"/>
        <v>0.4958245897503275</v>
      </c>
      <c r="N60">
        <f t="shared" si="13"/>
        <v>0.24584202380108058</v>
      </c>
    </row>
    <row r="61" spans="1:14" x14ac:dyDescent="0.45">
      <c r="A61" s="23">
        <v>42339</v>
      </c>
      <c r="B61">
        <v>673.75</v>
      </c>
      <c r="C61">
        <v>679.06</v>
      </c>
      <c r="G61">
        <f t="shared" si="6"/>
        <v>730.89796776508319</v>
      </c>
      <c r="H61">
        <f t="shared" si="7"/>
        <v>83.191336867219363</v>
      </c>
      <c r="I61">
        <f t="shared" si="8"/>
        <v>171.73487081257534</v>
      </c>
      <c r="J61">
        <f t="shared" si="9"/>
        <v>478.08288111933348</v>
      </c>
      <c r="K61">
        <f t="shared" si="10"/>
        <v>621.10415757300791</v>
      </c>
      <c r="L61">
        <f t="shared" si="11"/>
        <v>672.87936654971804</v>
      </c>
      <c r="M61">
        <f t="shared" si="12"/>
        <v>8.1206334502819573</v>
      </c>
      <c r="N61">
        <f t="shared" si="13"/>
        <v>65.944687633838242</v>
      </c>
    </row>
    <row r="62" spans="1:14" x14ac:dyDescent="0.45">
      <c r="A62" s="23">
        <v>42338</v>
      </c>
      <c r="B62">
        <v>675.9</v>
      </c>
      <c r="C62">
        <v>664.8</v>
      </c>
      <c r="G62">
        <f t="shared" si="6"/>
        <v>730.14617290101023</v>
      </c>
      <c r="H62">
        <f t="shared" si="7"/>
        <v>83.441023060535599</v>
      </c>
      <c r="I62">
        <f t="shared" si="8"/>
        <v>172.35885886845361</v>
      </c>
      <c r="J62">
        <f t="shared" si="9"/>
        <v>479.81238165115832</v>
      </c>
      <c r="K62">
        <f t="shared" si="10"/>
        <v>623.40539669454233</v>
      </c>
      <c r="L62">
        <f t="shared" si="11"/>
        <v>675.32348027438229</v>
      </c>
      <c r="M62">
        <f t="shared" si="12"/>
        <v>-1.5734802743822911</v>
      </c>
      <c r="N62">
        <f t="shared" si="13"/>
        <v>2.4758401738701701</v>
      </c>
    </row>
    <row r="63" spans="1:14" x14ac:dyDescent="0.45">
      <c r="A63" s="23">
        <v>42335</v>
      </c>
      <c r="B63">
        <v>680.8</v>
      </c>
      <c r="C63">
        <v>673.26</v>
      </c>
      <c r="G63">
        <f t="shared" si="6"/>
        <v>727.50847802514647</v>
      </c>
      <c r="H63">
        <f t="shared" si="7"/>
        <v>83.50599198465062</v>
      </c>
      <c r="I63">
        <f t="shared" si="8"/>
        <v>173.31107434330823</v>
      </c>
      <c r="J63">
        <f t="shared" si="9"/>
        <v>482.49284290654566</v>
      </c>
      <c r="K63">
        <f t="shared" si="10"/>
        <v>626.67546937759232</v>
      </c>
      <c r="L63">
        <f t="shared" si="11"/>
        <v>678.91568204634632</v>
      </c>
      <c r="M63">
        <f t="shared" si="12"/>
        <v>-3.0156820463463418</v>
      </c>
      <c r="N63">
        <f t="shared" si="13"/>
        <v>9.09433820465566</v>
      </c>
    </row>
    <row r="64" spans="1:14" x14ac:dyDescent="0.45">
      <c r="A64" s="23">
        <v>42333</v>
      </c>
      <c r="B64">
        <v>675</v>
      </c>
      <c r="C64">
        <v>675.34</v>
      </c>
      <c r="G64">
        <f t="shared" si="6"/>
        <v>720.13633848828204</v>
      </c>
      <c r="H64">
        <f t="shared" si="7"/>
        <v>83.048397126250009</v>
      </c>
      <c r="I64">
        <f t="shared" si="8"/>
        <v>171.9700114538945</v>
      </c>
      <c r="J64">
        <f t="shared" si="9"/>
        <v>478.74582188417583</v>
      </c>
      <c r="K64">
        <f t="shared" si="10"/>
        <v>621.9057268620254</v>
      </c>
      <c r="L64">
        <f t="shared" si="11"/>
        <v>673.76304915029209</v>
      </c>
      <c r="M64">
        <f t="shared" si="12"/>
        <v>7.0369508497078641</v>
      </c>
      <c r="N64">
        <f t="shared" si="13"/>
        <v>49.518677261204232</v>
      </c>
    </row>
    <row r="65" spans="1:14" x14ac:dyDescent="0.45">
      <c r="A65" s="23">
        <v>42332</v>
      </c>
      <c r="B65">
        <v>674.14</v>
      </c>
      <c r="C65">
        <v>671.15</v>
      </c>
      <c r="G65">
        <f t="shared" si="6"/>
        <v>720.10079494085437</v>
      </c>
      <c r="H65">
        <f t="shared" si="7"/>
        <v>82.759545277850123</v>
      </c>
      <c r="I65">
        <f t="shared" si="8"/>
        <v>171.7015780131722</v>
      </c>
      <c r="J65">
        <f t="shared" si="9"/>
        <v>478.00346872505281</v>
      </c>
      <c r="K65">
        <f t="shared" si="10"/>
        <v>620.90609518023348</v>
      </c>
      <c r="L65">
        <f t="shared" si="11"/>
        <v>672.70612240117111</v>
      </c>
      <c r="M65">
        <f t="shared" si="12"/>
        <v>2.2938775988288853</v>
      </c>
      <c r="N65">
        <f t="shared" si="13"/>
        <v>5.2618744384089728</v>
      </c>
    </row>
    <row r="66" spans="1:14" x14ac:dyDescent="0.45">
      <c r="A66" s="23">
        <v>42331</v>
      </c>
      <c r="B66">
        <v>671.5</v>
      </c>
      <c r="C66">
        <v>678.99</v>
      </c>
      <c r="G66">
        <f t="shared" ref="G66:K66" si="14">SUMPRODUCT($B66:$B70,P$2:P$6)</f>
        <v>702.81927625977073</v>
      </c>
      <c r="H66">
        <f t="shared" si="14"/>
        <v>82.290188999087619</v>
      </c>
      <c r="I66">
        <f t="shared" si="14"/>
        <v>170.89291063227498</v>
      </c>
      <c r="J66">
        <f t="shared" si="14"/>
        <v>475.76583004275608</v>
      </c>
      <c r="K66">
        <f t="shared" si="14"/>
        <v>617.90195263279861</v>
      </c>
      <c r="L66">
        <f t="shared" ref="L66:L129" si="15">(G66+$P$7)*$U$2+(H66+$Q$7)*$U$3+(I66+$R$7)*$U$4+(J66+$S$7)*$U$5+(K66+$T$7)*$U$6+$U$7</f>
        <v>669.52622358207373</v>
      </c>
      <c r="M66">
        <f t="shared" si="12"/>
        <v>4.6137764179262604</v>
      </c>
      <c r="N66">
        <f t="shared" si="13"/>
        <v>21.286932834612475</v>
      </c>
    </row>
    <row r="67" spans="1:14" x14ac:dyDescent="0.45">
      <c r="A67" s="23">
        <v>42328</v>
      </c>
      <c r="B67">
        <v>663.95</v>
      </c>
      <c r="C67">
        <v>668.45</v>
      </c>
      <c r="G67">
        <f t="shared" ref="G67:K67" si="16">SUMPRODUCT($B67:$B71,P$2:P$6)</f>
        <v>705.29784047526482</v>
      </c>
      <c r="H67">
        <f t="shared" si="16"/>
        <v>81.539345185057527</v>
      </c>
      <c r="I67">
        <f t="shared" si="16"/>
        <v>169.20702208210321</v>
      </c>
      <c r="J67">
        <f t="shared" si="16"/>
        <v>471.04874578844141</v>
      </c>
      <c r="K67">
        <f t="shared" si="16"/>
        <v>611.94437675567735</v>
      </c>
      <c r="L67">
        <f t="shared" si="15"/>
        <v>663.07066931992404</v>
      </c>
      <c r="M67">
        <f t="shared" ref="M67:M130" si="17">B66-L67</f>
        <v>8.4293306800759638</v>
      </c>
      <c r="N67">
        <f t="shared" ref="N67:N130" si="18">M67^2</f>
        <v>71.053615714069906</v>
      </c>
    </row>
    <row r="68" spans="1:14" x14ac:dyDescent="0.45">
      <c r="A68" s="23">
        <v>42327</v>
      </c>
      <c r="B68">
        <v>664.99</v>
      </c>
      <c r="C68">
        <v>661.27</v>
      </c>
      <c r="G68">
        <f t="shared" ref="G68:K68" si="19">SUMPRODUCT($B68:$B72,P$2:P$6)</f>
        <v>696.53873241897259</v>
      </c>
      <c r="H68">
        <f t="shared" si="19"/>
        <v>80.906498718507649</v>
      </c>
      <c r="I68">
        <f t="shared" si="19"/>
        <v>168.93143677059714</v>
      </c>
      <c r="J68">
        <f t="shared" si="19"/>
        <v>470.33553541785329</v>
      </c>
      <c r="K68">
        <f t="shared" si="19"/>
        <v>610.63105679086573</v>
      </c>
      <c r="L68">
        <f t="shared" si="15"/>
        <v>661.82216738891759</v>
      </c>
      <c r="M68">
        <f t="shared" si="17"/>
        <v>2.1278326110824537</v>
      </c>
      <c r="N68">
        <f t="shared" si="18"/>
        <v>4.5276716207859726</v>
      </c>
    </row>
    <row r="69" spans="1:14" x14ac:dyDescent="0.45">
      <c r="A69" s="23">
        <v>42326</v>
      </c>
      <c r="B69">
        <v>646.51</v>
      </c>
      <c r="C69">
        <v>663.54</v>
      </c>
      <c r="G69">
        <f t="shared" ref="G69:K69" si="20">SUMPRODUCT($B69:$B73,P$2:P$6)</f>
        <v>716.42605756480111</v>
      </c>
      <c r="H69">
        <f t="shared" si="20"/>
        <v>79.713038133149112</v>
      </c>
      <c r="I69">
        <f t="shared" si="20"/>
        <v>164.84908854096633</v>
      </c>
      <c r="J69">
        <f t="shared" si="20"/>
        <v>458.90815534827146</v>
      </c>
      <c r="K69">
        <f t="shared" si="20"/>
        <v>596.23435679825423</v>
      </c>
      <c r="L69">
        <f t="shared" si="15"/>
        <v>646.20692010761434</v>
      </c>
      <c r="M69">
        <f t="shared" si="17"/>
        <v>18.783079892385672</v>
      </c>
      <c r="N69">
        <f t="shared" si="18"/>
        <v>352.80409024374296</v>
      </c>
    </row>
    <row r="70" spans="1:14" x14ac:dyDescent="0.45">
      <c r="A70" s="23">
        <v>42325</v>
      </c>
      <c r="B70">
        <v>650.65</v>
      </c>
      <c r="C70">
        <v>643.29999999999995</v>
      </c>
      <c r="G70">
        <f t="shared" ref="G70:K70" si="21">SUMPRODUCT($B70:$B74,P$2:P$6)</f>
        <v>725.41288503626231</v>
      </c>
      <c r="H70">
        <f t="shared" si="21"/>
        <v>79.947805430669248</v>
      </c>
      <c r="I70">
        <f t="shared" si="21"/>
        <v>165.51986575976187</v>
      </c>
      <c r="J70">
        <f t="shared" si="21"/>
        <v>460.81390398402607</v>
      </c>
      <c r="K70">
        <f t="shared" si="21"/>
        <v>598.43518344656297</v>
      </c>
      <c r="L70">
        <f t="shared" si="15"/>
        <v>648.67892739208696</v>
      </c>
      <c r="M70">
        <f t="shared" si="17"/>
        <v>-2.1689273920869709</v>
      </c>
      <c r="N70">
        <f t="shared" si="18"/>
        <v>4.7042460321451891</v>
      </c>
    </row>
    <row r="71" spans="1:14" x14ac:dyDescent="0.45">
      <c r="A71" s="23">
        <v>42324</v>
      </c>
      <c r="B71">
        <v>640.91999999999996</v>
      </c>
      <c r="C71">
        <v>647.80999999999995</v>
      </c>
      <c r="G71">
        <f t="shared" ref="G71:K71" si="22">SUMPRODUCT($B71:$B75,P$2:P$6)</f>
        <v>716.76108062306912</v>
      </c>
      <c r="H71">
        <f t="shared" si="22"/>
        <v>80.407314558158731</v>
      </c>
      <c r="I71">
        <f t="shared" si="22"/>
        <v>163.93733824017863</v>
      </c>
      <c r="J71">
        <f t="shared" si="22"/>
        <v>456.31879279509195</v>
      </c>
      <c r="K71">
        <f t="shared" si="22"/>
        <v>593.23735656954068</v>
      </c>
      <c r="L71">
        <f t="shared" si="15"/>
        <v>642.84373913662137</v>
      </c>
      <c r="M71">
        <f t="shared" si="17"/>
        <v>7.8062608633786112</v>
      </c>
      <c r="N71">
        <f t="shared" si="18"/>
        <v>60.937708667116581</v>
      </c>
    </row>
    <row r="72" spans="1:14" x14ac:dyDescent="0.45">
      <c r="A72" s="23">
        <v>42321</v>
      </c>
      <c r="B72">
        <v>663.57</v>
      </c>
      <c r="C72">
        <v>642.35</v>
      </c>
      <c r="G72">
        <f t="shared" ref="G72:K72" si="23">SUMPRODUCT($B72:$B76,P$2:P$6)</f>
        <v>708.87559338599158</v>
      </c>
      <c r="H72">
        <f t="shared" si="23"/>
        <v>82.120062046067446</v>
      </c>
      <c r="I72">
        <f t="shared" si="23"/>
        <v>169.34255561524586</v>
      </c>
      <c r="J72">
        <f t="shared" si="23"/>
        <v>471.40284195965768</v>
      </c>
      <c r="K72">
        <f t="shared" si="23"/>
        <v>612.57060951911649</v>
      </c>
      <c r="L72">
        <f t="shared" si="15"/>
        <v>663.67348654663215</v>
      </c>
      <c r="M72">
        <f t="shared" si="17"/>
        <v>-22.753486546632189</v>
      </c>
      <c r="N72">
        <f t="shared" si="18"/>
        <v>517.72115002777207</v>
      </c>
    </row>
    <row r="73" spans="1:14" x14ac:dyDescent="0.45">
      <c r="A73" s="23">
        <v>42320</v>
      </c>
      <c r="B73">
        <v>673</v>
      </c>
      <c r="C73">
        <v>665.6</v>
      </c>
      <c r="G73">
        <f t="shared" ref="G73:K73" si="24">SUMPRODUCT($B73:$B77,P$2:P$6)</f>
        <v>713.7787660601133</v>
      </c>
      <c r="H73">
        <f t="shared" si="24"/>
        <v>82.1638417043429</v>
      </c>
      <c r="I73">
        <f t="shared" si="24"/>
        <v>171.21419652824193</v>
      </c>
      <c r="J73">
        <f t="shared" si="24"/>
        <v>476.66631318033802</v>
      </c>
      <c r="K73">
        <f t="shared" si="24"/>
        <v>619.02815942498319</v>
      </c>
      <c r="L73">
        <f t="shared" si="15"/>
        <v>670.75125954346913</v>
      </c>
      <c r="M73">
        <f t="shared" si="17"/>
        <v>-7.181259543469082</v>
      </c>
      <c r="N73">
        <f t="shared" si="18"/>
        <v>51.570488630665771</v>
      </c>
    </row>
    <row r="74" spans="1:14" x14ac:dyDescent="0.45">
      <c r="A74" s="23">
        <v>42319</v>
      </c>
      <c r="B74">
        <v>663.25</v>
      </c>
      <c r="C74">
        <v>673.25</v>
      </c>
      <c r="G74">
        <f t="shared" ref="G74:K74" si="25">SUMPRODUCT($B74:$B78,P$2:P$6)</f>
        <v>709.39093154404929</v>
      </c>
      <c r="H74">
        <f t="shared" si="25"/>
        <v>81.192883981153713</v>
      </c>
      <c r="I74">
        <f t="shared" si="25"/>
        <v>168.71599693573003</v>
      </c>
      <c r="J74">
        <f t="shared" si="25"/>
        <v>469.71301965480353</v>
      </c>
      <c r="K74">
        <f t="shared" si="25"/>
        <v>609.98544278896793</v>
      </c>
      <c r="L74">
        <f t="shared" si="15"/>
        <v>661.06308042717046</v>
      </c>
      <c r="M74">
        <f t="shared" si="17"/>
        <v>11.936919572829538</v>
      </c>
      <c r="N74">
        <f t="shared" si="18"/>
        <v>142.49004888820093</v>
      </c>
    </row>
    <row r="75" spans="1:14" x14ac:dyDescent="0.45">
      <c r="A75" s="23">
        <v>42318</v>
      </c>
      <c r="B75">
        <v>653</v>
      </c>
      <c r="C75">
        <v>659.68</v>
      </c>
      <c r="G75">
        <f t="shared" ref="G75:K75" si="26">SUMPRODUCT($B75:$B79,P$2:P$6)</f>
        <v>701.0149422880653</v>
      </c>
      <c r="H75">
        <f t="shared" si="26"/>
        <v>80.698779543696858</v>
      </c>
      <c r="I75">
        <f t="shared" si="26"/>
        <v>166.54457115584955</v>
      </c>
      <c r="J75">
        <f t="shared" si="26"/>
        <v>463.62406794719453</v>
      </c>
      <c r="K75">
        <f t="shared" si="26"/>
        <v>602.39055602583539</v>
      </c>
      <c r="L75">
        <f t="shared" si="15"/>
        <v>652.79301100333771</v>
      </c>
      <c r="M75">
        <f t="shared" si="17"/>
        <v>10.45698899666229</v>
      </c>
      <c r="N75">
        <f t="shared" si="18"/>
        <v>109.34861887631619</v>
      </c>
    </row>
    <row r="76" spans="1:14" x14ac:dyDescent="0.45">
      <c r="A76" s="23">
        <v>42317</v>
      </c>
      <c r="B76">
        <v>658.65</v>
      </c>
      <c r="C76">
        <v>655.49</v>
      </c>
      <c r="G76">
        <f t="shared" ref="G76:K76" si="27">SUMPRODUCT($B76:$B80,P$2:P$6)</f>
        <v>683.20330729067371</v>
      </c>
      <c r="H76">
        <f t="shared" si="27"/>
        <v>80.787481220028397</v>
      </c>
      <c r="I76">
        <f t="shared" si="27"/>
        <v>167.7266595325936</v>
      </c>
      <c r="J76">
        <f t="shared" si="27"/>
        <v>466.94059657944098</v>
      </c>
      <c r="K76">
        <f t="shared" si="27"/>
        <v>606.51467340342629</v>
      </c>
      <c r="L76">
        <f t="shared" si="15"/>
        <v>657.28918591177057</v>
      </c>
      <c r="M76">
        <f t="shared" si="17"/>
        <v>-4.2891859117705735</v>
      </c>
      <c r="N76">
        <f t="shared" si="18"/>
        <v>18.397115785731167</v>
      </c>
    </row>
    <row r="77" spans="1:14" x14ac:dyDescent="0.45">
      <c r="A77" s="23">
        <v>42314</v>
      </c>
      <c r="B77">
        <v>655</v>
      </c>
      <c r="C77">
        <v>659.37</v>
      </c>
      <c r="G77">
        <f t="shared" ref="G77:K77" si="28">SUMPRODUCT($B77:$B81,P$2:P$6)</f>
        <v>683.58110809462278</v>
      </c>
      <c r="H77">
        <f t="shared" si="28"/>
        <v>79.905759902197531</v>
      </c>
      <c r="I77">
        <f t="shared" si="28"/>
        <v>166.67892122966518</v>
      </c>
      <c r="J77">
        <f t="shared" si="28"/>
        <v>464.03555899881769</v>
      </c>
      <c r="K77">
        <f t="shared" si="28"/>
        <v>602.65663436800332</v>
      </c>
      <c r="L77">
        <f t="shared" si="15"/>
        <v>653.1886666197845</v>
      </c>
      <c r="M77">
        <f t="shared" si="17"/>
        <v>5.4613333802154784</v>
      </c>
      <c r="N77">
        <f t="shared" si="18"/>
        <v>29.826162289855823</v>
      </c>
    </row>
    <row r="78" spans="1:14" x14ac:dyDescent="0.45">
      <c r="A78" s="23">
        <v>42313</v>
      </c>
      <c r="B78">
        <v>647.1</v>
      </c>
      <c r="C78">
        <v>655.65</v>
      </c>
      <c r="G78">
        <f t="shared" ref="G78:K78" si="29">SUMPRODUCT($B78:$B82,P$2:P$6)</f>
        <v>680.17745898078226</v>
      </c>
      <c r="H78">
        <f t="shared" si="29"/>
        <v>78.614608324723434</v>
      </c>
      <c r="I78">
        <f t="shared" si="29"/>
        <v>164.34914114075116</v>
      </c>
      <c r="J78">
        <f t="shared" si="29"/>
        <v>457.58137667515535</v>
      </c>
      <c r="K78">
        <f t="shared" si="29"/>
        <v>594.04551527625438</v>
      </c>
      <c r="L78">
        <f t="shared" si="15"/>
        <v>644.05228246666422</v>
      </c>
      <c r="M78">
        <f t="shared" si="17"/>
        <v>10.947717533335776</v>
      </c>
      <c r="N78">
        <f t="shared" si="18"/>
        <v>119.85251918970758</v>
      </c>
    </row>
    <row r="79" spans="1:14" x14ac:dyDescent="0.45">
      <c r="A79" s="23">
        <v>42312</v>
      </c>
      <c r="B79">
        <v>627.76</v>
      </c>
      <c r="C79">
        <v>640.95000000000005</v>
      </c>
      <c r="G79">
        <f t="shared" ref="G79:K79" si="30">SUMPRODUCT($B79:$B83,P$2:P$6)</f>
        <v>677.74538416192013</v>
      </c>
      <c r="H79">
        <f t="shared" si="30"/>
        <v>77.385806594664857</v>
      </c>
      <c r="I79">
        <f t="shared" si="30"/>
        <v>160.00582929434134</v>
      </c>
      <c r="J79">
        <f t="shared" si="30"/>
        <v>445.43172492804678</v>
      </c>
      <c r="K79">
        <f t="shared" si="30"/>
        <v>578.68060526208365</v>
      </c>
      <c r="L79">
        <f t="shared" si="15"/>
        <v>627.41159015035555</v>
      </c>
      <c r="M79">
        <f t="shared" si="17"/>
        <v>19.688409849644472</v>
      </c>
      <c r="N79">
        <f t="shared" si="18"/>
        <v>387.63348240757745</v>
      </c>
    </row>
    <row r="80" spans="1:14" x14ac:dyDescent="0.45">
      <c r="A80" s="23">
        <v>42311</v>
      </c>
      <c r="B80">
        <v>629.53</v>
      </c>
      <c r="C80">
        <v>625.30999999999995</v>
      </c>
      <c r="G80">
        <f t="shared" ref="G80:K80" si="31">SUMPRODUCT($B80:$B84,P$2:P$6)</f>
        <v>669.90293473065344</v>
      </c>
      <c r="H80">
        <f t="shared" si="31"/>
        <v>77.38342235158602</v>
      </c>
      <c r="I80">
        <f t="shared" si="31"/>
        <v>160.34134573799997</v>
      </c>
      <c r="J80">
        <f t="shared" si="31"/>
        <v>446.37730924540176</v>
      </c>
      <c r="K80">
        <f t="shared" si="31"/>
        <v>579.82635263535815</v>
      </c>
      <c r="L80">
        <f t="shared" si="15"/>
        <v>628.67363466151835</v>
      </c>
      <c r="M80">
        <f t="shared" si="17"/>
        <v>-0.91363466151835837</v>
      </c>
      <c r="N80">
        <f t="shared" si="18"/>
        <v>0.83472829472776522</v>
      </c>
    </row>
    <row r="81" spans="1:14" x14ac:dyDescent="0.45">
      <c r="A81" s="23">
        <v>42310</v>
      </c>
      <c r="B81">
        <v>627.13</v>
      </c>
      <c r="C81">
        <v>628.35</v>
      </c>
      <c r="G81">
        <f t="shared" ref="G81:K81" si="32">SUMPRODUCT($B81:$B85,P$2:P$6)</f>
        <v>664.35565723595914</v>
      </c>
      <c r="H81">
        <f t="shared" si="32"/>
        <v>77.044786434876812</v>
      </c>
      <c r="I81">
        <f t="shared" si="32"/>
        <v>159.76525893772887</v>
      </c>
      <c r="J81">
        <f t="shared" si="32"/>
        <v>444.77001298803839</v>
      </c>
      <c r="K81">
        <f t="shared" si="32"/>
        <v>577.76373836445293</v>
      </c>
      <c r="L81">
        <f t="shared" si="15"/>
        <v>626.45242225271215</v>
      </c>
      <c r="M81">
        <f t="shared" si="17"/>
        <v>3.077577747287819</v>
      </c>
      <c r="N81">
        <f t="shared" si="18"/>
        <v>9.471484790601167</v>
      </c>
    </row>
    <row r="82" spans="1:14" x14ac:dyDescent="0.45">
      <c r="A82" s="23">
        <v>42307</v>
      </c>
      <c r="B82">
        <v>626.01</v>
      </c>
      <c r="C82">
        <v>625.9</v>
      </c>
      <c r="G82">
        <f t="shared" ref="G82:K82" si="33">SUMPRODUCT($B82:$B86,P$2:P$6)</f>
        <v>660.1799746297329</v>
      </c>
      <c r="H82">
        <f t="shared" si="33"/>
        <v>76.538264344499908</v>
      </c>
      <c r="I82">
        <f t="shared" si="33"/>
        <v>159.28075413992522</v>
      </c>
      <c r="J82">
        <f t="shared" si="33"/>
        <v>443.44110248024026</v>
      </c>
      <c r="K82">
        <f t="shared" si="33"/>
        <v>575.89492228944982</v>
      </c>
      <c r="L82">
        <f t="shared" si="15"/>
        <v>624.50798784448307</v>
      </c>
      <c r="M82">
        <f t="shared" si="17"/>
        <v>2.6220121555169271</v>
      </c>
      <c r="N82">
        <f t="shared" si="18"/>
        <v>6.874947743678522</v>
      </c>
    </row>
    <row r="83" spans="1:14" x14ac:dyDescent="0.45">
      <c r="A83" s="23">
        <v>42306</v>
      </c>
      <c r="B83">
        <v>617.70000000000005</v>
      </c>
      <c r="C83">
        <v>626.54999999999995</v>
      </c>
      <c r="G83">
        <f t="shared" ref="G83:K83" si="34">SUMPRODUCT($B83:$B87,P$2:P$6)</f>
        <v>654.050295114807</v>
      </c>
      <c r="H83">
        <f t="shared" si="34"/>
        <v>75.710733052049108</v>
      </c>
      <c r="I83">
        <f t="shared" si="34"/>
        <v>157.24391691128156</v>
      </c>
      <c r="J83">
        <f t="shared" si="34"/>
        <v>437.7627284759476</v>
      </c>
      <c r="K83">
        <f t="shared" si="34"/>
        <v>568.57599531394499</v>
      </c>
      <c r="L83">
        <f t="shared" si="15"/>
        <v>616.63961359581197</v>
      </c>
      <c r="M83">
        <f t="shared" si="17"/>
        <v>9.3703864041880252</v>
      </c>
      <c r="N83">
        <f t="shared" si="18"/>
        <v>87.804141363791786</v>
      </c>
    </row>
    <row r="84" spans="1:14" x14ac:dyDescent="0.45">
      <c r="A84" s="23">
        <v>42305</v>
      </c>
      <c r="B84">
        <v>612.29999999999995</v>
      </c>
      <c r="C84">
        <v>617.1</v>
      </c>
      <c r="G84">
        <f t="shared" ref="G84:K84" si="35">SUMPRODUCT($B84:$B88,P$2:P$6)</f>
        <v>665.78593513461396</v>
      </c>
      <c r="H84">
        <f t="shared" si="35"/>
        <v>75.101616366538423</v>
      </c>
      <c r="I84">
        <f t="shared" si="35"/>
        <v>155.91503654104952</v>
      </c>
      <c r="J84">
        <f t="shared" si="35"/>
        <v>434.05861187710786</v>
      </c>
      <c r="K84">
        <f t="shared" si="35"/>
        <v>563.79778891154035</v>
      </c>
      <c r="L84">
        <f t="shared" si="15"/>
        <v>611.50432189511366</v>
      </c>
      <c r="M84">
        <f t="shared" si="17"/>
        <v>6.1956781048863832</v>
      </c>
      <c r="N84">
        <f t="shared" si="18"/>
        <v>38.386427179368525</v>
      </c>
    </row>
    <row r="85" spans="1:14" x14ac:dyDescent="0.45">
      <c r="A85" s="23">
        <v>42304</v>
      </c>
      <c r="B85">
        <v>608.6</v>
      </c>
      <c r="C85">
        <v>611.01</v>
      </c>
      <c r="G85">
        <f t="shared" ref="G85:K85" si="36">SUMPRODUCT($B85:$B89,P$2:P$6)</f>
        <v>615.31001790802668</v>
      </c>
      <c r="H85">
        <f t="shared" si="36"/>
        <v>74.848475677500218</v>
      </c>
      <c r="I85">
        <f t="shared" si="36"/>
        <v>154.90023642468384</v>
      </c>
      <c r="J85">
        <f t="shared" si="36"/>
        <v>431.24078101836437</v>
      </c>
      <c r="K85">
        <f t="shared" si="36"/>
        <v>560.08569662859964</v>
      </c>
      <c r="L85">
        <f t="shared" si="15"/>
        <v>607.54679033716138</v>
      </c>
      <c r="M85">
        <f t="shared" si="17"/>
        <v>4.7532096628385716</v>
      </c>
      <c r="N85">
        <f t="shared" si="18"/>
        <v>22.593002098901966</v>
      </c>
    </row>
    <row r="86" spans="1:14" x14ac:dyDescent="0.45">
      <c r="A86" s="23">
        <v>42303</v>
      </c>
      <c r="B86">
        <v>602.29999999999995</v>
      </c>
      <c r="C86">
        <v>608.61</v>
      </c>
      <c r="G86">
        <f t="shared" ref="G86:K86" si="37">SUMPRODUCT($B86:$B90,P$2:P$6)</f>
        <v>615.0287973610782</v>
      </c>
      <c r="H86">
        <f t="shared" si="37"/>
        <v>74.181058430679343</v>
      </c>
      <c r="I86">
        <f t="shared" si="37"/>
        <v>153.89537291053983</v>
      </c>
      <c r="J86">
        <f t="shared" si="37"/>
        <v>428.38333894704152</v>
      </c>
      <c r="K86">
        <f t="shared" si="37"/>
        <v>556.80335200250431</v>
      </c>
      <c r="L86">
        <f t="shared" si="15"/>
        <v>603.85189013037484</v>
      </c>
      <c r="M86">
        <f t="shared" si="17"/>
        <v>4.748109869625182</v>
      </c>
      <c r="N86">
        <f t="shared" si="18"/>
        <v>22.544547334032064</v>
      </c>
    </row>
    <row r="87" spans="1:14" x14ac:dyDescent="0.45">
      <c r="A87" s="23">
        <v>42300</v>
      </c>
      <c r="B87">
        <v>617.67999999999995</v>
      </c>
      <c r="C87">
        <v>599.03</v>
      </c>
      <c r="G87">
        <f t="shared" ref="G87:K87" si="38">SUMPRODUCT($B87:$B91,P$2:P$6)</f>
        <v>621.24398281274944</v>
      </c>
      <c r="H87">
        <f t="shared" si="38"/>
        <v>72.919290045998508</v>
      </c>
      <c r="I87">
        <f t="shared" si="38"/>
        <v>155.86572661490703</v>
      </c>
      <c r="J87">
        <f t="shared" si="38"/>
        <v>434.06319043778552</v>
      </c>
      <c r="K87">
        <f t="shared" si="38"/>
        <v>562.78761768131562</v>
      </c>
      <c r="L87">
        <f t="shared" si="15"/>
        <v>610.83967158890937</v>
      </c>
      <c r="M87">
        <f t="shared" si="17"/>
        <v>-8.5396715889094139</v>
      </c>
      <c r="N87">
        <f t="shared" si="18"/>
        <v>72.925990846426629</v>
      </c>
    </row>
    <row r="88" spans="1:14" x14ac:dyDescent="0.45">
      <c r="A88" s="23">
        <v>42299</v>
      </c>
      <c r="B88">
        <v>562.70000000000005</v>
      </c>
      <c r="C88">
        <v>563.91</v>
      </c>
      <c r="G88">
        <f t="shared" ref="G88:K88" si="39">SUMPRODUCT($B88:$B92,P$2:P$6)</f>
        <v>617.04277915463388</v>
      </c>
      <c r="H88">
        <f t="shared" si="39"/>
        <v>69.508979163796198</v>
      </c>
      <c r="I88">
        <f t="shared" si="39"/>
        <v>143.41156268169928</v>
      </c>
      <c r="J88">
        <f t="shared" si="39"/>
        <v>399.23696833309521</v>
      </c>
      <c r="K88">
        <f t="shared" si="39"/>
        <v>518.65863410289285</v>
      </c>
      <c r="L88">
        <f t="shared" si="15"/>
        <v>563.08308901196142</v>
      </c>
      <c r="M88">
        <f t="shared" si="17"/>
        <v>54.59691098803853</v>
      </c>
      <c r="N88">
        <f t="shared" si="18"/>
        <v>2980.8226894358022</v>
      </c>
    </row>
    <row r="89" spans="1:14" x14ac:dyDescent="0.45">
      <c r="A89" s="23">
        <v>42298</v>
      </c>
      <c r="B89">
        <v>563.87</v>
      </c>
      <c r="C89">
        <v>555.77</v>
      </c>
      <c r="G89">
        <f t="shared" ref="G89:K89" si="40">SUMPRODUCT($B89:$B93,P$2:P$6)</f>
        <v>611.78553888101169</v>
      </c>
      <c r="H89">
        <f t="shared" si="40"/>
        <v>69.90316752782816</v>
      </c>
      <c r="I89">
        <f t="shared" si="40"/>
        <v>143.90242726550005</v>
      </c>
      <c r="J89">
        <f t="shared" si="40"/>
        <v>400.58424469065926</v>
      </c>
      <c r="K89">
        <f t="shared" si="40"/>
        <v>520.54675808293268</v>
      </c>
      <c r="L89">
        <f t="shared" si="15"/>
        <v>565.05008878648653</v>
      </c>
      <c r="M89">
        <f t="shared" si="17"/>
        <v>-2.3500887864864808</v>
      </c>
      <c r="N89">
        <f t="shared" si="18"/>
        <v>5.5229173043694999</v>
      </c>
    </row>
    <row r="90" spans="1:14" x14ac:dyDescent="0.45">
      <c r="A90" s="23">
        <v>42297</v>
      </c>
      <c r="B90">
        <v>572</v>
      </c>
      <c r="C90">
        <v>560.88</v>
      </c>
      <c r="G90">
        <f t="shared" ref="G90:K90" si="41">SUMPRODUCT($B90:$B94,P$2:P$6)</f>
        <v>596.02580342392685</v>
      </c>
      <c r="H90">
        <f t="shared" si="41"/>
        <v>70.293286292029705</v>
      </c>
      <c r="I90">
        <f t="shared" si="41"/>
        <v>145.71449472331949</v>
      </c>
      <c r="J90">
        <f t="shared" si="41"/>
        <v>405.65475260456668</v>
      </c>
      <c r="K90">
        <f t="shared" si="41"/>
        <v>526.94802452706813</v>
      </c>
      <c r="L90">
        <f t="shared" si="15"/>
        <v>571.98755286561504</v>
      </c>
      <c r="M90">
        <f t="shared" si="17"/>
        <v>-8.1175528656150391</v>
      </c>
      <c r="N90">
        <f t="shared" si="18"/>
        <v>65.894664526054939</v>
      </c>
    </row>
    <row r="91" spans="1:14" x14ac:dyDescent="0.45">
      <c r="A91" s="23">
        <v>42296</v>
      </c>
      <c r="B91">
        <v>570.76</v>
      </c>
      <c r="C91">
        <v>573.15</v>
      </c>
      <c r="G91">
        <f t="shared" ref="G91:K91" si="42">SUMPRODUCT($B91:$B95,P$2:P$6)</f>
        <v>598.28934034113229</v>
      </c>
      <c r="H91">
        <f t="shared" si="42"/>
        <v>69.698802806653219</v>
      </c>
      <c r="I91">
        <f t="shared" si="42"/>
        <v>145.28083625216402</v>
      </c>
      <c r="J91">
        <f t="shared" si="42"/>
        <v>404.45924268146376</v>
      </c>
      <c r="K91">
        <f t="shared" si="42"/>
        <v>525.31077660825508</v>
      </c>
      <c r="L91">
        <f t="shared" si="15"/>
        <v>570.26734534606123</v>
      </c>
      <c r="M91">
        <f t="shared" si="17"/>
        <v>1.7326546539387664</v>
      </c>
      <c r="N91">
        <f t="shared" si="18"/>
        <v>3.0020921498156663</v>
      </c>
    </row>
    <row r="92" spans="1:14" x14ac:dyDescent="0.45">
      <c r="A92" s="23">
        <v>42293</v>
      </c>
      <c r="B92">
        <v>565.27</v>
      </c>
      <c r="C92">
        <v>570.76</v>
      </c>
      <c r="G92">
        <f t="shared" ref="G92:K92" si="43">SUMPRODUCT($B92:$B96,P$2:P$6)</f>
        <v>592.53040544536793</v>
      </c>
      <c r="H92">
        <f t="shared" si="43"/>
        <v>68.670363502463715</v>
      </c>
      <c r="I92">
        <f t="shared" si="43"/>
        <v>143.54879426572165</v>
      </c>
      <c r="J92">
        <f t="shared" si="43"/>
        <v>399.67073292238626</v>
      </c>
      <c r="K92">
        <f t="shared" si="43"/>
        <v>518.85178648668193</v>
      </c>
      <c r="L92">
        <f t="shared" si="15"/>
        <v>563.44248879122335</v>
      </c>
      <c r="M92">
        <f t="shared" si="17"/>
        <v>7.3175112087766365</v>
      </c>
      <c r="N92">
        <f t="shared" si="18"/>
        <v>53.545970290571709</v>
      </c>
    </row>
    <row r="93" spans="1:14" x14ac:dyDescent="0.45">
      <c r="A93" s="23">
        <v>42292</v>
      </c>
      <c r="B93">
        <v>547.75</v>
      </c>
      <c r="C93">
        <v>562.44000000000005</v>
      </c>
      <c r="G93">
        <f t="shared" ref="G93:K93" si="44">SUMPRODUCT($B93:$B97,P$2:P$6)</f>
        <v>585.51093202153652</v>
      </c>
      <c r="H93">
        <f t="shared" si="44"/>
        <v>67.592462587624368</v>
      </c>
      <c r="I93">
        <f t="shared" si="44"/>
        <v>139.66922676100313</v>
      </c>
      <c r="J93">
        <f t="shared" si="44"/>
        <v>388.8120904384254</v>
      </c>
      <c r="K93">
        <f t="shared" si="44"/>
        <v>505.16398843609187</v>
      </c>
      <c r="L93">
        <f t="shared" si="15"/>
        <v>548.59937461210814</v>
      </c>
      <c r="M93">
        <f t="shared" si="17"/>
        <v>16.670625387891846</v>
      </c>
      <c r="N93">
        <f t="shared" si="18"/>
        <v>277.90975082342413</v>
      </c>
    </row>
    <row r="94" spans="1:14" x14ac:dyDescent="0.45">
      <c r="A94" s="23">
        <v>42291</v>
      </c>
      <c r="B94">
        <v>551.34</v>
      </c>
      <c r="C94">
        <v>544.83000000000004</v>
      </c>
      <c r="G94">
        <f t="shared" ref="G94:K94" si="45">SUMPRODUCT($B94:$B98,P$2:P$6)</f>
        <v>580.33899118224338</v>
      </c>
      <c r="H94">
        <f t="shared" si="45"/>
        <v>67.513212964948792</v>
      </c>
      <c r="I94">
        <f t="shared" si="45"/>
        <v>140.34386867387681</v>
      </c>
      <c r="J94">
        <f t="shared" si="45"/>
        <v>390.7141939719329</v>
      </c>
      <c r="K94">
        <f t="shared" si="45"/>
        <v>507.46315343573986</v>
      </c>
      <c r="L94">
        <f t="shared" si="15"/>
        <v>551.13437531159707</v>
      </c>
      <c r="M94">
        <f t="shared" si="17"/>
        <v>-3.3843753115970685</v>
      </c>
      <c r="N94">
        <f t="shared" si="18"/>
        <v>11.453996249747755</v>
      </c>
    </row>
    <row r="95" spans="1:14" x14ac:dyDescent="0.45">
      <c r="A95" s="23">
        <v>42290</v>
      </c>
      <c r="B95">
        <v>546.26</v>
      </c>
      <c r="C95">
        <v>548.9</v>
      </c>
      <c r="G95">
        <f t="shared" ref="G95:K95" si="46">SUMPRODUCT($B95:$B99,P$2:P$6)</f>
        <v>581.82230939486578</v>
      </c>
      <c r="H95">
        <f t="shared" si="46"/>
        <v>66.830271971948775</v>
      </c>
      <c r="I95">
        <f t="shared" si="46"/>
        <v>139.01567480652798</v>
      </c>
      <c r="J95">
        <f t="shared" si="46"/>
        <v>387.0200235268768</v>
      </c>
      <c r="K95">
        <f t="shared" si="46"/>
        <v>502.64000442550889</v>
      </c>
      <c r="L95">
        <f t="shared" si="15"/>
        <v>545.97472354772424</v>
      </c>
      <c r="M95">
        <f t="shared" si="17"/>
        <v>5.3652764522757934</v>
      </c>
      <c r="N95">
        <f t="shared" si="18"/>
        <v>28.786191409345125</v>
      </c>
    </row>
    <row r="96" spans="1:14" x14ac:dyDescent="0.45">
      <c r="A96" s="23">
        <v>42289</v>
      </c>
      <c r="B96">
        <v>539.96</v>
      </c>
      <c r="C96">
        <v>550.19000000000005</v>
      </c>
      <c r="G96">
        <f t="shared" ref="G96:K96" si="47">SUMPRODUCT($B96:$B100,P$2:P$6)</f>
        <v>586.10420151952655</v>
      </c>
      <c r="H96">
        <f t="shared" si="47"/>
        <v>66.227266163785828</v>
      </c>
      <c r="I96">
        <f t="shared" si="47"/>
        <v>137.43311516209297</v>
      </c>
      <c r="J96">
        <f t="shared" si="47"/>
        <v>382.61209067584093</v>
      </c>
      <c r="K96">
        <f t="shared" si="47"/>
        <v>496.93004560515891</v>
      </c>
      <c r="L96">
        <f t="shared" si="15"/>
        <v>539.84793268776752</v>
      </c>
      <c r="M96">
        <f t="shared" si="17"/>
        <v>6.4120673122324661</v>
      </c>
      <c r="N96">
        <f t="shared" si="18"/>
        <v>41.114607216600085</v>
      </c>
    </row>
    <row r="97" spans="1:14" x14ac:dyDescent="0.45">
      <c r="A97" s="23">
        <v>42286</v>
      </c>
      <c r="B97">
        <v>534.48</v>
      </c>
      <c r="C97">
        <v>539.79999999999995</v>
      </c>
      <c r="G97">
        <f t="shared" ref="G97:K97" si="48">SUMPRODUCT($B97:$B101,P$2:P$6)</f>
        <v>589.18646814011629</v>
      </c>
      <c r="H97">
        <f t="shared" si="48"/>
        <v>66.044724046074677</v>
      </c>
      <c r="I97">
        <f t="shared" si="48"/>
        <v>136.25030288801736</v>
      </c>
      <c r="J97">
        <f t="shared" si="48"/>
        <v>379.29796295483334</v>
      </c>
      <c r="K97">
        <f t="shared" si="48"/>
        <v>492.77754287703436</v>
      </c>
      <c r="L97">
        <f t="shared" si="15"/>
        <v>535.33429468878739</v>
      </c>
      <c r="M97">
        <f t="shared" si="17"/>
        <v>4.6257053112126414</v>
      </c>
      <c r="N97">
        <f t="shared" si="18"/>
        <v>21.397149626180841</v>
      </c>
    </row>
    <row r="98" spans="1:14" x14ac:dyDescent="0.45">
      <c r="A98" s="23">
        <v>42285</v>
      </c>
      <c r="B98">
        <v>536.71</v>
      </c>
      <c r="C98">
        <v>533.16</v>
      </c>
      <c r="G98">
        <f t="shared" ref="G98:K98" si="49">SUMPRODUCT($B98:$B102,P$2:P$6)</f>
        <v>581.05548202011528</v>
      </c>
      <c r="H98">
        <f t="shared" si="49"/>
        <v>66.46196709822658</v>
      </c>
      <c r="I98">
        <f t="shared" si="49"/>
        <v>136.89743544000058</v>
      </c>
      <c r="J98">
        <f t="shared" si="49"/>
        <v>381.09165210808931</v>
      </c>
      <c r="K98">
        <f t="shared" si="49"/>
        <v>495.16413885769708</v>
      </c>
      <c r="L98">
        <f t="shared" si="15"/>
        <v>537.86908311467482</v>
      </c>
      <c r="M98">
        <f t="shared" si="17"/>
        <v>-3.3890831146748042</v>
      </c>
      <c r="N98">
        <f t="shared" si="18"/>
        <v>11.485884358173871</v>
      </c>
    </row>
    <row r="99" spans="1:14" x14ac:dyDescent="0.45">
      <c r="A99" s="23">
        <v>42284</v>
      </c>
      <c r="B99">
        <v>541.79</v>
      </c>
      <c r="C99">
        <v>541.94000000000005</v>
      </c>
      <c r="G99">
        <f t="shared" ref="G99:K99" si="50">SUMPRODUCT($B99:$B103,P$2:P$6)</f>
        <v>559.07433621984296</v>
      </c>
      <c r="H99">
        <f t="shared" si="50"/>
        <v>66.809449537518489</v>
      </c>
      <c r="I99">
        <f t="shared" si="50"/>
        <v>138.15389561865376</v>
      </c>
      <c r="J99">
        <f t="shared" si="50"/>
        <v>384.59329465625774</v>
      </c>
      <c r="K99">
        <f t="shared" si="50"/>
        <v>499.68587268273535</v>
      </c>
      <c r="L99">
        <f t="shared" si="15"/>
        <v>542.72677922378648</v>
      </c>
      <c r="M99">
        <f t="shared" si="17"/>
        <v>-6.0167792237864433</v>
      </c>
      <c r="N99">
        <f t="shared" si="18"/>
        <v>36.201632227788195</v>
      </c>
    </row>
    <row r="100" spans="1:14" x14ac:dyDescent="0.45">
      <c r="A100" s="23">
        <v>42283</v>
      </c>
      <c r="B100">
        <v>545.5</v>
      </c>
      <c r="C100">
        <v>537.48</v>
      </c>
      <c r="G100">
        <f t="shared" ref="G100:K100" si="51">SUMPRODUCT($B100:$B104,P$2:P$6)</f>
        <v>556.14249381675518</v>
      </c>
      <c r="H100">
        <f t="shared" si="51"/>
        <v>66.3072531260527</v>
      </c>
      <c r="I100">
        <f t="shared" si="51"/>
        <v>138.76079876270848</v>
      </c>
      <c r="J100">
        <f t="shared" si="51"/>
        <v>386.31663144605727</v>
      </c>
      <c r="K100">
        <f t="shared" si="51"/>
        <v>501.68247984937187</v>
      </c>
      <c r="L100">
        <f t="shared" si="15"/>
        <v>544.96642608699244</v>
      </c>
      <c r="M100">
        <f t="shared" si="17"/>
        <v>-3.1764260869924783</v>
      </c>
      <c r="N100">
        <f t="shared" si="18"/>
        <v>10.089682686126347</v>
      </c>
    </row>
    <row r="101" spans="1:14" x14ac:dyDescent="0.45">
      <c r="A101" s="23">
        <v>42282</v>
      </c>
      <c r="B101">
        <v>536.99</v>
      </c>
      <c r="C101">
        <v>543.67999999999995</v>
      </c>
      <c r="G101">
        <f t="shared" ref="G101:K101" si="52">SUMPRODUCT($B101:$B105,P$2:P$6)</f>
        <v>549.54035152473216</v>
      </c>
      <c r="H101">
        <f t="shared" si="52"/>
        <v>64.721322556587154</v>
      </c>
      <c r="I101">
        <f t="shared" si="52"/>
        <v>136.16342639282016</v>
      </c>
      <c r="J101">
        <f t="shared" si="52"/>
        <v>379.12870519843295</v>
      </c>
      <c r="K101">
        <f t="shared" si="52"/>
        <v>492.03792689930981</v>
      </c>
      <c r="L101">
        <f t="shared" si="15"/>
        <v>534.75539539402848</v>
      </c>
      <c r="M101">
        <f t="shared" si="17"/>
        <v>10.744604605971517</v>
      </c>
      <c r="N101">
        <f t="shared" si="18"/>
        <v>115.44652813866435</v>
      </c>
    </row>
    <row r="102" spans="1:14" x14ac:dyDescent="0.45">
      <c r="A102" s="23">
        <v>42279</v>
      </c>
      <c r="B102">
        <v>512.99</v>
      </c>
      <c r="C102">
        <v>532.54</v>
      </c>
      <c r="G102">
        <f t="shared" ref="G102:K102" si="53">SUMPRODUCT($B102:$B106,P$2:P$6)</f>
        <v>548.83327750681588</v>
      </c>
      <c r="H102">
        <f t="shared" si="53"/>
        <v>62.980375036220437</v>
      </c>
      <c r="I102">
        <f t="shared" si="53"/>
        <v>130.65765555075134</v>
      </c>
      <c r="J102">
        <f t="shared" si="53"/>
        <v>363.74039164231806</v>
      </c>
      <c r="K102">
        <f t="shared" si="53"/>
        <v>472.48361193374177</v>
      </c>
      <c r="L102">
        <f t="shared" si="15"/>
        <v>513.61703441206896</v>
      </c>
      <c r="M102">
        <f t="shared" si="17"/>
        <v>23.372965587931049</v>
      </c>
      <c r="N102">
        <f t="shared" si="18"/>
        <v>546.29552037460894</v>
      </c>
    </row>
    <row r="103" spans="1:14" x14ac:dyDescent="0.45">
      <c r="A103" s="23">
        <v>42278</v>
      </c>
      <c r="B103">
        <v>511</v>
      </c>
      <c r="C103">
        <v>520.72</v>
      </c>
      <c r="G103">
        <f t="shared" ref="G103:K103" si="54">SUMPRODUCT($B103:$B107,P$2:P$6)</f>
        <v>562.12510862440115</v>
      </c>
      <c r="H103">
        <f t="shared" si="54"/>
        <v>62.628383215359648</v>
      </c>
      <c r="I103">
        <f t="shared" si="54"/>
        <v>130.05173789485409</v>
      </c>
      <c r="J103">
        <f t="shared" si="54"/>
        <v>362.0634311805523</v>
      </c>
      <c r="K103">
        <f t="shared" si="54"/>
        <v>470.23438248069698</v>
      </c>
      <c r="L103">
        <f t="shared" si="15"/>
        <v>511.23535187616648</v>
      </c>
      <c r="M103">
        <f t="shared" si="17"/>
        <v>1.7546481238335332</v>
      </c>
      <c r="N103">
        <f t="shared" si="18"/>
        <v>3.0787900384725382</v>
      </c>
    </row>
    <row r="104" spans="1:14" x14ac:dyDescent="0.45">
      <c r="A104" s="23">
        <v>42277</v>
      </c>
      <c r="B104">
        <v>505.44</v>
      </c>
      <c r="C104">
        <v>511.89</v>
      </c>
      <c r="G104">
        <f t="shared" ref="G104:K104" si="55">SUMPRODUCT($B104:$B108,P$2:P$6)</f>
        <v>582.65507939618317</v>
      </c>
      <c r="H104">
        <f t="shared" si="55"/>
        <v>62.516763327414829</v>
      </c>
      <c r="I104">
        <f t="shared" si="55"/>
        <v>128.8045128374861</v>
      </c>
      <c r="J104">
        <f t="shared" si="55"/>
        <v>358.57437727500638</v>
      </c>
      <c r="K104">
        <f t="shared" si="55"/>
        <v>465.82312187956876</v>
      </c>
      <c r="L104">
        <f t="shared" si="15"/>
        <v>506.45733753224317</v>
      </c>
      <c r="M104">
        <f t="shared" si="17"/>
        <v>4.542662467756827</v>
      </c>
      <c r="N104">
        <f t="shared" si="18"/>
        <v>20.635782295966546</v>
      </c>
    </row>
    <row r="105" spans="1:14" x14ac:dyDescent="0.45">
      <c r="A105" s="23">
        <v>42276</v>
      </c>
      <c r="B105">
        <v>506</v>
      </c>
      <c r="C105">
        <v>496.07</v>
      </c>
      <c r="G105">
        <f t="shared" ref="G105:K105" si="56">SUMPRODUCT($B105:$B109,P$2:P$6)</f>
        <v>573.18723280446602</v>
      </c>
      <c r="H105">
        <f t="shared" si="56"/>
        <v>63.503312386684087</v>
      </c>
      <c r="I105">
        <f t="shared" si="56"/>
        <v>129.31996384073705</v>
      </c>
      <c r="J105">
        <f t="shared" si="56"/>
        <v>359.97212082615715</v>
      </c>
      <c r="K105">
        <f t="shared" si="56"/>
        <v>467.90558428074831</v>
      </c>
      <c r="L105">
        <f t="shared" si="15"/>
        <v>508.57964949181758</v>
      </c>
      <c r="M105">
        <f t="shared" si="17"/>
        <v>-3.139649491817579</v>
      </c>
      <c r="N105">
        <f t="shared" si="18"/>
        <v>9.8573989314703816</v>
      </c>
    </row>
    <row r="106" spans="1:14" x14ac:dyDescent="0.45">
      <c r="A106" s="23">
        <v>42275</v>
      </c>
      <c r="B106">
        <v>520.02</v>
      </c>
      <c r="C106">
        <v>504.06</v>
      </c>
      <c r="G106">
        <f t="shared" ref="G106:K106" si="57">SUMPRODUCT($B106:$B110,P$2:P$6)</f>
        <v>581.65865094438516</v>
      </c>
      <c r="H106">
        <f t="shared" si="57"/>
        <v>65.160763460466853</v>
      </c>
      <c r="I106">
        <f t="shared" si="57"/>
        <v>133.12856277278217</v>
      </c>
      <c r="J106">
        <f t="shared" si="57"/>
        <v>370.55119588027031</v>
      </c>
      <c r="K106">
        <f t="shared" si="57"/>
        <v>481.81756705116595</v>
      </c>
      <c r="L106">
        <f t="shared" si="15"/>
        <v>523.42138199081296</v>
      </c>
      <c r="M106">
        <f t="shared" si="17"/>
        <v>-17.421381990812961</v>
      </c>
      <c r="N106">
        <f t="shared" si="18"/>
        <v>303.50455046982216</v>
      </c>
    </row>
    <row r="107" spans="1:14" x14ac:dyDescent="0.45">
      <c r="A107" s="23">
        <v>42272</v>
      </c>
      <c r="B107">
        <v>542.57000000000005</v>
      </c>
      <c r="C107">
        <v>524.25</v>
      </c>
      <c r="G107">
        <f t="shared" ref="G107:K107" si="58">SUMPRODUCT($B107:$B111,P$2:P$6)</f>
        <v>584.20555707772826</v>
      </c>
      <c r="H107">
        <f t="shared" si="58"/>
        <v>66.260277241393595</v>
      </c>
      <c r="I107">
        <f t="shared" si="58"/>
        <v>137.91703647948066</v>
      </c>
      <c r="J107">
        <f t="shared" si="58"/>
        <v>383.97736498046362</v>
      </c>
      <c r="K107">
        <f t="shared" si="58"/>
        <v>498.57403230300309</v>
      </c>
      <c r="L107">
        <f t="shared" si="15"/>
        <v>541.66333013460519</v>
      </c>
      <c r="M107">
        <f t="shared" si="17"/>
        <v>-21.643330134605208</v>
      </c>
      <c r="N107">
        <f t="shared" si="18"/>
        <v>468.43373931550985</v>
      </c>
    </row>
    <row r="108" spans="1:14" x14ac:dyDescent="0.45">
      <c r="A108" s="23">
        <v>42271</v>
      </c>
      <c r="B108">
        <v>530.54999999999995</v>
      </c>
      <c r="C108">
        <v>533.75</v>
      </c>
      <c r="G108">
        <f t="shared" ref="G108:K108" si="59">SUMPRODUCT($B108:$B112,P$2:P$6)</f>
        <v>587.79867106457482</v>
      </c>
      <c r="H108">
        <f t="shared" si="59"/>
        <v>65.820240411768822</v>
      </c>
      <c r="I108">
        <f t="shared" si="59"/>
        <v>135.40178885651599</v>
      </c>
      <c r="J108">
        <f t="shared" si="59"/>
        <v>376.92053298654912</v>
      </c>
      <c r="K108">
        <f t="shared" si="59"/>
        <v>489.79848521078208</v>
      </c>
      <c r="L108">
        <f t="shared" si="15"/>
        <v>532.09624349982653</v>
      </c>
      <c r="M108">
        <f t="shared" si="17"/>
        <v>10.473756500173522</v>
      </c>
      <c r="N108">
        <f t="shared" si="18"/>
        <v>109.6995752249271</v>
      </c>
    </row>
    <row r="109" spans="1:14" x14ac:dyDescent="0.45">
      <c r="A109" s="23">
        <v>42270</v>
      </c>
      <c r="B109">
        <v>538.29999999999995</v>
      </c>
      <c r="C109">
        <v>536.07000000000005</v>
      </c>
      <c r="G109">
        <f t="shared" ref="G109:K109" si="60">SUMPRODUCT($B109:$B113,P$2:P$6)</f>
        <v>579.28948598054876</v>
      </c>
      <c r="H109">
        <f t="shared" si="60"/>
        <v>66.460313013722185</v>
      </c>
      <c r="I109">
        <f t="shared" si="60"/>
        <v>137.20094222907574</v>
      </c>
      <c r="J109">
        <f t="shared" si="60"/>
        <v>381.94671926527474</v>
      </c>
      <c r="K109">
        <f t="shared" si="60"/>
        <v>496.20220627448305</v>
      </c>
      <c r="L109">
        <f t="shared" si="15"/>
        <v>539.01163791419333</v>
      </c>
      <c r="M109">
        <f t="shared" si="17"/>
        <v>-8.4616379141933749</v>
      </c>
      <c r="N109">
        <f t="shared" si="18"/>
        <v>71.599316190914806</v>
      </c>
    </row>
    <row r="110" spans="1:14" x14ac:dyDescent="0.45">
      <c r="A110" s="23">
        <v>42269</v>
      </c>
      <c r="B110">
        <v>539.71</v>
      </c>
      <c r="C110">
        <v>538.4</v>
      </c>
      <c r="G110">
        <f t="shared" ref="G110:K110" si="61">SUMPRODUCT($B110:$B114,P$2:P$6)</f>
        <v>572.0414660605652</v>
      </c>
      <c r="H110">
        <f t="shared" si="61"/>
        <v>66.586357230428533</v>
      </c>
      <c r="I110">
        <f t="shared" si="61"/>
        <v>137.64911079173169</v>
      </c>
      <c r="J110">
        <f t="shared" si="61"/>
        <v>383.18549194941971</v>
      </c>
      <c r="K110">
        <f t="shared" si="61"/>
        <v>497.87507592842115</v>
      </c>
      <c r="L110">
        <f t="shared" si="15"/>
        <v>540.77849361819835</v>
      </c>
      <c r="M110">
        <f t="shared" si="17"/>
        <v>-2.4784936181983994</v>
      </c>
      <c r="N110">
        <f t="shared" si="18"/>
        <v>6.1429306154501937</v>
      </c>
    </row>
    <row r="111" spans="1:14" x14ac:dyDescent="0.45">
      <c r="A111" s="23">
        <v>42268</v>
      </c>
      <c r="B111">
        <v>544.33000000000004</v>
      </c>
      <c r="C111">
        <v>548.39</v>
      </c>
      <c r="G111">
        <f t="shared" ref="G111:K111" si="62">SUMPRODUCT($B111:$B115,P$2:P$6)</f>
        <v>567.11376281237017</v>
      </c>
      <c r="H111">
        <f t="shared" si="62"/>
        <v>66.360105640109154</v>
      </c>
      <c r="I111">
        <f t="shared" si="62"/>
        <v>138.429453665393</v>
      </c>
      <c r="J111">
        <f t="shared" si="62"/>
        <v>385.39751017976153</v>
      </c>
      <c r="K111">
        <f t="shared" si="62"/>
        <v>500.4646846209576</v>
      </c>
      <c r="L111">
        <f t="shared" si="15"/>
        <v>543.67094756118604</v>
      </c>
      <c r="M111">
        <f t="shared" si="17"/>
        <v>-3.9609475611860034</v>
      </c>
      <c r="N111">
        <f t="shared" si="18"/>
        <v>15.689105582465348</v>
      </c>
    </row>
    <row r="112" spans="1:14" x14ac:dyDescent="0.45">
      <c r="A112" s="23">
        <v>42265</v>
      </c>
      <c r="B112">
        <v>534.62</v>
      </c>
      <c r="C112">
        <v>540.26</v>
      </c>
      <c r="G112">
        <f t="shared" ref="G112:K112" si="63">SUMPRODUCT($B112:$B116,P$2:P$6)</f>
        <v>567.44267545503192</v>
      </c>
      <c r="H112">
        <f t="shared" si="63"/>
        <v>65.326844001894813</v>
      </c>
      <c r="I112">
        <f t="shared" si="63"/>
        <v>136.01262588085331</v>
      </c>
      <c r="J112">
        <f t="shared" si="63"/>
        <v>378.66361161095841</v>
      </c>
      <c r="K112">
        <f t="shared" si="63"/>
        <v>491.75791524334261</v>
      </c>
      <c r="L112">
        <f t="shared" si="15"/>
        <v>534.32188995840625</v>
      </c>
      <c r="M112">
        <f t="shared" si="17"/>
        <v>10.008110041593795</v>
      </c>
      <c r="N112">
        <f t="shared" si="18"/>
        <v>100.16226660465055</v>
      </c>
    </row>
    <row r="113" spans="1:14" x14ac:dyDescent="0.45">
      <c r="A113" s="23">
        <v>42264</v>
      </c>
      <c r="B113">
        <v>526.98</v>
      </c>
      <c r="C113">
        <v>538.87</v>
      </c>
      <c r="G113">
        <f t="shared" ref="G113:K113" si="64">SUMPRODUCT($B113:$B117,P$2:P$6)</f>
        <v>572.27208050654167</v>
      </c>
      <c r="H113">
        <f t="shared" si="64"/>
        <v>64.64063019780329</v>
      </c>
      <c r="I113">
        <f t="shared" si="64"/>
        <v>134.1390269901498</v>
      </c>
      <c r="J113">
        <f t="shared" si="64"/>
        <v>373.44043486314399</v>
      </c>
      <c r="K113">
        <f t="shared" si="64"/>
        <v>485.02496496782459</v>
      </c>
      <c r="L113">
        <f t="shared" si="15"/>
        <v>527.08378590456664</v>
      </c>
      <c r="M113">
        <f t="shared" si="17"/>
        <v>7.5362140954333654</v>
      </c>
      <c r="N113">
        <f t="shared" si="18"/>
        <v>56.794522892208541</v>
      </c>
    </row>
    <row r="114" spans="1:14" x14ac:dyDescent="0.45">
      <c r="A114" s="23">
        <v>42263</v>
      </c>
      <c r="B114">
        <v>521.98</v>
      </c>
      <c r="C114">
        <v>527.39</v>
      </c>
      <c r="G114">
        <f t="shared" ref="G114:K114" si="65">SUMPRODUCT($B114:$B118,P$2:P$6)</f>
        <v>564.35338112908357</v>
      </c>
      <c r="H114">
        <f t="shared" si="65"/>
        <v>64.467609798693303</v>
      </c>
      <c r="I114">
        <f t="shared" si="65"/>
        <v>133.03863872545105</v>
      </c>
      <c r="J114">
        <f t="shared" si="65"/>
        <v>370.35975843242755</v>
      </c>
      <c r="K114">
        <f t="shared" si="65"/>
        <v>481.14719529493584</v>
      </c>
      <c r="L114">
        <f t="shared" si="15"/>
        <v>522.87635566025244</v>
      </c>
      <c r="M114">
        <f t="shared" si="17"/>
        <v>4.103644339747575</v>
      </c>
      <c r="N114">
        <f t="shared" si="18"/>
        <v>16.839896867142311</v>
      </c>
    </row>
    <row r="115" spans="1:14" x14ac:dyDescent="0.45">
      <c r="A115" s="23">
        <v>42262</v>
      </c>
      <c r="B115">
        <v>523.25</v>
      </c>
      <c r="C115">
        <v>522.37</v>
      </c>
      <c r="G115">
        <f t="shared" ref="G115:K115" si="66">SUMPRODUCT($B115:$B119,P$2:P$6)</f>
        <v>559.22364658542949</v>
      </c>
      <c r="H115">
        <f t="shared" si="66"/>
        <v>64.671590933184106</v>
      </c>
      <c r="I115">
        <f t="shared" si="66"/>
        <v>133.49849641991875</v>
      </c>
      <c r="J115">
        <f t="shared" si="66"/>
        <v>371.62632908032913</v>
      </c>
      <c r="K115">
        <f t="shared" si="66"/>
        <v>482.89006018442961</v>
      </c>
      <c r="L115">
        <f t="shared" si="15"/>
        <v>524.70429379584709</v>
      </c>
      <c r="M115">
        <f t="shared" si="17"/>
        <v>-2.7242937958470748</v>
      </c>
      <c r="N115">
        <f t="shared" si="18"/>
        <v>7.4217766860908627</v>
      </c>
    </row>
    <row r="116" spans="1:14" x14ac:dyDescent="0.45">
      <c r="A116" s="23">
        <v>42261</v>
      </c>
      <c r="B116">
        <v>529.44000000000005</v>
      </c>
      <c r="C116">
        <v>521.38</v>
      </c>
      <c r="G116">
        <f t="shared" ref="G116:K116" si="67">SUMPRODUCT($B116:$B120,P$2:P$6)</f>
        <v>566.71248318912592</v>
      </c>
      <c r="H116">
        <f t="shared" si="67"/>
        <v>64.631601065713099</v>
      </c>
      <c r="I116">
        <f t="shared" si="67"/>
        <v>134.67251263925465</v>
      </c>
      <c r="J116">
        <f t="shared" si="67"/>
        <v>374.93492738957508</v>
      </c>
      <c r="K116">
        <f t="shared" si="67"/>
        <v>486.89964171861965</v>
      </c>
      <c r="L116">
        <f t="shared" si="15"/>
        <v>529.12059334296066</v>
      </c>
      <c r="M116">
        <f t="shared" si="17"/>
        <v>-5.8705933429606603</v>
      </c>
      <c r="N116">
        <f t="shared" si="18"/>
        <v>34.463866198414017</v>
      </c>
    </row>
    <row r="117" spans="1:14" x14ac:dyDescent="0.45">
      <c r="A117" s="23">
        <v>42258</v>
      </c>
      <c r="B117">
        <v>521.07000000000005</v>
      </c>
      <c r="C117">
        <v>529.44000000000005</v>
      </c>
      <c r="G117">
        <f t="shared" ref="G117:K117" si="68">SUMPRODUCT($B117:$B121,P$2:P$6)</f>
        <v>551.85952827900883</v>
      </c>
      <c r="H117">
        <f t="shared" si="68"/>
        <v>63.982883154941845</v>
      </c>
      <c r="I117">
        <f t="shared" si="68"/>
        <v>132.60763651891915</v>
      </c>
      <c r="J117">
        <f t="shared" si="68"/>
        <v>369.17981075268813</v>
      </c>
      <c r="K117">
        <f t="shared" si="68"/>
        <v>479.47189213880739</v>
      </c>
      <c r="L117">
        <f t="shared" si="15"/>
        <v>521.13933300385463</v>
      </c>
      <c r="M117">
        <f t="shared" si="17"/>
        <v>8.3006669961454236</v>
      </c>
      <c r="N117">
        <f t="shared" si="18"/>
        <v>68.901072580897889</v>
      </c>
    </row>
    <row r="118" spans="1:14" x14ac:dyDescent="0.45">
      <c r="A118" s="23">
        <v>42257</v>
      </c>
      <c r="B118">
        <v>515.15</v>
      </c>
      <c r="C118">
        <v>522.24</v>
      </c>
      <c r="G118">
        <f t="shared" ref="G118:K118" si="69">SUMPRODUCT($B118:$B122,P$2:P$6)</f>
        <v>541.72501806559785</v>
      </c>
      <c r="H118">
        <f t="shared" si="69"/>
        <v>63.714780044204389</v>
      </c>
      <c r="I118">
        <f t="shared" si="69"/>
        <v>131.50823287419527</v>
      </c>
      <c r="J118">
        <f t="shared" si="69"/>
        <v>366.07832815269359</v>
      </c>
      <c r="K118">
        <f t="shared" si="69"/>
        <v>475.73555199795453</v>
      </c>
      <c r="L118">
        <f t="shared" si="15"/>
        <v>517.01418121640063</v>
      </c>
      <c r="M118">
        <f t="shared" si="17"/>
        <v>4.0558187835994204</v>
      </c>
      <c r="N118">
        <f t="shared" si="18"/>
        <v>16.449666005397884</v>
      </c>
    </row>
    <row r="119" spans="1:14" x14ac:dyDescent="0.45">
      <c r="A119" s="23">
        <v>42256</v>
      </c>
      <c r="B119">
        <v>524</v>
      </c>
      <c r="C119">
        <v>516.89</v>
      </c>
      <c r="G119">
        <f t="shared" ref="G119:K119" si="70">SUMPRODUCT($B119:$B123,P$2:P$6)</f>
        <v>556.46843602395825</v>
      </c>
      <c r="H119">
        <f t="shared" si="70"/>
        <v>63.476688189803767</v>
      </c>
      <c r="I119">
        <f t="shared" si="70"/>
        <v>133.09417249414105</v>
      </c>
      <c r="J119">
        <f t="shared" si="70"/>
        <v>370.56021077416909</v>
      </c>
      <c r="K119">
        <f t="shared" si="70"/>
        <v>481.07908258518165</v>
      </c>
      <c r="L119">
        <f t="shared" si="15"/>
        <v>522.93851787172639</v>
      </c>
      <c r="M119">
        <f t="shared" si="17"/>
        <v>-7.7885178717264125</v>
      </c>
      <c r="N119">
        <f t="shared" si="18"/>
        <v>60.661010638201724</v>
      </c>
    </row>
    <row r="120" spans="1:14" x14ac:dyDescent="0.45">
      <c r="A120" s="23">
        <v>42255</v>
      </c>
      <c r="B120">
        <v>508.69</v>
      </c>
      <c r="C120">
        <v>517.54</v>
      </c>
      <c r="G120">
        <f t="shared" ref="G120:K120" si="71">SUMPRODUCT($B120:$B124,P$2:P$6)</f>
        <v>546.86623389478677</v>
      </c>
      <c r="H120">
        <f t="shared" si="71"/>
        <v>62.292075452386371</v>
      </c>
      <c r="I120">
        <f t="shared" si="71"/>
        <v>129.31135631742535</v>
      </c>
      <c r="J120">
        <f t="shared" si="71"/>
        <v>360.01751463156529</v>
      </c>
      <c r="K120">
        <f t="shared" si="71"/>
        <v>467.46799704687601</v>
      </c>
      <c r="L120">
        <f t="shared" si="15"/>
        <v>508.3149358934707</v>
      </c>
      <c r="M120">
        <f t="shared" si="17"/>
        <v>15.685064106529296</v>
      </c>
      <c r="N120">
        <f t="shared" si="18"/>
        <v>246.02123602593366</v>
      </c>
    </row>
    <row r="121" spans="1:14" x14ac:dyDescent="0.45">
      <c r="A121" s="23">
        <v>42251</v>
      </c>
      <c r="B121">
        <v>497.65</v>
      </c>
      <c r="C121">
        <v>499</v>
      </c>
      <c r="G121">
        <f t="shared" ref="G121:K121" si="72">SUMPRODUCT($B121:$B125,P$2:P$6)</f>
        <v>541.64165279012718</v>
      </c>
      <c r="H121">
        <f t="shared" si="72"/>
        <v>62.118149129530515</v>
      </c>
      <c r="I121">
        <f t="shared" si="72"/>
        <v>127.2706981176474</v>
      </c>
      <c r="J121">
        <f t="shared" si="72"/>
        <v>354.25939879032131</v>
      </c>
      <c r="K121">
        <f t="shared" si="72"/>
        <v>460.54048758009787</v>
      </c>
      <c r="L121">
        <f t="shared" si="15"/>
        <v>500.66242414818151</v>
      </c>
      <c r="M121">
        <f t="shared" si="17"/>
        <v>8.027575851818483</v>
      </c>
      <c r="N121">
        <f t="shared" si="18"/>
        <v>64.441974056699237</v>
      </c>
    </row>
    <row r="122" spans="1:14" x14ac:dyDescent="0.45">
      <c r="A122" s="23">
        <v>42250</v>
      </c>
      <c r="B122">
        <v>514.5</v>
      </c>
      <c r="C122">
        <v>504.72</v>
      </c>
      <c r="G122">
        <f t="shared" ref="G122:K122" si="73">SUMPRODUCT($B122:$B126,P$2:P$6)</f>
        <v>557.99957845382357</v>
      </c>
      <c r="H122">
        <f t="shared" si="73"/>
        <v>62.730756568800288</v>
      </c>
      <c r="I122">
        <f t="shared" si="73"/>
        <v>130.8369241191682</v>
      </c>
      <c r="J122">
        <f t="shared" si="73"/>
        <v>364.2599668388533</v>
      </c>
      <c r="K122">
        <f t="shared" si="73"/>
        <v>473.01154819566455</v>
      </c>
      <c r="L122">
        <f t="shared" si="15"/>
        <v>514.24338767135623</v>
      </c>
      <c r="M122">
        <f t="shared" si="17"/>
        <v>-16.593387671356254</v>
      </c>
      <c r="N122">
        <f t="shared" si="18"/>
        <v>275.34051441191775</v>
      </c>
    </row>
    <row r="123" spans="1:14" x14ac:dyDescent="0.45">
      <c r="A123" s="23">
        <v>42249</v>
      </c>
      <c r="B123">
        <v>505.09</v>
      </c>
      <c r="C123">
        <v>510.55</v>
      </c>
      <c r="G123">
        <f t="shared" ref="G123:K123" si="74">SUMPRODUCT($B123:$B127,P$2:P$6)</f>
        <v>558.65455296956929</v>
      </c>
      <c r="H123">
        <f t="shared" si="74"/>
        <v>62.15044733906273</v>
      </c>
      <c r="I123">
        <f t="shared" si="74"/>
        <v>128.53502950138889</v>
      </c>
      <c r="J123">
        <f t="shared" si="74"/>
        <v>357.84221026898848</v>
      </c>
      <c r="K123">
        <f t="shared" si="74"/>
        <v>464.74298920695082</v>
      </c>
      <c r="L123">
        <f t="shared" si="15"/>
        <v>505.35269238267193</v>
      </c>
      <c r="M123">
        <f t="shared" si="17"/>
        <v>9.1473076173280674</v>
      </c>
      <c r="N123">
        <f t="shared" si="18"/>
        <v>83.673236646028087</v>
      </c>
    </row>
    <row r="124" spans="1:14" x14ac:dyDescent="0.45">
      <c r="A124" s="23">
        <v>42248</v>
      </c>
      <c r="B124">
        <v>499.14</v>
      </c>
      <c r="C124">
        <v>496.54</v>
      </c>
      <c r="G124">
        <f t="shared" ref="G124:K124" si="75">SUMPRODUCT($B124:$B128,P$2:P$6)</f>
        <v>554.59858200697977</v>
      </c>
      <c r="H124">
        <f t="shared" si="75"/>
        <v>62.498188923483461</v>
      </c>
      <c r="I124">
        <f t="shared" si="75"/>
        <v>127.66281420012371</v>
      </c>
      <c r="J124">
        <f t="shared" si="75"/>
        <v>355.34978473151045</v>
      </c>
      <c r="K124">
        <f t="shared" si="75"/>
        <v>461.96587724773912</v>
      </c>
      <c r="L124">
        <f t="shared" si="15"/>
        <v>502.1865347426658</v>
      </c>
      <c r="M124">
        <f t="shared" si="17"/>
        <v>2.9034652573341759</v>
      </c>
      <c r="N124">
        <f t="shared" si="18"/>
        <v>8.430110500546613</v>
      </c>
    </row>
    <row r="125" spans="1:14" x14ac:dyDescent="0.45">
      <c r="A125" s="23">
        <v>42247</v>
      </c>
      <c r="B125">
        <v>516.44000000000005</v>
      </c>
      <c r="C125">
        <v>512.89</v>
      </c>
      <c r="G125">
        <f t="shared" ref="G125:K125" si="76">SUMPRODUCT($B125:$B129,P$2:P$6)</f>
        <v>528.32424160504752</v>
      </c>
      <c r="H125">
        <f t="shared" si="76"/>
        <v>63.610586087210507</v>
      </c>
      <c r="I125">
        <f t="shared" si="76"/>
        <v>131.62118195302168</v>
      </c>
      <c r="J125">
        <f t="shared" si="76"/>
        <v>366.41435395492357</v>
      </c>
      <c r="K125">
        <f t="shared" si="76"/>
        <v>476.01770112793349</v>
      </c>
      <c r="L125">
        <f t="shared" si="15"/>
        <v>517.38011057141068</v>
      </c>
      <c r="M125">
        <f t="shared" si="17"/>
        <v>-18.240110571410696</v>
      </c>
      <c r="N125">
        <f t="shared" si="18"/>
        <v>332.70163365728826</v>
      </c>
    </row>
    <row r="126" spans="1:14" x14ac:dyDescent="0.45">
      <c r="A126" s="23">
        <v>42244</v>
      </c>
      <c r="B126">
        <v>517.5</v>
      </c>
      <c r="C126">
        <v>518.01</v>
      </c>
      <c r="G126">
        <f t="shared" ref="G126:K126" si="77">SUMPRODUCT($B126:$B130,P$2:P$6)</f>
        <v>529.67353042408593</v>
      </c>
      <c r="H126">
        <f t="shared" si="77"/>
        <v>63.038845857198559</v>
      </c>
      <c r="I126">
        <f t="shared" si="77"/>
        <v>131.75695225577482</v>
      </c>
      <c r="J126">
        <f t="shared" si="77"/>
        <v>366.80573365256589</v>
      </c>
      <c r="K126">
        <f t="shared" si="77"/>
        <v>476.4300545042156</v>
      </c>
      <c r="L126">
        <f t="shared" si="15"/>
        <v>517.86161368538967</v>
      </c>
      <c r="M126">
        <f t="shared" si="17"/>
        <v>-1.421613685389616</v>
      </c>
      <c r="N126">
        <f t="shared" si="18"/>
        <v>2.0209854704870458</v>
      </c>
    </row>
    <row r="127" spans="1:14" x14ac:dyDescent="0.45">
      <c r="A127" s="23">
        <v>42243</v>
      </c>
      <c r="B127">
        <v>513.71</v>
      </c>
      <c r="C127">
        <v>518.37</v>
      </c>
      <c r="G127">
        <f t="shared" ref="G127:K127" si="78">SUMPRODUCT($B127:$B131,P$2:P$6)</f>
        <v>507.79567466226786</v>
      </c>
      <c r="H127">
        <f t="shared" si="78"/>
        <v>61.613605975717391</v>
      </c>
      <c r="I127">
        <f t="shared" si="78"/>
        <v>130.0739733097804</v>
      </c>
      <c r="J127">
        <f t="shared" si="78"/>
        <v>362.19214728377739</v>
      </c>
      <c r="K127">
        <f t="shared" si="78"/>
        <v>469.92345521164509</v>
      </c>
      <c r="L127">
        <f t="shared" si="15"/>
        <v>511.09881584719597</v>
      </c>
      <c r="M127">
        <f t="shared" si="17"/>
        <v>6.401184152804035</v>
      </c>
      <c r="N127">
        <f t="shared" si="18"/>
        <v>40.975158558109513</v>
      </c>
    </row>
    <row r="128" spans="1:14" x14ac:dyDescent="0.45">
      <c r="A128" s="23">
        <v>42242</v>
      </c>
      <c r="B128">
        <v>484.02</v>
      </c>
      <c r="C128">
        <v>500.77</v>
      </c>
      <c r="G128">
        <f t="shared" ref="G128:K128" si="79">SUMPRODUCT($B128:$B132,P$2:P$6)</f>
        <v>546.38940555915735</v>
      </c>
      <c r="H128">
        <f t="shared" si="79"/>
        <v>59.429161508712404</v>
      </c>
      <c r="I128">
        <f t="shared" si="79"/>
        <v>123.42716663423802</v>
      </c>
      <c r="J128">
        <f t="shared" si="79"/>
        <v>343.59642142392823</v>
      </c>
      <c r="K128">
        <f t="shared" si="79"/>
        <v>446.42345982574307</v>
      </c>
      <c r="L128">
        <f t="shared" si="15"/>
        <v>485.64044229833092</v>
      </c>
      <c r="M128">
        <f t="shared" si="17"/>
        <v>28.069557701669112</v>
      </c>
      <c r="N128">
        <f t="shared" si="18"/>
        <v>787.9000695673318</v>
      </c>
    </row>
    <row r="129" spans="1:14" x14ac:dyDescent="0.45">
      <c r="A129" s="23">
        <v>42241</v>
      </c>
      <c r="B129">
        <v>487.49</v>
      </c>
      <c r="C129">
        <v>466.37</v>
      </c>
      <c r="G129">
        <f t="shared" ref="G129:K129" si="80">SUMPRODUCT($B129:$B133,P$2:P$6)</f>
        <v>568.41401056773259</v>
      </c>
      <c r="H129">
        <f t="shared" si="80"/>
        <v>59.374773484704782</v>
      </c>
      <c r="I129">
        <f t="shared" si="80"/>
        <v>123.55308756340939</v>
      </c>
      <c r="J129">
        <f t="shared" si="80"/>
        <v>344.02271762814405</v>
      </c>
      <c r="K129">
        <f t="shared" si="80"/>
        <v>446.4346413370165</v>
      </c>
      <c r="L129">
        <f t="shared" si="15"/>
        <v>485.87568228334447</v>
      </c>
      <c r="M129">
        <f t="shared" si="17"/>
        <v>-1.8556822833444926</v>
      </c>
      <c r="N129">
        <f t="shared" si="18"/>
        <v>3.4435567367186297</v>
      </c>
    </row>
    <row r="130" spans="1:14" x14ac:dyDescent="0.45">
      <c r="A130" s="23">
        <v>42240</v>
      </c>
      <c r="B130">
        <v>463.58</v>
      </c>
      <c r="C130">
        <v>463.37</v>
      </c>
      <c r="G130">
        <f t="shared" ref="G130:K130" si="81">SUMPRODUCT($B130:$B134,P$2:P$6)</f>
        <v>572.63658206768787</v>
      </c>
      <c r="H130">
        <f t="shared" si="81"/>
        <v>60.007829726738848</v>
      </c>
      <c r="I130">
        <f t="shared" si="81"/>
        <v>119.33530817520575</v>
      </c>
      <c r="J130">
        <f t="shared" si="81"/>
        <v>332.09369356478101</v>
      </c>
      <c r="K130">
        <f t="shared" si="81"/>
        <v>432.27933988478964</v>
      </c>
      <c r="L130">
        <f t="shared" ref="L130:L193" si="82">(G130+$P$7)*$U$2+(H130+$Q$7)*$U$3+(I130+$R$7)*$U$4+(J130+$S$7)*$U$5+(K130+$T$7)*$U$6+$U$7</f>
        <v>470.15171698488933</v>
      </c>
      <c r="M130">
        <f t="shared" si="17"/>
        <v>17.338283015110676</v>
      </c>
      <c r="N130">
        <f t="shared" si="18"/>
        <v>300.61605791207535</v>
      </c>
    </row>
    <row r="131" spans="1:14" x14ac:dyDescent="0.45">
      <c r="A131" s="23">
        <v>42237</v>
      </c>
      <c r="B131">
        <v>507.36</v>
      </c>
      <c r="C131">
        <v>494.47</v>
      </c>
      <c r="G131">
        <f t="shared" ref="G131:K131" si="83">SUMPRODUCT($B131:$B135,P$2:P$6)</f>
        <v>577.28472081356074</v>
      </c>
      <c r="H131">
        <f t="shared" si="83"/>
        <v>63.879439664419202</v>
      </c>
      <c r="I131">
        <f t="shared" si="83"/>
        <v>129.9160206178606</v>
      </c>
      <c r="J131">
        <f t="shared" si="83"/>
        <v>361.60654474684407</v>
      </c>
      <c r="K131">
        <f t="shared" si="83"/>
        <v>470.20736324259309</v>
      </c>
      <c r="L131">
        <f t="shared" si="82"/>
        <v>510.97330126632363</v>
      </c>
      <c r="M131">
        <f t="shared" ref="M131:M194" si="84">B130-L131</f>
        <v>-47.393301266323647</v>
      </c>
      <c r="N131">
        <f t="shared" ref="N131:N194" si="85">M131^2</f>
        <v>2246.1250049205146</v>
      </c>
    </row>
    <row r="132" spans="1:14" x14ac:dyDescent="0.45">
      <c r="A132" s="23">
        <v>42236</v>
      </c>
      <c r="B132">
        <v>530.39</v>
      </c>
      <c r="C132">
        <v>515.78</v>
      </c>
      <c r="G132">
        <f t="shared" ref="G132:K132" si="86">SUMPRODUCT($B132:$B136,P$2:P$6)</f>
        <v>575.25825961071178</v>
      </c>
      <c r="H132">
        <f t="shared" si="86"/>
        <v>65.544195259342018</v>
      </c>
      <c r="I132">
        <f t="shared" si="86"/>
        <v>135.23916009940308</v>
      </c>
      <c r="J132">
        <f t="shared" si="86"/>
        <v>376.47997871369159</v>
      </c>
      <c r="K132">
        <f t="shared" si="86"/>
        <v>489.13899011113193</v>
      </c>
      <c r="L132">
        <f t="shared" si="82"/>
        <v>531.42524800517253</v>
      </c>
      <c r="M132">
        <f t="shared" si="84"/>
        <v>-24.065248005172521</v>
      </c>
      <c r="N132">
        <f t="shared" si="85"/>
        <v>579.13616155045997</v>
      </c>
    </row>
    <row r="133" spans="1:14" x14ac:dyDescent="0.45">
      <c r="A133" s="23">
        <v>42235</v>
      </c>
      <c r="B133">
        <v>533.74</v>
      </c>
      <c r="C133">
        <v>532.91999999999996</v>
      </c>
      <c r="G133">
        <f t="shared" ref="G133:K133" si="87">SUMPRODUCT($B133:$B137,P$2:P$6)</f>
        <v>572.55465167512136</v>
      </c>
      <c r="H133">
        <f t="shared" si="87"/>
        <v>65.755998270821891</v>
      </c>
      <c r="I133">
        <f t="shared" si="87"/>
        <v>136.03598288599881</v>
      </c>
      <c r="J133">
        <f t="shared" si="87"/>
        <v>378.70391007754512</v>
      </c>
      <c r="K133">
        <f t="shared" si="87"/>
        <v>491.98741004750065</v>
      </c>
      <c r="L133">
        <f t="shared" si="82"/>
        <v>534.49498312996889</v>
      </c>
      <c r="M133">
        <f t="shared" si="84"/>
        <v>-4.1049831299689004</v>
      </c>
      <c r="N133">
        <f t="shared" si="85"/>
        <v>16.85088649732927</v>
      </c>
    </row>
    <row r="134" spans="1:14" x14ac:dyDescent="0.45">
      <c r="A134" s="23">
        <v>42234</v>
      </c>
      <c r="B134">
        <v>535.04</v>
      </c>
      <c r="C134">
        <v>535.02</v>
      </c>
      <c r="G134">
        <f t="shared" ref="G134:K134" si="88">SUMPRODUCT($B134:$B138,P$2:P$6)</f>
        <v>571.45705796515142</v>
      </c>
      <c r="H134">
        <f t="shared" si="88"/>
        <v>65.635532697536917</v>
      </c>
      <c r="I134">
        <f t="shared" si="88"/>
        <v>136.22737320707736</v>
      </c>
      <c r="J134">
        <f t="shared" si="88"/>
        <v>379.25068876486188</v>
      </c>
      <c r="K134">
        <f t="shared" si="88"/>
        <v>492.59764574147789</v>
      </c>
      <c r="L134">
        <f t="shared" si="82"/>
        <v>535.19022470197865</v>
      </c>
      <c r="M134">
        <f t="shared" si="84"/>
        <v>-1.450224701978641</v>
      </c>
      <c r="N134">
        <f t="shared" si="85"/>
        <v>2.103151686229038</v>
      </c>
    </row>
    <row r="135" spans="1:14" x14ac:dyDescent="0.45">
      <c r="A135" s="23">
        <v>42233</v>
      </c>
      <c r="B135">
        <v>531.29</v>
      </c>
      <c r="C135">
        <v>535.22</v>
      </c>
      <c r="G135">
        <f t="shared" ref="G135:K135" si="89">SUMPRODUCT($B135:$B139,P$2:P$6)</f>
        <v>567.75666756279634</v>
      </c>
      <c r="H135">
        <f t="shared" si="89"/>
        <v>65.249882765283161</v>
      </c>
      <c r="I135">
        <f t="shared" si="89"/>
        <v>135.29151591534944</v>
      </c>
      <c r="J135">
        <f t="shared" si="89"/>
        <v>376.64341172933422</v>
      </c>
      <c r="K135">
        <f t="shared" si="89"/>
        <v>489.22468523318901</v>
      </c>
      <c r="L135">
        <f t="shared" si="82"/>
        <v>531.56919418938037</v>
      </c>
      <c r="M135">
        <f t="shared" si="84"/>
        <v>3.4708058106195949</v>
      </c>
      <c r="N135">
        <f t="shared" si="85"/>
        <v>12.046492975030743</v>
      </c>
    </row>
    <row r="136" spans="1:14" x14ac:dyDescent="0.45">
      <c r="A136" s="23">
        <v>42230</v>
      </c>
      <c r="B136">
        <v>528.25</v>
      </c>
      <c r="C136">
        <v>531.52</v>
      </c>
      <c r="G136">
        <f t="shared" ref="G136:K136" si="90">SUMPRODUCT($B136:$B140,P$2:P$6)</f>
        <v>567.48485351881186</v>
      </c>
      <c r="H136">
        <f t="shared" si="90"/>
        <v>64.955784223634893</v>
      </c>
      <c r="I136">
        <f t="shared" si="90"/>
        <v>134.57672920260549</v>
      </c>
      <c r="J136">
        <f t="shared" si="90"/>
        <v>374.64754825175805</v>
      </c>
      <c r="K136">
        <f t="shared" si="90"/>
        <v>486.6747286418148</v>
      </c>
      <c r="L136">
        <f t="shared" si="82"/>
        <v>528.81846138463141</v>
      </c>
      <c r="M136">
        <f t="shared" si="84"/>
        <v>2.4715386153685586</v>
      </c>
      <c r="N136">
        <f t="shared" si="85"/>
        <v>6.108503127257932</v>
      </c>
    </row>
    <row r="137" spans="1:14" x14ac:dyDescent="0.45">
      <c r="A137" s="23">
        <v>42229</v>
      </c>
      <c r="B137">
        <v>527.37</v>
      </c>
      <c r="C137">
        <v>529.66</v>
      </c>
      <c r="G137">
        <f t="shared" ref="G137:K137" si="91">SUMPRODUCT($B137:$B141,P$2:P$6)</f>
        <v>571.7873336927114</v>
      </c>
      <c r="H137">
        <f t="shared" si="91"/>
        <v>64.746194993096509</v>
      </c>
      <c r="I137">
        <f t="shared" si="91"/>
        <v>134.27662101409308</v>
      </c>
      <c r="J137">
        <f t="shared" si="91"/>
        <v>373.81965682324227</v>
      </c>
      <c r="K137">
        <f t="shared" si="91"/>
        <v>485.54494569962117</v>
      </c>
      <c r="L137">
        <f t="shared" si="82"/>
        <v>527.62986608751407</v>
      </c>
      <c r="M137">
        <f t="shared" si="84"/>
        <v>0.62013391248592598</v>
      </c>
      <c r="N137">
        <f t="shared" si="85"/>
        <v>0.38456606941510207</v>
      </c>
    </row>
    <row r="138" spans="1:14" x14ac:dyDescent="0.45">
      <c r="A138" s="23">
        <v>42228</v>
      </c>
      <c r="B138">
        <v>523.75</v>
      </c>
      <c r="C138">
        <v>525.91</v>
      </c>
      <c r="G138">
        <f t="shared" ref="G138:K138" si="92">SUMPRODUCT($B138:$B142,P$2:P$6)</f>
        <v>572.64530707944971</v>
      </c>
      <c r="H138">
        <f t="shared" si="92"/>
        <v>64.58487458742745</v>
      </c>
      <c r="I138">
        <f t="shared" si="92"/>
        <v>133.45171331424643</v>
      </c>
      <c r="J138">
        <f t="shared" si="92"/>
        <v>371.51346877856327</v>
      </c>
      <c r="K138">
        <f t="shared" si="92"/>
        <v>482.61879692247277</v>
      </c>
      <c r="L138">
        <f t="shared" si="82"/>
        <v>524.46483441585679</v>
      </c>
      <c r="M138">
        <f t="shared" si="84"/>
        <v>2.9051655841432193</v>
      </c>
      <c r="N138">
        <f t="shared" si="85"/>
        <v>8.4399870712902132</v>
      </c>
    </row>
    <row r="139" spans="1:14" x14ac:dyDescent="0.45">
      <c r="A139" s="23">
        <v>42227</v>
      </c>
      <c r="B139">
        <v>523.65</v>
      </c>
      <c r="C139">
        <v>527.46</v>
      </c>
      <c r="G139">
        <f t="shared" ref="G139:K139" si="93">SUMPRODUCT($B139:$B143,P$2:P$6)</f>
        <v>582.16268922010886</v>
      </c>
      <c r="H139">
        <f t="shared" si="93"/>
        <v>64.791203267750589</v>
      </c>
      <c r="I139">
        <f t="shared" si="93"/>
        <v>133.56387510583551</v>
      </c>
      <c r="J139">
        <f t="shared" si="93"/>
        <v>371.81195801770525</v>
      </c>
      <c r="K139">
        <f t="shared" si="93"/>
        <v>483.10503921480051</v>
      </c>
      <c r="L139">
        <f t="shared" si="82"/>
        <v>524.94548274723411</v>
      </c>
      <c r="M139">
        <f t="shared" si="84"/>
        <v>-1.1954827472341094</v>
      </c>
      <c r="N139">
        <f t="shared" si="85"/>
        <v>1.4291789989344135</v>
      </c>
    </row>
    <row r="140" spans="1:14" x14ac:dyDescent="0.45">
      <c r="A140" s="23">
        <v>42226</v>
      </c>
      <c r="B140">
        <v>528.52</v>
      </c>
      <c r="C140">
        <v>524</v>
      </c>
      <c r="G140">
        <f t="shared" ref="G140:K140" si="94">SUMPRODUCT($B140:$B144,P$2:P$6)</f>
        <v>582.06546775740878</v>
      </c>
      <c r="H140">
        <f t="shared" si="94"/>
        <v>65.301025407345662</v>
      </c>
      <c r="I140">
        <f t="shared" si="94"/>
        <v>134.68762694270663</v>
      </c>
      <c r="J140">
        <f t="shared" si="94"/>
        <v>374.95206729350025</v>
      </c>
      <c r="K140">
        <f t="shared" si="94"/>
        <v>487.10042327553896</v>
      </c>
      <c r="L140">
        <f t="shared" si="82"/>
        <v>529.26234797841107</v>
      </c>
      <c r="M140">
        <f t="shared" si="84"/>
        <v>-5.6123479784110941</v>
      </c>
      <c r="N140">
        <f t="shared" si="85"/>
        <v>31.498449830775094</v>
      </c>
    </row>
    <row r="141" spans="1:14" x14ac:dyDescent="0.45">
      <c r="A141" s="23">
        <v>42223</v>
      </c>
      <c r="B141">
        <v>529.16</v>
      </c>
      <c r="C141">
        <v>522.62</v>
      </c>
      <c r="G141">
        <f t="shared" ref="G141:K141" si="95">SUMPRODUCT($B141:$B145,P$2:P$6)</f>
        <v>574.35066278341048</v>
      </c>
      <c r="H141">
        <f t="shared" si="95"/>
        <v>65.756196271277517</v>
      </c>
      <c r="I141">
        <f t="shared" si="95"/>
        <v>135.11379471714474</v>
      </c>
      <c r="J141">
        <f t="shared" si="95"/>
        <v>376.11219026256305</v>
      </c>
      <c r="K141">
        <f t="shared" si="95"/>
        <v>488.79575386716635</v>
      </c>
      <c r="L141">
        <f t="shared" si="82"/>
        <v>531.00199832412818</v>
      </c>
      <c r="M141">
        <f t="shared" si="84"/>
        <v>-2.4819983241281989</v>
      </c>
      <c r="N141">
        <f t="shared" si="85"/>
        <v>6.160315680975188</v>
      </c>
    </row>
    <row r="142" spans="1:14" x14ac:dyDescent="0.45">
      <c r="A142" s="23">
        <v>42222</v>
      </c>
      <c r="B142">
        <v>539.29999999999995</v>
      </c>
      <c r="C142">
        <v>529.46</v>
      </c>
      <c r="G142">
        <f t="shared" ref="G142:K142" si="96">SUMPRODUCT($B142:$B146,P$2:P$6)</f>
        <v>581.80480358027626</v>
      </c>
      <c r="H142">
        <f t="shared" si="96"/>
        <v>66.249426741414567</v>
      </c>
      <c r="I142">
        <f t="shared" si="96"/>
        <v>137.40285636146243</v>
      </c>
      <c r="J142">
        <f t="shared" si="96"/>
        <v>382.5140826447265</v>
      </c>
      <c r="K142">
        <f t="shared" si="96"/>
        <v>496.90141721234784</v>
      </c>
      <c r="L142">
        <f t="shared" si="82"/>
        <v>539.77664121423766</v>
      </c>
      <c r="M142">
        <f t="shared" si="84"/>
        <v>-10.616641214237688</v>
      </c>
      <c r="N142">
        <f t="shared" si="85"/>
        <v>112.7130706718503</v>
      </c>
    </row>
    <row r="143" spans="1:14" x14ac:dyDescent="0.45">
      <c r="A143" s="23">
        <v>42221</v>
      </c>
      <c r="B143">
        <v>538.79999999999995</v>
      </c>
      <c r="C143">
        <v>537.01</v>
      </c>
      <c r="G143">
        <f t="shared" ref="G143:K143" si="97">SUMPRODUCT($B143:$B147,P$2:P$6)</f>
        <v>582.82587011160911</v>
      </c>
      <c r="H143">
        <f t="shared" si="97"/>
        <v>65.964429242564876</v>
      </c>
      <c r="I143">
        <f t="shared" si="97"/>
        <v>137.0370054397826</v>
      </c>
      <c r="J143">
        <f t="shared" si="97"/>
        <v>381.51942849558992</v>
      </c>
      <c r="K143">
        <f t="shared" si="97"/>
        <v>495.43867033555131</v>
      </c>
      <c r="L143">
        <f t="shared" si="82"/>
        <v>538.27902691199529</v>
      </c>
      <c r="M143">
        <f t="shared" si="84"/>
        <v>1.0209730880046664</v>
      </c>
      <c r="N143">
        <f t="shared" si="85"/>
        <v>1.0423860464297843</v>
      </c>
    </row>
    <row r="144" spans="1:14" x14ac:dyDescent="0.45">
      <c r="A144" s="23">
        <v>42220</v>
      </c>
      <c r="B144">
        <v>529.69000000000005</v>
      </c>
      <c r="C144">
        <v>531.9</v>
      </c>
      <c r="G144">
        <f t="shared" ref="G144:K144" si="98">SUMPRODUCT($B144:$B148,P$2:P$6)</f>
        <v>572.23602529397715</v>
      </c>
      <c r="H144">
        <f t="shared" si="98"/>
        <v>65.718635990703405</v>
      </c>
      <c r="I144">
        <f t="shared" si="98"/>
        <v>135.18292687405588</v>
      </c>
      <c r="J144">
        <f t="shared" si="98"/>
        <v>376.31123740223541</v>
      </c>
      <c r="K144">
        <f t="shared" si="98"/>
        <v>489.00716749867956</v>
      </c>
      <c r="L144">
        <f t="shared" si="82"/>
        <v>531.24800219799704</v>
      </c>
      <c r="M144">
        <f t="shared" si="84"/>
        <v>7.5519978020029157</v>
      </c>
      <c r="N144">
        <f t="shared" si="85"/>
        <v>57.032670801456867</v>
      </c>
    </row>
    <row r="145" spans="1:14" x14ac:dyDescent="0.45">
      <c r="A145" s="23">
        <v>42219</v>
      </c>
      <c r="B145">
        <v>537.45000000000005</v>
      </c>
      <c r="C145">
        <v>535.03</v>
      </c>
      <c r="G145">
        <f t="shared" ref="G145:K145" si="99">SUMPRODUCT($B145:$B149,P$2:P$6)</f>
        <v>575.53604228803295</v>
      </c>
      <c r="H145">
        <f t="shared" si="99"/>
        <v>66.107421835899288</v>
      </c>
      <c r="I145">
        <f t="shared" si="99"/>
        <v>136.99072908592257</v>
      </c>
      <c r="J145">
        <f t="shared" si="99"/>
        <v>381.36085672765159</v>
      </c>
      <c r="K145">
        <f t="shared" si="99"/>
        <v>495.44570629754276</v>
      </c>
      <c r="L145">
        <f t="shared" si="82"/>
        <v>538.19891682922207</v>
      </c>
      <c r="M145">
        <f t="shared" si="84"/>
        <v>-8.5089168292220165</v>
      </c>
      <c r="N145">
        <f t="shared" si="85"/>
        <v>72.401665606617655</v>
      </c>
    </row>
    <row r="146" spans="1:14" x14ac:dyDescent="0.45">
      <c r="A146" s="23">
        <v>42216</v>
      </c>
      <c r="B146">
        <v>539.09</v>
      </c>
      <c r="C146">
        <v>536.15</v>
      </c>
      <c r="G146">
        <f t="shared" ref="G146:K146" si="100">SUMPRODUCT($B146:$B150,P$2:P$6)</f>
        <v>579.70397985212685</v>
      </c>
      <c r="H146">
        <f t="shared" si="100"/>
        <v>65.792245689861375</v>
      </c>
      <c r="I146">
        <f t="shared" si="100"/>
        <v>137.04637081666499</v>
      </c>
      <c r="J146">
        <f t="shared" si="100"/>
        <v>381.55194330652665</v>
      </c>
      <c r="K146">
        <f t="shared" si="100"/>
        <v>495.4347451714624</v>
      </c>
      <c r="L146">
        <f t="shared" si="82"/>
        <v>538.29381413411261</v>
      </c>
      <c r="M146">
        <f t="shared" si="84"/>
        <v>-0.8438141341125629</v>
      </c>
      <c r="N146">
        <f t="shared" si="85"/>
        <v>0.71202229292813424</v>
      </c>
    </row>
    <row r="147" spans="1:14" x14ac:dyDescent="0.45">
      <c r="A147" s="23">
        <v>42215</v>
      </c>
      <c r="B147">
        <v>527.65</v>
      </c>
      <c r="C147">
        <v>536.76</v>
      </c>
      <c r="G147">
        <f t="shared" ref="G147:K147" si="101">SUMPRODUCT($B147:$B151,P$2:P$6)</f>
        <v>573.36769256286277</v>
      </c>
      <c r="H147">
        <f t="shared" si="101"/>
        <v>65.26362446527078</v>
      </c>
      <c r="I147">
        <f t="shared" si="101"/>
        <v>134.53879426860857</v>
      </c>
      <c r="J147">
        <f t="shared" si="101"/>
        <v>374.53042238688931</v>
      </c>
      <c r="K147">
        <f t="shared" si="101"/>
        <v>486.6047971433116</v>
      </c>
      <c r="L147">
        <f t="shared" si="82"/>
        <v>528.70967889775034</v>
      </c>
      <c r="M147">
        <f t="shared" si="84"/>
        <v>10.380321102249695</v>
      </c>
      <c r="N147">
        <f t="shared" si="85"/>
        <v>107.75106618581033</v>
      </c>
    </row>
    <row r="148" spans="1:14" x14ac:dyDescent="0.45">
      <c r="A148" s="23">
        <v>42214</v>
      </c>
      <c r="B148">
        <v>530.91999999999996</v>
      </c>
      <c r="C148">
        <v>529</v>
      </c>
      <c r="G148">
        <f t="shared" ref="G148:K148" si="102">SUMPRODUCT($B148:$B152,P$2:P$6)</f>
        <v>617.84780683744202</v>
      </c>
      <c r="H148">
        <f t="shared" si="102"/>
        <v>65.554059363375487</v>
      </c>
      <c r="I148">
        <f t="shared" si="102"/>
        <v>135.42212073570556</v>
      </c>
      <c r="J148">
        <f t="shared" si="102"/>
        <v>376.98451867490115</v>
      </c>
      <c r="K148">
        <f t="shared" si="102"/>
        <v>489.82871123729444</v>
      </c>
      <c r="L148">
        <f t="shared" si="82"/>
        <v>532.15040460519708</v>
      </c>
      <c r="M148">
        <f t="shared" si="84"/>
        <v>-4.5004046051971045</v>
      </c>
      <c r="N148">
        <f t="shared" si="85"/>
        <v>20.253641610479306</v>
      </c>
    </row>
    <row r="149" spans="1:14" x14ac:dyDescent="0.45">
      <c r="A149" s="23">
        <v>42213</v>
      </c>
      <c r="B149">
        <v>536</v>
      </c>
      <c r="C149">
        <v>526.03</v>
      </c>
      <c r="G149">
        <f t="shared" ref="G149:K149" si="103">SUMPRODUCT($B149:$B153,P$2:P$6)</f>
        <v>539.044839049948</v>
      </c>
      <c r="H149">
        <f t="shared" si="103"/>
        <v>66.377273220829451</v>
      </c>
      <c r="I149">
        <f t="shared" si="103"/>
        <v>136.34733991620183</v>
      </c>
      <c r="J149">
        <f t="shared" si="103"/>
        <v>379.5972154535184</v>
      </c>
      <c r="K149">
        <f t="shared" si="103"/>
        <v>492.95858189055491</v>
      </c>
      <c r="L149">
        <f t="shared" si="82"/>
        <v>535.61379220856179</v>
      </c>
      <c r="M149">
        <f t="shared" si="84"/>
        <v>-4.6937922085618311</v>
      </c>
      <c r="N149">
        <f t="shared" si="85"/>
        <v>22.031685297155754</v>
      </c>
    </row>
    <row r="150" spans="1:14" x14ac:dyDescent="0.45">
      <c r="A150" s="23">
        <v>42212</v>
      </c>
      <c r="B150">
        <v>527.75</v>
      </c>
      <c r="C150">
        <v>531.41</v>
      </c>
      <c r="G150">
        <f t="shared" ref="G150:K150" si="104">SUMPRODUCT($B150:$B154,P$2:P$6)</f>
        <v>532.48176970595955</v>
      </c>
      <c r="H150">
        <f t="shared" si="104"/>
        <v>66.546389456763492</v>
      </c>
      <c r="I150">
        <f t="shared" si="104"/>
        <v>135.89271196298915</v>
      </c>
      <c r="J150">
        <f t="shared" si="104"/>
        <v>378.16696277085401</v>
      </c>
      <c r="K150">
        <f t="shared" si="104"/>
        <v>492.27952778693043</v>
      </c>
      <c r="L150">
        <f t="shared" si="82"/>
        <v>534.40088905627624</v>
      </c>
      <c r="M150">
        <f t="shared" si="84"/>
        <v>1.5991109437237583</v>
      </c>
      <c r="N150">
        <f t="shared" si="85"/>
        <v>2.5571558103370888</v>
      </c>
    </row>
    <row r="151" spans="1:14" x14ac:dyDescent="0.45">
      <c r="A151" s="23">
        <v>42209</v>
      </c>
      <c r="B151">
        <v>578.99</v>
      </c>
      <c r="C151">
        <v>529.41999999999996</v>
      </c>
      <c r="G151">
        <f t="shared" ref="G151:K151" si="105">SUMPRODUCT($B151:$B155,P$2:P$6)</f>
        <v>533.75361668959806</v>
      </c>
      <c r="H151">
        <f t="shared" si="105"/>
        <v>66.170893926787841</v>
      </c>
      <c r="I151">
        <f t="shared" si="105"/>
        <v>145.11136579952637</v>
      </c>
      <c r="J151">
        <f t="shared" si="105"/>
        <v>404.21389578448452</v>
      </c>
      <c r="K151">
        <f t="shared" si="105"/>
        <v>523.37038570195193</v>
      </c>
      <c r="L151">
        <f t="shared" si="82"/>
        <v>568.8548069756838</v>
      </c>
      <c r="M151">
        <f t="shared" si="84"/>
        <v>-41.1048069756838</v>
      </c>
      <c r="N151">
        <f t="shared" si="85"/>
        <v>1689.6051565082237</v>
      </c>
    </row>
    <row r="152" spans="1:14" x14ac:dyDescent="0.45">
      <c r="A152" s="23">
        <v>42208</v>
      </c>
      <c r="B152">
        <v>491.66</v>
      </c>
      <c r="C152">
        <v>482.18</v>
      </c>
      <c r="G152">
        <f t="shared" ref="G152:K152" si="106">SUMPRODUCT($B152:$B156,P$2:P$6)</f>
        <v>532.32665829861492</v>
      </c>
      <c r="H152">
        <f t="shared" si="106"/>
        <v>60.261853742120323</v>
      </c>
      <c r="I152">
        <f t="shared" si="106"/>
        <v>125.12073220235816</v>
      </c>
      <c r="J152">
        <f t="shared" si="106"/>
        <v>348.3364698268997</v>
      </c>
      <c r="K152">
        <f t="shared" si="106"/>
        <v>452.39996272529487</v>
      </c>
      <c r="L152">
        <f t="shared" si="82"/>
        <v>492.1207651766245</v>
      </c>
      <c r="M152">
        <f t="shared" si="84"/>
        <v>86.869234823375507</v>
      </c>
      <c r="N152">
        <f t="shared" si="85"/>
        <v>7546.263958798756</v>
      </c>
    </row>
    <row r="153" spans="1:14" x14ac:dyDescent="0.45">
      <c r="A153" s="23">
        <v>42207</v>
      </c>
      <c r="B153">
        <v>485.99</v>
      </c>
      <c r="C153">
        <v>488.27</v>
      </c>
      <c r="G153">
        <f t="shared" ref="G153:K153" si="107">SUMPRODUCT($B153:$B157,P$2:P$6)</f>
        <v>518.16605397494163</v>
      </c>
      <c r="H153">
        <f t="shared" si="107"/>
        <v>60.04692279517856</v>
      </c>
      <c r="I153">
        <f t="shared" si="107"/>
        <v>123.88589954003854</v>
      </c>
      <c r="J153">
        <f t="shared" si="107"/>
        <v>344.8779028613784</v>
      </c>
      <c r="K153">
        <f t="shared" si="107"/>
        <v>448.05724793257389</v>
      </c>
      <c r="L153">
        <f t="shared" si="82"/>
        <v>487.40431051799311</v>
      </c>
      <c r="M153">
        <f t="shared" si="84"/>
        <v>4.2556894820069147</v>
      </c>
      <c r="N153">
        <f t="shared" si="85"/>
        <v>18.110892967264281</v>
      </c>
    </row>
    <row r="154" spans="1:14" x14ac:dyDescent="0.45">
      <c r="A154" s="23">
        <v>42206</v>
      </c>
      <c r="B154">
        <v>487.9</v>
      </c>
      <c r="C154">
        <v>488</v>
      </c>
      <c r="G154">
        <f t="shared" ref="G154:K154" si="108">SUMPRODUCT($B154:$B158,P$2:P$6)</f>
        <v>506.66170227951324</v>
      </c>
      <c r="H154">
        <f t="shared" si="108"/>
        <v>60.123686805897059</v>
      </c>
      <c r="I154">
        <f t="shared" si="108"/>
        <v>124.44900759138881</v>
      </c>
      <c r="J154">
        <f t="shared" si="108"/>
        <v>346.4378959928012</v>
      </c>
      <c r="K154">
        <f t="shared" si="108"/>
        <v>450.13849319773101</v>
      </c>
      <c r="L154">
        <f t="shared" si="82"/>
        <v>489.61254235873486</v>
      </c>
      <c r="M154">
        <f t="shared" si="84"/>
        <v>-3.6225423587348473</v>
      </c>
      <c r="N154">
        <f t="shared" si="85"/>
        <v>13.122813140828232</v>
      </c>
    </row>
    <row r="155" spans="1:14" x14ac:dyDescent="0.45">
      <c r="A155" s="23">
        <v>42205</v>
      </c>
      <c r="B155">
        <v>492.57</v>
      </c>
      <c r="C155">
        <v>488.1</v>
      </c>
      <c r="G155">
        <f t="shared" ref="G155:K155" si="109">SUMPRODUCT($B155:$B159,P$2:P$6)</f>
        <v>503.65397036964384</v>
      </c>
      <c r="H155">
        <f t="shared" si="109"/>
        <v>59.611957237561228</v>
      </c>
      <c r="I155">
        <f t="shared" si="109"/>
        <v>125.09780508972119</v>
      </c>
      <c r="J155">
        <f t="shared" si="109"/>
        <v>348.2981150618923</v>
      </c>
      <c r="K155">
        <f t="shared" si="109"/>
        <v>452.16785472879457</v>
      </c>
      <c r="L155">
        <f t="shared" si="82"/>
        <v>491.94698317016054</v>
      </c>
      <c r="M155">
        <f t="shared" si="84"/>
        <v>-4.0469831701605585</v>
      </c>
      <c r="N155">
        <f t="shared" si="85"/>
        <v>16.378072779562803</v>
      </c>
    </row>
    <row r="156" spans="1:14" x14ac:dyDescent="0.45">
      <c r="A156" s="23">
        <v>42202</v>
      </c>
      <c r="B156">
        <v>477.7</v>
      </c>
      <c r="C156">
        <v>483.01</v>
      </c>
      <c r="G156">
        <f t="shared" ref="G156:K156" si="110">SUMPRODUCT($B156:$B160,P$2:P$6)</f>
        <v>501.11898632420332</v>
      </c>
      <c r="H156">
        <f t="shared" si="110"/>
        <v>58.093446135326474</v>
      </c>
      <c r="I156">
        <f t="shared" si="110"/>
        <v>121.38279260777065</v>
      </c>
      <c r="J156">
        <f t="shared" si="110"/>
        <v>337.94858668011739</v>
      </c>
      <c r="K156">
        <f t="shared" si="110"/>
        <v>438.77602239902882</v>
      </c>
      <c r="L156">
        <f t="shared" si="82"/>
        <v>477.57144101938786</v>
      </c>
      <c r="M156">
        <f t="shared" si="84"/>
        <v>14.998558980612131</v>
      </c>
      <c r="N156">
        <f t="shared" si="85"/>
        <v>224.95677149490081</v>
      </c>
    </row>
    <row r="157" spans="1:14" x14ac:dyDescent="0.45">
      <c r="A157" s="23">
        <v>42201</v>
      </c>
      <c r="B157">
        <v>465.5</v>
      </c>
      <c r="C157">
        <v>475.48</v>
      </c>
      <c r="G157">
        <f t="shared" ref="G157:K157" si="111">SUMPRODUCT($B157:$B161,P$2:P$6)</f>
        <v>487.13603282918086</v>
      </c>
      <c r="H157">
        <f t="shared" si="111"/>
        <v>57.182552490992052</v>
      </c>
      <c r="I157">
        <f t="shared" si="111"/>
        <v>118.54390384650551</v>
      </c>
      <c r="J157">
        <f t="shared" si="111"/>
        <v>330.01853390750989</v>
      </c>
      <c r="K157">
        <f t="shared" si="111"/>
        <v>428.66735060125393</v>
      </c>
      <c r="L157">
        <f t="shared" si="82"/>
        <v>466.65724634376011</v>
      </c>
      <c r="M157">
        <f t="shared" si="84"/>
        <v>11.042753656239881</v>
      </c>
      <c r="N157">
        <f t="shared" si="85"/>
        <v>121.94240831239927</v>
      </c>
    </row>
    <row r="158" spans="1:14" x14ac:dyDescent="0.45">
      <c r="A158" s="23">
        <v>42200</v>
      </c>
      <c r="B158">
        <v>463.04</v>
      </c>
      <c r="C158">
        <v>461.19</v>
      </c>
      <c r="G158">
        <f t="shared" ref="G158:K158" si="112">SUMPRODUCT($B158:$B162,P$2:P$6)</f>
        <v>479.14129124251815</v>
      </c>
      <c r="H158">
        <f t="shared" si="112"/>
        <v>56.763487575933226</v>
      </c>
      <c r="I158">
        <f t="shared" si="112"/>
        <v>117.96526650683754</v>
      </c>
      <c r="J158">
        <f t="shared" si="112"/>
        <v>328.4028642486461</v>
      </c>
      <c r="K158">
        <f t="shared" si="112"/>
        <v>426.60298012387051</v>
      </c>
      <c r="L158">
        <f t="shared" si="82"/>
        <v>464.43039854765743</v>
      </c>
      <c r="M158">
        <f t="shared" si="84"/>
        <v>1.0696014523425674</v>
      </c>
      <c r="N158">
        <f t="shared" si="85"/>
        <v>1.1440472668533295</v>
      </c>
    </row>
    <row r="159" spans="1:14" x14ac:dyDescent="0.45">
      <c r="A159" s="23">
        <v>42199</v>
      </c>
      <c r="B159">
        <v>462.32</v>
      </c>
      <c r="C159">
        <v>465.57</v>
      </c>
      <c r="G159">
        <f t="shared" ref="G159:K159" si="113">SUMPRODUCT($B159:$B163,P$2:P$6)</f>
        <v>473.12687498444575</v>
      </c>
      <c r="H159">
        <f t="shared" si="113"/>
        <v>56.006241924690777</v>
      </c>
      <c r="I159">
        <f t="shared" si="113"/>
        <v>117.41319767898872</v>
      </c>
      <c r="J159">
        <f t="shared" si="113"/>
        <v>326.90278687953548</v>
      </c>
      <c r="K159">
        <f t="shared" si="113"/>
        <v>424.39053578621707</v>
      </c>
      <c r="L159">
        <f t="shared" si="82"/>
        <v>462.16755023084971</v>
      </c>
      <c r="M159">
        <f t="shared" si="84"/>
        <v>0.87244976915030747</v>
      </c>
      <c r="N159">
        <f t="shared" si="85"/>
        <v>0.76116859969042483</v>
      </c>
    </row>
    <row r="160" spans="1:14" x14ac:dyDescent="0.45">
      <c r="A160" s="23">
        <v>42198</v>
      </c>
      <c r="B160">
        <v>448.29</v>
      </c>
      <c r="C160">
        <v>455.57</v>
      </c>
      <c r="G160">
        <f t="shared" ref="G160:K160" si="114">SUMPRODUCT($B160:$B164,P$2:P$6)</f>
        <v>471.35013840631188</v>
      </c>
      <c r="H160">
        <f t="shared" si="114"/>
        <v>54.674537606747563</v>
      </c>
      <c r="I160">
        <f t="shared" si="114"/>
        <v>114.01081706796296</v>
      </c>
      <c r="J160">
        <f t="shared" si="114"/>
        <v>317.41372454549224</v>
      </c>
      <c r="K160">
        <f t="shared" si="114"/>
        <v>412.18705554094089</v>
      </c>
      <c r="L160">
        <f t="shared" si="82"/>
        <v>449.03669390904139</v>
      </c>
      <c r="M160">
        <f t="shared" si="84"/>
        <v>13.283306090958604</v>
      </c>
      <c r="N160">
        <f t="shared" si="85"/>
        <v>176.44622070609793</v>
      </c>
    </row>
    <row r="161" spans="1:14" x14ac:dyDescent="0.45">
      <c r="A161" s="23">
        <v>42195</v>
      </c>
      <c r="B161">
        <v>440.49</v>
      </c>
      <c r="C161">
        <v>443.51</v>
      </c>
      <c r="G161">
        <f t="shared" ref="G161:K161" si="115">SUMPRODUCT($B161:$B165,P$2:P$6)</f>
        <v>471.86612507961723</v>
      </c>
      <c r="H161">
        <f t="shared" si="115"/>
        <v>53.92371236886693</v>
      </c>
      <c r="I161">
        <f t="shared" si="115"/>
        <v>112.08454194359588</v>
      </c>
      <c r="J161">
        <f t="shared" si="115"/>
        <v>312.04508860584377</v>
      </c>
      <c r="K161">
        <f t="shared" si="115"/>
        <v>405.25662494770899</v>
      </c>
      <c r="L161">
        <f t="shared" si="82"/>
        <v>441.59042985208617</v>
      </c>
      <c r="M161">
        <f t="shared" si="84"/>
        <v>6.6995701479138461</v>
      </c>
      <c r="N161">
        <f t="shared" si="85"/>
        <v>44.884240166818351</v>
      </c>
    </row>
    <row r="162" spans="1:14" x14ac:dyDescent="0.45">
      <c r="A162" s="23">
        <v>42194</v>
      </c>
      <c r="B162">
        <v>434.9</v>
      </c>
      <c r="C162">
        <v>434.39</v>
      </c>
      <c r="G162">
        <f t="shared" ref="G162:K162" si="116">SUMPRODUCT($B162:$B166,P$2:P$6)</f>
        <v>471.20529783458034</v>
      </c>
      <c r="H162">
        <f t="shared" si="116"/>
        <v>53.557363611253308</v>
      </c>
      <c r="I162">
        <f t="shared" si="116"/>
        <v>110.79976009926547</v>
      </c>
      <c r="J162">
        <f t="shared" si="116"/>
        <v>308.45446676637982</v>
      </c>
      <c r="K162">
        <f t="shared" si="116"/>
        <v>400.69203300295464</v>
      </c>
      <c r="L162">
        <f t="shared" si="82"/>
        <v>436.65687027386838</v>
      </c>
      <c r="M162">
        <f t="shared" si="84"/>
        <v>3.8331297261316308</v>
      </c>
      <c r="N162">
        <f t="shared" si="85"/>
        <v>14.692883497353952</v>
      </c>
    </row>
    <row r="163" spans="1:14" x14ac:dyDescent="0.45">
      <c r="A163" s="23">
        <v>42193</v>
      </c>
      <c r="B163">
        <v>434.35</v>
      </c>
      <c r="C163">
        <v>429.7</v>
      </c>
      <c r="G163">
        <f t="shared" ref="G163:K163" si="117">SUMPRODUCT($B163:$B167,P$2:P$6)</f>
        <v>472.9125219699439</v>
      </c>
      <c r="H163">
        <f t="shared" si="117"/>
        <v>53.569396495255923</v>
      </c>
      <c r="I163">
        <f t="shared" si="117"/>
        <v>110.71168338863762</v>
      </c>
      <c r="J163">
        <f t="shared" si="117"/>
        <v>308.20406722338015</v>
      </c>
      <c r="K163">
        <f t="shared" si="117"/>
        <v>400.4040013099542</v>
      </c>
      <c r="L163">
        <f t="shared" si="82"/>
        <v>436.33282113459671</v>
      </c>
      <c r="M163">
        <f t="shared" si="84"/>
        <v>-1.4328211345967361</v>
      </c>
      <c r="N163">
        <f t="shared" si="85"/>
        <v>2.0529764037470781</v>
      </c>
    </row>
    <row r="164" spans="1:14" x14ac:dyDescent="0.45">
      <c r="A164" s="23">
        <v>42192</v>
      </c>
      <c r="B164">
        <v>435.68</v>
      </c>
      <c r="C164">
        <v>436.72</v>
      </c>
      <c r="G164">
        <f t="shared" ref="G164:K164" si="118">SUMPRODUCT($B164:$B168,P$2:P$6)</f>
        <v>475.03064180759458</v>
      </c>
      <c r="H164">
        <f t="shared" si="118"/>
        <v>53.666387365658665</v>
      </c>
      <c r="I164">
        <f t="shared" si="118"/>
        <v>111.00127784937074</v>
      </c>
      <c r="J164">
        <f t="shared" si="118"/>
        <v>309.01519154144347</v>
      </c>
      <c r="K164">
        <f t="shared" si="118"/>
        <v>401.42243292499859</v>
      </c>
      <c r="L164">
        <f t="shared" si="82"/>
        <v>437.43892028390246</v>
      </c>
      <c r="M164">
        <f t="shared" si="84"/>
        <v>-3.0889202839024392</v>
      </c>
      <c r="N164">
        <f t="shared" si="85"/>
        <v>9.541428520303926</v>
      </c>
    </row>
    <row r="165" spans="1:14" x14ac:dyDescent="0.45">
      <c r="A165" s="23">
        <v>42191</v>
      </c>
      <c r="B165">
        <v>435.23</v>
      </c>
      <c r="C165">
        <v>436.04</v>
      </c>
      <c r="G165">
        <f t="shared" ref="G165:K165" si="119">SUMPRODUCT($B165:$B169,P$2:P$6)</f>
        <v>470.44101475744469</v>
      </c>
      <c r="H165">
        <f t="shared" si="119"/>
        <v>53.748834220883253</v>
      </c>
      <c r="I165">
        <f t="shared" si="119"/>
        <v>110.94809489241877</v>
      </c>
      <c r="J165">
        <f t="shared" si="119"/>
        <v>308.86100141656186</v>
      </c>
      <c r="K165">
        <f t="shared" si="119"/>
        <v>401.26611825757516</v>
      </c>
      <c r="L165">
        <f t="shared" si="82"/>
        <v>437.2532779125255</v>
      </c>
      <c r="M165">
        <f t="shared" si="84"/>
        <v>-1.5732779125254979</v>
      </c>
      <c r="N165">
        <f t="shared" si="85"/>
        <v>2.4752033900405883</v>
      </c>
    </row>
    <row r="166" spans="1:14" x14ac:dyDescent="0.45">
      <c r="A166" s="23">
        <v>42187</v>
      </c>
      <c r="B166">
        <v>437</v>
      </c>
      <c r="C166">
        <v>437.71</v>
      </c>
      <c r="G166">
        <f t="shared" ref="G166:K166" si="120">SUMPRODUCT($B166:$B170,P$2:P$6)</f>
        <v>471.39486020223984</v>
      </c>
      <c r="H166">
        <f t="shared" si="120"/>
        <v>53.878282079005885</v>
      </c>
      <c r="I166">
        <f t="shared" si="120"/>
        <v>111.41516468118472</v>
      </c>
      <c r="J166">
        <f t="shared" si="120"/>
        <v>310.15965309273179</v>
      </c>
      <c r="K166">
        <f t="shared" si="120"/>
        <v>402.96465409790198</v>
      </c>
      <c r="L166">
        <f t="shared" si="82"/>
        <v>439.06908955207905</v>
      </c>
      <c r="M166">
        <f t="shared" si="84"/>
        <v>-3.8390895520790309</v>
      </c>
      <c r="N166">
        <f t="shared" si="85"/>
        <v>14.738608588882375</v>
      </c>
    </row>
    <row r="167" spans="1:14" x14ac:dyDescent="0.45">
      <c r="A167" s="23">
        <v>42186</v>
      </c>
      <c r="B167">
        <v>439.35</v>
      </c>
      <c r="C167">
        <v>437.39</v>
      </c>
      <c r="G167">
        <f t="shared" ref="G167:K167" si="121">SUMPRODUCT($B167:$B171,P$2:P$6)</f>
        <v>477.47512831759991</v>
      </c>
      <c r="H167">
        <f t="shared" si="121"/>
        <v>53.830406922283743</v>
      </c>
      <c r="I167">
        <f t="shared" si="121"/>
        <v>111.80625248444564</v>
      </c>
      <c r="J167">
        <f t="shared" si="121"/>
        <v>311.26913908510937</v>
      </c>
      <c r="K167">
        <f t="shared" si="121"/>
        <v>404.25733191377327</v>
      </c>
      <c r="L167">
        <f t="shared" si="82"/>
        <v>440.51577071167134</v>
      </c>
      <c r="M167">
        <f t="shared" si="84"/>
        <v>-3.5157707116713368</v>
      </c>
      <c r="N167">
        <f t="shared" si="85"/>
        <v>12.360643697045978</v>
      </c>
    </row>
    <row r="168" spans="1:14" x14ac:dyDescent="0.45">
      <c r="A168" s="23">
        <v>42185</v>
      </c>
      <c r="B168">
        <v>434.2</v>
      </c>
      <c r="C168">
        <v>434.09</v>
      </c>
      <c r="G168">
        <f t="shared" ref="G168:K168" si="122">SUMPRODUCT($B168:$B172,P$2:P$6)</f>
        <v>474.25784877660226</v>
      </c>
      <c r="H168">
        <f t="shared" si="122"/>
        <v>53.636826568314532</v>
      </c>
      <c r="I168">
        <f t="shared" si="122"/>
        <v>110.65823321459446</v>
      </c>
      <c r="J168">
        <f t="shared" si="122"/>
        <v>308.05678866829174</v>
      </c>
      <c r="K168">
        <f t="shared" si="122"/>
        <v>400.20177071081355</v>
      </c>
      <c r="L168">
        <f t="shared" si="82"/>
        <v>436.12055155707986</v>
      </c>
      <c r="M168">
        <f t="shared" si="84"/>
        <v>3.2294484429201589</v>
      </c>
      <c r="N168">
        <f t="shared" si="85"/>
        <v>10.429337245479438</v>
      </c>
    </row>
    <row r="169" spans="1:14" x14ac:dyDescent="0.45">
      <c r="A169" s="23">
        <v>42184</v>
      </c>
      <c r="B169">
        <v>434.98</v>
      </c>
      <c r="C169">
        <v>429.86</v>
      </c>
      <c r="G169">
        <f t="shared" ref="G169:K169" si="123">SUMPRODUCT($B169:$B173,P$2:P$6)</f>
        <v>480.49520730976053</v>
      </c>
      <c r="H169">
        <f t="shared" si="123"/>
        <v>53.909529396605762</v>
      </c>
      <c r="I169">
        <f t="shared" si="123"/>
        <v>111.02314422887486</v>
      </c>
      <c r="J169">
        <f t="shared" si="123"/>
        <v>309.05606026444963</v>
      </c>
      <c r="K169">
        <f t="shared" si="123"/>
        <v>401.61879209719615</v>
      </c>
      <c r="L169">
        <f t="shared" si="82"/>
        <v>437.59043675243407</v>
      </c>
      <c r="M169">
        <f t="shared" si="84"/>
        <v>-3.3904367524340842</v>
      </c>
      <c r="N169">
        <f t="shared" si="85"/>
        <v>11.49506137225578</v>
      </c>
    </row>
    <row r="170" spans="1:14" x14ac:dyDescent="0.45">
      <c r="A170" s="23">
        <v>42181</v>
      </c>
      <c r="B170">
        <v>441.76</v>
      </c>
      <c r="C170">
        <v>438.1</v>
      </c>
      <c r="G170">
        <f t="shared" ref="G170:K170" si="124">SUMPRODUCT($B170:$B174,P$2:P$6)</f>
        <v>472.39540523253743</v>
      </c>
      <c r="H170">
        <f t="shared" si="124"/>
        <v>54.311365091662232</v>
      </c>
      <c r="I170">
        <f t="shared" si="124"/>
        <v>112.46076361801461</v>
      </c>
      <c r="J170">
        <f t="shared" si="124"/>
        <v>313.08719621447631</v>
      </c>
      <c r="K170">
        <f t="shared" si="124"/>
        <v>406.64803274867688</v>
      </c>
      <c r="L170">
        <f t="shared" si="82"/>
        <v>443.06629594014424</v>
      </c>
      <c r="M170">
        <f t="shared" si="84"/>
        <v>-8.0862959401442254</v>
      </c>
      <c r="N170">
        <f t="shared" si="85"/>
        <v>65.388182031592976</v>
      </c>
    </row>
    <row r="171" spans="1:14" x14ac:dyDescent="0.45">
      <c r="A171" s="23">
        <v>42180</v>
      </c>
      <c r="B171">
        <v>438.07</v>
      </c>
      <c r="C171">
        <v>440.1</v>
      </c>
      <c r="G171">
        <f t="shared" ref="G171:K171" si="125">SUMPRODUCT($B171:$B175,P$2:P$6)</f>
        <v>473.53528956606971</v>
      </c>
      <c r="H171">
        <f t="shared" si="125"/>
        <v>54.204424438808253</v>
      </c>
      <c r="I171">
        <f t="shared" si="125"/>
        <v>111.8138139243478</v>
      </c>
      <c r="J171">
        <f t="shared" si="125"/>
        <v>311.2568600062387</v>
      </c>
      <c r="K171">
        <f t="shared" si="125"/>
        <v>404.48016165724943</v>
      </c>
      <c r="L171">
        <f t="shared" si="82"/>
        <v>440.65635964018696</v>
      </c>
      <c r="M171">
        <f t="shared" si="84"/>
        <v>1.1036403598130278</v>
      </c>
      <c r="N171">
        <f t="shared" si="85"/>
        <v>1.2180220438082294</v>
      </c>
    </row>
    <row r="172" spans="1:14" x14ac:dyDescent="0.45">
      <c r="A172" s="23">
        <v>42179</v>
      </c>
      <c r="B172">
        <v>444.97</v>
      </c>
      <c r="C172">
        <v>440.84</v>
      </c>
      <c r="G172">
        <f t="shared" ref="G172:K172" si="126">SUMPRODUCT($B172:$B176,P$2:P$6)</f>
        <v>476.30035886195384</v>
      </c>
      <c r="H172">
        <f t="shared" si="126"/>
        <v>54.288180214864283</v>
      </c>
      <c r="I172">
        <f t="shared" si="126"/>
        <v>113.12110807823893</v>
      </c>
      <c r="J172">
        <f t="shared" si="126"/>
        <v>314.94125191976127</v>
      </c>
      <c r="K172">
        <f t="shared" si="126"/>
        <v>408.94383354192138</v>
      </c>
      <c r="L172">
        <f t="shared" si="82"/>
        <v>445.57339346653458</v>
      </c>
      <c r="M172">
        <f t="shared" si="84"/>
        <v>-7.5033934665345896</v>
      </c>
      <c r="N172">
        <f t="shared" si="85"/>
        <v>56.300913513633965</v>
      </c>
    </row>
    <row r="173" spans="1:14" x14ac:dyDescent="0.45">
      <c r="A173" s="23">
        <v>42178</v>
      </c>
      <c r="B173">
        <v>435.59</v>
      </c>
      <c r="C173">
        <v>445.99</v>
      </c>
      <c r="G173">
        <f t="shared" ref="G173:K173" si="127">SUMPRODUCT($B173:$B177,P$2:P$6)</f>
        <v>466.69643776058598</v>
      </c>
      <c r="H173">
        <f t="shared" si="127"/>
        <v>53.787166917971859</v>
      </c>
      <c r="I173">
        <f t="shared" si="127"/>
        <v>111.02985145112751</v>
      </c>
      <c r="J173">
        <f t="shared" si="127"/>
        <v>309.08960802734561</v>
      </c>
      <c r="K173">
        <f t="shared" si="127"/>
        <v>401.55595914295515</v>
      </c>
      <c r="L173">
        <f t="shared" si="82"/>
        <v>437.56687302422392</v>
      </c>
      <c r="M173">
        <f t="shared" si="84"/>
        <v>7.4031269757761038</v>
      </c>
      <c r="N173">
        <f t="shared" si="85"/>
        <v>54.80628901946384</v>
      </c>
    </row>
    <row r="174" spans="1:14" x14ac:dyDescent="0.45">
      <c r="A174" s="23">
        <v>42177</v>
      </c>
      <c r="B174">
        <v>437</v>
      </c>
      <c r="C174">
        <v>436.29</v>
      </c>
      <c r="G174">
        <f t="shared" ref="G174:K174" si="128">SUMPRODUCT($B174:$B178,P$2:P$6)</f>
        <v>464.65407504035528</v>
      </c>
      <c r="H174">
        <f t="shared" si="128"/>
        <v>53.852606957833004</v>
      </c>
      <c r="I174">
        <f t="shared" si="128"/>
        <v>111.44035827272511</v>
      </c>
      <c r="J174">
        <f t="shared" si="128"/>
        <v>310.22729080073799</v>
      </c>
      <c r="K174">
        <f t="shared" si="128"/>
        <v>403.07055673053731</v>
      </c>
      <c r="L174">
        <f t="shared" si="82"/>
        <v>439.17517667832834</v>
      </c>
      <c r="M174">
        <f t="shared" si="84"/>
        <v>-3.5851766783283665</v>
      </c>
      <c r="N174">
        <f t="shared" si="85"/>
        <v>12.853491814829619</v>
      </c>
    </row>
    <row r="175" spans="1:14" x14ac:dyDescent="0.45">
      <c r="A175" s="23">
        <v>42174</v>
      </c>
      <c r="B175">
        <v>440.26</v>
      </c>
      <c r="C175">
        <v>434.92</v>
      </c>
      <c r="G175">
        <f t="shared" ref="G175:K175" si="129">SUMPRODUCT($B175:$B179,P$2:P$6)</f>
        <v>460.62650630155349</v>
      </c>
      <c r="H175">
        <f t="shared" si="129"/>
        <v>53.61993881244728</v>
      </c>
      <c r="I175">
        <f t="shared" si="129"/>
        <v>111.90490773183612</v>
      </c>
      <c r="J175">
        <f t="shared" si="129"/>
        <v>311.55710888359704</v>
      </c>
      <c r="K175">
        <f t="shared" si="129"/>
        <v>404.53611683734863</v>
      </c>
      <c r="L175">
        <f t="shared" si="82"/>
        <v>440.853793664367</v>
      </c>
      <c r="M175">
        <f t="shared" si="84"/>
        <v>-3.8537936643670037</v>
      </c>
      <c r="N175">
        <f t="shared" si="85"/>
        <v>14.851725607515258</v>
      </c>
    </row>
    <row r="176" spans="1:14" x14ac:dyDescent="0.45">
      <c r="A176" s="23">
        <v>42173</v>
      </c>
      <c r="B176">
        <v>430.3</v>
      </c>
      <c r="C176">
        <v>439.39</v>
      </c>
      <c r="G176">
        <f t="shared" ref="G176:K176" si="130">SUMPRODUCT($B176:$B180,P$2:P$6)</f>
        <v>463.16937732481114</v>
      </c>
      <c r="H176">
        <f t="shared" si="130"/>
        <v>52.82015223748833</v>
      </c>
      <c r="I176">
        <f t="shared" si="130"/>
        <v>109.58915786795625</v>
      </c>
      <c r="J176">
        <f t="shared" si="130"/>
        <v>305.08814168613935</v>
      </c>
      <c r="K176">
        <f t="shared" si="130"/>
        <v>396.29141522757135</v>
      </c>
      <c r="L176">
        <f t="shared" si="82"/>
        <v>431.95148264999995</v>
      </c>
      <c r="M176">
        <f t="shared" si="84"/>
        <v>8.3085173500000451</v>
      </c>
      <c r="N176">
        <f t="shared" si="85"/>
        <v>69.031460555251769</v>
      </c>
    </row>
    <row r="177" spans="1:14" x14ac:dyDescent="0.45">
      <c r="A177" s="23">
        <v>42172</v>
      </c>
      <c r="B177">
        <v>428.36</v>
      </c>
      <c r="C177">
        <v>427.81</v>
      </c>
      <c r="G177">
        <f t="shared" ref="G177:K177" si="131">SUMPRODUCT($B177:$B181,P$2:P$6)</f>
        <v>466.34375868285656</v>
      </c>
      <c r="H177">
        <f t="shared" si="131"/>
        <v>52.575578327394098</v>
      </c>
      <c r="I177">
        <f t="shared" si="131"/>
        <v>109.03197231066481</v>
      </c>
      <c r="J177">
        <f t="shared" si="131"/>
        <v>303.54328085702247</v>
      </c>
      <c r="K177">
        <f t="shared" si="131"/>
        <v>394.23954975421373</v>
      </c>
      <c r="L177">
        <f t="shared" si="82"/>
        <v>429.77074074158173</v>
      </c>
      <c r="M177">
        <f t="shared" si="84"/>
        <v>0.52925925841827848</v>
      </c>
      <c r="N177">
        <f t="shared" si="85"/>
        <v>0.28011536262146608</v>
      </c>
    </row>
    <row r="178" spans="1:14" x14ac:dyDescent="0.45">
      <c r="A178" s="23">
        <v>42171</v>
      </c>
      <c r="B178">
        <v>424.15</v>
      </c>
      <c r="C178">
        <v>427.26</v>
      </c>
      <c r="G178">
        <f t="shared" ref="G178:K178" si="132">SUMPRODUCT($B178:$B182,P$2:P$6)</f>
        <v>467.12920751803819</v>
      </c>
      <c r="H178">
        <f t="shared" si="132"/>
        <v>52.504940047421279</v>
      </c>
      <c r="I178">
        <f t="shared" si="132"/>
        <v>108.17303933856819</v>
      </c>
      <c r="J178">
        <f t="shared" si="132"/>
        <v>301.1307658555769</v>
      </c>
      <c r="K178">
        <f t="shared" si="132"/>
        <v>391.25850320542997</v>
      </c>
      <c r="L178">
        <f t="shared" si="82"/>
        <v>426.51262279632107</v>
      </c>
      <c r="M178">
        <f t="shared" si="84"/>
        <v>1.8473772036789455</v>
      </c>
      <c r="N178">
        <f t="shared" si="85"/>
        <v>3.4128025326726403</v>
      </c>
    </row>
    <row r="179" spans="1:14" x14ac:dyDescent="0.45">
      <c r="A179" s="23">
        <v>42170</v>
      </c>
      <c r="B179">
        <v>427.66</v>
      </c>
      <c r="C179">
        <v>423.67</v>
      </c>
      <c r="G179">
        <f t="shared" ref="G179:K179" si="133">SUMPRODUCT($B179:$B183,P$2:P$6)</f>
        <v>462.03725761182307</v>
      </c>
      <c r="H179">
        <f t="shared" si="133"/>
        <v>52.900381090211056</v>
      </c>
      <c r="I179">
        <f t="shared" si="133"/>
        <v>109.0696174576946</v>
      </c>
      <c r="J179">
        <f t="shared" si="133"/>
        <v>303.62652097888696</v>
      </c>
      <c r="K179">
        <f t="shared" si="133"/>
        <v>394.50224354245756</v>
      </c>
      <c r="L179">
        <f t="shared" si="82"/>
        <v>429.98870939851849</v>
      </c>
      <c r="M179">
        <f t="shared" si="84"/>
        <v>-5.8387093985185174</v>
      </c>
      <c r="N179">
        <f t="shared" si="85"/>
        <v>34.090527440348467</v>
      </c>
    </row>
    <row r="180" spans="1:14" x14ac:dyDescent="0.45">
      <c r="A180" s="23">
        <v>42167</v>
      </c>
      <c r="B180">
        <v>431.25</v>
      </c>
      <c r="C180">
        <v>429.92</v>
      </c>
      <c r="G180">
        <f t="shared" ref="G180:K180" si="134">SUMPRODUCT($B180:$B184,P$2:P$6)</f>
        <v>458.95620906602693</v>
      </c>
      <c r="H180">
        <f t="shared" si="134"/>
        <v>53.083185069892387</v>
      </c>
      <c r="I180">
        <f t="shared" si="134"/>
        <v>109.91374742571239</v>
      </c>
      <c r="J180">
        <f t="shared" si="134"/>
        <v>305.98352857367274</v>
      </c>
      <c r="K180">
        <f t="shared" si="134"/>
        <v>397.5136328407076</v>
      </c>
      <c r="L180">
        <f t="shared" si="82"/>
        <v>433.23719601567325</v>
      </c>
      <c r="M180">
        <f t="shared" si="84"/>
        <v>-5.5771960156732234</v>
      </c>
      <c r="N180">
        <f t="shared" si="85"/>
        <v>31.105115397241278</v>
      </c>
    </row>
    <row r="181" spans="1:14" x14ac:dyDescent="0.45">
      <c r="A181" s="23">
        <v>42166</v>
      </c>
      <c r="B181">
        <v>432.29</v>
      </c>
      <c r="C181">
        <v>432.97</v>
      </c>
      <c r="G181">
        <f t="shared" ref="G181:K181" si="135">SUMPRODUCT($B181:$B185,P$2:P$6)</f>
        <v>461.24423395724898</v>
      </c>
      <c r="H181">
        <f t="shared" si="135"/>
        <v>52.851783100461873</v>
      </c>
      <c r="I181">
        <f t="shared" si="135"/>
        <v>109.98848900399437</v>
      </c>
      <c r="J181">
        <f t="shared" si="135"/>
        <v>306.21059486299532</v>
      </c>
      <c r="K181">
        <f t="shared" si="135"/>
        <v>397.6724758460457</v>
      </c>
      <c r="L181">
        <f t="shared" si="82"/>
        <v>433.46346069935765</v>
      </c>
      <c r="M181">
        <f t="shared" si="84"/>
        <v>-2.213460699357654</v>
      </c>
      <c r="N181">
        <f t="shared" si="85"/>
        <v>4.899408267600875</v>
      </c>
    </row>
    <row r="182" spans="1:14" x14ac:dyDescent="0.45">
      <c r="A182" s="23">
        <v>42165</v>
      </c>
      <c r="B182">
        <v>426.46</v>
      </c>
      <c r="C182">
        <v>430.77</v>
      </c>
      <c r="G182">
        <f t="shared" ref="G182:K182" si="136">SUMPRODUCT($B182:$B186,P$2:P$6)</f>
        <v>464.72181099662396</v>
      </c>
      <c r="H182">
        <f t="shared" si="136"/>
        <v>52.368785651700541</v>
      </c>
      <c r="I182">
        <f t="shared" si="136"/>
        <v>108.56750566126712</v>
      </c>
      <c r="J182">
        <f t="shared" si="136"/>
        <v>302.2482947397549</v>
      </c>
      <c r="K182">
        <f t="shared" si="136"/>
        <v>392.57134591220193</v>
      </c>
      <c r="L182">
        <f t="shared" si="82"/>
        <v>427.976919802949</v>
      </c>
      <c r="M182">
        <f t="shared" si="84"/>
        <v>4.313080197051022</v>
      </c>
      <c r="N182">
        <f t="shared" si="85"/>
        <v>18.602660786193681</v>
      </c>
    </row>
    <row r="183" spans="1:14" x14ac:dyDescent="0.45">
      <c r="A183" s="23">
        <v>42164</v>
      </c>
      <c r="B183">
        <v>422.96</v>
      </c>
      <c r="C183">
        <v>425.48</v>
      </c>
      <c r="G183">
        <f t="shared" ref="G183:K183" si="137">SUMPRODUCT($B183:$B187,P$2:P$6)</f>
        <v>469.11772929443265</v>
      </c>
      <c r="H183">
        <f t="shared" si="137"/>
        <v>52.31651877631807</v>
      </c>
      <c r="I183">
        <f t="shared" si="137"/>
        <v>107.84628472033418</v>
      </c>
      <c r="J183">
        <f t="shared" si="137"/>
        <v>300.22346060746224</v>
      </c>
      <c r="K183">
        <f t="shared" si="137"/>
        <v>390.06300995700082</v>
      </c>
      <c r="L183">
        <f t="shared" si="82"/>
        <v>425.23818723288935</v>
      </c>
      <c r="M183">
        <f t="shared" si="84"/>
        <v>1.2218127671106345</v>
      </c>
      <c r="N183">
        <f t="shared" si="85"/>
        <v>1.4928264378745455</v>
      </c>
    </row>
    <row r="184" spans="1:14" x14ac:dyDescent="0.45">
      <c r="A184" s="23">
        <v>42163</v>
      </c>
      <c r="B184">
        <v>425.62</v>
      </c>
      <c r="C184">
        <v>423.5</v>
      </c>
      <c r="G184">
        <f t="shared" ref="G184:K184" si="138">SUMPRODUCT($B184:$B188,P$2:P$6)</f>
        <v>469.45429956310346</v>
      </c>
      <c r="H184">
        <f t="shared" si="138"/>
        <v>52.735389399943827</v>
      </c>
      <c r="I184">
        <f t="shared" si="138"/>
        <v>108.56228244011811</v>
      </c>
      <c r="J184">
        <f t="shared" si="138"/>
        <v>302.21290371760506</v>
      </c>
      <c r="K184">
        <f t="shared" si="138"/>
        <v>392.67477319282403</v>
      </c>
      <c r="L184">
        <f t="shared" si="82"/>
        <v>428.02630418986962</v>
      </c>
      <c r="M184">
        <f t="shared" si="84"/>
        <v>-5.0663041898696406</v>
      </c>
      <c r="N184">
        <f t="shared" si="85"/>
        <v>25.667438144290674</v>
      </c>
    </row>
    <row r="185" spans="1:14" x14ac:dyDescent="0.45">
      <c r="A185" s="23">
        <v>42160</v>
      </c>
      <c r="B185">
        <v>429.66</v>
      </c>
      <c r="C185">
        <v>426.95</v>
      </c>
      <c r="G185">
        <f t="shared" ref="G185:K185" si="139">SUMPRODUCT($B185:$B189,P$2:P$6)</f>
        <v>465.90407891588166</v>
      </c>
      <c r="H185">
        <f t="shared" si="139"/>
        <v>53.196320353571565</v>
      </c>
      <c r="I185">
        <f t="shared" si="139"/>
        <v>109.61107921696613</v>
      </c>
      <c r="J185">
        <f t="shared" si="139"/>
        <v>305.13069688794815</v>
      </c>
      <c r="K185">
        <f t="shared" si="139"/>
        <v>396.47905671950298</v>
      </c>
      <c r="L185">
        <f t="shared" si="82"/>
        <v>432.09814283772693</v>
      </c>
      <c r="M185">
        <f t="shared" si="84"/>
        <v>-6.4781428377269208</v>
      </c>
      <c r="N185">
        <f t="shared" si="85"/>
        <v>41.966334625992602</v>
      </c>
    </row>
    <row r="186" spans="1:14" x14ac:dyDescent="0.45">
      <c r="A186" s="23">
        <v>42159</v>
      </c>
      <c r="B186">
        <v>434.4</v>
      </c>
      <c r="C186">
        <v>430.78</v>
      </c>
      <c r="G186">
        <f t="shared" ref="G186:K186" si="140">SUMPRODUCT($B186:$B190,P$2:P$6)</f>
        <v>466.23811328837098</v>
      </c>
      <c r="H186">
        <f t="shared" si="140"/>
        <v>53.435435602487487</v>
      </c>
      <c r="I186">
        <f t="shared" si="140"/>
        <v>110.68758445568359</v>
      </c>
      <c r="J186">
        <f t="shared" si="140"/>
        <v>308.14067055417212</v>
      </c>
      <c r="K186">
        <f t="shared" si="140"/>
        <v>400.29529504367355</v>
      </c>
      <c r="L186">
        <f t="shared" si="82"/>
        <v>436.22714710317632</v>
      </c>
      <c r="M186">
        <f t="shared" si="84"/>
        <v>-6.5671471031762962</v>
      </c>
      <c r="N186">
        <f t="shared" si="85"/>
        <v>43.127421074756818</v>
      </c>
    </row>
    <row r="187" spans="1:14" x14ac:dyDescent="0.45">
      <c r="A187" s="23">
        <v>42158</v>
      </c>
      <c r="B187">
        <v>434.4</v>
      </c>
      <c r="C187">
        <v>436.59</v>
      </c>
      <c r="G187">
        <f t="shared" ref="G187:K187" si="141">SUMPRODUCT($B187:$B191,P$2:P$6)</f>
        <v>463.24193902310947</v>
      </c>
      <c r="H187">
        <f t="shared" si="141"/>
        <v>53.26081624299615</v>
      </c>
      <c r="I187">
        <f t="shared" si="141"/>
        <v>110.56766923438872</v>
      </c>
      <c r="J187">
        <f t="shared" si="141"/>
        <v>307.8188190410296</v>
      </c>
      <c r="K187">
        <f t="shared" si="141"/>
        <v>399.79138471476062</v>
      </c>
      <c r="L187">
        <f t="shared" si="82"/>
        <v>435.72234448493356</v>
      </c>
      <c r="M187">
        <f t="shared" si="84"/>
        <v>-1.3223444849335806</v>
      </c>
      <c r="N187">
        <f t="shared" si="85"/>
        <v>1.7485949368342566</v>
      </c>
    </row>
    <row r="188" spans="1:14" x14ac:dyDescent="0.45">
      <c r="A188" s="23">
        <v>42157</v>
      </c>
      <c r="B188">
        <v>430.07</v>
      </c>
      <c r="C188">
        <v>430.99</v>
      </c>
      <c r="G188">
        <f t="shared" ref="G188:K188" si="142">SUMPRODUCT($B188:$B192,P$2:P$6)</f>
        <v>465.10515627410786</v>
      </c>
      <c r="H188">
        <f t="shared" si="142"/>
        <v>52.940079578032524</v>
      </c>
      <c r="I188">
        <f t="shared" si="142"/>
        <v>109.59341755698034</v>
      </c>
      <c r="J188">
        <f t="shared" si="142"/>
        <v>305.09372502358997</v>
      </c>
      <c r="K188">
        <f t="shared" si="142"/>
        <v>396.34364720589031</v>
      </c>
      <c r="L188">
        <f t="shared" si="82"/>
        <v>431.98895966754509</v>
      </c>
      <c r="M188">
        <f t="shared" si="84"/>
        <v>2.4110403324548884</v>
      </c>
      <c r="N188">
        <f t="shared" si="85"/>
        <v>5.8131154847241788</v>
      </c>
    </row>
    <row r="189" spans="1:14" x14ac:dyDescent="0.45">
      <c r="A189" s="23">
        <v>42156</v>
      </c>
      <c r="B189">
        <v>430.4</v>
      </c>
      <c r="C189">
        <v>430.92</v>
      </c>
      <c r="G189">
        <f t="shared" ref="G189:K189" si="143">SUMPRODUCT($B189:$B193,P$2:P$6)</f>
        <v>462.96525679558255</v>
      </c>
      <c r="H189">
        <f t="shared" si="143"/>
        <v>52.870243637190107</v>
      </c>
      <c r="I189">
        <f t="shared" si="143"/>
        <v>109.58057311788667</v>
      </c>
      <c r="J189">
        <f t="shared" si="143"/>
        <v>305.06765422188272</v>
      </c>
      <c r="K189">
        <f t="shared" si="143"/>
        <v>396.24042111772258</v>
      </c>
      <c r="L189">
        <f t="shared" si="82"/>
        <v>431.90685600788157</v>
      </c>
      <c r="M189">
        <f t="shared" si="84"/>
        <v>-1.836856007881579</v>
      </c>
      <c r="N189">
        <f t="shared" si="85"/>
        <v>3.3740399936906513</v>
      </c>
    </row>
    <row r="190" spans="1:14" x14ac:dyDescent="0.45">
      <c r="A190" s="23">
        <v>42153</v>
      </c>
      <c r="B190">
        <v>427.23</v>
      </c>
      <c r="C190">
        <v>429.23</v>
      </c>
      <c r="G190">
        <f t="shared" ref="G190:K190" si="144">SUMPRODUCT($B190:$B194,P$2:P$6)</f>
        <v>461.82109172122205</v>
      </c>
      <c r="H190">
        <f t="shared" si="144"/>
        <v>52.729468926190975</v>
      </c>
      <c r="I190">
        <f t="shared" si="144"/>
        <v>108.92931361124579</v>
      </c>
      <c r="J190">
        <f t="shared" si="144"/>
        <v>303.23899077949437</v>
      </c>
      <c r="K190">
        <f t="shared" si="144"/>
        <v>393.97682486729821</v>
      </c>
      <c r="L190">
        <f t="shared" si="82"/>
        <v>429.43459849058632</v>
      </c>
      <c r="M190">
        <f t="shared" si="84"/>
        <v>0.96540150941365255</v>
      </c>
      <c r="N190">
        <f t="shared" si="85"/>
        <v>0.93200007437815868</v>
      </c>
    </row>
    <row r="191" spans="1:14" x14ac:dyDescent="0.45">
      <c r="A191" s="23">
        <v>42152</v>
      </c>
      <c r="B191">
        <v>429.71</v>
      </c>
      <c r="C191">
        <v>426.57</v>
      </c>
      <c r="G191">
        <f t="shared" ref="G191:K191" si="145">SUMPRODUCT($B191:$B195,P$2:P$6)</f>
        <v>466.6433145499455</v>
      </c>
      <c r="H191">
        <f t="shared" si="145"/>
        <v>52.777165156524504</v>
      </c>
      <c r="I191">
        <f t="shared" si="145"/>
        <v>109.42996105479718</v>
      </c>
      <c r="J191">
        <f t="shared" si="145"/>
        <v>304.64584284972767</v>
      </c>
      <c r="K191">
        <f t="shared" si="145"/>
        <v>395.71049558834102</v>
      </c>
      <c r="L191">
        <f t="shared" si="82"/>
        <v>431.33144529898078</v>
      </c>
      <c r="M191">
        <f t="shared" si="84"/>
        <v>-4.1014452989807637</v>
      </c>
      <c r="N191">
        <f t="shared" si="85"/>
        <v>16.821853540531407</v>
      </c>
    </row>
    <row r="192" spans="1:14" x14ac:dyDescent="0.45">
      <c r="A192" s="23">
        <v>42151</v>
      </c>
      <c r="B192">
        <v>427.45</v>
      </c>
      <c r="C192">
        <v>431.42</v>
      </c>
      <c r="G192">
        <f t="shared" ref="G192:K192" si="146">SUMPRODUCT($B192:$B196,P$2:P$6)</f>
        <v>463.14355056663391</v>
      </c>
      <c r="H192">
        <f t="shared" si="146"/>
        <v>52.664692385197128</v>
      </c>
      <c r="I192">
        <f t="shared" si="146"/>
        <v>108.88206916980438</v>
      </c>
      <c r="J192">
        <f t="shared" si="146"/>
        <v>303.11779708781631</v>
      </c>
      <c r="K192">
        <f t="shared" si="146"/>
        <v>393.74546826978644</v>
      </c>
      <c r="L192">
        <f t="shared" si="82"/>
        <v>429.2170362125616</v>
      </c>
      <c r="M192">
        <f t="shared" si="84"/>
        <v>0.49296378743838432</v>
      </c>
      <c r="N192">
        <f t="shared" si="85"/>
        <v>0.24301329572559655</v>
      </c>
    </row>
    <row r="193" spans="1:14" x14ac:dyDescent="0.45">
      <c r="A193" s="23">
        <v>42150</v>
      </c>
      <c r="B193">
        <v>426.2</v>
      </c>
      <c r="C193">
        <v>425.47</v>
      </c>
      <c r="G193">
        <f t="shared" ref="G193:K193" si="147">SUMPRODUCT($B193:$B197,P$2:P$6)</f>
        <v>456.49013710341416</v>
      </c>
      <c r="H193">
        <f t="shared" si="147"/>
        <v>52.747630733994455</v>
      </c>
      <c r="I193">
        <f t="shared" si="147"/>
        <v>108.74634223526327</v>
      </c>
      <c r="J193">
        <f t="shared" si="147"/>
        <v>302.72169287673216</v>
      </c>
      <c r="K193">
        <f t="shared" si="147"/>
        <v>393.36169068534122</v>
      </c>
      <c r="L193">
        <f t="shared" si="82"/>
        <v>428.75187865614481</v>
      </c>
      <c r="M193">
        <f t="shared" si="84"/>
        <v>-1.3018786561448223</v>
      </c>
      <c r="N193">
        <f t="shared" si="85"/>
        <v>1.6948880353254485</v>
      </c>
    </row>
    <row r="194" spans="1:14" x14ac:dyDescent="0.45">
      <c r="A194" s="23">
        <v>42146</v>
      </c>
      <c r="B194">
        <v>431.55</v>
      </c>
      <c r="C194">
        <v>427.63</v>
      </c>
      <c r="G194">
        <f t="shared" ref="G194:K194" si="148">SUMPRODUCT($B194:$B198,P$2:P$6)</f>
        <v>460.37663525679335</v>
      </c>
      <c r="H194">
        <f t="shared" si="148"/>
        <v>52.829034482612933</v>
      </c>
      <c r="I194">
        <f t="shared" si="148"/>
        <v>109.86307413439789</v>
      </c>
      <c r="J194">
        <f t="shared" si="148"/>
        <v>305.85515009843976</v>
      </c>
      <c r="K194">
        <f t="shared" si="148"/>
        <v>397.25591164371991</v>
      </c>
      <c r="L194">
        <f t="shared" ref="L194:L246" si="149">(G194+$P$7)*$U$2+(H194+$Q$7)*$U$3+(I194+$R$7)*$U$4+(J194+$S$7)*$U$5+(K194+$T$7)*$U$6+$U$7</f>
        <v>432.99838393648275</v>
      </c>
      <c r="M194">
        <f t="shared" si="84"/>
        <v>-6.7983839364827645</v>
      </c>
      <c r="N194">
        <f t="shared" si="85"/>
        <v>46.218024147826888</v>
      </c>
    </row>
    <row r="195" spans="1:14" x14ac:dyDescent="0.45">
      <c r="A195" s="23">
        <v>42145</v>
      </c>
      <c r="B195">
        <v>428</v>
      </c>
      <c r="C195">
        <v>431.63</v>
      </c>
      <c r="G195">
        <f t="shared" ref="G195:K195" si="150">SUMPRODUCT($B195:$B199,P$2:P$6)</f>
        <v>461.12516756232696</v>
      </c>
      <c r="H195">
        <f t="shared" si="150"/>
        <v>52.359065040240857</v>
      </c>
      <c r="I195">
        <f t="shared" si="150"/>
        <v>108.85189551212673</v>
      </c>
      <c r="J195">
        <f t="shared" si="150"/>
        <v>303.05079884034365</v>
      </c>
      <c r="K195">
        <f t="shared" si="150"/>
        <v>393.53657222503676</v>
      </c>
      <c r="L195">
        <f t="shared" si="149"/>
        <v>429.04327537014774</v>
      </c>
      <c r="M195">
        <f t="shared" ref="M195:M246" si="151">B194-L195</f>
        <v>2.5067246298522718</v>
      </c>
      <c r="N195">
        <f t="shared" ref="N195:N246" si="152">M195^2</f>
        <v>6.2836683699080096</v>
      </c>
    </row>
    <row r="196" spans="1:14" x14ac:dyDescent="0.45">
      <c r="A196" s="23">
        <v>42144</v>
      </c>
      <c r="B196">
        <v>420.6</v>
      </c>
      <c r="C196">
        <v>423.86</v>
      </c>
      <c r="G196">
        <f t="shared" ref="G196:K196" si="153">SUMPRODUCT($B196:$B200,P$2:P$6)</f>
        <v>462.78461515186979</v>
      </c>
      <c r="H196">
        <f t="shared" si="153"/>
        <v>52.071590849947206</v>
      </c>
      <c r="I196">
        <f t="shared" si="153"/>
        <v>107.28952847775449</v>
      </c>
      <c r="J196">
        <f t="shared" si="153"/>
        <v>298.66907116119103</v>
      </c>
      <c r="K196">
        <f t="shared" si="153"/>
        <v>388.075659541086</v>
      </c>
      <c r="L196">
        <f t="shared" si="149"/>
        <v>423.09495602620842</v>
      </c>
      <c r="M196">
        <f t="shared" si="151"/>
        <v>4.9050439737915781</v>
      </c>
      <c r="N196">
        <f t="shared" si="152"/>
        <v>24.059456384829076</v>
      </c>
    </row>
    <row r="197" spans="1:14" x14ac:dyDescent="0.45">
      <c r="A197" s="23">
        <v>42143</v>
      </c>
      <c r="B197">
        <v>424.87</v>
      </c>
      <c r="C197">
        <v>421.71</v>
      </c>
      <c r="G197">
        <f t="shared" ref="G197:K197" si="154">SUMPRODUCT($B197:$B201,P$2:P$6)</f>
        <v>464.49576755688093</v>
      </c>
      <c r="H197">
        <f t="shared" si="154"/>
        <v>52.430047843870732</v>
      </c>
      <c r="I197">
        <f t="shared" si="154"/>
        <v>108.29058741898848</v>
      </c>
      <c r="J197">
        <f t="shared" si="154"/>
        <v>301.4645860141365</v>
      </c>
      <c r="K197">
        <f t="shared" si="154"/>
        <v>391.64499995402025</v>
      </c>
      <c r="L197">
        <f t="shared" si="149"/>
        <v>426.94628522693557</v>
      </c>
      <c r="M197">
        <f t="shared" si="151"/>
        <v>-6.3462852269355494</v>
      </c>
      <c r="N197">
        <f t="shared" si="152"/>
        <v>40.275336181620396</v>
      </c>
    </row>
    <row r="198" spans="1:14" x14ac:dyDescent="0.45">
      <c r="A198" s="23">
        <v>42142</v>
      </c>
      <c r="B198">
        <v>426</v>
      </c>
      <c r="C198">
        <v>425.24</v>
      </c>
      <c r="G198">
        <f t="shared" ref="G198:K198" si="155">SUMPRODUCT($B198:$B202,P$2:P$6)</f>
        <v>465.2112795554375</v>
      </c>
      <c r="H198">
        <f t="shared" si="155"/>
        <v>52.6106075476293</v>
      </c>
      <c r="I198">
        <f t="shared" si="155"/>
        <v>108.60261141870249</v>
      </c>
      <c r="J198">
        <f t="shared" si="155"/>
        <v>302.33081694338097</v>
      </c>
      <c r="K198">
        <f t="shared" si="155"/>
        <v>392.78753132744424</v>
      </c>
      <c r="L198">
        <f t="shared" si="149"/>
        <v>428.16379225588656</v>
      </c>
      <c r="M198">
        <f t="shared" si="151"/>
        <v>-3.293792255886558</v>
      </c>
      <c r="N198">
        <f t="shared" si="152"/>
        <v>10.84906742493826</v>
      </c>
    </row>
    <row r="199" spans="1:14" x14ac:dyDescent="0.45">
      <c r="A199" s="23">
        <v>42139</v>
      </c>
      <c r="B199">
        <v>428</v>
      </c>
      <c r="C199">
        <v>426</v>
      </c>
      <c r="G199">
        <f t="shared" ref="G199:K199" si="156">SUMPRODUCT($B199:$B203,P$2:P$6)</f>
        <v>466.45964307825056</v>
      </c>
      <c r="H199">
        <f t="shared" si="156"/>
        <v>52.810153219408939</v>
      </c>
      <c r="I199">
        <f t="shared" si="156"/>
        <v>109.09699058455571</v>
      </c>
      <c r="J199">
        <f t="shared" si="156"/>
        <v>303.70862942463646</v>
      </c>
      <c r="K199">
        <f t="shared" si="156"/>
        <v>394.56650442154461</v>
      </c>
      <c r="L199">
        <f t="shared" si="149"/>
        <v>430.07503410040687</v>
      </c>
      <c r="M199">
        <f t="shared" si="151"/>
        <v>-4.0750341004068673</v>
      </c>
      <c r="N199">
        <f t="shared" si="152"/>
        <v>16.605902919478805</v>
      </c>
    </row>
    <row r="200" spans="1:14" x14ac:dyDescent="0.45">
      <c r="A200" s="23">
        <v>42138</v>
      </c>
      <c r="B200">
        <v>429.45</v>
      </c>
      <c r="C200">
        <v>432.28</v>
      </c>
      <c r="G200">
        <f t="shared" ref="G200:K200" si="157">SUMPRODUCT($B200:$B204,P$2:P$6)</f>
        <v>467.86167601538489</v>
      </c>
      <c r="H200">
        <f t="shared" si="157"/>
        <v>52.944810493239082</v>
      </c>
      <c r="I200">
        <f t="shared" si="157"/>
        <v>109.44097928522584</v>
      </c>
      <c r="J200">
        <f t="shared" si="157"/>
        <v>304.6687992008217</v>
      </c>
      <c r="K200">
        <f t="shared" si="157"/>
        <v>395.79559865404087</v>
      </c>
      <c r="L200">
        <f t="shared" si="149"/>
        <v>431.39991589962455</v>
      </c>
      <c r="M200">
        <f t="shared" si="151"/>
        <v>-3.3999158996245455</v>
      </c>
      <c r="N200">
        <f t="shared" si="152"/>
        <v>11.559428124519783</v>
      </c>
    </row>
    <row r="201" spans="1:14" x14ac:dyDescent="0.45">
      <c r="A201" s="23">
        <v>42137</v>
      </c>
      <c r="B201">
        <v>429.98</v>
      </c>
      <c r="C201">
        <v>426.87</v>
      </c>
      <c r="G201">
        <f t="shared" ref="G201:K201" si="158">SUMPRODUCT($B201:$B205,P$2:P$6)</f>
        <v>466.15660730560239</v>
      </c>
      <c r="H201">
        <f t="shared" si="158"/>
        <v>53.048440329932376</v>
      </c>
      <c r="I201">
        <f t="shared" si="158"/>
        <v>109.59180882084493</v>
      </c>
      <c r="J201">
        <f t="shared" si="158"/>
        <v>305.08712273998481</v>
      </c>
      <c r="K201">
        <f t="shared" si="158"/>
        <v>396.35032301772333</v>
      </c>
      <c r="L201">
        <f t="shared" si="149"/>
        <v>431.98983894192617</v>
      </c>
      <c r="M201">
        <f t="shared" si="151"/>
        <v>-2.5398389419261775</v>
      </c>
      <c r="N201">
        <f t="shared" si="152"/>
        <v>6.4507818509246855</v>
      </c>
    </row>
    <row r="202" spans="1:14" x14ac:dyDescent="0.45">
      <c r="A202" s="23">
        <v>42136</v>
      </c>
      <c r="B202">
        <v>431.08</v>
      </c>
      <c r="C202">
        <v>431.02</v>
      </c>
      <c r="G202">
        <f t="shared" ref="G202:K202" si="159">SUMPRODUCT($B202:$B206,P$2:P$6)</f>
        <v>460.06143030477193</v>
      </c>
      <c r="H202">
        <f t="shared" si="159"/>
        <v>53.151078643032108</v>
      </c>
      <c r="I202">
        <f t="shared" si="159"/>
        <v>109.8812303121674</v>
      </c>
      <c r="J202">
        <f t="shared" si="159"/>
        <v>305.89193206866082</v>
      </c>
      <c r="K202">
        <f t="shared" si="159"/>
        <v>397.40236636798602</v>
      </c>
      <c r="L202">
        <f t="shared" si="149"/>
        <v>433.11475898281753</v>
      </c>
      <c r="M202">
        <f t="shared" si="151"/>
        <v>-3.134758982817516</v>
      </c>
      <c r="N202">
        <f t="shared" si="152"/>
        <v>9.8267138803551077</v>
      </c>
    </row>
    <row r="203" spans="1:14" x14ac:dyDescent="0.45">
      <c r="A203" s="23">
        <v>42135</v>
      </c>
      <c r="B203">
        <v>432.51</v>
      </c>
      <c r="C203">
        <v>432.85</v>
      </c>
      <c r="G203">
        <f t="shared" ref="G203:K203" si="160">SUMPRODUCT($B203:$B207,P$2:P$6)</f>
        <v>457.39669736012314</v>
      </c>
      <c r="H203">
        <f t="shared" si="160"/>
        <v>53.063859997610741</v>
      </c>
      <c r="I203">
        <f t="shared" si="160"/>
        <v>110.15725711994098</v>
      </c>
      <c r="J203">
        <f t="shared" si="160"/>
        <v>306.669177979822</v>
      </c>
      <c r="K203">
        <f t="shared" si="160"/>
        <v>398.34885609969342</v>
      </c>
      <c r="L203">
        <f t="shared" si="149"/>
        <v>434.15524152734906</v>
      </c>
      <c r="M203">
        <f t="shared" si="151"/>
        <v>-3.0752415273490783</v>
      </c>
      <c r="N203">
        <f t="shared" si="152"/>
        <v>9.4571104515322926</v>
      </c>
    </row>
    <row r="204" spans="1:14" x14ac:dyDescent="0.45">
      <c r="A204" s="23">
        <v>42132</v>
      </c>
      <c r="B204">
        <v>430.75</v>
      </c>
      <c r="C204">
        <v>433.69</v>
      </c>
      <c r="G204">
        <f t="shared" ref="G204:K204" si="161">SUMPRODUCT($B204:$B208,P$2:P$6)</f>
        <v>458.31088549895009</v>
      </c>
      <c r="H204">
        <f t="shared" si="161"/>
        <v>52.630253032944118</v>
      </c>
      <c r="I204">
        <f t="shared" si="161"/>
        <v>109.57476239432114</v>
      </c>
      <c r="J204">
        <f t="shared" si="161"/>
        <v>305.06096468259534</v>
      </c>
      <c r="K204">
        <f t="shared" si="161"/>
        <v>396.16377118770902</v>
      </c>
      <c r="L204">
        <f t="shared" si="149"/>
        <v>431.85266233504211</v>
      </c>
      <c r="M204">
        <f t="shared" si="151"/>
        <v>0.65733766495787904</v>
      </c>
      <c r="N204">
        <f t="shared" si="152"/>
        <v>0.43209280577227682</v>
      </c>
    </row>
    <row r="205" spans="1:14" x14ac:dyDescent="0.45">
      <c r="A205" s="23">
        <v>42131</v>
      </c>
      <c r="B205">
        <v>424.15</v>
      </c>
      <c r="C205">
        <v>426.88</v>
      </c>
      <c r="G205">
        <f t="shared" ref="G205:K205" si="162">SUMPRODUCT($B205:$B209,P$2:P$6)</f>
        <v>459.62940859680793</v>
      </c>
      <c r="H205">
        <f t="shared" si="162"/>
        <v>52.10919177016104</v>
      </c>
      <c r="I205">
        <f t="shared" si="162"/>
        <v>108.00050232391112</v>
      </c>
      <c r="J205">
        <f t="shared" si="162"/>
        <v>300.66767891834439</v>
      </c>
      <c r="K205">
        <f t="shared" si="162"/>
        <v>390.53347748969617</v>
      </c>
      <c r="L205">
        <f t="shared" si="149"/>
        <v>425.78630917317957</v>
      </c>
      <c r="M205">
        <f t="shared" si="151"/>
        <v>4.9636908268204252</v>
      </c>
      <c r="N205">
        <f t="shared" si="152"/>
        <v>24.638226624261236</v>
      </c>
    </row>
    <row r="206" spans="1:14" x14ac:dyDescent="0.45">
      <c r="A206" s="23">
        <v>42130</v>
      </c>
      <c r="B206">
        <v>421.43</v>
      </c>
      <c r="C206">
        <v>419.1</v>
      </c>
      <c r="G206">
        <f t="shared" ref="G206:K206" si="163">SUMPRODUCT($B206:$B210,P$2:P$6)</f>
        <v>458.79481121148564</v>
      </c>
      <c r="H206">
        <f t="shared" si="163"/>
        <v>52.022298774275811</v>
      </c>
      <c r="I206">
        <f t="shared" si="163"/>
        <v>107.42208661511417</v>
      </c>
      <c r="J206">
        <f t="shared" si="163"/>
        <v>299.04598575297081</v>
      </c>
      <c r="K206">
        <f t="shared" si="163"/>
        <v>388.50882323545466</v>
      </c>
      <c r="L206">
        <f t="shared" si="149"/>
        <v>423.58246989875141</v>
      </c>
      <c r="M206">
        <f t="shared" si="151"/>
        <v>0.56753010124856473</v>
      </c>
      <c r="N206">
        <f t="shared" si="152"/>
        <v>0.32209041582320613</v>
      </c>
    </row>
    <row r="207" spans="1:14" x14ac:dyDescent="0.45">
      <c r="A207" s="23">
        <v>42129</v>
      </c>
      <c r="B207">
        <v>422.85</v>
      </c>
      <c r="C207">
        <v>421.19</v>
      </c>
      <c r="G207">
        <f t="shared" ref="G207:K207" si="164">SUMPRODUCT($B207:$B211,P$2:P$6)</f>
        <v>461.93581264985511</v>
      </c>
      <c r="H207">
        <f t="shared" si="164"/>
        <v>52.180155952752287</v>
      </c>
      <c r="I207">
        <f t="shared" si="164"/>
        <v>107.79858848974375</v>
      </c>
      <c r="J207">
        <f t="shared" si="164"/>
        <v>300.0926528805258</v>
      </c>
      <c r="K207">
        <f t="shared" si="164"/>
        <v>389.8790187183547</v>
      </c>
      <c r="L207">
        <f t="shared" si="149"/>
        <v>425.04676543417685</v>
      </c>
      <c r="M207">
        <f t="shared" si="151"/>
        <v>-3.6167654341768412</v>
      </c>
      <c r="N207">
        <f t="shared" si="152"/>
        <v>13.080992205856393</v>
      </c>
    </row>
    <row r="208" spans="1:14" x14ac:dyDescent="0.45">
      <c r="A208" s="23">
        <v>42128</v>
      </c>
      <c r="B208">
        <v>424.8</v>
      </c>
      <c r="C208">
        <v>423.04</v>
      </c>
      <c r="G208">
        <f t="shared" ref="G208:K208" si="165">SUMPRODUCT($B208:$B212,P$2:P$6)</f>
        <v>462.16237279356005</v>
      </c>
      <c r="H208">
        <f t="shared" si="165"/>
        <v>52.320363904333966</v>
      </c>
      <c r="I208">
        <f t="shared" si="165"/>
        <v>108.2143186311753</v>
      </c>
      <c r="J208">
        <f t="shared" si="165"/>
        <v>301.2580932921291</v>
      </c>
      <c r="K208">
        <f t="shared" si="165"/>
        <v>391.33494119183808</v>
      </c>
      <c r="L208">
        <f t="shared" si="149"/>
        <v>426.63115826212976</v>
      </c>
      <c r="M208">
        <f t="shared" si="151"/>
        <v>-3.7811582621297362</v>
      </c>
      <c r="N208">
        <f t="shared" si="152"/>
        <v>14.297157803271967</v>
      </c>
    </row>
    <row r="209" spans="1:14" x14ac:dyDescent="0.45">
      <c r="A209" s="23">
        <v>42125</v>
      </c>
      <c r="B209">
        <v>423.82</v>
      </c>
      <c r="C209">
        <v>422.87</v>
      </c>
      <c r="G209">
        <f t="shared" ref="G209:K209" si="166">SUMPRODUCT($B209:$B213,P$2:P$6)</f>
        <v>473.20756382475543</v>
      </c>
      <c r="H209">
        <f t="shared" si="166"/>
        <v>52.387249128326523</v>
      </c>
      <c r="I209">
        <f t="shared" si="166"/>
        <v>108.08286862761879</v>
      </c>
      <c r="J209">
        <f t="shared" si="166"/>
        <v>300.88032492336885</v>
      </c>
      <c r="K209">
        <f t="shared" si="166"/>
        <v>390.92880864150629</v>
      </c>
      <c r="L209">
        <f t="shared" si="149"/>
        <v>426.16103959168362</v>
      </c>
      <c r="M209">
        <f t="shared" si="151"/>
        <v>-1.3610395916836069</v>
      </c>
      <c r="N209">
        <f t="shared" si="152"/>
        <v>1.8524287701302793</v>
      </c>
    </row>
    <row r="210" spans="1:14" x14ac:dyDescent="0.45">
      <c r="A210" s="23">
        <v>42124</v>
      </c>
      <c r="B210">
        <v>427.11</v>
      </c>
      <c r="C210">
        <v>421.78</v>
      </c>
      <c r="G210">
        <f t="shared" ref="G210:K210" si="167">SUMPRODUCT($B210:$B214,P$2:P$6)</f>
        <v>478.54824702349401</v>
      </c>
      <c r="H210">
        <f t="shared" si="167"/>
        <v>52.77867405765592</v>
      </c>
      <c r="I210">
        <f t="shared" si="167"/>
        <v>108.82009435816244</v>
      </c>
      <c r="J210">
        <f t="shared" si="167"/>
        <v>302.94277912263226</v>
      </c>
      <c r="K210">
        <f t="shared" si="167"/>
        <v>393.53573674147509</v>
      </c>
      <c r="L210">
        <f t="shared" si="149"/>
        <v>428.98498809274145</v>
      </c>
      <c r="M210">
        <f t="shared" si="151"/>
        <v>-5.1649880927414529</v>
      </c>
      <c r="N210">
        <f t="shared" si="152"/>
        <v>26.677101998160992</v>
      </c>
    </row>
    <row r="211" spans="1:14" x14ac:dyDescent="0.45">
      <c r="A211" s="23">
        <v>42123</v>
      </c>
      <c r="B211">
        <v>426.75</v>
      </c>
      <c r="C211">
        <v>429.37</v>
      </c>
      <c r="G211">
        <f t="shared" ref="G211:K211" si="168">SUMPRODUCT($B211:$B215,P$2:P$6)</f>
        <v>473.15738414776217</v>
      </c>
      <c r="H211">
        <f t="shared" si="168"/>
        <v>53.331119734609459</v>
      </c>
      <c r="I211">
        <f t="shared" si="168"/>
        <v>109.06399838725866</v>
      </c>
      <c r="J211">
        <f t="shared" si="168"/>
        <v>303.58830627719249</v>
      </c>
      <c r="K211">
        <f t="shared" si="168"/>
        <v>394.61448372399701</v>
      </c>
      <c r="L211">
        <f t="shared" si="149"/>
        <v>430.04240297880909</v>
      </c>
      <c r="M211">
        <f t="shared" si="151"/>
        <v>-2.9324029788090797</v>
      </c>
      <c r="N211">
        <f t="shared" si="152"/>
        <v>8.5989872301283636</v>
      </c>
    </row>
    <row r="212" spans="1:14" x14ac:dyDescent="0.45">
      <c r="A212" s="23">
        <v>42122</v>
      </c>
      <c r="B212">
        <v>438.51</v>
      </c>
      <c r="C212">
        <v>429.31</v>
      </c>
      <c r="G212">
        <f t="shared" ref="G212:K212" si="169">SUMPRODUCT($B212:$B216,P$2:P$6)</f>
        <v>429.06939237243074</v>
      </c>
      <c r="H212">
        <f t="shared" si="169"/>
        <v>54.242548320528947</v>
      </c>
      <c r="I212">
        <f t="shared" si="169"/>
        <v>111.88297157887077</v>
      </c>
      <c r="J212">
        <f t="shared" si="169"/>
        <v>311.45376293103942</v>
      </c>
      <c r="K212">
        <f t="shared" si="169"/>
        <v>404.70523369175834</v>
      </c>
      <c r="L212">
        <f t="shared" si="149"/>
        <v>440.91023166502538</v>
      </c>
      <c r="M212">
        <f t="shared" si="151"/>
        <v>-14.160231665025378</v>
      </c>
      <c r="N212">
        <f t="shared" si="152"/>
        <v>200.5121608071874</v>
      </c>
    </row>
    <row r="213" spans="1:14" x14ac:dyDescent="0.45">
      <c r="A213" s="23">
        <v>42121</v>
      </c>
      <c r="B213">
        <v>443.86</v>
      </c>
      <c r="C213">
        <v>438.56</v>
      </c>
      <c r="G213">
        <f t="shared" ref="G213:K213" si="170">SUMPRODUCT($B213:$B217,P$2:P$6)</f>
        <v>429.09262002157823</v>
      </c>
      <c r="H213">
        <f t="shared" si="170"/>
        <v>53.595554484650457</v>
      </c>
      <c r="I213">
        <f t="shared" si="170"/>
        <v>112.96342233168269</v>
      </c>
      <c r="J213">
        <f t="shared" si="170"/>
        <v>314.48981304000108</v>
      </c>
      <c r="K213">
        <f t="shared" si="170"/>
        <v>408.44700140975004</v>
      </c>
      <c r="L213">
        <f t="shared" si="149"/>
        <v>445.00399706561882</v>
      </c>
      <c r="M213">
        <f t="shared" si="151"/>
        <v>-6.4939970656188279</v>
      </c>
      <c r="N213">
        <f t="shared" si="152"/>
        <v>42.171997888265949</v>
      </c>
    </row>
    <row r="214" spans="1:14" x14ac:dyDescent="0.45">
      <c r="A214" s="23">
        <v>42118</v>
      </c>
      <c r="B214">
        <v>439</v>
      </c>
      <c r="C214">
        <v>445.1</v>
      </c>
      <c r="G214">
        <f t="shared" ref="G214:K214" si="171">SUMPRODUCT($B214:$B218,P$2:P$6)</f>
        <v>425.99480889043667</v>
      </c>
      <c r="H214">
        <f t="shared" si="171"/>
        <v>51.277638128980442</v>
      </c>
      <c r="I214">
        <f t="shared" si="171"/>
        <v>110.50846827971134</v>
      </c>
      <c r="J214">
        <f t="shared" si="171"/>
        <v>307.77704206852536</v>
      </c>
      <c r="K214">
        <f t="shared" si="171"/>
        <v>398.85613907659751</v>
      </c>
      <c r="L214">
        <f t="shared" si="149"/>
        <v>435.08239333092104</v>
      </c>
      <c r="M214">
        <f t="shared" si="151"/>
        <v>8.7776066690789776</v>
      </c>
      <c r="N214">
        <f t="shared" si="152"/>
        <v>77.046378837059748</v>
      </c>
    </row>
    <row r="215" spans="1:14" x14ac:dyDescent="0.45">
      <c r="A215" s="23">
        <v>42117</v>
      </c>
      <c r="B215">
        <v>390.21</v>
      </c>
      <c r="C215">
        <v>389.99</v>
      </c>
      <c r="G215">
        <f t="shared" ref="G215:K215" si="172">SUMPRODUCT($B215:$B219,P$2:P$6)</f>
        <v>411.58860426527019</v>
      </c>
      <c r="H215">
        <f t="shared" si="172"/>
        <v>48.151544710049656</v>
      </c>
      <c r="I215">
        <f t="shared" si="172"/>
        <v>99.474798646860549</v>
      </c>
      <c r="J215">
        <f t="shared" si="172"/>
        <v>276.92095889617838</v>
      </c>
      <c r="K215">
        <f t="shared" si="172"/>
        <v>359.77248805484152</v>
      </c>
      <c r="L215">
        <f t="shared" si="149"/>
        <v>392.77969472484722</v>
      </c>
      <c r="M215">
        <f t="shared" si="151"/>
        <v>46.220305275152782</v>
      </c>
      <c r="N215">
        <f t="shared" si="152"/>
        <v>2136.3166197283163</v>
      </c>
    </row>
    <row r="216" spans="1:14" x14ac:dyDescent="0.45">
      <c r="A216" s="23">
        <v>42116</v>
      </c>
      <c r="B216">
        <v>391.91</v>
      </c>
      <c r="C216">
        <v>389.8</v>
      </c>
      <c r="G216">
        <f t="shared" ref="G216:K216" si="173">SUMPRODUCT($B216:$B220,P$2:P$6)</f>
        <v>415.02067153087376</v>
      </c>
      <c r="H216">
        <f t="shared" si="173"/>
        <v>48.029880695541891</v>
      </c>
      <c r="I216">
        <f t="shared" si="173"/>
        <v>99.844272456207705</v>
      </c>
      <c r="J216">
        <f t="shared" si="173"/>
        <v>277.95587772704636</v>
      </c>
      <c r="K216">
        <f t="shared" si="173"/>
        <v>361.07135521306412</v>
      </c>
      <c r="L216">
        <f t="shared" si="149"/>
        <v>394.19060760938493</v>
      </c>
      <c r="M216">
        <f t="shared" si="151"/>
        <v>-3.980607609384947</v>
      </c>
      <c r="N216">
        <f t="shared" si="152"/>
        <v>15.845236939893342</v>
      </c>
    </row>
    <row r="217" spans="1:14" x14ac:dyDescent="0.45">
      <c r="A217" s="23">
        <v>42115</v>
      </c>
      <c r="B217">
        <v>391.31</v>
      </c>
      <c r="C217">
        <v>391.18</v>
      </c>
      <c r="G217">
        <f t="shared" ref="G217:K217" si="174">SUMPRODUCT($B217:$B221,P$2:P$6)</f>
        <v>415.62708586579458</v>
      </c>
      <c r="H217">
        <f t="shared" si="174"/>
        <v>47.526704746572776</v>
      </c>
      <c r="I217">
        <f t="shared" si="174"/>
        <v>99.354631146308648</v>
      </c>
      <c r="J217">
        <f t="shared" si="174"/>
        <v>276.62641200034591</v>
      </c>
      <c r="K217">
        <f t="shared" si="174"/>
        <v>359.10332268348265</v>
      </c>
      <c r="L217">
        <f t="shared" si="149"/>
        <v>392.18035621996438</v>
      </c>
      <c r="M217">
        <f t="shared" si="151"/>
        <v>-0.27035621996435566</v>
      </c>
      <c r="N217">
        <f t="shared" si="152"/>
        <v>7.3092485673415059E-2</v>
      </c>
    </row>
    <row r="218" spans="1:14" x14ac:dyDescent="0.45">
      <c r="A218" s="23">
        <v>42114</v>
      </c>
      <c r="B218">
        <v>378.55</v>
      </c>
      <c r="C218">
        <v>389.51</v>
      </c>
      <c r="G218">
        <f t="shared" ref="G218:K218" si="175">SUMPRODUCT($B218:$B222,P$2:P$6)</f>
        <v>415.92569010065188</v>
      </c>
      <c r="H218">
        <f t="shared" si="175"/>
        <v>46.880074444559739</v>
      </c>
      <c r="I218">
        <f t="shared" si="175"/>
        <v>96.569686006402264</v>
      </c>
      <c r="J218">
        <f t="shared" si="175"/>
        <v>268.82687412028031</v>
      </c>
      <c r="K218">
        <f t="shared" si="175"/>
        <v>349.30488972296911</v>
      </c>
      <c r="L218">
        <f t="shared" si="149"/>
        <v>381.54079879487301</v>
      </c>
      <c r="M218">
        <f t="shared" si="151"/>
        <v>9.7692012051269899</v>
      </c>
      <c r="N218">
        <f t="shared" si="152"/>
        <v>95.437292186254638</v>
      </c>
    </row>
    <row r="219" spans="1:14" x14ac:dyDescent="0.45">
      <c r="A219" s="23">
        <v>42111</v>
      </c>
      <c r="B219">
        <v>382.63</v>
      </c>
      <c r="C219">
        <v>375.56</v>
      </c>
      <c r="G219">
        <f t="shared" ref="G219:K219" si="176">SUMPRODUCT($B219:$B223,P$2:P$6)</f>
        <v>415.18975017550906</v>
      </c>
      <c r="H219">
        <f t="shared" si="176"/>
        <v>47.206276670347201</v>
      </c>
      <c r="I219">
        <f t="shared" si="176"/>
        <v>97.525654255195363</v>
      </c>
      <c r="J219">
        <f t="shared" si="176"/>
        <v>271.49653187860264</v>
      </c>
      <c r="K219">
        <f t="shared" si="176"/>
        <v>352.71311220115177</v>
      </c>
      <c r="L219">
        <f t="shared" si="149"/>
        <v>385.21845792373722</v>
      </c>
      <c r="M219">
        <f t="shared" si="151"/>
        <v>-6.6684579237372077</v>
      </c>
      <c r="N219">
        <f t="shared" si="152"/>
        <v>44.468331080653549</v>
      </c>
    </row>
    <row r="220" spans="1:14" x14ac:dyDescent="0.45">
      <c r="A220" s="23">
        <v>42110</v>
      </c>
      <c r="B220">
        <v>383.69</v>
      </c>
      <c r="C220">
        <v>386.04</v>
      </c>
      <c r="G220">
        <f t="shared" ref="G220:K220" si="177">SUMPRODUCT($B220:$B224,P$2:P$6)</f>
        <v>415.29395395821359</v>
      </c>
      <c r="H220">
        <f t="shared" si="177"/>
        <v>47.296860148387722</v>
      </c>
      <c r="I220">
        <f t="shared" si="177"/>
        <v>97.79297841793084</v>
      </c>
      <c r="J220">
        <f t="shared" si="177"/>
        <v>272.2410056510505</v>
      </c>
      <c r="K220">
        <f t="shared" si="177"/>
        <v>353.67825404448615</v>
      </c>
      <c r="L220">
        <f t="shared" si="149"/>
        <v>386.25374107535328</v>
      </c>
      <c r="M220">
        <f t="shared" si="151"/>
        <v>-3.6237410753532799</v>
      </c>
      <c r="N220">
        <f t="shared" si="152"/>
        <v>13.131499381202545</v>
      </c>
    </row>
    <row r="221" spans="1:14" x14ac:dyDescent="0.45">
      <c r="A221" s="23">
        <v>42109</v>
      </c>
      <c r="B221">
        <v>384.65</v>
      </c>
      <c r="C221">
        <v>383.45</v>
      </c>
      <c r="G221">
        <f t="shared" ref="G221:K221" si="178">SUMPRODUCT($B221:$B225,P$2:P$6)</f>
        <v>415.90788710695705</v>
      </c>
      <c r="H221">
        <f t="shared" si="178"/>
        <v>47.312505182397615</v>
      </c>
      <c r="I221">
        <f t="shared" si="178"/>
        <v>97.979432899331528</v>
      </c>
      <c r="J221">
        <f t="shared" si="178"/>
        <v>272.76588434708049</v>
      </c>
      <c r="K221">
        <f t="shared" si="178"/>
        <v>354.31849384007376</v>
      </c>
      <c r="L221">
        <f t="shared" si="149"/>
        <v>386.95709113843219</v>
      </c>
      <c r="M221">
        <f t="shared" si="151"/>
        <v>-3.2670911384321926</v>
      </c>
      <c r="N221">
        <f t="shared" si="152"/>
        <v>10.67388450682216</v>
      </c>
    </row>
    <row r="222" spans="1:14" x14ac:dyDescent="0.45">
      <c r="A222" s="23">
        <v>42108</v>
      </c>
      <c r="B222">
        <v>383.51</v>
      </c>
      <c r="C222">
        <v>385.11</v>
      </c>
      <c r="G222">
        <f t="shared" ref="G222:K222" si="179">SUMPRODUCT($B222:$B226,P$2:P$6)</f>
        <v>412.3217570791212</v>
      </c>
      <c r="H222">
        <f t="shared" si="179"/>
        <v>47.251571642463404</v>
      </c>
      <c r="I222">
        <f t="shared" si="179"/>
        <v>97.72107709041714</v>
      </c>
      <c r="J222">
        <f t="shared" si="179"/>
        <v>272.0434530288623</v>
      </c>
      <c r="K222">
        <f t="shared" si="179"/>
        <v>353.40299190009114</v>
      </c>
      <c r="L222">
        <f t="shared" si="149"/>
        <v>385.96637038673151</v>
      </c>
      <c r="M222">
        <f t="shared" si="151"/>
        <v>-1.3163703867315348</v>
      </c>
      <c r="N222">
        <f t="shared" si="152"/>
        <v>1.7328309950637306</v>
      </c>
    </row>
    <row r="223" spans="1:14" x14ac:dyDescent="0.45">
      <c r="A223" s="23">
        <v>42107</v>
      </c>
      <c r="B223">
        <v>383.53</v>
      </c>
      <c r="C223">
        <v>382.36</v>
      </c>
      <c r="G223">
        <f t="shared" ref="G223:K223" si="180">SUMPRODUCT($B223:$B227,P$2:P$6)</f>
        <v>406.75932451571157</v>
      </c>
      <c r="H223">
        <f t="shared" si="180"/>
        <v>47.225869680458658</v>
      </c>
      <c r="I223">
        <f t="shared" si="180"/>
        <v>97.747219122643401</v>
      </c>
      <c r="J223">
        <f t="shared" si="180"/>
        <v>272.11412828110207</v>
      </c>
      <c r="K223">
        <f t="shared" si="180"/>
        <v>353.50986785661712</v>
      </c>
      <c r="L223">
        <f t="shared" si="149"/>
        <v>386.07472506784649</v>
      </c>
      <c r="M223">
        <f t="shared" si="151"/>
        <v>-2.5647250678464957</v>
      </c>
      <c r="N223">
        <f t="shared" si="152"/>
        <v>6.5778146736402121</v>
      </c>
    </row>
    <row r="224" spans="1:14" x14ac:dyDescent="0.45">
      <c r="A224" s="23">
        <v>42104</v>
      </c>
      <c r="B224">
        <v>384.31</v>
      </c>
      <c r="C224">
        <v>382.65</v>
      </c>
      <c r="G224">
        <f t="shared" ref="G224:K224" si="181">SUMPRODUCT($B224:$B228,P$2:P$6)</f>
        <v>407.63866887435177</v>
      </c>
      <c r="H224">
        <f t="shared" si="181"/>
        <v>47.027397380141508</v>
      </c>
      <c r="I224">
        <f t="shared" si="181"/>
        <v>97.823281042163885</v>
      </c>
      <c r="J224">
        <f t="shared" si="181"/>
        <v>272.33812913673296</v>
      </c>
      <c r="K224">
        <f t="shared" si="181"/>
        <v>353.71308214587231</v>
      </c>
      <c r="L224">
        <f t="shared" si="149"/>
        <v>386.32865258383032</v>
      </c>
      <c r="M224">
        <f t="shared" si="151"/>
        <v>-2.7986525838303464</v>
      </c>
      <c r="N224">
        <f t="shared" si="152"/>
        <v>7.8324562849802746</v>
      </c>
    </row>
    <row r="225" spans="1:14" x14ac:dyDescent="0.45">
      <c r="A225" s="23">
        <v>42103</v>
      </c>
      <c r="B225">
        <v>380.66</v>
      </c>
      <c r="C225">
        <v>383.54</v>
      </c>
      <c r="G225">
        <f t="shared" ref="G225:K225" si="182">SUMPRODUCT($B225:$B229,P$2:P$6)</f>
        <v>401.68846004740243</v>
      </c>
      <c r="H225">
        <f t="shared" si="182"/>
        <v>46.563826110923507</v>
      </c>
      <c r="I225">
        <f t="shared" si="182"/>
        <v>96.828160031291432</v>
      </c>
      <c r="J225">
        <f t="shared" si="182"/>
        <v>269.57433690234473</v>
      </c>
      <c r="K225">
        <f t="shared" si="182"/>
        <v>350.0761584972704</v>
      </c>
      <c r="L225">
        <f t="shared" si="149"/>
        <v>382.4496481955336</v>
      </c>
      <c r="M225">
        <f t="shared" si="151"/>
        <v>1.8603518044664042</v>
      </c>
      <c r="N225">
        <f t="shared" si="152"/>
        <v>3.4609088363814062</v>
      </c>
    </row>
    <row r="226" spans="1:14" x14ac:dyDescent="0.45">
      <c r="A226" s="23">
        <v>42102</v>
      </c>
      <c r="B226">
        <v>374.66</v>
      </c>
      <c r="C226">
        <v>381.2</v>
      </c>
      <c r="G226">
        <f t="shared" ref="G226:K226" si="183">SUMPRODUCT($B226:$B230,P$2:P$6)</f>
        <v>401.61180718027504</v>
      </c>
      <c r="H226">
        <f t="shared" si="183"/>
        <v>46.135329550756559</v>
      </c>
      <c r="I226">
        <f t="shared" si="183"/>
        <v>95.506758534831164</v>
      </c>
      <c r="J226">
        <f t="shared" si="183"/>
        <v>265.87498689071975</v>
      </c>
      <c r="K226">
        <f t="shared" si="183"/>
        <v>345.41887808814499</v>
      </c>
      <c r="L226">
        <f t="shared" si="149"/>
        <v>377.39676394222988</v>
      </c>
      <c r="M226">
        <f t="shared" si="151"/>
        <v>3.2632360577701434</v>
      </c>
      <c r="N226">
        <f t="shared" si="152"/>
        <v>10.648709568731226</v>
      </c>
    </row>
    <row r="227" spans="1:14" x14ac:dyDescent="0.45">
      <c r="A227" s="23">
        <v>42101</v>
      </c>
      <c r="B227">
        <v>376.15</v>
      </c>
      <c r="C227">
        <v>374.41</v>
      </c>
      <c r="G227">
        <f t="shared" ref="G227:K227" si="184">SUMPRODUCT($B227:$B231,P$2:P$6)</f>
        <v>402.98215488738288</v>
      </c>
      <c r="H227">
        <f t="shared" si="184"/>
        <v>45.987679392891906</v>
      </c>
      <c r="I227">
        <f t="shared" si="184"/>
        <v>95.677606160643222</v>
      </c>
      <c r="J227">
        <f t="shared" si="184"/>
        <v>266.37146096228673</v>
      </c>
      <c r="K227">
        <f t="shared" si="184"/>
        <v>345.91441936594464</v>
      </c>
      <c r="L227">
        <f t="shared" si="149"/>
        <v>377.98937600532048</v>
      </c>
      <c r="M227">
        <f t="shared" si="151"/>
        <v>-3.3293760053204551</v>
      </c>
      <c r="N227">
        <f t="shared" si="152"/>
        <v>11.084744584803591</v>
      </c>
    </row>
    <row r="228" spans="1:14" x14ac:dyDescent="0.45">
      <c r="A228" s="23">
        <v>42100</v>
      </c>
      <c r="B228">
        <v>370.1</v>
      </c>
      <c r="C228">
        <v>377.04</v>
      </c>
      <c r="G228">
        <f t="shared" ref="G228:K228" si="185">SUMPRODUCT($B228:$B232,P$2:P$6)</f>
        <v>403.70405455584586</v>
      </c>
      <c r="H228">
        <f t="shared" si="185"/>
        <v>45.635169819205416</v>
      </c>
      <c r="I228">
        <f t="shared" si="185"/>
        <v>94.314662038235525</v>
      </c>
      <c r="J228">
        <f t="shared" si="185"/>
        <v>262.55934598329793</v>
      </c>
      <c r="K228">
        <f t="shared" si="185"/>
        <v>341.0900328721707</v>
      </c>
      <c r="L228">
        <f t="shared" si="149"/>
        <v>372.76586467848375</v>
      </c>
      <c r="M228">
        <f t="shared" si="151"/>
        <v>3.3841353215162258</v>
      </c>
      <c r="N228">
        <f t="shared" si="152"/>
        <v>11.452371874333728</v>
      </c>
    </row>
    <row r="229" spans="1:14" x14ac:dyDescent="0.45">
      <c r="A229" s="23">
        <v>42096</v>
      </c>
      <c r="B229">
        <v>370.5</v>
      </c>
      <c r="C229">
        <v>372.25</v>
      </c>
      <c r="G229">
        <f t="shared" ref="G229:K229" si="186">SUMPRODUCT($B229:$B233,P$2:P$6)</f>
        <v>402.41813068708944</v>
      </c>
      <c r="H229">
        <f t="shared" si="186"/>
        <v>45.746370359848413</v>
      </c>
      <c r="I229">
        <f t="shared" si="186"/>
        <v>94.449814862844022</v>
      </c>
      <c r="J229">
        <f t="shared" si="186"/>
        <v>262.93228249989124</v>
      </c>
      <c r="K229">
        <f t="shared" si="186"/>
        <v>341.59828073137783</v>
      </c>
      <c r="L229">
        <f t="shared" si="149"/>
        <v>373.30083626550328</v>
      </c>
      <c r="M229">
        <f t="shared" si="151"/>
        <v>-3.2008362655032556</v>
      </c>
      <c r="N229">
        <f t="shared" si="152"/>
        <v>10.245352798560829</v>
      </c>
    </row>
    <row r="230" spans="1:14" x14ac:dyDescent="0.45">
      <c r="A230" s="23">
        <v>42095</v>
      </c>
      <c r="B230">
        <v>372.1</v>
      </c>
      <c r="C230">
        <v>370.26</v>
      </c>
      <c r="G230">
        <f t="shared" ref="G230:K230" si="187">SUMPRODUCT($B230:$B234,P$2:P$6)</f>
        <v>398.21052121546086</v>
      </c>
      <c r="H230">
        <f t="shared" si="187"/>
        <v>45.875964290258239</v>
      </c>
      <c r="I230">
        <f t="shared" si="187"/>
        <v>94.844762902518866</v>
      </c>
      <c r="J230">
        <f t="shared" si="187"/>
        <v>264.03304440047424</v>
      </c>
      <c r="K230">
        <f t="shared" si="187"/>
        <v>343.0191316762706</v>
      </c>
      <c r="L230">
        <f t="shared" si="149"/>
        <v>374.82749711376403</v>
      </c>
      <c r="M230">
        <f t="shared" si="151"/>
        <v>-4.327497113764025</v>
      </c>
      <c r="N230">
        <f t="shared" si="152"/>
        <v>18.727231269635968</v>
      </c>
    </row>
    <row r="231" spans="1:14" x14ac:dyDescent="0.45">
      <c r="A231" s="23">
        <v>42094</v>
      </c>
      <c r="B231">
        <v>373.24</v>
      </c>
      <c r="C231">
        <v>372.1</v>
      </c>
      <c r="G231">
        <f t="shared" ref="G231:K231" si="188">SUMPRODUCT($B231:$B235,P$2:P$6)</f>
        <v>400.52026481861651</v>
      </c>
      <c r="H231">
        <f t="shared" si="188"/>
        <v>45.815974727728964</v>
      </c>
      <c r="I231">
        <f t="shared" si="188"/>
        <v>95.065731239871752</v>
      </c>
      <c r="J231">
        <f t="shared" si="188"/>
        <v>264.65512605595518</v>
      </c>
      <c r="K231">
        <f t="shared" si="188"/>
        <v>343.77752531509088</v>
      </c>
      <c r="L231">
        <f t="shared" si="149"/>
        <v>375.66082966529319</v>
      </c>
      <c r="M231">
        <f t="shared" si="151"/>
        <v>-3.5608296652931699</v>
      </c>
      <c r="N231">
        <f t="shared" si="152"/>
        <v>12.679507905231869</v>
      </c>
    </row>
    <row r="232" spans="1:14" x14ac:dyDescent="0.45">
      <c r="A232" s="23">
        <v>42093</v>
      </c>
      <c r="B232">
        <v>371.87</v>
      </c>
      <c r="C232">
        <v>374.59</v>
      </c>
      <c r="G232">
        <f t="shared" ref="G232:K232" si="189">SUMPRODUCT($B232:$B236,P$2:P$6)</f>
        <v>405.43173890588338</v>
      </c>
      <c r="H232">
        <f t="shared" si="189"/>
        <v>45.568999513274591</v>
      </c>
      <c r="I232">
        <f t="shared" si="189"/>
        <v>94.622767167655681</v>
      </c>
      <c r="J232">
        <f t="shared" si="189"/>
        <v>263.431341801504</v>
      </c>
      <c r="K232">
        <f t="shared" si="189"/>
        <v>342.12056749125964</v>
      </c>
      <c r="L232">
        <f t="shared" si="149"/>
        <v>373.91249295392282</v>
      </c>
      <c r="M232">
        <f t="shared" si="151"/>
        <v>-0.67249295392281283</v>
      </c>
      <c r="N232">
        <f t="shared" si="152"/>
        <v>0.45224677307583044</v>
      </c>
    </row>
    <row r="233" spans="1:14" x14ac:dyDescent="0.45">
      <c r="A233" s="23">
        <v>42090</v>
      </c>
      <c r="B233">
        <v>367.11</v>
      </c>
      <c r="C233">
        <v>370.56</v>
      </c>
      <c r="G233">
        <f t="shared" ref="G233:K233" si="190">SUMPRODUCT($B233:$B237,P$2:P$6)</f>
        <v>404.48301246160963</v>
      </c>
      <c r="H233">
        <f t="shared" si="190"/>
        <v>45.452021761555663</v>
      </c>
      <c r="I233">
        <f t="shared" si="190"/>
        <v>93.610400864605197</v>
      </c>
      <c r="J233">
        <f t="shared" si="190"/>
        <v>260.59300888614615</v>
      </c>
      <c r="K233">
        <f t="shared" si="190"/>
        <v>338.57684066374009</v>
      </c>
      <c r="L233">
        <f t="shared" si="149"/>
        <v>370.05519209751009</v>
      </c>
      <c r="M233">
        <f t="shared" si="151"/>
        <v>1.8148079024899175</v>
      </c>
      <c r="N233">
        <f t="shared" si="152"/>
        <v>3.2935277229398539</v>
      </c>
    </row>
    <row r="234" spans="1:14" x14ac:dyDescent="0.45">
      <c r="A234" s="23">
        <v>42089</v>
      </c>
      <c r="B234">
        <v>369.59</v>
      </c>
      <c r="C234">
        <v>367.35</v>
      </c>
      <c r="G234">
        <f t="shared" ref="G234:K234" si="191">SUMPRODUCT($B234:$B238,P$2:P$6)</f>
        <v>408.50341194173734</v>
      </c>
      <c r="H234">
        <f t="shared" si="191"/>
        <v>45.826756739303249</v>
      </c>
      <c r="I234">
        <f t="shared" si="191"/>
        <v>94.328169421190964</v>
      </c>
      <c r="J234">
        <f t="shared" si="191"/>
        <v>262.5826134351596</v>
      </c>
      <c r="K234">
        <f t="shared" si="191"/>
        <v>341.2229032967175</v>
      </c>
      <c r="L234">
        <f t="shared" si="149"/>
        <v>372.86604664003841</v>
      </c>
      <c r="M234">
        <f t="shared" si="151"/>
        <v>-5.7560466400383916</v>
      </c>
      <c r="N234">
        <f t="shared" si="152"/>
        <v>33.132072922297255</v>
      </c>
    </row>
    <row r="235" spans="1:14" x14ac:dyDescent="0.45">
      <c r="A235" s="23">
        <v>42088</v>
      </c>
      <c r="B235">
        <v>375.17</v>
      </c>
      <c r="C235">
        <v>370.96</v>
      </c>
      <c r="G235">
        <f t="shared" ref="G235:K235" si="192">SUMPRODUCT($B235:$B239,P$2:P$6)</f>
        <v>407.20626467695166</v>
      </c>
      <c r="H235">
        <f t="shared" si="192"/>
        <v>46.208627976522038</v>
      </c>
      <c r="I235">
        <f t="shared" si="192"/>
        <v>95.562768686063777</v>
      </c>
      <c r="J235">
        <f t="shared" si="192"/>
        <v>266.03829749581689</v>
      </c>
      <c r="K235">
        <f t="shared" si="192"/>
        <v>345.57811272724052</v>
      </c>
      <c r="L235">
        <f t="shared" si="149"/>
        <v>377.58920928139855</v>
      </c>
      <c r="M235">
        <f t="shared" si="151"/>
        <v>-7.9992092813985778</v>
      </c>
      <c r="N235">
        <f t="shared" si="152"/>
        <v>63.98734912761315</v>
      </c>
    </row>
    <row r="236" spans="1:14" x14ac:dyDescent="0.45">
      <c r="A236" s="23">
        <v>42087</v>
      </c>
      <c r="B236">
        <v>373.99</v>
      </c>
      <c r="C236">
        <v>374.09</v>
      </c>
      <c r="G236">
        <f t="shared" ref="G236:K236" si="193">SUMPRODUCT($B236:$B240,P$2:P$6)</f>
        <v>404.88874457501851</v>
      </c>
      <c r="H236">
        <f t="shared" si="193"/>
        <v>46.272166906345184</v>
      </c>
      <c r="I236">
        <f t="shared" si="193"/>
        <v>95.407767113540757</v>
      </c>
      <c r="J236">
        <f t="shared" si="193"/>
        <v>265.59224593067734</v>
      </c>
      <c r="K236">
        <f t="shared" si="193"/>
        <v>345.10289491311835</v>
      </c>
      <c r="L236">
        <f t="shared" si="149"/>
        <v>377.03696919156801</v>
      </c>
      <c r="M236">
        <f t="shared" si="151"/>
        <v>-1.8669691915679891</v>
      </c>
      <c r="N236">
        <f t="shared" si="152"/>
        <v>3.4855739622640307</v>
      </c>
    </row>
    <row r="237" spans="1:14" x14ac:dyDescent="0.45">
      <c r="A237" s="23">
        <v>42086</v>
      </c>
      <c r="B237">
        <v>378.07</v>
      </c>
      <c r="C237">
        <v>375.11</v>
      </c>
      <c r="G237">
        <f t="shared" ref="G237:K237" si="194">SUMPRODUCT($B237:$B241,P$2:P$6)</f>
        <v>401.4243717442971</v>
      </c>
      <c r="H237">
        <f t="shared" si="194"/>
        <v>46.42527824343108</v>
      </c>
      <c r="I237">
        <f t="shared" si="194"/>
        <v>96.285083831572365</v>
      </c>
      <c r="J237">
        <f t="shared" si="194"/>
        <v>268.05080182594116</v>
      </c>
      <c r="K237">
        <f t="shared" si="194"/>
        <v>348.18060807626352</v>
      </c>
      <c r="L237">
        <f t="shared" si="149"/>
        <v>380.38353226459236</v>
      </c>
      <c r="M237">
        <f t="shared" si="151"/>
        <v>-6.393532264592352</v>
      </c>
      <c r="N237">
        <f t="shared" si="152"/>
        <v>40.877254818383406</v>
      </c>
    </row>
    <row r="238" spans="1:14" x14ac:dyDescent="0.45">
      <c r="A238" s="23">
        <v>42083</v>
      </c>
      <c r="B238">
        <v>376.29</v>
      </c>
      <c r="C238">
        <v>378.49</v>
      </c>
      <c r="G238">
        <f t="shared" ref="G238:K238" si="195">SUMPRODUCT($B238:$B242,P$2:P$6)</f>
        <v>402.11963111880209</v>
      </c>
      <c r="H238">
        <f t="shared" si="195"/>
        <v>46.144908587816339</v>
      </c>
      <c r="I238">
        <f t="shared" si="195"/>
        <v>95.81380681434409</v>
      </c>
      <c r="J238">
        <f t="shared" si="195"/>
        <v>266.74058941913847</v>
      </c>
      <c r="K238">
        <f t="shared" si="195"/>
        <v>346.46587474387513</v>
      </c>
      <c r="L238">
        <f t="shared" si="149"/>
        <v>378.55084576999337</v>
      </c>
      <c r="M238">
        <f t="shared" si="151"/>
        <v>-0.48084576999337969</v>
      </c>
      <c r="N238">
        <f t="shared" si="152"/>
        <v>0.2312126545205262</v>
      </c>
    </row>
    <row r="239" spans="1:14" x14ac:dyDescent="0.45">
      <c r="A239" s="23">
        <v>42082</v>
      </c>
      <c r="B239">
        <v>373.87</v>
      </c>
      <c r="C239">
        <v>373.24</v>
      </c>
      <c r="G239">
        <f t="shared" ref="G239:K239" si="196">SUMPRODUCT($B239:$B243,P$2:P$6)</f>
        <v>401.22828215467024</v>
      </c>
      <c r="H239">
        <f t="shared" si="196"/>
        <v>45.843277025301077</v>
      </c>
      <c r="I239">
        <f t="shared" si="196"/>
        <v>95.156191708650042</v>
      </c>
      <c r="J239">
        <f t="shared" si="196"/>
        <v>264.91396133362031</v>
      </c>
      <c r="K239">
        <f t="shared" si="196"/>
        <v>344.06363147768508</v>
      </c>
      <c r="L239">
        <f t="shared" si="149"/>
        <v>375.98811606647729</v>
      </c>
      <c r="M239">
        <f t="shared" si="151"/>
        <v>0.30188393352273124</v>
      </c>
      <c r="N239">
        <f t="shared" si="152"/>
        <v>9.1133909319156811E-2</v>
      </c>
    </row>
    <row r="240" spans="1:14" x14ac:dyDescent="0.45">
      <c r="A240" s="23">
        <v>42081</v>
      </c>
      <c r="B240">
        <v>369.97</v>
      </c>
      <c r="C240">
        <v>375.14</v>
      </c>
      <c r="G240">
        <f t="shared" ref="G240:K240" si="197">SUMPRODUCT($B240:$B244,P$2:P$6)</f>
        <v>401.98418072297358</v>
      </c>
      <c r="H240">
        <f t="shared" si="197"/>
        <v>45.624028769570856</v>
      </c>
      <c r="I240">
        <f t="shared" si="197"/>
        <v>94.302029367393203</v>
      </c>
      <c r="J240">
        <f t="shared" si="197"/>
        <v>262.52213416137016</v>
      </c>
      <c r="K240">
        <f t="shared" si="197"/>
        <v>341.05635778482718</v>
      </c>
      <c r="L240">
        <f t="shared" si="149"/>
        <v>372.72373630926558</v>
      </c>
      <c r="M240">
        <f t="shared" si="151"/>
        <v>1.146263690734429</v>
      </c>
      <c r="N240">
        <f t="shared" si="152"/>
        <v>1.3139204486961147</v>
      </c>
    </row>
    <row r="241" spans="1:14" x14ac:dyDescent="0.45">
      <c r="A241" s="23">
        <v>42080</v>
      </c>
      <c r="B241">
        <v>371.11</v>
      </c>
      <c r="C241">
        <v>371.92</v>
      </c>
      <c r="G241">
        <f t="shared" ref="G241:K241" si="198">SUMPRODUCT($B241:$B245,P$2:P$6)</f>
        <v>399.63364784976602</v>
      </c>
      <c r="H241">
        <f t="shared" si="198"/>
        <v>45.686711358138226</v>
      </c>
      <c r="I241">
        <f t="shared" si="198"/>
        <v>94.54071903955122</v>
      </c>
      <c r="J241">
        <f t="shared" si="198"/>
        <v>263.19179228115684</v>
      </c>
      <c r="K241">
        <f t="shared" si="198"/>
        <v>341.88923239605032</v>
      </c>
      <c r="L241">
        <f t="shared" si="149"/>
        <v>373.63168351317466</v>
      </c>
      <c r="M241">
        <f t="shared" si="151"/>
        <v>-3.661683513174637</v>
      </c>
      <c r="N241">
        <f t="shared" si="152"/>
        <v>13.407926150654951</v>
      </c>
    </row>
    <row r="242" spans="1:14" x14ac:dyDescent="0.45">
      <c r="A242" s="23">
        <v>42079</v>
      </c>
      <c r="B242">
        <v>370.38</v>
      </c>
      <c r="C242">
        <v>373.35</v>
      </c>
      <c r="G242">
        <f t="shared" ref="G242:K242" si="199">SUMPRODUCT($B242:$B246,P$2:P$6)</f>
        <v>401.40745983550482</v>
      </c>
      <c r="H242">
        <f t="shared" si="199"/>
        <v>45.642452317304098</v>
      </c>
      <c r="I242">
        <f t="shared" si="199"/>
        <v>94.406501924888261</v>
      </c>
      <c r="J242">
        <f t="shared" si="199"/>
        <v>262.81296513430516</v>
      </c>
      <c r="K242">
        <f t="shared" si="199"/>
        <v>341.43416872167774</v>
      </c>
      <c r="L242">
        <f t="shared" si="149"/>
        <v>373.12868536545034</v>
      </c>
      <c r="M242">
        <f t="shared" si="151"/>
        <v>-2.0186853654503238</v>
      </c>
      <c r="N242">
        <f t="shared" si="152"/>
        <v>4.0750906046833073</v>
      </c>
    </row>
    <row r="243" spans="1:14" x14ac:dyDescent="0.45">
      <c r="A243" s="23">
        <v>42076</v>
      </c>
      <c r="B243">
        <v>371.52</v>
      </c>
      <c r="C243">
        <v>370.58</v>
      </c>
      <c r="G243">
        <f t="shared" ref="G243:K243" si="200">SUMPRODUCT($B243:$B247,P$2:P$6)</f>
        <v>407.74921521179709</v>
      </c>
      <c r="H243">
        <f t="shared" si="200"/>
        <v>45.633828259246997</v>
      </c>
      <c r="I243">
        <f t="shared" si="200"/>
        <v>94.590637239303064</v>
      </c>
      <c r="J243">
        <f t="shared" si="200"/>
        <v>263.33619237509487</v>
      </c>
      <c r="K243">
        <f t="shared" si="200"/>
        <v>342.03778158972341</v>
      </c>
      <c r="L243">
        <f t="shared" si="149"/>
        <v>373.80696561813869</v>
      </c>
      <c r="M243">
        <f t="shared" si="151"/>
        <v>-3.4269656181386949</v>
      </c>
      <c r="N243">
        <f t="shared" si="152"/>
        <v>11.744093347904727</v>
      </c>
    </row>
    <row r="244" spans="1:14" x14ac:dyDescent="0.45">
      <c r="A244" s="23">
        <v>42075</v>
      </c>
      <c r="B244">
        <v>368.82</v>
      </c>
      <c r="C244">
        <v>374.24</v>
      </c>
      <c r="G244">
        <f t="shared" ref="G244:K244" si="201">SUMPRODUCT($B244:$B248,P$2:P$6)</f>
        <v>408.99108526036372</v>
      </c>
      <c r="H244">
        <f t="shared" si="201"/>
        <v>45.643244699428031</v>
      </c>
      <c r="I244">
        <f t="shared" si="201"/>
        <v>94.027012476815003</v>
      </c>
      <c r="J244">
        <f t="shared" si="201"/>
        <v>261.75470589180657</v>
      </c>
      <c r="K244">
        <f t="shared" si="201"/>
        <v>340.07228891906232</v>
      </c>
      <c r="L244">
        <f t="shared" si="149"/>
        <v>371.6636861712546</v>
      </c>
      <c r="M244">
        <f t="shared" si="151"/>
        <v>-0.14368617125461469</v>
      </c>
      <c r="N244">
        <f t="shared" si="152"/>
        <v>2.064571580981046E-2</v>
      </c>
    </row>
    <row r="245" spans="1:14" x14ac:dyDescent="0.45">
      <c r="A245" s="23">
        <v>42074</v>
      </c>
      <c r="B245">
        <v>370.61</v>
      </c>
      <c r="C245">
        <v>366.37</v>
      </c>
      <c r="G245">
        <f t="shared" ref="G245:K245" si="202">SUMPRODUCT($B245:$B249,P$2:P$6)</f>
        <v>415.94755147015553</v>
      </c>
      <c r="H245">
        <f t="shared" si="202"/>
        <v>46.059967333446465</v>
      </c>
      <c r="I245">
        <f t="shared" si="202"/>
        <v>94.62297049216393</v>
      </c>
      <c r="J245">
        <f t="shared" si="202"/>
        <v>263.39980758616457</v>
      </c>
      <c r="K245">
        <f t="shared" si="202"/>
        <v>342.30945760281276</v>
      </c>
      <c r="L245">
        <f t="shared" si="149"/>
        <v>374.02037809355727</v>
      </c>
      <c r="M245">
        <f t="shared" si="151"/>
        <v>-5.2003780935572763</v>
      </c>
      <c r="N245">
        <f t="shared" si="152"/>
        <v>27.043932315950411</v>
      </c>
    </row>
    <row r="246" spans="1:14" x14ac:dyDescent="0.45">
      <c r="A246" s="23">
        <v>42073</v>
      </c>
      <c r="B246">
        <v>377.45</v>
      </c>
      <c r="C246">
        <v>369.51</v>
      </c>
      <c r="G246">
        <f t="shared" ref="G246:K246" si="203">SUMPRODUCT($B246:$B250,P$2:P$6)</f>
        <v>416.70946423061696</v>
      </c>
      <c r="H246">
        <f t="shared" si="203"/>
        <v>46.66218343893032</v>
      </c>
      <c r="I246">
        <f t="shared" si="203"/>
        <v>96.202719329222916</v>
      </c>
      <c r="J246">
        <f t="shared" si="203"/>
        <v>267.81393898422675</v>
      </c>
      <c r="K246">
        <f t="shared" si="203"/>
        <v>347.92699211844399</v>
      </c>
      <c r="L246">
        <f t="shared" si="149"/>
        <v>380.08944708912713</v>
      </c>
      <c r="M246">
        <f t="shared" si="151"/>
        <v>-9.4794470891271203</v>
      </c>
      <c r="N246">
        <f t="shared" si="152"/>
        <v>89.859917115560634</v>
      </c>
    </row>
    <row r="247" spans="1:14" x14ac:dyDescent="0.45">
      <c r="A247" s="23">
        <v>42072</v>
      </c>
      <c r="B247">
        <v>378.4</v>
      </c>
      <c r="C247">
        <v>378.56</v>
      </c>
      <c r="G247">
        <f>SUMPRODUCT($B247:$B251,P$2:P$6)</f>
        <v>417.08392820227044</v>
      </c>
      <c r="H247">
        <f>SUMPRODUCT($B247:$B251,Q$2:Q$6)</f>
        <v>47.021672887277248</v>
      </c>
      <c r="I247">
        <f>SUMPRODUCT($B247:$B251,R$2:R$6)</f>
        <v>96.615655522482285</v>
      </c>
      <c r="J247">
        <f>SUMPRODUCT($B247:$B251,S$2:S$6)</f>
        <v>268.94643887584891</v>
      </c>
      <c r="K247">
        <f>SUMPRODUCT($B247:$B251,T$2:T$6)</f>
        <v>349.52045082840061</v>
      </c>
      <c r="L247">
        <f>(G247+$P$7)*$U$2+(H247+$Q$7)*$U$3+(I247+$R$7)*$U$4+(J247+$S$7)*$U$5+(K247+$T$7)*$U$6+$U$7</f>
        <v>381.7470586435993</v>
      </c>
      <c r="M247">
        <f>B246-L247</f>
        <v>-4.2970586435993141</v>
      </c>
      <c r="N247">
        <f>M247^2</f>
        <v>18.464712986531577</v>
      </c>
    </row>
    <row r="248" spans="1:14" x14ac:dyDescent="0.45">
      <c r="A248" s="23">
        <v>42069</v>
      </c>
      <c r="B248">
        <v>385.52</v>
      </c>
      <c r="C248">
        <v>380.09</v>
      </c>
    </row>
    <row r="249" spans="1:14" x14ac:dyDescent="0.45">
      <c r="A249" s="23">
        <v>42068</v>
      </c>
      <c r="B249">
        <v>385.61</v>
      </c>
      <c r="C249">
        <v>387.83</v>
      </c>
    </row>
    <row r="250" spans="1:14" x14ac:dyDescent="0.45">
      <c r="A250" s="23">
        <v>42067</v>
      </c>
      <c r="B250">
        <v>385.71</v>
      </c>
      <c r="C250">
        <v>382.72</v>
      </c>
    </row>
    <row r="251" spans="1:14" x14ac:dyDescent="0.45">
      <c r="A251" s="23">
        <v>42066</v>
      </c>
      <c r="B251">
        <v>383.95</v>
      </c>
      <c r="C251">
        <v>384.61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W251"/>
  <sheetViews>
    <sheetView workbookViewId="0">
      <selection activeCell="C2" sqref="C2"/>
    </sheetView>
  </sheetViews>
  <sheetFormatPr defaultRowHeight="14.25" x14ac:dyDescent="0.45"/>
  <sheetData>
    <row r="1" spans="1:23" x14ac:dyDescent="0.45">
      <c r="A1" t="s">
        <v>3</v>
      </c>
      <c r="B1" t="s">
        <v>4</v>
      </c>
      <c r="C1" t="s">
        <v>5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</row>
    <row r="2" spans="1:23" x14ac:dyDescent="0.45">
      <c r="A2" s="23">
        <v>42426</v>
      </c>
      <c r="B2">
        <v>175.24</v>
      </c>
      <c r="C2">
        <v>173.8</v>
      </c>
      <c r="G2">
        <f t="shared" ref="G2" si="0">SUMPRODUCT($B2:$B6,P$2:P$6)</f>
        <v>61.379216276080072</v>
      </c>
      <c r="H2">
        <f t="shared" ref="H2" si="1">SUMPRODUCT($B2:$B6,Q$2:Q$6)</f>
        <v>69.932607761723872</v>
      </c>
      <c r="I2">
        <f t="shared" ref="I2" si="2">SUMPRODUCT($B2:$B6,R$2:R$6)</f>
        <v>73.506112836057241</v>
      </c>
      <c r="J2">
        <f t="shared" ref="J2" si="3">SUMPRODUCT($B2:$B6,S$2:S$6)</f>
        <v>86.395868069806383</v>
      </c>
      <c r="K2">
        <f t="shared" ref="K2" si="4">SUMPRODUCT($B2:$B6,T$2:T$6)</f>
        <v>96.826416377038839</v>
      </c>
      <c r="L2">
        <f t="shared" ref="L2" si="5">(G2+$P$7)*$U$2+(H2+$Q$7)*$U$3+(I2+$R$7)*$U$4+(J2+$S$7)*$U$5+(K2+$T$7)*$U$6+$U$7</f>
        <v>175.04473533577567</v>
      </c>
      <c r="P2">
        <v>0.33937654303951409</v>
      </c>
      <c r="Q2">
        <v>0.38796342310768689</v>
      </c>
      <c r="R2">
        <v>0.4072759991451318</v>
      </c>
      <c r="S2">
        <v>0.48166067193282275</v>
      </c>
      <c r="T2">
        <v>0.54059540597437639</v>
      </c>
      <c r="U2">
        <v>0.4164207999712593</v>
      </c>
      <c r="W2" t="s">
        <v>31</v>
      </c>
    </row>
    <row r="3" spans="1:23" x14ac:dyDescent="0.45">
      <c r="A3" s="23">
        <v>42425</v>
      </c>
      <c r="B3">
        <v>160.05000000000001</v>
      </c>
      <c r="C3">
        <v>158.22</v>
      </c>
      <c r="G3">
        <f t="shared" ref="G3:G65" si="6">SUMPRODUCT($B3:$B7,P$2:P$6)</f>
        <v>56.216554084356183</v>
      </c>
      <c r="H3">
        <f t="shared" ref="H3:H65" si="7">SUMPRODUCT($B3:$B7,Q$2:Q$6)</f>
        <v>64.03175672114844</v>
      </c>
      <c r="I3">
        <f t="shared" ref="I3:I65" si="8">SUMPRODUCT($B3:$B7,R$2:R$6)</f>
        <v>67.311157586667036</v>
      </c>
      <c r="J3">
        <f t="shared" ref="J3:J65" si="9">SUMPRODUCT($B3:$B7,S$2:S$6)</f>
        <v>79.071588573573194</v>
      </c>
      <c r="K3">
        <f t="shared" ref="K3:K65" si="10">SUMPRODUCT($B3:$B7,T$2:T$6)</f>
        <v>88.606512380942974</v>
      </c>
      <c r="L3">
        <f t="shared" ref="L3:L65" si="11">(G3+$P$7)*$U$2+(H3+$Q$7)*$U$3+(I3+$R$7)*$U$4+(J3+$S$7)*$U$5+(K3+$T$7)*$U$6+$U$7</f>
        <v>160.59334187356495</v>
      </c>
      <c r="M3">
        <f t="shared" ref="M3:M66" si="12">B2-L3</f>
        <v>14.646658126435057</v>
      </c>
      <c r="N3">
        <f t="shared" ref="N3:N66" si="13">M3^2</f>
        <v>214.52459427266609</v>
      </c>
      <c r="P3">
        <v>2.3054645562004613E-9</v>
      </c>
      <c r="Q3">
        <v>2.067877033597343E-9</v>
      </c>
      <c r="R3">
        <v>2.2688594232951565E-9</v>
      </c>
      <c r="S3">
        <v>9.9116100921475276E-10</v>
      </c>
      <c r="T3">
        <v>0</v>
      </c>
      <c r="U3">
        <v>0.42340518336000277</v>
      </c>
      <c r="V3" t="s">
        <v>29</v>
      </c>
      <c r="W3">
        <f>SUM(N3:N251)</f>
        <v>6836.9525858299476</v>
      </c>
    </row>
    <row r="4" spans="1:23" x14ac:dyDescent="0.45">
      <c r="A4" s="23">
        <v>42424</v>
      </c>
      <c r="B4">
        <v>159</v>
      </c>
      <c r="C4">
        <v>162.75</v>
      </c>
      <c r="G4">
        <f t="shared" si="6"/>
        <v>55.785632562758515</v>
      </c>
      <c r="H4">
        <f t="shared" si="7"/>
        <v>63.548292628591021</v>
      </c>
      <c r="I4">
        <f t="shared" si="8"/>
        <v>66.800014885676291</v>
      </c>
      <c r="J4">
        <f t="shared" si="9"/>
        <v>78.488019980709069</v>
      </c>
      <c r="K4">
        <f t="shared" si="10"/>
        <v>87.957040300250355</v>
      </c>
      <c r="L4">
        <f t="shared" si="11"/>
        <v>159.42338758508737</v>
      </c>
      <c r="M4">
        <f t="shared" si="12"/>
        <v>0.62661241491264263</v>
      </c>
      <c r="N4">
        <f t="shared" si="13"/>
        <v>0.39264311852265382</v>
      </c>
      <c r="P4">
        <v>0</v>
      </c>
      <c r="Q4">
        <v>0</v>
      </c>
      <c r="R4">
        <v>0</v>
      </c>
      <c r="S4">
        <v>0</v>
      </c>
      <c r="T4">
        <v>0</v>
      </c>
      <c r="U4">
        <v>0.41759294294559562</v>
      </c>
      <c r="V4" t="s">
        <v>30</v>
      </c>
      <c r="W4">
        <f>MAX(N3:N251)</f>
        <v>903.40806242957569</v>
      </c>
    </row>
    <row r="5" spans="1:23" x14ac:dyDescent="0.45">
      <c r="A5" s="23">
        <v>42423</v>
      </c>
      <c r="B5">
        <v>167.2</v>
      </c>
      <c r="C5">
        <v>161.02000000000001</v>
      </c>
      <c r="G5">
        <f t="shared" si="6"/>
        <v>58.628271385881</v>
      </c>
      <c r="H5">
        <f t="shared" si="7"/>
        <v>66.79056679524254</v>
      </c>
      <c r="I5">
        <f t="shared" si="8"/>
        <v>70.206581652032781</v>
      </c>
      <c r="J5">
        <f t="shared" si="9"/>
        <v>82.499992604922667</v>
      </c>
      <c r="K5">
        <f t="shared" si="10"/>
        <v>92.455500271313369</v>
      </c>
      <c r="L5">
        <f t="shared" si="11"/>
        <v>167.35325939332202</v>
      </c>
      <c r="M5">
        <f t="shared" si="12"/>
        <v>-8.3532593933220198</v>
      </c>
      <c r="N5">
        <f t="shared" si="13"/>
        <v>69.776942492122558</v>
      </c>
      <c r="P5">
        <v>1.1403816928973978E-2</v>
      </c>
      <c r="Q5">
        <v>1.1637215026362056E-2</v>
      </c>
      <c r="R5">
        <v>1.2768701639397443E-2</v>
      </c>
      <c r="S5">
        <v>1.1899831110425783E-2</v>
      </c>
      <c r="T5">
        <v>1.2514817189528222E-2</v>
      </c>
      <c r="U5">
        <v>0.45186027976318949</v>
      </c>
    </row>
    <row r="6" spans="1:23" x14ac:dyDescent="0.45">
      <c r="A6" s="23">
        <v>42422</v>
      </c>
      <c r="B6">
        <v>166.54</v>
      </c>
      <c r="C6">
        <v>168.67</v>
      </c>
      <c r="G6">
        <f t="shared" si="6"/>
        <v>58.344069363723925</v>
      </c>
      <c r="H6">
        <f t="shared" si="7"/>
        <v>66.473065069935373</v>
      </c>
      <c r="I6">
        <f t="shared" si="8"/>
        <v>69.87035951042823</v>
      </c>
      <c r="J6">
        <f t="shared" si="9"/>
        <v>82.119265446701775</v>
      </c>
      <c r="K6">
        <f t="shared" si="10"/>
        <v>92.032629068609566</v>
      </c>
      <c r="L6">
        <f t="shared" si="11"/>
        <v>166.58706713201525</v>
      </c>
      <c r="M6">
        <f t="shared" si="12"/>
        <v>0.612932867984739</v>
      </c>
      <c r="N6">
        <f t="shared" si="13"/>
        <v>0.37568670065599752</v>
      </c>
      <c r="P6">
        <v>9.1458101099540362E-7</v>
      </c>
      <c r="Q6">
        <v>9.2958425228929141E-7</v>
      </c>
      <c r="R6">
        <v>8.3744821744154103E-7</v>
      </c>
      <c r="S6">
        <v>0</v>
      </c>
      <c r="T6">
        <v>0</v>
      </c>
      <c r="U6">
        <v>0.47525884136255581</v>
      </c>
    </row>
    <row r="7" spans="1:23" x14ac:dyDescent="0.45">
      <c r="A7" s="23">
        <v>42419</v>
      </c>
      <c r="B7">
        <v>160</v>
      </c>
      <c r="C7">
        <v>164.47</v>
      </c>
      <c r="G7">
        <f t="shared" si="6"/>
        <v>56.107887608509223</v>
      </c>
      <c r="H7">
        <f t="shared" si="7"/>
        <v>63.918784199073635</v>
      </c>
      <c r="I7">
        <f t="shared" si="8"/>
        <v>67.188123390308107</v>
      </c>
      <c r="J7">
        <f t="shared" si="9"/>
        <v>78.951830904033571</v>
      </c>
      <c r="K7">
        <f t="shared" si="10"/>
        <v>88.478863480440452</v>
      </c>
      <c r="L7">
        <f t="shared" si="11"/>
        <v>160.33409952658252</v>
      </c>
      <c r="M7">
        <f t="shared" si="12"/>
        <v>6.2059004734174721</v>
      </c>
      <c r="N7">
        <f t="shared" si="13"/>
        <v>38.513200685963206</v>
      </c>
      <c r="O7" t="s">
        <v>28</v>
      </c>
      <c r="P7">
        <v>1.0011307947729919E-8</v>
      </c>
      <c r="Q7">
        <v>1.0011450409624839E-8</v>
      </c>
      <c r="R7">
        <v>1.1367069151558891E-11</v>
      </c>
      <c r="S7">
        <v>1.0012144912801444E-8</v>
      </c>
      <c r="T7">
        <v>1.0012768186181684E-8</v>
      </c>
      <c r="U7">
        <v>4.1232188018439659</v>
      </c>
    </row>
    <row r="8" spans="1:23" x14ac:dyDescent="0.45">
      <c r="A8" s="23">
        <v>42418</v>
      </c>
      <c r="B8">
        <v>165.24</v>
      </c>
      <c r="C8">
        <v>160.69999999999999</v>
      </c>
      <c r="G8">
        <f t="shared" si="6"/>
        <v>57.766473845355527</v>
      </c>
      <c r="H8">
        <f t="shared" si="7"/>
        <v>65.829514897835097</v>
      </c>
      <c r="I8">
        <f t="shared" si="8"/>
        <v>69.188172057893013</v>
      </c>
      <c r="J8">
        <f t="shared" si="9"/>
        <v>81.350784593068767</v>
      </c>
      <c r="K8">
        <f t="shared" si="10"/>
        <v>91.180177827256131</v>
      </c>
      <c r="L8">
        <f t="shared" si="11"/>
        <v>165.03680423683329</v>
      </c>
      <c r="M8">
        <f t="shared" si="12"/>
        <v>-5.0368042368332908</v>
      </c>
      <c r="N8">
        <f t="shared" si="13"/>
        <v>25.369396920181789</v>
      </c>
    </row>
    <row r="9" spans="1:23" x14ac:dyDescent="0.45">
      <c r="A9" s="23">
        <v>42417</v>
      </c>
      <c r="B9">
        <v>159.96</v>
      </c>
      <c r="C9">
        <v>163.53</v>
      </c>
      <c r="G9">
        <f t="shared" si="6"/>
        <v>55.890293472276589</v>
      </c>
      <c r="H9">
        <f t="shared" si="7"/>
        <v>63.695071018960412</v>
      </c>
      <c r="I9">
        <f t="shared" si="8"/>
        <v>66.943395891241664</v>
      </c>
      <c r="J9">
        <f t="shared" si="9"/>
        <v>78.71967649191032</v>
      </c>
      <c r="K9">
        <f t="shared" si="10"/>
        <v>88.233349584680823</v>
      </c>
      <c r="L9">
        <f t="shared" si="11"/>
        <v>159.8249869984553</v>
      </c>
      <c r="M9">
        <f t="shared" si="12"/>
        <v>5.4150130015447075</v>
      </c>
      <c r="N9">
        <f t="shared" si="13"/>
        <v>29.322365806898222</v>
      </c>
    </row>
    <row r="10" spans="1:23" x14ac:dyDescent="0.45">
      <c r="A10" s="23">
        <v>42416</v>
      </c>
      <c r="B10">
        <v>158.5</v>
      </c>
      <c r="C10">
        <v>157.52000000000001</v>
      </c>
      <c r="G10">
        <f t="shared" si="6"/>
        <v>55.419549758467944</v>
      </c>
      <c r="H10">
        <f t="shared" si="7"/>
        <v>63.153896933017471</v>
      </c>
      <c r="I10">
        <f t="shared" si="8"/>
        <v>66.37648079023667</v>
      </c>
      <c r="J10">
        <f t="shared" si="9"/>
        <v>78.04227453399082</v>
      </c>
      <c r="K10">
        <f t="shared" si="10"/>
        <v>87.471237445259504</v>
      </c>
      <c r="L10">
        <f t="shared" si="11"/>
        <v>158.49479229546498</v>
      </c>
      <c r="M10">
        <f t="shared" si="12"/>
        <v>1.4652077045350325</v>
      </c>
      <c r="N10">
        <f t="shared" si="13"/>
        <v>2.1468336174288192</v>
      </c>
    </row>
    <row r="11" spans="1:23" x14ac:dyDescent="0.45">
      <c r="A11" s="23">
        <v>42412</v>
      </c>
      <c r="B11">
        <v>148</v>
      </c>
      <c r="C11">
        <v>152.72999999999999</v>
      </c>
      <c r="G11">
        <f t="shared" si="6"/>
        <v>51.853359077723674</v>
      </c>
      <c r="H11">
        <f t="shared" si="7"/>
        <v>59.077487997019603</v>
      </c>
      <c r="I11">
        <f t="shared" si="8"/>
        <v>62.097018252180042</v>
      </c>
      <c r="J11">
        <f t="shared" si="9"/>
        <v>72.981981511905005</v>
      </c>
      <c r="K11">
        <f t="shared" si="10"/>
        <v>81.791982126403056</v>
      </c>
      <c r="L11">
        <f t="shared" si="11"/>
        <v>148.51104856756513</v>
      </c>
      <c r="M11">
        <f t="shared" si="12"/>
        <v>9.9889514324348738</v>
      </c>
      <c r="N11">
        <f t="shared" si="13"/>
        <v>99.779150719542713</v>
      </c>
    </row>
    <row r="12" spans="1:23" x14ac:dyDescent="0.45">
      <c r="A12" s="23">
        <v>42411</v>
      </c>
      <c r="B12">
        <v>140.61000000000001</v>
      </c>
      <c r="C12">
        <v>141.21</v>
      </c>
      <c r="G12">
        <f t="shared" si="6"/>
        <v>49.344804799296327</v>
      </c>
      <c r="H12">
        <f t="shared" si="7"/>
        <v>56.20986514489838</v>
      </c>
      <c r="I12">
        <f t="shared" si="8"/>
        <v>59.086618026854289</v>
      </c>
      <c r="J12">
        <f t="shared" si="9"/>
        <v>69.421914156916756</v>
      </c>
      <c r="K12">
        <f t="shared" si="10"/>
        <v>77.796356335392943</v>
      </c>
      <c r="L12">
        <f t="shared" si="11"/>
        <v>141.48753660416889</v>
      </c>
      <c r="M12">
        <f t="shared" si="12"/>
        <v>6.5124633958311051</v>
      </c>
      <c r="N12">
        <f t="shared" si="13"/>
        <v>42.41217948204001</v>
      </c>
    </row>
    <row r="13" spans="1:23" x14ac:dyDescent="0.45">
      <c r="A13" s="23">
        <v>42410</v>
      </c>
      <c r="B13">
        <v>142.78</v>
      </c>
      <c r="C13">
        <v>143.78</v>
      </c>
      <c r="G13">
        <f t="shared" si="6"/>
        <v>50.187993699692846</v>
      </c>
      <c r="H13">
        <f t="shared" si="7"/>
        <v>57.160672215348768</v>
      </c>
      <c r="I13">
        <f t="shared" si="8"/>
        <v>60.089923892806915</v>
      </c>
      <c r="J13">
        <f t="shared" si="9"/>
        <v>70.578500233966693</v>
      </c>
      <c r="K13">
        <f t="shared" si="10"/>
        <v>79.086587055251329</v>
      </c>
      <c r="L13">
        <f t="shared" si="11"/>
        <v>143.79601695719691</v>
      </c>
      <c r="M13">
        <f t="shared" si="12"/>
        <v>-3.1860169571968981</v>
      </c>
      <c r="N13">
        <f t="shared" si="13"/>
        <v>10.150704051546182</v>
      </c>
    </row>
    <row r="14" spans="1:23" x14ac:dyDescent="0.45">
      <c r="A14" s="23">
        <v>42409</v>
      </c>
      <c r="B14">
        <v>142.54</v>
      </c>
      <c r="C14">
        <v>140.68</v>
      </c>
      <c r="G14">
        <f t="shared" si="6"/>
        <v>50.132431566756203</v>
      </c>
      <c r="H14">
        <f t="shared" si="7"/>
        <v>57.093979070694274</v>
      </c>
      <c r="I14">
        <f t="shared" si="8"/>
        <v>60.021164046031004</v>
      </c>
      <c r="J14">
        <f t="shared" si="9"/>
        <v>70.489914289273912</v>
      </c>
      <c r="K14">
        <f t="shared" si="10"/>
        <v>78.985252792837699</v>
      </c>
      <c r="L14">
        <f t="shared" si="11"/>
        <v>143.6277394055414</v>
      </c>
      <c r="M14">
        <f t="shared" si="12"/>
        <v>-0.84773940554140381</v>
      </c>
      <c r="N14">
        <f t="shared" si="13"/>
        <v>0.71866209970769268</v>
      </c>
    </row>
    <row r="15" spans="1:23" x14ac:dyDescent="0.45">
      <c r="A15" s="23">
        <v>42408</v>
      </c>
      <c r="B15">
        <v>142.49</v>
      </c>
      <c r="C15">
        <v>145.05000000000001</v>
      </c>
      <c r="G15">
        <f t="shared" si="6"/>
        <v>50.135083051578341</v>
      </c>
      <c r="H15">
        <f t="shared" si="7"/>
        <v>57.094602747936989</v>
      </c>
      <c r="I15">
        <f t="shared" si="8"/>
        <v>60.02276767655588</v>
      </c>
      <c r="J15">
        <f t="shared" si="9"/>
        <v>70.486298974464475</v>
      </c>
      <c r="K15">
        <f t="shared" si="10"/>
        <v>78.979748508104976</v>
      </c>
      <c r="L15">
        <f t="shared" si="11"/>
        <v>143.6255276947939</v>
      </c>
      <c r="M15">
        <f t="shared" si="12"/>
        <v>-1.0855276947939103</v>
      </c>
      <c r="N15">
        <f t="shared" si="13"/>
        <v>1.178370376164581</v>
      </c>
    </row>
    <row r="16" spans="1:23" x14ac:dyDescent="0.45">
      <c r="A16" s="23">
        <v>42405</v>
      </c>
      <c r="B16">
        <v>151.85</v>
      </c>
      <c r="C16">
        <v>145.34</v>
      </c>
      <c r="G16">
        <f t="shared" si="6"/>
        <v>53.38303371995373</v>
      </c>
      <c r="H16">
        <f t="shared" si="7"/>
        <v>60.798787657844869</v>
      </c>
      <c r="I16">
        <f t="shared" si="8"/>
        <v>63.914801573437003</v>
      </c>
      <c r="J16">
        <f t="shared" si="9"/>
        <v>75.069135808756883</v>
      </c>
      <c r="K16">
        <f t="shared" si="10"/>
        <v>84.118064263631567</v>
      </c>
      <c r="L16">
        <f t="shared" si="11"/>
        <v>152.68453081698644</v>
      </c>
      <c r="M16">
        <f t="shared" si="12"/>
        <v>-10.194530816986429</v>
      </c>
      <c r="N16">
        <f t="shared" si="13"/>
        <v>103.92845857848599</v>
      </c>
    </row>
    <row r="17" spans="1:14" x14ac:dyDescent="0.45">
      <c r="A17" s="23">
        <v>42404</v>
      </c>
      <c r="B17">
        <v>154.12</v>
      </c>
      <c r="C17">
        <v>152.59</v>
      </c>
      <c r="G17">
        <f t="shared" si="6"/>
        <v>54.13254854962036</v>
      </c>
      <c r="H17">
        <f t="shared" si="7"/>
        <v>61.658167570886043</v>
      </c>
      <c r="I17">
        <f t="shared" si="8"/>
        <v>64.815950508827143</v>
      </c>
      <c r="J17">
        <f t="shared" si="9"/>
        <v>76.140728844817119</v>
      </c>
      <c r="K17">
        <f t="shared" si="10"/>
        <v>85.322313719736584</v>
      </c>
      <c r="L17">
        <f t="shared" si="11"/>
        <v>154.79336425785192</v>
      </c>
      <c r="M17">
        <f t="shared" si="12"/>
        <v>-2.9433642578519255</v>
      </c>
      <c r="N17">
        <f t="shared" si="13"/>
        <v>8.6633931544002163</v>
      </c>
    </row>
    <row r="18" spans="1:14" x14ac:dyDescent="0.45">
      <c r="A18" s="23">
        <v>42403</v>
      </c>
      <c r="B18">
        <v>155.84</v>
      </c>
      <c r="C18">
        <v>153.08000000000001</v>
      </c>
      <c r="G18">
        <f t="shared" si="6"/>
        <v>54.704532691991751</v>
      </c>
      <c r="H18">
        <f t="shared" si="7"/>
        <v>62.313480784905607</v>
      </c>
      <c r="I18">
        <f t="shared" si="8"/>
        <v>65.50331568136005</v>
      </c>
      <c r="J18">
        <f t="shared" si="9"/>
        <v>76.956928380702507</v>
      </c>
      <c r="K18">
        <f t="shared" si="10"/>
        <v>86.239247556307291</v>
      </c>
      <c r="L18">
        <f t="shared" si="11"/>
        <v>156.40064127220808</v>
      </c>
      <c r="M18">
        <f t="shared" si="12"/>
        <v>-2.2806412722080722</v>
      </c>
      <c r="N18">
        <f t="shared" si="13"/>
        <v>5.2013246124988539</v>
      </c>
    </row>
    <row r="19" spans="1:14" x14ac:dyDescent="0.45">
      <c r="A19" s="23">
        <v>42402</v>
      </c>
      <c r="B19">
        <v>162.1</v>
      </c>
      <c r="C19">
        <v>154.82</v>
      </c>
      <c r="G19">
        <f t="shared" si="6"/>
        <v>56.859026659836175</v>
      </c>
      <c r="H19">
        <f t="shared" si="7"/>
        <v>64.772742537724639</v>
      </c>
      <c r="I19">
        <f t="shared" si="8"/>
        <v>68.086449488647872</v>
      </c>
      <c r="J19">
        <f t="shared" si="9"/>
        <v>80.003420741008568</v>
      </c>
      <c r="K19">
        <f t="shared" si="10"/>
        <v>89.656288766915338</v>
      </c>
      <c r="L19">
        <f t="shared" si="11"/>
        <v>162.41834793268725</v>
      </c>
      <c r="M19">
        <f t="shared" si="12"/>
        <v>-6.5783479326872509</v>
      </c>
      <c r="N19">
        <f t="shared" si="13"/>
        <v>43.274661523490629</v>
      </c>
    </row>
    <row r="20" spans="1:14" x14ac:dyDescent="0.45">
      <c r="A20" s="23">
        <v>42401</v>
      </c>
      <c r="B20">
        <v>160.27000000000001</v>
      </c>
      <c r="C20">
        <v>161.1</v>
      </c>
      <c r="G20">
        <f t="shared" si="6"/>
        <v>56.297495123944465</v>
      </c>
      <c r="H20">
        <f t="shared" si="7"/>
        <v>64.12351534331988</v>
      </c>
      <c r="I20">
        <f t="shared" si="8"/>
        <v>67.407786678704767</v>
      </c>
      <c r="J20">
        <f t="shared" si="9"/>
        <v>79.184098828747025</v>
      </c>
      <c r="K20">
        <f t="shared" si="10"/>
        <v>88.732326519711592</v>
      </c>
      <c r="L20">
        <f t="shared" si="11"/>
        <v>160.81688330638161</v>
      </c>
      <c r="M20">
        <f t="shared" si="12"/>
        <v>1.283116693618382</v>
      </c>
      <c r="N20">
        <f t="shared" si="13"/>
        <v>1.6463884494421688</v>
      </c>
    </row>
    <row r="21" spans="1:14" x14ac:dyDescent="0.45">
      <c r="A21" s="23">
        <v>42398</v>
      </c>
      <c r="B21">
        <v>159.24</v>
      </c>
      <c r="C21">
        <v>163.27000000000001</v>
      </c>
      <c r="G21">
        <f t="shared" si="6"/>
        <v>55.943151757452469</v>
      </c>
      <c r="H21">
        <f t="shared" si="7"/>
        <v>63.719029529296336</v>
      </c>
      <c r="I21">
        <f t="shared" si="8"/>
        <v>66.982933277508408</v>
      </c>
      <c r="J21">
        <f t="shared" si="9"/>
        <v>78.682990410196595</v>
      </c>
      <c r="K21">
        <f t="shared" si="10"/>
        <v>88.170257028338369</v>
      </c>
      <c r="L21">
        <f t="shared" si="11"/>
        <v>159.82709070043018</v>
      </c>
      <c r="M21">
        <f t="shared" si="12"/>
        <v>0.44290929956983405</v>
      </c>
      <c r="N21">
        <f t="shared" si="13"/>
        <v>0.19616864764544101</v>
      </c>
    </row>
    <row r="22" spans="1:14" x14ac:dyDescent="0.45">
      <c r="A22" s="23">
        <v>42397</v>
      </c>
      <c r="B22">
        <v>161.87</v>
      </c>
      <c r="C22">
        <v>156.94</v>
      </c>
      <c r="G22">
        <f t="shared" si="6"/>
        <v>56.886461285446707</v>
      </c>
      <c r="H22">
        <f t="shared" si="7"/>
        <v>64.791161208620906</v>
      </c>
      <c r="I22">
        <f t="shared" si="8"/>
        <v>68.110891924398047</v>
      </c>
      <c r="J22">
        <f t="shared" si="9"/>
        <v>80.002712230995172</v>
      </c>
      <c r="K22">
        <f t="shared" si="10"/>
        <v>89.647713882544366</v>
      </c>
      <c r="L22">
        <f t="shared" si="11"/>
        <v>162.44338239369284</v>
      </c>
      <c r="M22">
        <f t="shared" si="12"/>
        <v>-3.2033823936928343</v>
      </c>
      <c r="N22">
        <f t="shared" si="13"/>
        <v>10.261658760221232</v>
      </c>
    </row>
    <row r="23" spans="1:14" x14ac:dyDescent="0.45">
      <c r="A23" s="23">
        <v>42396</v>
      </c>
      <c r="B23">
        <v>167.09</v>
      </c>
      <c r="C23">
        <v>158.27000000000001</v>
      </c>
      <c r="G23">
        <f t="shared" si="6"/>
        <v>58.685711200049639</v>
      </c>
      <c r="H23">
        <f t="shared" si="7"/>
        <v>66.844601681231623</v>
      </c>
      <c r="I23">
        <f t="shared" si="8"/>
        <v>70.2678942528579</v>
      </c>
      <c r="J23">
        <f t="shared" si="9"/>
        <v>82.545897527666568</v>
      </c>
      <c r="K23">
        <f t="shared" si="10"/>
        <v>92.500032907501179</v>
      </c>
      <c r="L23">
        <f t="shared" si="11"/>
        <v>167.46756802722757</v>
      </c>
      <c r="M23">
        <f t="shared" si="12"/>
        <v>-5.5975680272275667</v>
      </c>
      <c r="N23">
        <f t="shared" si="13"/>
        <v>31.332767819440313</v>
      </c>
    </row>
    <row r="24" spans="1:14" x14ac:dyDescent="0.45">
      <c r="A24" s="23">
        <v>42395</v>
      </c>
      <c r="B24">
        <v>166.67</v>
      </c>
      <c r="C24">
        <v>167.08</v>
      </c>
      <c r="G24">
        <f t="shared" si="6"/>
        <v>58.456955679073303</v>
      </c>
      <c r="H24">
        <f t="shared" si="7"/>
        <v>66.593675105687112</v>
      </c>
      <c r="I24">
        <f t="shared" si="8"/>
        <v>70.00030281355086</v>
      </c>
      <c r="J24">
        <f t="shared" si="9"/>
        <v>82.253637326670614</v>
      </c>
      <c r="K24">
        <f t="shared" si="10"/>
        <v>92.178370819039088</v>
      </c>
      <c r="L24">
        <f t="shared" si="11"/>
        <v>166.86938803315073</v>
      </c>
      <c r="M24">
        <f t="shared" si="12"/>
        <v>0.22061196684927609</v>
      </c>
      <c r="N24">
        <f t="shared" si="13"/>
        <v>4.8669639917106093E-2</v>
      </c>
    </row>
    <row r="25" spans="1:14" x14ac:dyDescent="0.45">
      <c r="A25" s="23">
        <v>42394</v>
      </c>
      <c r="B25">
        <v>171.12</v>
      </c>
      <c r="C25">
        <v>167.54</v>
      </c>
      <c r="G25">
        <f t="shared" si="6"/>
        <v>59.910738333887949</v>
      </c>
      <c r="H25">
        <f t="shared" si="7"/>
        <v>68.262514152866729</v>
      </c>
      <c r="I25">
        <f t="shared" si="8"/>
        <v>71.749481368809469</v>
      </c>
      <c r="J25">
        <f t="shared" si="9"/>
        <v>84.338123155183581</v>
      </c>
      <c r="K25">
        <f t="shared" si="10"/>
        <v>94.522072030536918</v>
      </c>
      <c r="L25">
        <f t="shared" si="11"/>
        <v>170.96757416456092</v>
      </c>
      <c r="M25">
        <f t="shared" si="12"/>
        <v>-4.2975741645609276</v>
      </c>
      <c r="N25">
        <f t="shared" si="13"/>
        <v>18.469143699901554</v>
      </c>
    </row>
    <row r="26" spans="1:14" x14ac:dyDescent="0.45">
      <c r="A26" s="23">
        <v>42391</v>
      </c>
      <c r="B26">
        <v>173.55</v>
      </c>
      <c r="C26">
        <v>171.17</v>
      </c>
      <c r="G26">
        <f t="shared" si="6"/>
        <v>60.809316610919822</v>
      </c>
      <c r="H26">
        <f t="shared" si="7"/>
        <v>69.280670913519302</v>
      </c>
      <c r="I26">
        <f t="shared" si="8"/>
        <v>72.821900067397536</v>
      </c>
      <c r="J26">
        <f t="shared" si="9"/>
        <v>85.585669486082736</v>
      </c>
      <c r="K26">
        <f t="shared" si="10"/>
        <v>95.916814882442793</v>
      </c>
      <c r="L26">
        <f t="shared" si="11"/>
        <v>173.44726868575907</v>
      </c>
      <c r="M26">
        <f t="shared" si="12"/>
        <v>-2.3272686857590656</v>
      </c>
      <c r="N26">
        <f t="shared" si="13"/>
        <v>5.4161795357147282</v>
      </c>
    </row>
    <row r="27" spans="1:14" x14ac:dyDescent="0.45">
      <c r="A27" s="23">
        <v>42390</v>
      </c>
      <c r="B27">
        <v>165.99</v>
      </c>
      <c r="C27">
        <v>169.56</v>
      </c>
      <c r="G27">
        <f t="shared" si="6"/>
        <v>58.20075390551186</v>
      </c>
      <c r="H27">
        <f t="shared" si="7"/>
        <v>66.303913857234065</v>
      </c>
      <c r="I27">
        <f t="shared" si="8"/>
        <v>69.694885311583832</v>
      </c>
      <c r="J27">
        <f t="shared" si="9"/>
        <v>81.899571436389152</v>
      </c>
      <c r="K27">
        <f t="shared" si="10"/>
        <v>91.78285790064389</v>
      </c>
      <c r="L27">
        <f t="shared" si="11"/>
        <v>166.16451435406722</v>
      </c>
      <c r="M27">
        <f t="shared" si="12"/>
        <v>7.3854856459327891</v>
      </c>
      <c r="N27">
        <f t="shared" si="13"/>
        <v>54.545398226279268</v>
      </c>
    </row>
    <row r="28" spans="1:14" x14ac:dyDescent="0.45">
      <c r="A28" s="23">
        <v>42389</v>
      </c>
      <c r="B28">
        <v>161.04</v>
      </c>
      <c r="C28">
        <v>164.99</v>
      </c>
      <c r="G28">
        <f t="shared" si="6"/>
        <v>56.549812998324313</v>
      </c>
      <c r="H28">
        <f t="shared" si="7"/>
        <v>64.413060842612623</v>
      </c>
      <c r="I28">
        <f t="shared" si="8"/>
        <v>67.711308290395039</v>
      </c>
      <c r="J28">
        <f t="shared" si="9"/>
        <v>79.545576687764864</v>
      </c>
      <c r="K28">
        <f t="shared" si="10"/>
        <v>89.138698276732114</v>
      </c>
      <c r="L28">
        <f t="shared" si="11"/>
        <v>161.52776652267841</v>
      </c>
      <c r="M28">
        <f t="shared" si="12"/>
        <v>4.4622334773216039</v>
      </c>
      <c r="N28">
        <f t="shared" si="13"/>
        <v>19.911527606129653</v>
      </c>
    </row>
    <row r="29" spans="1:14" x14ac:dyDescent="0.45">
      <c r="A29" s="23">
        <v>42388</v>
      </c>
      <c r="B29">
        <v>167.52</v>
      </c>
      <c r="C29">
        <v>166.03</v>
      </c>
      <c r="G29">
        <f t="shared" si="6"/>
        <v>58.839631641162285</v>
      </c>
      <c r="H29">
        <f t="shared" si="7"/>
        <v>67.019577956303934</v>
      </c>
      <c r="I29">
        <f t="shared" si="8"/>
        <v>70.451966385078592</v>
      </c>
      <c r="J29">
        <f t="shared" si="9"/>
        <v>82.761341495490697</v>
      </c>
      <c r="K29">
        <f t="shared" si="10"/>
        <v>92.741249304102837</v>
      </c>
      <c r="L29">
        <f t="shared" si="11"/>
        <v>167.89460758242745</v>
      </c>
      <c r="M29">
        <f t="shared" si="12"/>
        <v>-6.8546075824274624</v>
      </c>
      <c r="N29">
        <f t="shared" si="13"/>
        <v>46.98564510907206</v>
      </c>
    </row>
    <row r="30" spans="1:14" x14ac:dyDescent="0.45">
      <c r="A30" s="23">
        <v>42384</v>
      </c>
      <c r="B30">
        <v>163.76</v>
      </c>
      <c r="C30">
        <v>163.92</v>
      </c>
      <c r="G30">
        <f t="shared" si="6"/>
        <v>57.542478418038584</v>
      </c>
      <c r="H30">
        <f t="shared" si="7"/>
        <v>65.539306271038967</v>
      </c>
      <c r="I30">
        <f t="shared" si="8"/>
        <v>68.896986201043632</v>
      </c>
      <c r="J30">
        <f t="shared" si="9"/>
        <v>80.928282683986524</v>
      </c>
      <c r="K30">
        <f t="shared" si="10"/>
        <v>90.68545816583854</v>
      </c>
      <c r="L30">
        <f t="shared" si="11"/>
        <v>164.27302316212993</v>
      </c>
      <c r="M30">
        <f t="shared" si="12"/>
        <v>3.2469768378700792</v>
      </c>
      <c r="N30">
        <f t="shared" si="13"/>
        <v>10.542858585664778</v>
      </c>
    </row>
    <row r="31" spans="1:14" x14ac:dyDescent="0.45">
      <c r="A31" s="23">
        <v>42383</v>
      </c>
      <c r="B31">
        <v>166.3</v>
      </c>
      <c r="C31">
        <v>172.23</v>
      </c>
      <c r="G31">
        <f t="shared" si="6"/>
        <v>58.399938441423657</v>
      </c>
      <c r="H31">
        <f t="shared" si="7"/>
        <v>66.520083692537554</v>
      </c>
      <c r="I31">
        <f t="shared" si="8"/>
        <v>69.926364457589472</v>
      </c>
      <c r="J31">
        <f t="shared" si="9"/>
        <v>82.146940866131473</v>
      </c>
      <c r="K31">
        <f t="shared" si="10"/>
        <v>92.053564570137652</v>
      </c>
      <c r="L31">
        <f t="shared" si="11"/>
        <v>166.67608258223908</v>
      </c>
      <c r="M31">
        <f t="shared" si="12"/>
        <v>-2.9160825822390848</v>
      </c>
      <c r="N31">
        <f t="shared" si="13"/>
        <v>8.5035376264381686</v>
      </c>
    </row>
    <row r="32" spans="1:14" x14ac:dyDescent="0.45">
      <c r="A32" s="23">
        <v>42382</v>
      </c>
      <c r="B32">
        <v>174.25</v>
      </c>
      <c r="C32">
        <v>166.04</v>
      </c>
      <c r="G32">
        <f t="shared" si="6"/>
        <v>61.161728111146147</v>
      </c>
      <c r="H32">
        <f t="shared" si="7"/>
        <v>69.669443735251761</v>
      </c>
      <c r="I32">
        <f t="shared" si="8"/>
        <v>73.235584608451916</v>
      </c>
      <c r="J32">
        <f t="shared" si="9"/>
        <v>86.042663262071031</v>
      </c>
      <c r="K32">
        <f t="shared" si="10"/>
        <v>96.421255875723404</v>
      </c>
      <c r="L32">
        <f t="shared" si="11"/>
        <v>174.37761771489383</v>
      </c>
      <c r="M32">
        <f t="shared" si="12"/>
        <v>-8.0776177148938189</v>
      </c>
      <c r="N32">
        <f t="shared" si="13"/>
        <v>65.247907947966439</v>
      </c>
    </row>
    <row r="33" spans="1:14" x14ac:dyDescent="0.45">
      <c r="A33" s="23">
        <v>42381</v>
      </c>
      <c r="B33">
        <v>172.4</v>
      </c>
      <c r="C33">
        <v>172.91</v>
      </c>
      <c r="G33">
        <f t="shared" si="6"/>
        <v>60.519178566054705</v>
      </c>
      <c r="H33">
        <f t="shared" si="7"/>
        <v>68.936707509561913</v>
      </c>
      <c r="I33">
        <f t="shared" si="8"/>
        <v>72.46565969493399</v>
      </c>
      <c r="J33">
        <f t="shared" si="9"/>
        <v>85.136240236466406</v>
      </c>
      <c r="K33">
        <f t="shared" si="10"/>
        <v>95.405010260496312</v>
      </c>
      <c r="L33">
        <f t="shared" si="11"/>
        <v>172.58573091726376</v>
      </c>
      <c r="M33">
        <f t="shared" si="12"/>
        <v>1.6642690827362401</v>
      </c>
      <c r="N33">
        <f t="shared" si="13"/>
        <v>2.7697915797517259</v>
      </c>
    </row>
    <row r="34" spans="1:14" x14ac:dyDescent="0.45">
      <c r="A34" s="23">
        <v>42380</v>
      </c>
      <c r="B34">
        <v>172</v>
      </c>
      <c r="C34">
        <v>170.37</v>
      </c>
      <c r="G34">
        <f t="shared" si="6"/>
        <v>60.48298482001249</v>
      </c>
      <c r="H34">
        <f t="shared" si="7"/>
        <v>68.883116600759948</v>
      </c>
      <c r="I34">
        <f t="shared" si="8"/>
        <v>72.414221480183798</v>
      </c>
      <c r="J34">
        <f t="shared" si="9"/>
        <v>85.047461498827872</v>
      </c>
      <c r="K34">
        <f t="shared" si="10"/>
        <v>95.298026452171143</v>
      </c>
      <c r="L34">
        <f t="shared" si="11"/>
        <v>172.43552759852224</v>
      </c>
      <c r="M34">
        <f t="shared" si="12"/>
        <v>-3.5527598522236303E-2</v>
      </c>
      <c r="N34">
        <f t="shared" si="13"/>
        <v>1.2622102567572072E-3</v>
      </c>
    </row>
    <row r="35" spans="1:14" x14ac:dyDescent="0.45">
      <c r="A35" s="23">
        <v>42377</v>
      </c>
      <c r="B35">
        <v>177.59</v>
      </c>
      <c r="C35">
        <v>171.34</v>
      </c>
      <c r="G35">
        <f t="shared" si="6"/>
        <v>62.399253148040927</v>
      </c>
      <c r="H35">
        <f t="shared" si="7"/>
        <v>71.071377616161996</v>
      </c>
      <c r="I35">
        <f t="shared" si="8"/>
        <v>74.712341192263111</v>
      </c>
      <c r="J35">
        <f t="shared" si="9"/>
        <v>87.759936369919274</v>
      </c>
      <c r="K35">
        <f t="shared" si="10"/>
        <v>98.340979664446323</v>
      </c>
      <c r="L35">
        <f t="shared" si="11"/>
        <v>177.79155129100212</v>
      </c>
      <c r="M35">
        <f t="shared" si="12"/>
        <v>-5.7915512910021221</v>
      </c>
      <c r="N35">
        <f t="shared" si="13"/>
        <v>33.542066356308347</v>
      </c>
    </row>
    <row r="36" spans="1:14" x14ac:dyDescent="0.45">
      <c r="A36" s="23">
        <v>42376</v>
      </c>
      <c r="B36">
        <v>176.3</v>
      </c>
      <c r="C36">
        <v>174.37</v>
      </c>
      <c r="G36">
        <f t="shared" si="6"/>
        <v>61.899657236349213</v>
      </c>
      <c r="H36">
        <f t="shared" si="7"/>
        <v>70.507839748800464</v>
      </c>
      <c r="I36">
        <f t="shared" si="8"/>
        <v>74.117756590181443</v>
      </c>
      <c r="J36">
        <f t="shared" si="9"/>
        <v>87.074097027160263</v>
      </c>
      <c r="K36">
        <f t="shared" si="10"/>
        <v>97.575781281572134</v>
      </c>
      <c r="L36">
        <f t="shared" si="11"/>
        <v>176.42303911977018</v>
      </c>
      <c r="M36">
        <f t="shared" si="12"/>
        <v>1.1669608802298228</v>
      </c>
      <c r="N36">
        <f t="shared" si="13"/>
        <v>1.3617976959867628</v>
      </c>
    </row>
    <row r="37" spans="1:14" x14ac:dyDescent="0.45">
      <c r="A37" s="23">
        <v>42375</v>
      </c>
      <c r="B37">
        <v>185.03</v>
      </c>
      <c r="C37">
        <v>185.61</v>
      </c>
      <c r="G37">
        <f t="shared" si="6"/>
        <v>64.968360127300173</v>
      </c>
      <c r="H37">
        <f t="shared" si="7"/>
        <v>74.002874439687062</v>
      </c>
      <c r="I37">
        <f t="shared" si="8"/>
        <v>77.791901157021911</v>
      </c>
      <c r="J37">
        <f t="shared" si="9"/>
        <v>91.389544125814808</v>
      </c>
      <c r="K37">
        <f t="shared" si="10"/>
        <v>102.41144182741915</v>
      </c>
      <c r="L37">
        <f t="shared" si="11"/>
        <v>184.96319304065617</v>
      </c>
      <c r="M37">
        <f t="shared" si="12"/>
        <v>-8.6631930406561537</v>
      </c>
      <c r="N37">
        <f t="shared" si="13"/>
        <v>75.050913659673213</v>
      </c>
    </row>
    <row r="38" spans="1:14" x14ac:dyDescent="0.45">
      <c r="A38" s="23">
        <v>42374</v>
      </c>
      <c r="B38">
        <v>186.71</v>
      </c>
      <c r="C38">
        <v>187.37</v>
      </c>
      <c r="G38">
        <f t="shared" si="6"/>
        <v>65.590968563863541</v>
      </c>
      <c r="H38">
        <f t="shared" si="7"/>
        <v>74.708182439394662</v>
      </c>
      <c r="I38">
        <f t="shared" si="8"/>
        <v>78.534859293176069</v>
      </c>
      <c r="J38">
        <f t="shared" si="9"/>
        <v>92.253473272397812</v>
      </c>
      <c r="K38">
        <f t="shared" si="10"/>
        <v>103.37721026852793</v>
      </c>
      <c r="L38">
        <f t="shared" si="11"/>
        <v>186.68071053759866</v>
      </c>
      <c r="M38">
        <f t="shared" si="12"/>
        <v>-1.6507105375986555</v>
      </c>
      <c r="N38">
        <f t="shared" si="13"/>
        <v>2.7248452789392421</v>
      </c>
    </row>
    <row r="39" spans="1:14" x14ac:dyDescent="0.45">
      <c r="A39" s="23">
        <v>42373</v>
      </c>
      <c r="B39">
        <v>181.29</v>
      </c>
      <c r="C39">
        <v>184.03</v>
      </c>
      <c r="G39">
        <f t="shared" si="6"/>
        <v>63.730334711044918</v>
      </c>
      <c r="H39">
        <f t="shared" si="7"/>
        <v>72.58377354258144</v>
      </c>
      <c r="I39">
        <f t="shared" si="8"/>
        <v>76.303671863571111</v>
      </c>
      <c r="J39">
        <f t="shared" si="9"/>
        <v>89.620738753864416</v>
      </c>
      <c r="K39">
        <f t="shared" si="10"/>
        <v>100.42390560817429</v>
      </c>
      <c r="L39">
        <f t="shared" si="11"/>
        <v>181.48147772951847</v>
      </c>
      <c r="M39">
        <f t="shared" si="12"/>
        <v>5.228522270481534</v>
      </c>
      <c r="N39">
        <f t="shared" si="13"/>
        <v>27.337445132921374</v>
      </c>
    </row>
    <row r="40" spans="1:14" x14ac:dyDescent="0.45">
      <c r="A40" s="23">
        <v>42369</v>
      </c>
      <c r="B40">
        <v>190.58</v>
      </c>
      <c r="C40">
        <v>189.04</v>
      </c>
      <c r="G40">
        <f t="shared" si="6"/>
        <v>66.859314654986633</v>
      </c>
      <c r="H40">
        <f t="shared" si="7"/>
        <v>76.163637894810691</v>
      </c>
      <c r="I40">
        <f t="shared" si="8"/>
        <v>80.06058465418495</v>
      </c>
      <c r="J40">
        <f t="shared" si="9"/>
        <v>94.070495753658903</v>
      </c>
      <c r="K40">
        <f t="shared" si="10"/>
        <v>105.41988096175015</v>
      </c>
      <c r="L40">
        <f t="shared" si="11"/>
        <v>190.25409335277237</v>
      </c>
      <c r="M40">
        <f t="shared" si="12"/>
        <v>-8.9640933527723803</v>
      </c>
      <c r="N40">
        <f t="shared" si="13"/>
        <v>80.354969637217977</v>
      </c>
    </row>
    <row r="41" spans="1:14" x14ac:dyDescent="0.45">
      <c r="A41" s="23">
        <v>42368</v>
      </c>
      <c r="B41">
        <v>195.18</v>
      </c>
      <c r="C41">
        <v>192.13</v>
      </c>
      <c r="G41">
        <f t="shared" si="6"/>
        <v>68.493088797289303</v>
      </c>
      <c r="H41">
        <f t="shared" si="7"/>
        <v>78.022398427398272</v>
      </c>
      <c r="I41">
        <f t="shared" si="8"/>
        <v>82.01539063261545</v>
      </c>
      <c r="J41">
        <f t="shared" si="9"/>
        <v>96.361936766879722</v>
      </c>
      <c r="K41">
        <f t="shared" si="10"/>
        <v>107.98633921472955</v>
      </c>
      <c r="L41">
        <f t="shared" si="11"/>
        <v>194.79289606663662</v>
      </c>
      <c r="M41">
        <f t="shared" si="12"/>
        <v>-4.2128960666366027</v>
      </c>
      <c r="N41">
        <f t="shared" si="13"/>
        <v>17.748493268282157</v>
      </c>
    </row>
    <row r="42" spans="1:14" x14ac:dyDescent="0.45">
      <c r="A42" s="23">
        <v>42367</v>
      </c>
      <c r="B42">
        <v>193.32</v>
      </c>
      <c r="C42">
        <v>194.68</v>
      </c>
      <c r="G42">
        <f t="shared" si="6"/>
        <v>67.858542028881189</v>
      </c>
      <c r="H42">
        <f t="shared" si="7"/>
        <v>77.297412388814195</v>
      </c>
      <c r="I42">
        <f t="shared" si="8"/>
        <v>81.254154999197766</v>
      </c>
      <c r="J42">
        <f t="shared" si="9"/>
        <v>95.462596963991118</v>
      </c>
      <c r="K42">
        <f t="shared" si="10"/>
        <v>106.97720246263226</v>
      </c>
      <c r="L42">
        <f t="shared" si="11"/>
        <v>193.0178310201693</v>
      </c>
      <c r="M42">
        <f t="shared" si="12"/>
        <v>2.1621689798307102</v>
      </c>
      <c r="N42">
        <f t="shared" si="13"/>
        <v>4.674974697342174</v>
      </c>
    </row>
    <row r="43" spans="1:14" x14ac:dyDescent="0.45">
      <c r="A43" s="23">
        <v>42366</v>
      </c>
      <c r="B43">
        <v>191.23</v>
      </c>
      <c r="C43">
        <v>192.8</v>
      </c>
      <c r="G43">
        <f t="shared" si="6"/>
        <v>67.158136122266455</v>
      </c>
      <c r="H43">
        <f t="shared" si="7"/>
        <v>76.495641887495609</v>
      </c>
      <c r="I43">
        <f t="shared" si="8"/>
        <v>80.412904170062944</v>
      </c>
      <c r="J43">
        <f t="shared" si="9"/>
        <v>94.465208034231352</v>
      </c>
      <c r="K43">
        <f t="shared" si="10"/>
        <v>105.85711962155364</v>
      </c>
      <c r="L43">
        <f t="shared" si="11"/>
        <v>191.05238352249987</v>
      </c>
      <c r="M43">
        <f t="shared" si="12"/>
        <v>2.2676164775001268</v>
      </c>
      <c r="N43">
        <f t="shared" si="13"/>
        <v>5.1420844890300836</v>
      </c>
    </row>
    <row r="44" spans="1:14" x14ac:dyDescent="0.45">
      <c r="A44" s="23">
        <v>42362</v>
      </c>
      <c r="B44">
        <v>197.6</v>
      </c>
      <c r="C44">
        <v>193.93</v>
      </c>
      <c r="G44">
        <f t="shared" si="6"/>
        <v>69.271043917505239</v>
      </c>
      <c r="H44">
        <f t="shared" si="7"/>
        <v>78.917046857105404</v>
      </c>
      <c r="I44">
        <f t="shared" si="8"/>
        <v>82.952476011086361</v>
      </c>
      <c r="J44">
        <f t="shared" si="9"/>
        <v>97.48233623869227</v>
      </c>
      <c r="K44">
        <f t="shared" si="10"/>
        <v>109.24702379186735</v>
      </c>
      <c r="L44">
        <f t="shared" si="11"/>
        <v>196.9923872937824</v>
      </c>
      <c r="M44">
        <f t="shared" si="12"/>
        <v>-5.7623872937824103</v>
      </c>
      <c r="N44">
        <f t="shared" si="13"/>
        <v>33.205107323544972</v>
      </c>
    </row>
    <row r="45" spans="1:14" x14ac:dyDescent="0.45">
      <c r="A45" s="23">
        <v>42361</v>
      </c>
      <c r="B45">
        <v>197.31</v>
      </c>
      <c r="C45">
        <v>196.53</v>
      </c>
      <c r="G45">
        <f t="shared" si="6"/>
        <v>69.192472100808104</v>
      </c>
      <c r="H45">
        <f t="shared" si="7"/>
        <v>78.824791035409419</v>
      </c>
      <c r="I45">
        <f t="shared" si="8"/>
        <v>82.856587851938301</v>
      </c>
      <c r="J45">
        <f t="shared" si="9"/>
        <v>97.363360350736997</v>
      </c>
      <c r="K45">
        <f t="shared" si="10"/>
        <v>109.11202690604456</v>
      </c>
      <c r="L45">
        <f t="shared" si="11"/>
        <v>196.76264560178447</v>
      </c>
      <c r="M45">
        <f t="shared" si="12"/>
        <v>0.83735439821552404</v>
      </c>
      <c r="N45">
        <f t="shared" si="13"/>
        <v>0.70116238821088239</v>
      </c>
    </row>
    <row r="46" spans="1:14" x14ac:dyDescent="0.45">
      <c r="A46" s="23">
        <v>42360</v>
      </c>
      <c r="B46">
        <v>198.09</v>
      </c>
      <c r="C46">
        <v>197.03</v>
      </c>
      <c r="G46">
        <f t="shared" si="6"/>
        <v>69.516257886283924</v>
      </c>
      <c r="H46">
        <f t="shared" si="7"/>
        <v>79.187683595753271</v>
      </c>
      <c r="I46">
        <f t="shared" si="8"/>
        <v>83.240405289137058</v>
      </c>
      <c r="J46">
        <f t="shared" si="9"/>
        <v>97.800696795744528</v>
      </c>
      <c r="K46">
        <f t="shared" si="10"/>
        <v>109.59851807574633</v>
      </c>
      <c r="L46">
        <f t="shared" si="11"/>
        <v>197.64023097983497</v>
      </c>
      <c r="M46">
        <f t="shared" si="12"/>
        <v>-0.33023097983496541</v>
      </c>
      <c r="N46">
        <f t="shared" si="13"/>
        <v>0.10905250004276133</v>
      </c>
    </row>
    <row r="47" spans="1:14" x14ac:dyDescent="0.45">
      <c r="A47" s="23">
        <v>42359</v>
      </c>
      <c r="B47">
        <v>193.8</v>
      </c>
      <c r="C47">
        <v>197.44</v>
      </c>
      <c r="G47">
        <f t="shared" si="6"/>
        <v>68.064319219655331</v>
      </c>
      <c r="H47">
        <f t="shared" si="7"/>
        <v>77.527388826486458</v>
      </c>
      <c r="I47">
        <f t="shared" si="8"/>
        <v>81.497656056463583</v>
      </c>
      <c r="J47">
        <f t="shared" si="9"/>
        <v>95.738537455765993</v>
      </c>
      <c r="K47">
        <f t="shared" si="10"/>
        <v>107.28374397013259</v>
      </c>
      <c r="L47">
        <f t="shared" si="11"/>
        <v>193.57295157093793</v>
      </c>
      <c r="M47">
        <f t="shared" si="12"/>
        <v>4.517048429062072</v>
      </c>
      <c r="N47">
        <f t="shared" si="13"/>
        <v>20.403726510492135</v>
      </c>
    </row>
    <row r="48" spans="1:14" x14ac:dyDescent="0.45">
      <c r="A48" s="23">
        <v>42356</v>
      </c>
      <c r="B48">
        <v>195.54</v>
      </c>
      <c r="C48">
        <v>191.92</v>
      </c>
      <c r="G48">
        <f t="shared" si="6"/>
        <v>68.59701513489054</v>
      </c>
      <c r="H48">
        <f t="shared" si="7"/>
        <v>78.143442551799012</v>
      </c>
      <c r="I48">
        <f t="shared" si="8"/>
        <v>82.141577222401324</v>
      </c>
      <c r="J48">
        <f t="shared" si="9"/>
        <v>96.516294886333455</v>
      </c>
      <c r="K48">
        <f t="shared" si="10"/>
        <v>108.16092985337708</v>
      </c>
      <c r="L48">
        <f t="shared" si="11"/>
        <v>195.09284254203055</v>
      </c>
      <c r="M48">
        <f t="shared" si="12"/>
        <v>-1.2928425420305416</v>
      </c>
      <c r="N48">
        <f t="shared" si="13"/>
        <v>1.6714418384839926</v>
      </c>
    </row>
    <row r="49" spans="1:14" x14ac:dyDescent="0.45">
      <c r="A49" s="23">
        <v>42355</v>
      </c>
      <c r="B49">
        <v>200.72</v>
      </c>
      <c r="C49">
        <v>196.94</v>
      </c>
      <c r="G49">
        <f t="shared" si="6"/>
        <v>70.330925596146045</v>
      </c>
      <c r="H49">
        <f t="shared" si="7"/>
        <v>80.128540614896153</v>
      </c>
      <c r="I49">
        <f t="shared" si="8"/>
        <v>84.224326789068627</v>
      </c>
      <c r="J49">
        <f t="shared" si="9"/>
        <v>98.986188523649389</v>
      </c>
      <c r="K49">
        <f t="shared" si="10"/>
        <v>110.93480779205444</v>
      </c>
      <c r="L49">
        <f t="shared" si="11"/>
        <v>199.95947809890143</v>
      </c>
      <c r="M49">
        <f t="shared" si="12"/>
        <v>-4.4194780989014362</v>
      </c>
      <c r="N49">
        <f t="shared" si="13"/>
        <v>19.531786666669454</v>
      </c>
    </row>
    <row r="50" spans="1:14" x14ac:dyDescent="0.45">
      <c r="A50" s="23">
        <v>42354</v>
      </c>
      <c r="B50">
        <v>201.07</v>
      </c>
      <c r="C50">
        <v>199.34</v>
      </c>
      <c r="G50">
        <f t="shared" si="6"/>
        <v>70.474914940733683</v>
      </c>
      <c r="H50">
        <f t="shared" si="7"/>
        <v>80.290051262675632</v>
      </c>
      <c r="I50">
        <f t="shared" si="8"/>
        <v>84.395096905973887</v>
      </c>
      <c r="J50">
        <f t="shared" si="9"/>
        <v>99.18106838055472</v>
      </c>
      <c r="K50">
        <f t="shared" si="10"/>
        <v>111.15167393013434</v>
      </c>
      <c r="L50">
        <f t="shared" si="11"/>
        <v>200.35026111426134</v>
      </c>
      <c r="M50">
        <f t="shared" si="12"/>
        <v>0.36973888573865565</v>
      </c>
      <c r="N50">
        <f t="shared" si="13"/>
        <v>0.13670684362726265</v>
      </c>
    </row>
    <row r="51" spans="1:14" x14ac:dyDescent="0.45">
      <c r="A51" s="23">
        <v>42353</v>
      </c>
      <c r="B51">
        <v>196</v>
      </c>
      <c r="C51">
        <v>199.13</v>
      </c>
      <c r="G51">
        <f t="shared" si="6"/>
        <v>68.818253370020869</v>
      </c>
      <c r="H51">
        <f t="shared" si="7"/>
        <v>78.388363608202269</v>
      </c>
      <c r="I51">
        <f t="shared" si="8"/>
        <v>82.401841919474208</v>
      </c>
      <c r="J51">
        <f t="shared" si="9"/>
        <v>96.805806824293441</v>
      </c>
      <c r="K51">
        <f t="shared" si="10"/>
        <v>108.48106334627751</v>
      </c>
      <c r="L51">
        <f t="shared" si="11"/>
        <v>195.68032150867697</v>
      </c>
      <c r="M51">
        <f t="shared" si="12"/>
        <v>5.3896784913230249</v>
      </c>
      <c r="N51">
        <f t="shared" si="13"/>
        <v>29.048634239830037</v>
      </c>
    </row>
    <row r="52" spans="1:14" x14ac:dyDescent="0.45">
      <c r="A52" s="23">
        <v>42352</v>
      </c>
      <c r="B52">
        <v>193.89</v>
      </c>
      <c r="C52">
        <v>193.89</v>
      </c>
      <c r="G52">
        <f t="shared" si="6"/>
        <v>68.128283875298408</v>
      </c>
      <c r="H52">
        <f t="shared" si="7"/>
        <v>77.596410282004854</v>
      </c>
      <c r="I52">
        <f t="shared" si="8"/>
        <v>81.57173013590635</v>
      </c>
      <c r="J52">
        <f t="shared" si="9"/>
        <v>95.816753421948533</v>
      </c>
      <c r="K52">
        <f t="shared" si="10"/>
        <v>107.36906597103558</v>
      </c>
      <c r="L52">
        <f t="shared" si="11"/>
        <v>193.73563736252379</v>
      </c>
      <c r="M52">
        <f t="shared" si="12"/>
        <v>2.2643626374762107</v>
      </c>
      <c r="N52">
        <f t="shared" si="13"/>
        <v>5.1273381539982212</v>
      </c>
    </row>
    <row r="53" spans="1:14" x14ac:dyDescent="0.45">
      <c r="A53" s="23">
        <v>42349</v>
      </c>
      <c r="B53">
        <v>196.1</v>
      </c>
      <c r="C53">
        <v>193.68</v>
      </c>
      <c r="G53">
        <f t="shared" si="6"/>
        <v>68.881616539208537</v>
      </c>
      <c r="H53">
        <f t="shared" si="7"/>
        <v>78.457187690493015</v>
      </c>
      <c r="I53">
        <f t="shared" si="8"/>
        <v>82.475516128779233</v>
      </c>
      <c r="J53">
        <f t="shared" si="9"/>
        <v>96.884674463502506</v>
      </c>
      <c r="K53">
        <f t="shared" si="10"/>
        <v>108.56741111522393</v>
      </c>
      <c r="L53">
        <f t="shared" si="11"/>
        <v>195.84328824748459</v>
      </c>
      <c r="M53">
        <f t="shared" si="12"/>
        <v>-1.9532882474846076</v>
      </c>
      <c r="N53">
        <f t="shared" si="13"/>
        <v>3.8153349777614896</v>
      </c>
    </row>
    <row r="54" spans="1:14" x14ac:dyDescent="0.45">
      <c r="A54" s="23">
        <v>42348</v>
      </c>
      <c r="B54">
        <v>201.71</v>
      </c>
      <c r="C54">
        <v>200.01</v>
      </c>
      <c r="G54">
        <f t="shared" si="6"/>
        <v>70.827713082722752</v>
      </c>
      <c r="H54">
        <f t="shared" si="7"/>
        <v>80.676720203755977</v>
      </c>
      <c r="I54">
        <f t="shared" si="8"/>
        <v>84.807578693619377</v>
      </c>
      <c r="J54">
        <f t="shared" si="9"/>
        <v>99.630820210423991</v>
      </c>
      <c r="K54">
        <f t="shared" si="10"/>
        <v>111.64645616634144</v>
      </c>
      <c r="L54">
        <f t="shared" si="11"/>
        <v>201.2715153362642</v>
      </c>
      <c r="M54">
        <f t="shared" si="12"/>
        <v>-5.171515336264207</v>
      </c>
      <c r="N54">
        <f t="shared" si="13"/>
        <v>26.744570873215896</v>
      </c>
    </row>
    <row r="55" spans="1:14" x14ac:dyDescent="0.45">
      <c r="A55" s="23">
        <v>42347</v>
      </c>
      <c r="B55">
        <v>204</v>
      </c>
      <c r="C55">
        <v>200.46</v>
      </c>
      <c r="G55">
        <f t="shared" si="6"/>
        <v>71.60500420667141</v>
      </c>
      <c r="H55">
        <f t="shared" si="7"/>
        <v>81.565277695739837</v>
      </c>
      <c r="I55">
        <f t="shared" si="8"/>
        <v>85.74037281593921</v>
      </c>
      <c r="J55">
        <f t="shared" si="9"/>
        <v>100.73394214774869</v>
      </c>
      <c r="K55">
        <f t="shared" si="10"/>
        <v>112.88454479419465</v>
      </c>
      <c r="L55">
        <f t="shared" si="11"/>
        <v>203.44781317242078</v>
      </c>
      <c r="M55">
        <f t="shared" si="12"/>
        <v>-1.7378131724207719</v>
      </c>
      <c r="N55">
        <f t="shared" si="13"/>
        <v>3.0199946222391474</v>
      </c>
    </row>
    <row r="56" spans="1:14" x14ac:dyDescent="0.45">
      <c r="A56" s="23">
        <v>42346</v>
      </c>
      <c r="B56">
        <v>204.29</v>
      </c>
      <c r="C56">
        <v>205.02</v>
      </c>
      <c r="G56">
        <f t="shared" si="6"/>
        <v>71.763294000308804</v>
      </c>
      <c r="H56">
        <f t="shared" si="7"/>
        <v>81.738883032731152</v>
      </c>
      <c r="I56">
        <f t="shared" si="8"/>
        <v>85.925519050161839</v>
      </c>
      <c r="J56">
        <f t="shared" si="9"/>
        <v>100.93609785960624</v>
      </c>
      <c r="K56">
        <f t="shared" si="10"/>
        <v>113.10702025217225</v>
      </c>
      <c r="L56">
        <f t="shared" si="11"/>
        <v>203.86162906018566</v>
      </c>
      <c r="M56">
        <f t="shared" si="12"/>
        <v>0.13837093981433668</v>
      </c>
      <c r="N56">
        <f t="shared" si="13"/>
        <v>1.9146516985102783E-2</v>
      </c>
    </row>
    <row r="57" spans="1:14" x14ac:dyDescent="0.45">
      <c r="A57" s="23">
        <v>42345</v>
      </c>
      <c r="B57">
        <v>207.99</v>
      </c>
      <c r="C57">
        <v>208.54</v>
      </c>
      <c r="G57">
        <f t="shared" si="6"/>
        <v>73.025829079028199</v>
      </c>
      <c r="H57">
        <f t="shared" si="7"/>
        <v>83.181329599657346</v>
      </c>
      <c r="I57">
        <f t="shared" si="8"/>
        <v>87.44010108277898</v>
      </c>
      <c r="J57">
        <f t="shared" si="9"/>
        <v>102.72538224443385</v>
      </c>
      <c r="K57">
        <f t="shared" si="10"/>
        <v>115.11473214459116</v>
      </c>
      <c r="L57">
        <f t="shared" si="11"/>
        <v>207.39328241963224</v>
      </c>
      <c r="M57">
        <f t="shared" si="12"/>
        <v>-3.1032824196322508</v>
      </c>
      <c r="N57">
        <f t="shared" si="13"/>
        <v>9.6303617759985976</v>
      </c>
    </row>
    <row r="58" spans="1:14" x14ac:dyDescent="0.45">
      <c r="A58" s="23">
        <v>42342</v>
      </c>
      <c r="B58">
        <v>208</v>
      </c>
      <c r="C58">
        <v>208.3</v>
      </c>
      <c r="G58">
        <f t="shared" si="6"/>
        <v>73.02397292113973</v>
      </c>
      <c r="H58">
        <f t="shared" si="7"/>
        <v>83.179851877632601</v>
      </c>
      <c r="I58">
        <f t="shared" si="8"/>
        <v>87.438296424789456</v>
      </c>
      <c r="J58">
        <f t="shared" si="9"/>
        <v>102.72472493404598</v>
      </c>
      <c r="K58">
        <f t="shared" si="10"/>
        <v>115.11438128274371</v>
      </c>
      <c r="L58">
        <f t="shared" si="11"/>
        <v>207.39066642662289</v>
      </c>
      <c r="M58">
        <f t="shared" si="12"/>
        <v>0.59933357337712323</v>
      </c>
      <c r="N58">
        <f t="shared" si="13"/>
        <v>0.35920073217699156</v>
      </c>
    </row>
    <row r="59" spans="1:14" x14ac:dyDescent="0.45">
      <c r="A59" s="23">
        <v>42341</v>
      </c>
      <c r="B59">
        <v>213.25</v>
      </c>
      <c r="C59">
        <v>207.48</v>
      </c>
      <c r="G59">
        <f t="shared" si="6"/>
        <v>74.753576473864143</v>
      </c>
      <c r="H59">
        <f t="shared" si="7"/>
        <v>85.163469792389506</v>
      </c>
      <c r="I59">
        <f t="shared" si="8"/>
        <v>89.518135261490485</v>
      </c>
      <c r="J59">
        <f t="shared" si="9"/>
        <v>105.19906123411334</v>
      </c>
      <c r="K59">
        <f t="shared" si="10"/>
        <v>117.89531444955306</v>
      </c>
      <c r="L59">
        <f t="shared" si="11"/>
        <v>212.25902681680705</v>
      </c>
      <c r="M59">
        <f t="shared" si="12"/>
        <v>-4.2590268168070509</v>
      </c>
      <c r="N59">
        <f t="shared" si="13"/>
        <v>18.139309426281599</v>
      </c>
    </row>
    <row r="60" spans="1:14" x14ac:dyDescent="0.45">
      <c r="A60" s="23">
        <v>42340</v>
      </c>
      <c r="B60">
        <v>213.85</v>
      </c>
      <c r="C60">
        <v>211.36</v>
      </c>
      <c r="G60">
        <f t="shared" si="6"/>
        <v>74.859247937175638</v>
      </c>
      <c r="H60">
        <f t="shared" si="7"/>
        <v>85.296288565159941</v>
      </c>
      <c r="I60">
        <f t="shared" si="8"/>
        <v>89.652821673981549</v>
      </c>
      <c r="J60">
        <f t="shared" si="9"/>
        <v>105.38583808757853</v>
      </c>
      <c r="K60">
        <f t="shared" si="10"/>
        <v>118.11216941347962</v>
      </c>
      <c r="L60">
        <f t="shared" si="11"/>
        <v>212.60297014445831</v>
      </c>
      <c r="M60">
        <f t="shared" si="12"/>
        <v>0.6470298555416889</v>
      </c>
      <c r="N60">
        <f t="shared" si="13"/>
        <v>0.41864763396229882</v>
      </c>
    </row>
    <row r="61" spans="1:14" x14ac:dyDescent="0.45">
      <c r="A61" s="23">
        <v>42339</v>
      </c>
      <c r="B61">
        <v>213.39</v>
      </c>
      <c r="C61">
        <v>214.11</v>
      </c>
      <c r="G61">
        <f t="shared" si="6"/>
        <v>74.75707640801555</v>
      </c>
      <c r="H61">
        <f t="shared" si="7"/>
        <v>85.172871072110709</v>
      </c>
      <c r="I61">
        <f t="shared" si="8"/>
        <v>89.525872161792762</v>
      </c>
      <c r="J61">
        <f t="shared" si="9"/>
        <v>105.22056037511214</v>
      </c>
      <c r="K61">
        <f t="shared" si="10"/>
        <v>117.92269061203788</v>
      </c>
      <c r="L61">
        <f t="shared" si="11"/>
        <v>212.29042105884679</v>
      </c>
      <c r="M61">
        <f t="shared" si="12"/>
        <v>1.5595789411532053</v>
      </c>
      <c r="N61">
        <f t="shared" si="13"/>
        <v>2.4322864736885528</v>
      </c>
    </row>
    <row r="62" spans="1:14" x14ac:dyDescent="0.45">
      <c r="A62" s="23">
        <v>42338</v>
      </c>
      <c r="B62">
        <v>208.82</v>
      </c>
      <c r="C62">
        <v>217.97</v>
      </c>
      <c r="G62">
        <f t="shared" si="6"/>
        <v>73.226538473698767</v>
      </c>
      <c r="H62">
        <f t="shared" si="7"/>
        <v>83.420708881417767</v>
      </c>
      <c r="I62">
        <f t="shared" si="8"/>
        <v>87.687476852391413</v>
      </c>
      <c r="J62">
        <f t="shared" si="9"/>
        <v>103.04067179355275</v>
      </c>
      <c r="K62">
        <f t="shared" si="10"/>
        <v>115.47457112950424</v>
      </c>
      <c r="L62">
        <f t="shared" si="11"/>
        <v>207.99500227357311</v>
      </c>
      <c r="M62">
        <f t="shared" si="12"/>
        <v>5.3949977264268796</v>
      </c>
      <c r="N62">
        <f t="shared" si="13"/>
        <v>29.106000468151201</v>
      </c>
    </row>
    <row r="63" spans="1:14" x14ac:dyDescent="0.45">
      <c r="A63" s="23">
        <v>42335</v>
      </c>
      <c r="B63">
        <v>200.23</v>
      </c>
      <c r="C63">
        <v>205.58</v>
      </c>
      <c r="G63">
        <f t="shared" si="6"/>
        <v>70.311979571635604</v>
      </c>
      <c r="H63">
        <f t="shared" si="7"/>
        <v>80.088802704685918</v>
      </c>
      <c r="I63">
        <f t="shared" si="8"/>
        <v>84.189743400362644</v>
      </c>
      <c r="J63">
        <f t="shared" si="9"/>
        <v>98.903920616204616</v>
      </c>
      <c r="K63">
        <f t="shared" si="10"/>
        <v>110.83160748121571</v>
      </c>
      <c r="L63">
        <f t="shared" si="11"/>
        <v>199.83410110416185</v>
      </c>
      <c r="M63">
        <f t="shared" si="12"/>
        <v>8.9858988958381474</v>
      </c>
      <c r="N63">
        <f t="shared" si="13"/>
        <v>80.746378966225237</v>
      </c>
    </row>
    <row r="64" spans="1:14" x14ac:dyDescent="0.45">
      <c r="A64" s="23">
        <v>42333</v>
      </c>
      <c r="B64">
        <v>204.96</v>
      </c>
      <c r="C64">
        <v>201.8</v>
      </c>
      <c r="G64">
        <f t="shared" si="6"/>
        <v>71.93421897334278</v>
      </c>
      <c r="H64">
        <f t="shared" si="7"/>
        <v>81.941205757093542</v>
      </c>
      <c r="I64">
        <f t="shared" si="8"/>
        <v>86.135181189137086</v>
      </c>
      <c r="J64">
        <f t="shared" si="9"/>
        <v>101.1999063445756</v>
      </c>
      <c r="K64">
        <f t="shared" si="10"/>
        <v>113.40727082908693</v>
      </c>
      <c r="L64">
        <f t="shared" si="11"/>
        <v>204.3679250111621</v>
      </c>
      <c r="M64">
        <f t="shared" si="12"/>
        <v>-4.1379250111621104</v>
      </c>
      <c r="N64">
        <f t="shared" si="13"/>
        <v>17.122423398000951</v>
      </c>
    </row>
    <row r="65" spans="1:14" x14ac:dyDescent="0.45">
      <c r="A65" s="23">
        <v>42332</v>
      </c>
      <c r="B65">
        <v>206.75</v>
      </c>
      <c r="C65">
        <v>205.33</v>
      </c>
      <c r="G65">
        <f t="shared" si="6"/>
        <v>72.500071791957865</v>
      </c>
      <c r="H65">
        <f t="shared" si="7"/>
        <v>82.593177068835189</v>
      </c>
      <c r="I65">
        <f t="shared" si="8"/>
        <v>86.817592817420362</v>
      </c>
      <c r="J65">
        <f t="shared" si="9"/>
        <v>102.01864456384175</v>
      </c>
      <c r="K65">
        <f t="shared" si="10"/>
        <v>114.32925752303926</v>
      </c>
      <c r="L65">
        <f t="shared" si="11"/>
        <v>205.97271381623423</v>
      </c>
      <c r="M65">
        <f t="shared" si="12"/>
        <v>-1.0127138162342249</v>
      </c>
      <c r="N65">
        <f t="shared" si="13"/>
        <v>1.0255892735916874</v>
      </c>
    </row>
    <row r="66" spans="1:14" x14ac:dyDescent="0.45">
      <c r="A66" s="23">
        <v>42331</v>
      </c>
      <c r="B66">
        <v>206.81</v>
      </c>
      <c r="C66">
        <v>207.46</v>
      </c>
      <c r="G66">
        <f t="shared" ref="G66:K66" si="14">SUMPRODUCT($B66:$B70,P$2:P$6)</f>
        <v>72.429890560073858</v>
      </c>
      <c r="H66">
        <f t="shared" si="14"/>
        <v>82.524057909166771</v>
      </c>
      <c r="I66">
        <f t="shared" si="14"/>
        <v>86.740648159217514</v>
      </c>
      <c r="J66">
        <f t="shared" si="14"/>
        <v>101.95305954661777</v>
      </c>
      <c r="K66">
        <f t="shared" si="14"/>
        <v>114.26232559891288</v>
      </c>
      <c r="L66">
        <f t="shared" ref="L66:L129" si="15">(G66+$P$7)*$U$2+(H66+$Q$7)*$U$3+(I66+$R$7)*$U$4+(J66+$S$7)*$U$5+(K66+$T$7)*$U$6+$U$7</f>
        <v>205.82064668183259</v>
      </c>
      <c r="M66">
        <f t="shared" si="12"/>
        <v>0.92935331816741495</v>
      </c>
      <c r="N66">
        <f t="shared" si="13"/>
        <v>0.86369758998878443</v>
      </c>
    </row>
    <row r="67" spans="1:14" x14ac:dyDescent="0.45">
      <c r="A67" s="23">
        <v>42328</v>
      </c>
      <c r="B67">
        <v>208.3</v>
      </c>
      <c r="C67">
        <v>206.69</v>
      </c>
      <c r="G67">
        <f t="shared" ref="G67:K67" si="16">SUMPRODUCT($B67:$B71,P$2:P$6)</f>
        <v>72.966459195057453</v>
      </c>
      <c r="H67">
        <f t="shared" si="16"/>
        <v>83.13365339443915</v>
      </c>
      <c r="I67">
        <f t="shared" si="16"/>
        <v>87.382086390737356</v>
      </c>
      <c r="J67">
        <f t="shared" si="16"/>
        <v>102.7029824864892</v>
      </c>
      <c r="K67">
        <f t="shared" si="16"/>
        <v>115.10172790839832</v>
      </c>
      <c r="L67">
        <f t="shared" si="15"/>
        <v>207.30784474754157</v>
      </c>
      <c r="M67">
        <f t="shared" ref="M67:M130" si="17">B66-L67</f>
        <v>-0.49784474754156349</v>
      </c>
      <c r="N67">
        <f t="shared" ref="N67:N130" si="18">M67^2</f>
        <v>0.24784939265472308</v>
      </c>
    </row>
    <row r="68" spans="1:14" x14ac:dyDescent="0.45">
      <c r="A68" s="23">
        <v>42327</v>
      </c>
      <c r="B68">
        <v>204.65</v>
      </c>
      <c r="C68">
        <v>207.8</v>
      </c>
      <c r="G68">
        <f t="shared" ref="G68:K68" si="19">SUMPRODUCT($B68:$B72,P$2:P$6)</f>
        <v>71.643577890776228</v>
      </c>
      <c r="H68">
        <f t="shared" si="19"/>
        <v>81.631707555398378</v>
      </c>
      <c r="I68">
        <f t="shared" si="19"/>
        <v>85.801298947434276</v>
      </c>
      <c r="J68">
        <f t="shared" si="19"/>
        <v>100.85710027246962</v>
      </c>
      <c r="K68">
        <f t="shared" si="19"/>
        <v>113.03619532573313</v>
      </c>
      <c r="L68">
        <f t="shared" si="15"/>
        <v>203.64516864687869</v>
      </c>
      <c r="M68">
        <f t="shared" si="17"/>
        <v>4.6548313531213239</v>
      </c>
      <c r="N68">
        <f t="shared" si="18"/>
        <v>21.667454926001295</v>
      </c>
    </row>
    <row r="69" spans="1:14" x14ac:dyDescent="0.45">
      <c r="A69" s="23">
        <v>42326</v>
      </c>
      <c r="B69">
        <v>196.71</v>
      </c>
      <c r="C69">
        <v>204.73</v>
      </c>
      <c r="G69">
        <f t="shared" ref="G69:K69" si="20">SUMPRODUCT($B69:$B73,P$2:P$6)</f>
        <v>68.989642689240142</v>
      </c>
      <c r="H69">
        <f t="shared" si="20"/>
        <v>78.592825804545171</v>
      </c>
      <c r="I69">
        <f t="shared" si="20"/>
        <v>82.613114456682993</v>
      </c>
      <c r="J69">
        <f t="shared" si="20"/>
        <v>97.075196937073287</v>
      </c>
      <c r="K69">
        <f t="shared" si="20"/>
        <v>108.78854569966319</v>
      </c>
      <c r="L69">
        <f t="shared" si="15"/>
        <v>196.19434825913783</v>
      </c>
      <c r="M69">
        <f t="shared" si="17"/>
        <v>8.4556517408621801</v>
      </c>
      <c r="N69">
        <f t="shared" si="18"/>
        <v>71.498046362745612</v>
      </c>
    </row>
    <row r="70" spans="1:14" x14ac:dyDescent="0.45">
      <c r="A70" s="23">
        <v>42325</v>
      </c>
      <c r="B70">
        <v>199.42</v>
      </c>
      <c r="C70">
        <v>196.83</v>
      </c>
      <c r="G70">
        <f t="shared" ref="G70:K70" si="21">SUMPRODUCT($B70:$B74,P$2:P$6)</f>
        <v>69.94573073111772</v>
      </c>
      <c r="H70">
        <f t="shared" si="21"/>
        <v>79.681328824089604</v>
      </c>
      <c r="I70">
        <f t="shared" si="21"/>
        <v>83.75756405338285</v>
      </c>
      <c r="J70">
        <f t="shared" si="21"/>
        <v>98.418457811938708</v>
      </c>
      <c r="K70">
        <f t="shared" si="21"/>
        <v>110.29348151668835</v>
      </c>
      <c r="L70">
        <f t="shared" si="15"/>
        <v>198.85347538953238</v>
      </c>
      <c r="M70">
        <f t="shared" si="17"/>
        <v>-2.1434753895323695</v>
      </c>
      <c r="N70">
        <f t="shared" si="18"/>
        <v>4.5944867455309435</v>
      </c>
    </row>
    <row r="71" spans="1:14" x14ac:dyDescent="0.45">
      <c r="A71" s="23">
        <v>42324</v>
      </c>
      <c r="B71">
        <v>192.04</v>
      </c>
      <c r="C71">
        <v>198.72</v>
      </c>
      <c r="G71">
        <f t="shared" ref="G71:K71" si="22">SUMPRODUCT($B71:$B75,P$2:P$6)</f>
        <v>67.43428517157038</v>
      </c>
      <c r="H71">
        <f t="shared" si="22"/>
        <v>76.81117197791697</v>
      </c>
      <c r="I71">
        <f t="shared" si="22"/>
        <v>80.744201947056524</v>
      </c>
      <c r="J71">
        <f t="shared" si="22"/>
        <v>94.856662157946673</v>
      </c>
      <c r="K71">
        <f t="shared" si="22"/>
        <v>106.29637853028372</v>
      </c>
      <c r="L71">
        <f t="shared" si="15"/>
        <v>191.82496666987655</v>
      </c>
      <c r="M71">
        <f t="shared" si="17"/>
        <v>7.5950333301234423</v>
      </c>
      <c r="N71">
        <f t="shared" si="18"/>
        <v>57.684531285685985</v>
      </c>
    </row>
    <row r="72" spans="1:14" x14ac:dyDescent="0.45">
      <c r="A72" s="23">
        <v>42321</v>
      </c>
      <c r="B72">
        <v>195.61</v>
      </c>
      <c r="C72">
        <v>193.95</v>
      </c>
      <c r="G72">
        <f t="shared" ref="G72:K72" si="23">SUMPRODUCT($B72:$B76,P$2:P$6)</f>
        <v>68.591125917867103</v>
      </c>
      <c r="H72">
        <f t="shared" si="23"/>
        <v>78.140347653198717</v>
      </c>
      <c r="I72">
        <f t="shared" si="23"/>
        <v>82.136891899976348</v>
      </c>
      <c r="J72">
        <f t="shared" si="23"/>
        <v>96.519071570578618</v>
      </c>
      <c r="K72">
        <f t="shared" si="23"/>
        <v>108.16623300710253</v>
      </c>
      <c r="L72">
        <f t="shared" si="15"/>
        <v>195.09089823989197</v>
      </c>
      <c r="M72">
        <f t="shared" si="17"/>
        <v>-3.0508982398919784</v>
      </c>
      <c r="N72">
        <f t="shared" si="18"/>
        <v>9.3079800701759723</v>
      </c>
    </row>
    <row r="73" spans="1:14" x14ac:dyDescent="0.45">
      <c r="A73" s="23">
        <v>42320</v>
      </c>
      <c r="B73">
        <v>198.8</v>
      </c>
      <c r="C73">
        <v>198.14</v>
      </c>
      <c r="G73">
        <f t="shared" ref="G73:K73" si="24">SUMPRODUCT($B73:$B77,P$2:P$6)</f>
        <v>69.733605847243581</v>
      </c>
      <c r="H73">
        <f t="shared" si="24"/>
        <v>79.439045049141981</v>
      </c>
      <c r="I73">
        <f t="shared" si="24"/>
        <v>83.503136847067339</v>
      </c>
      <c r="J73">
        <f t="shared" si="24"/>
        <v>98.118043226779349</v>
      </c>
      <c r="K73">
        <f t="shared" si="24"/>
        <v>109.95643514240581</v>
      </c>
      <c r="L73">
        <f t="shared" si="15"/>
        <v>198.26038127586608</v>
      </c>
      <c r="M73">
        <f t="shared" si="17"/>
        <v>-2.6503812758660672</v>
      </c>
      <c r="N73">
        <f t="shared" si="18"/>
        <v>7.0245209074614419</v>
      </c>
    </row>
    <row r="74" spans="1:14" x14ac:dyDescent="0.45">
      <c r="A74" s="23">
        <v>42319</v>
      </c>
      <c r="B74">
        <v>198.2</v>
      </c>
      <c r="C74">
        <v>199.49</v>
      </c>
      <c r="G74">
        <f t="shared" ref="G74:K74" si="25">SUMPRODUCT($B74:$B78,P$2:P$6)</f>
        <v>69.514015316609502</v>
      </c>
      <c r="H74">
        <f t="shared" si="25"/>
        <v>79.189975646573728</v>
      </c>
      <c r="I74">
        <f t="shared" si="25"/>
        <v>83.240895741102108</v>
      </c>
      <c r="J74">
        <f t="shared" si="25"/>
        <v>97.812387055307497</v>
      </c>
      <c r="K74">
        <f t="shared" si="25"/>
        <v>109.61455715475583</v>
      </c>
      <c r="L74">
        <f t="shared" si="15"/>
        <v>197.65337748071772</v>
      </c>
      <c r="M74">
        <f t="shared" si="17"/>
        <v>1.146622519282289</v>
      </c>
      <c r="N74">
        <f t="shared" si="18"/>
        <v>1.3147432017252632</v>
      </c>
    </row>
    <row r="75" spans="1:14" x14ac:dyDescent="0.45">
      <c r="A75" s="23">
        <v>42318</v>
      </c>
      <c r="B75">
        <v>193.4</v>
      </c>
      <c r="C75">
        <v>196.99</v>
      </c>
      <c r="G75">
        <f t="shared" ref="G75:K75" si="26">SUMPRODUCT($B75:$B79,P$2:P$6)</f>
        <v>67.894355521722588</v>
      </c>
      <c r="H75">
        <f t="shared" si="26"/>
        <v>77.337290154639589</v>
      </c>
      <c r="I75">
        <f t="shared" si="26"/>
        <v>81.296438059911168</v>
      </c>
      <c r="J75">
        <f t="shared" si="26"/>
        <v>95.510173696744104</v>
      </c>
      <c r="K75">
        <f t="shared" si="26"/>
        <v>107.02996135617425</v>
      </c>
      <c r="L75">
        <f t="shared" si="15"/>
        <v>193.11385823040771</v>
      </c>
      <c r="M75">
        <f t="shared" si="17"/>
        <v>5.0861417695922739</v>
      </c>
      <c r="N75">
        <f t="shared" si="18"/>
        <v>25.868838100391226</v>
      </c>
    </row>
    <row r="76" spans="1:14" x14ac:dyDescent="0.45">
      <c r="A76" s="23">
        <v>42317</v>
      </c>
      <c r="B76">
        <v>198.65</v>
      </c>
      <c r="C76">
        <v>194.01</v>
      </c>
      <c r="G76">
        <f t="shared" ref="G76:K76" si="27">SUMPRODUCT($B76:$B80,P$2:P$6)</f>
        <v>69.63206390133503</v>
      </c>
      <c r="H76">
        <f t="shared" si="27"/>
        <v>79.329178742637595</v>
      </c>
      <c r="I76">
        <f t="shared" si="27"/>
        <v>83.385350106778617</v>
      </c>
      <c r="J76">
        <f t="shared" si="27"/>
        <v>97.992958874917548</v>
      </c>
      <c r="K76">
        <f t="shared" si="27"/>
        <v>109.81978004318815</v>
      </c>
      <c r="L76">
        <f t="shared" si="15"/>
        <v>198.00092502800578</v>
      </c>
      <c r="M76">
        <f t="shared" si="17"/>
        <v>-4.6009250280057756</v>
      </c>
      <c r="N76">
        <f t="shared" si="18"/>
        <v>21.168511113329949</v>
      </c>
    </row>
    <row r="77" spans="1:14" x14ac:dyDescent="0.45">
      <c r="A77" s="23">
        <v>42314</v>
      </c>
      <c r="B77">
        <v>197.25</v>
      </c>
      <c r="C77">
        <v>200.3</v>
      </c>
      <c r="G77">
        <f t="shared" ref="G77:K77" si="28">SUMPRODUCT($B77:$B81,P$2:P$6)</f>
        <v>69.160235527192384</v>
      </c>
      <c r="H77">
        <f t="shared" si="28"/>
        <v>78.789396285123431</v>
      </c>
      <c r="I77">
        <f t="shared" si="28"/>
        <v>82.818859012532542</v>
      </c>
      <c r="J77">
        <f t="shared" si="28"/>
        <v>97.322084886046369</v>
      </c>
      <c r="K77">
        <f t="shared" si="28"/>
        <v>109.06657577180898</v>
      </c>
      <c r="L77">
        <f t="shared" si="15"/>
        <v>196.67822820777698</v>
      </c>
      <c r="M77">
        <f t="shared" si="17"/>
        <v>1.9717717922230236</v>
      </c>
      <c r="N77">
        <f t="shared" si="18"/>
        <v>3.8878840006063946</v>
      </c>
    </row>
    <row r="78" spans="1:14" x14ac:dyDescent="0.45">
      <c r="A78" s="23">
        <v>42313</v>
      </c>
      <c r="B78">
        <v>198.07</v>
      </c>
      <c r="C78">
        <v>198.91</v>
      </c>
      <c r="G78">
        <f t="shared" ref="G78:K78" si="29">SUMPRODUCT($B78:$B82,P$2:P$6)</f>
        <v>69.334741757301828</v>
      </c>
      <c r="H78">
        <f t="shared" si="29"/>
        <v>79.001619707292008</v>
      </c>
      <c r="I78">
        <f t="shared" si="29"/>
        <v>83.036623003096437</v>
      </c>
      <c r="J78">
        <f t="shared" si="29"/>
        <v>97.608758170100515</v>
      </c>
      <c r="K78">
        <f t="shared" si="29"/>
        <v>109.39597916828326</v>
      </c>
      <c r="L78">
        <f t="shared" si="15"/>
        <v>197.21777758126547</v>
      </c>
      <c r="M78">
        <f t="shared" si="17"/>
        <v>3.2222418734534131E-2</v>
      </c>
      <c r="N78">
        <f t="shared" si="18"/>
        <v>1.038284269103656E-3</v>
      </c>
    </row>
    <row r="79" spans="1:14" x14ac:dyDescent="0.45">
      <c r="A79" s="23">
        <v>42312</v>
      </c>
      <c r="B79">
        <v>194.21</v>
      </c>
      <c r="C79">
        <v>197.92</v>
      </c>
      <c r="G79">
        <f t="shared" ref="G79:K79" si="30">SUMPRODUCT($B79:$B83,P$2:P$6)</f>
        <v>67.927583812321458</v>
      </c>
      <c r="H79">
        <f t="shared" si="30"/>
        <v>77.404927788275756</v>
      </c>
      <c r="I79">
        <f t="shared" si="30"/>
        <v>81.355744674561265</v>
      </c>
      <c r="J79">
        <f t="shared" si="30"/>
        <v>95.648161415666436</v>
      </c>
      <c r="K79">
        <f t="shared" si="30"/>
        <v>107.2026546587674</v>
      </c>
      <c r="L79">
        <f t="shared" si="15"/>
        <v>193.32552451835784</v>
      </c>
      <c r="M79">
        <f t="shared" si="17"/>
        <v>4.744475481642155</v>
      </c>
      <c r="N79">
        <f t="shared" si="18"/>
        <v>22.510047595903558</v>
      </c>
    </row>
    <row r="80" spans="1:14" x14ac:dyDescent="0.45">
      <c r="A80" s="23">
        <v>42311</v>
      </c>
      <c r="B80">
        <v>194.5</v>
      </c>
      <c r="C80">
        <v>192.5</v>
      </c>
      <c r="G80">
        <f t="shared" ref="G80:K80" si="31">SUMPRODUCT($B80:$B84,P$2:P$6)</f>
        <v>67.976511100141366</v>
      </c>
      <c r="H80">
        <f t="shared" si="31"/>
        <v>77.466932336837246</v>
      </c>
      <c r="I80">
        <f t="shared" si="31"/>
        <v>81.418439148263431</v>
      </c>
      <c r="J80">
        <f t="shared" si="31"/>
        <v>95.73619773448813</v>
      </c>
      <c r="K80">
        <f t="shared" si="31"/>
        <v>107.30511301989741</v>
      </c>
      <c r="L80">
        <f t="shared" si="15"/>
        <v>193.48680703337544</v>
      </c>
      <c r="M80">
        <f t="shared" si="17"/>
        <v>0.72319296662456622</v>
      </c>
      <c r="N80">
        <f t="shared" si="18"/>
        <v>0.52300806697524094</v>
      </c>
    </row>
    <row r="81" spans="1:14" x14ac:dyDescent="0.45">
      <c r="A81" s="23">
        <v>42310</v>
      </c>
      <c r="B81">
        <v>185.4</v>
      </c>
      <c r="C81">
        <v>195.19</v>
      </c>
      <c r="G81">
        <f t="shared" ref="G81:K81" si="32">SUMPRODUCT($B81:$B85,P$2:P$6)</f>
        <v>64.896619256897949</v>
      </c>
      <c r="H81">
        <f t="shared" si="32"/>
        <v>73.94507253422519</v>
      </c>
      <c r="I81">
        <f t="shared" si="32"/>
        <v>77.721672615782708</v>
      </c>
      <c r="J81">
        <f t="shared" si="32"/>
        <v>91.36189148647648</v>
      </c>
      <c r="K81">
        <f t="shared" si="32"/>
        <v>102.39495579025083</v>
      </c>
      <c r="L81">
        <f t="shared" si="15"/>
        <v>184.85918781614623</v>
      </c>
      <c r="M81">
        <f t="shared" si="17"/>
        <v>9.6408121838537681</v>
      </c>
      <c r="N81">
        <f t="shared" si="18"/>
        <v>92.94525956434326</v>
      </c>
    </row>
    <row r="82" spans="1:14" x14ac:dyDescent="0.45">
      <c r="A82" s="23">
        <v>42307</v>
      </c>
      <c r="B82">
        <v>176.88</v>
      </c>
      <c r="C82">
        <v>187.47</v>
      </c>
      <c r="G82">
        <f t="shared" ref="G82:K82" si="33">SUMPRODUCT($B82:$B86,P$2:P$6)</f>
        <v>61.953928584099557</v>
      </c>
      <c r="H82">
        <f t="shared" si="33"/>
        <v>70.587373697022045</v>
      </c>
      <c r="I82">
        <f t="shared" si="33"/>
        <v>74.194350192323213</v>
      </c>
      <c r="J82">
        <f t="shared" si="33"/>
        <v>87.204712315621364</v>
      </c>
      <c r="K82">
        <f t="shared" si="33"/>
        <v>97.732891402168164</v>
      </c>
      <c r="L82">
        <f t="shared" si="15"/>
        <v>176.64498670614137</v>
      </c>
      <c r="M82">
        <f t="shared" si="17"/>
        <v>8.7550132938586387</v>
      </c>
      <c r="N82">
        <f t="shared" si="18"/>
        <v>76.650257775641492</v>
      </c>
    </row>
    <row r="83" spans="1:14" x14ac:dyDescent="0.45">
      <c r="A83" s="23">
        <v>42306</v>
      </c>
      <c r="B83">
        <v>172.54</v>
      </c>
      <c r="C83">
        <v>168.99</v>
      </c>
      <c r="G83">
        <f t="shared" ref="G83:K83" si="34">SUMPRODUCT($B83:$B87,P$2:P$6)</f>
        <v>60.488779317404529</v>
      </c>
      <c r="H83">
        <f t="shared" si="34"/>
        <v>68.911515922777269</v>
      </c>
      <c r="I83">
        <f t="shared" si="34"/>
        <v>72.435446222999431</v>
      </c>
      <c r="J83">
        <f t="shared" si="34"/>
        <v>85.122396885321479</v>
      </c>
      <c r="K83">
        <f t="shared" si="34"/>
        <v>95.395217415928244</v>
      </c>
      <c r="L83">
        <f t="shared" si="15"/>
        <v>172.53887946025463</v>
      </c>
      <c r="M83">
        <f t="shared" si="17"/>
        <v>4.3411205397453614</v>
      </c>
      <c r="N83">
        <f t="shared" si="18"/>
        <v>18.845327540599058</v>
      </c>
    </row>
    <row r="84" spans="1:14" x14ac:dyDescent="0.45">
      <c r="A84" s="23">
        <v>42305</v>
      </c>
      <c r="B84">
        <v>173.28</v>
      </c>
      <c r="C84">
        <v>172.54</v>
      </c>
      <c r="G84">
        <f t="shared" ref="G84:K84" si="35">SUMPRODUCT($B84:$B88,P$2:P$6)</f>
        <v>60.619372168419353</v>
      </c>
      <c r="H84">
        <f t="shared" si="35"/>
        <v>69.075595926243608</v>
      </c>
      <c r="I84">
        <f t="shared" si="35"/>
        <v>72.601858467397207</v>
      </c>
      <c r="J84">
        <f t="shared" si="35"/>
        <v>85.353044563264248</v>
      </c>
      <c r="K84">
        <f t="shared" si="35"/>
        <v>95.662976398655985</v>
      </c>
      <c r="L84">
        <f t="shared" si="15"/>
        <v>172.96370129075592</v>
      </c>
      <c r="M84">
        <f t="shared" si="17"/>
        <v>-0.42370129075592899</v>
      </c>
      <c r="N84">
        <f t="shared" si="18"/>
        <v>0.17952278378824027</v>
      </c>
    </row>
    <row r="85" spans="1:14" x14ac:dyDescent="0.45">
      <c r="A85" s="23">
        <v>42304</v>
      </c>
      <c r="B85">
        <v>168.79</v>
      </c>
      <c r="C85">
        <v>173.86</v>
      </c>
      <c r="G85">
        <f t="shared" ref="G85:K85" si="36">SUMPRODUCT($B85:$B89,P$2:P$6)</f>
        <v>59.002859786249559</v>
      </c>
      <c r="H85">
        <f t="shared" si="36"/>
        <v>67.239030947629075</v>
      </c>
      <c r="I85">
        <f t="shared" si="36"/>
        <v>70.669380902750007</v>
      </c>
      <c r="J85">
        <f t="shared" si="36"/>
        <v>83.093642520032091</v>
      </c>
      <c r="K85">
        <f t="shared" si="36"/>
        <v>93.133957562080155</v>
      </c>
      <c r="L85">
        <f t="shared" si="15"/>
        <v>168.48307918508161</v>
      </c>
      <c r="M85">
        <f t="shared" si="17"/>
        <v>4.7969208149183942</v>
      </c>
      <c r="N85">
        <f t="shared" si="18"/>
        <v>23.010449304597351</v>
      </c>
    </row>
    <row r="86" spans="1:14" x14ac:dyDescent="0.45">
      <c r="A86" s="23">
        <v>42303</v>
      </c>
      <c r="B86">
        <v>169.47</v>
      </c>
      <c r="C86">
        <v>166.24</v>
      </c>
      <c r="G86">
        <f t="shared" ref="G86:K86" si="37">SUMPRODUCT($B86:$B90,P$2:P$6)</f>
        <v>59.250173723605307</v>
      </c>
      <c r="H86">
        <f t="shared" si="37"/>
        <v>67.51972243219214</v>
      </c>
      <c r="I86">
        <f t="shared" si="37"/>
        <v>70.964845352929359</v>
      </c>
      <c r="J86">
        <f t="shared" si="37"/>
        <v>83.43842652157997</v>
      </c>
      <c r="K86">
        <f t="shared" si="37"/>
        <v>93.519708923067554</v>
      </c>
      <c r="L86">
        <f t="shared" si="15"/>
        <v>169.16742189176875</v>
      </c>
      <c r="M86">
        <f t="shared" si="17"/>
        <v>-0.37742189176876195</v>
      </c>
      <c r="N86">
        <f t="shared" si="18"/>
        <v>0.14244728438631107</v>
      </c>
    </row>
    <row r="87" spans="1:14" x14ac:dyDescent="0.45">
      <c r="A87" s="23">
        <v>42300</v>
      </c>
      <c r="B87">
        <v>158.9</v>
      </c>
      <c r="C87">
        <v>157.6</v>
      </c>
      <c r="G87">
        <f t="shared" ref="G87:K87" si="38">SUMPRODUCT($B87:$B91,P$2:P$6)</f>
        <v>55.692609617959583</v>
      </c>
      <c r="H87">
        <f t="shared" si="38"/>
        <v>63.449201776396613</v>
      </c>
      <c r="I87">
        <f t="shared" si="38"/>
        <v>66.693133030005612</v>
      </c>
      <c r="J87">
        <f t="shared" si="38"/>
        <v>78.37821277207901</v>
      </c>
      <c r="K87">
        <f t="shared" si="38"/>
        <v>87.838154006611177</v>
      </c>
      <c r="L87">
        <f t="shared" si="15"/>
        <v>159.19194292871839</v>
      </c>
      <c r="M87">
        <f t="shared" si="17"/>
        <v>10.278057071281609</v>
      </c>
      <c r="N87">
        <f t="shared" si="18"/>
        <v>105.63845716052188</v>
      </c>
    </row>
    <row r="88" spans="1:14" x14ac:dyDescent="0.45">
      <c r="A88" s="23">
        <v>42299</v>
      </c>
      <c r="B88">
        <v>150.77000000000001</v>
      </c>
      <c r="C88">
        <v>153.5</v>
      </c>
      <c r="G88">
        <f t="shared" ref="G88:K88" si="39">SUMPRODUCT($B88:$B92,P$2:P$6)</f>
        <v>52.884212831218989</v>
      </c>
      <c r="H88">
        <f t="shared" si="39"/>
        <v>60.244785358072981</v>
      </c>
      <c r="I88">
        <f t="shared" si="39"/>
        <v>63.326817447970306</v>
      </c>
      <c r="J88">
        <f t="shared" si="39"/>
        <v>74.4109042403053</v>
      </c>
      <c r="K88">
        <f t="shared" si="39"/>
        <v>83.389049345780734</v>
      </c>
      <c r="L88">
        <f t="shared" si="15"/>
        <v>151.35280647091815</v>
      </c>
      <c r="M88">
        <f t="shared" si="17"/>
        <v>7.5471935290818521</v>
      </c>
      <c r="N88">
        <f t="shared" si="18"/>
        <v>56.960130165414981</v>
      </c>
    </row>
    <row r="89" spans="1:14" x14ac:dyDescent="0.45">
      <c r="A89" s="23">
        <v>42298</v>
      </c>
      <c r="B89">
        <v>152.22</v>
      </c>
      <c r="C89">
        <v>149.63</v>
      </c>
      <c r="G89">
        <f t="shared" ref="G89:K89" si="40">SUMPRODUCT($B89:$B93,P$2:P$6)</f>
        <v>53.363762467587421</v>
      </c>
      <c r="H89">
        <f t="shared" si="40"/>
        <v>60.794529196607769</v>
      </c>
      <c r="I89">
        <f t="shared" si="40"/>
        <v>63.903320104448653</v>
      </c>
      <c r="J89">
        <f t="shared" si="40"/>
        <v>75.096222402963448</v>
      </c>
      <c r="K89">
        <f t="shared" si="40"/>
        <v>84.159146385535081</v>
      </c>
      <c r="L89">
        <f t="shared" si="15"/>
        <v>152.70167222936709</v>
      </c>
      <c r="M89">
        <f t="shared" si="17"/>
        <v>-1.9316722293670807</v>
      </c>
      <c r="N89">
        <f t="shared" si="18"/>
        <v>3.7313576017079879</v>
      </c>
    </row>
    <row r="90" spans="1:14" x14ac:dyDescent="0.45">
      <c r="A90" s="23">
        <v>42297</v>
      </c>
      <c r="B90">
        <v>154.82</v>
      </c>
      <c r="C90">
        <v>153.21</v>
      </c>
      <c r="G90">
        <f t="shared" ref="G90:K90" si="41">SUMPRODUCT($B90:$B94,P$2:P$6)</f>
        <v>54.219227967704427</v>
      </c>
      <c r="H90">
        <f t="shared" si="41"/>
        <v>61.775769758316812</v>
      </c>
      <c r="I90">
        <f t="shared" si="41"/>
        <v>64.932103104333493</v>
      </c>
      <c r="J90">
        <f t="shared" si="41"/>
        <v>76.320456544286358</v>
      </c>
      <c r="K90">
        <f t="shared" si="41"/>
        <v>85.535159472501178</v>
      </c>
      <c r="L90">
        <f t="shared" si="15"/>
        <v>155.11012588480367</v>
      </c>
      <c r="M90">
        <f t="shared" si="17"/>
        <v>-2.8901258848036662</v>
      </c>
      <c r="N90">
        <f t="shared" si="18"/>
        <v>8.3528276300121735</v>
      </c>
    </row>
    <row r="91" spans="1:14" x14ac:dyDescent="0.45">
      <c r="A91" s="23">
        <v>42296</v>
      </c>
      <c r="B91">
        <v>150.5</v>
      </c>
      <c r="C91">
        <v>154.68</v>
      </c>
      <c r="G91">
        <f t="shared" ref="G91:K91" si="42">SUMPRODUCT($B91:$B95,P$2:P$6)</f>
        <v>52.746959296251909</v>
      </c>
      <c r="H91">
        <f t="shared" si="42"/>
        <v>60.093479665594579</v>
      </c>
      <c r="I91">
        <f t="shared" si="42"/>
        <v>63.165772077243702</v>
      </c>
      <c r="J91">
        <f t="shared" si="42"/>
        <v>74.23325653164666</v>
      </c>
      <c r="K91">
        <f t="shared" si="42"/>
        <v>83.193029317409525</v>
      </c>
      <c r="L91">
        <f t="shared" si="15"/>
        <v>150.99090402441021</v>
      </c>
      <c r="M91">
        <f t="shared" si="17"/>
        <v>3.8290959755897802</v>
      </c>
      <c r="N91">
        <f t="shared" si="18"/>
        <v>14.661975990277851</v>
      </c>
    </row>
    <row r="92" spans="1:14" x14ac:dyDescent="0.45">
      <c r="A92" s="23">
        <v>42293</v>
      </c>
      <c r="B92">
        <v>149.4</v>
      </c>
      <c r="C92">
        <v>151</v>
      </c>
      <c r="G92">
        <f t="shared" ref="G92:K92" si="43">SUMPRODUCT($B92:$B96,P$2:P$6)</f>
        <v>52.324497688058443</v>
      </c>
      <c r="H92">
        <f t="shared" si="43"/>
        <v>59.616566594047882</v>
      </c>
      <c r="I92">
        <f t="shared" si="43"/>
        <v>62.6627381574663</v>
      </c>
      <c r="J92">
        <f t="shared" si="43"/>
        <v>73.652141518095476</v>
      </c>
      <c r="K92">
        <f t="shared" si="43"/>
        <v>82.544435508750851</v>
      </c>
      <c r="L92">
        <f t="shared" si="15"/>
        <v>149.83215860748695</v>
      </c>
      <c r="M92">
        <f t="shared" si="17"/>
        <v>0.66784139251305419</v>
      </c>
      <c r="N92">
        <f t="shared" si="18"/>
        <v>0.44601212555377528</v>
      </c>
    </row>
    <row r="93" spans="1:14" x14ac:dyDescent="0.45">
      <c r="A93" s="23">
        <v>42292</v>
      </c>
      <c r="B93">
        <v>147.04</v>
      </c>
      <c r="C93">
        <v>150.24</v>
      </c>
      <c r="G93">
        <f t="shared" ref="G93:K93" si="44">SUMPRODUCT($B93:$B97,P$2:P$6)</f>
        <v>51.561540563725991</v>
      </c>
      <c r="H93">
        <f t="shared" si="44"/>
        <v>58.739721596185824</v>
      </c>
      <c r="I93">
        <f t="shared" si="44"/>
        <v>61.744083652023519</v>
      </c>
      <c r="J93">
        <f t="shared" si="44"/>
        <v>72.555048769396507</v>
      </c>
      <c r="K93">
        <f t="shared" si="44"/>
        <v>81.310304691892455</v>
      </c>
      <c r="L93">
        <f t="shared" si="15"/>
        <v>147.67729881738924</v>
      </c>
      <c r="M93">
        <f t="shared" si="17"/>
        <v>1.7227011826107628</v>
      </c>
      <c r="N93">
        <f t="shared" si="18"/>
        <v>2.9676993645685208</v>
      </c>
    </row>
    <row r="94" spans="1:14" x14ac:dyDescent="0.45">
      <c r="A94" s="23">
        <v>42291</v>
      </c>
      <c r="B94">
        <v>146.5</v>
      </c>
      <c r="C94">
        <v>145.02000000000001</v>
      </c>
      <c r="G94">
        <f t="shared" ref="G94:K94" si="45">SUMPRODUCT($B94:$B98,P$2:P$6)</f>
        <v>51.338479701190572</v>
      </c>
      <c r="H94">
        <f t="shared" si="45"/>
        <v>58.489609289634103</v>
      </c>
      <c r="I94">
        <f t="shared" si="45"/>
        <v>61.479593483757853</v>
      </c>
      <c r="J94">
        <f t="shared" si="45"/>
        <v>72.253421591705489</v>
      </c>
      <c r="K94">
        <f t="shared" si="45"/>
        <v>80.974706460674838</v>
      </c>
      <c r="L94">
        <f t="shared" si="15"/>
        <v>147.07227419238018</v>
      </c>
      <c r="M94">
        <f t="shared" si="17"/>
        <v>-3.2274192380185696E-2</v>
      </c>
      <c r="N94">
        <f t="shared" si="18"/>
        <v>1.0416234937932363E-3</v>
      </c>
    </row>
    <row r="95" spans="1:14" x14ac:dyDescent="0.45">
      <c r="A95" s="23">
        <v>42290</v>
      </c>
      <c r="B95">
        <v>142.19</v>
      </c>
      <c r="C95">
        <v>146.5</v>
      </c>
      <c r="G95">
        <f t="shared" ref="G95:K95" si="46">SUMPRODUCT($B95:$B99,P$2:P$6)</f>
        <v>49.898234156879568</v>
      </c>
      <c r="H95">
        <f t="shared" si="46"/>
        <v>56.840414115696433</v>
      </c>
      <c r="I95">
        <f t="shared" si="46"/>
        <v>59.749389952123693</v>
      </c>
      <c r="J95">
        <f t="shared" si="46"/>
        <v>70.200906766263131</v>
      </c>
      <c r="K95">
        <f t="shared" si="46"/>
        <v>78.669394450788644</v>
      </c>
      <c r="L95">
        <f t="shared" si="15"/>
        <v>143.02865758293547</v>
      </c>
      <c r="M95">
        <f t="shared" si="17"/>
        <v>3.4713424170645339</v>
      </c>
      <c r="N95">
        <f t="shared" si="18"/>
        <v>12.050218176511441</v>
      </c>
    </row>
    <row r="96" spans="1:14" x14ac:dyDescent="0.45">
      <c r="A96" s="23">
        <v>42289</v>
      </c>
      <c r="B96">
        <v>145.52000000000001</v>
      </c>
      <c r="C96">
        <v>144.07</v>
      </c>
      <c r="G96">
        <f t="shared" ref="G96:K96" si="47">SUMPRODUCT($B96:$B100,P$2:P$6)</f>
        <v>51.051168670838742</v>
      </c>
      <c r="H96">
        <f t="shared" si="47"/>
        <v>58.155609786517211</v>
      </c>
      <c r="I96">
        <f t="shared" si="47"/>
        <v>61.131159171467608</v>
      </c>
      <c r="J96">
        <f t="shared" si="47"/>
        <v>71.828636462561136</v>
      </c>
      <c r="K96">
        <f t="shared" si="47"/>
        <v>80.494606787062381</v>
      </c>
      <c r="L96">
        <f t="shared" si="15"/>
        <v>146.24559593061463</v>
      </c>
      <c r="M96">
        <f t="shared" si="17"/>
        <v>-4.0555959306146292</v>
      </c>
      <c r="N96">
        <f t="shared" si="18"/>
        <v>16.447858352417938</v>
      </c>
    </row>
    <row r="97" spans="1:14" x14ac:dyDescent="0.45">
      <c r="A97" s="23">
        <v>42286</v>
      </c>
      <c r="B97">
        <v>142.03</v>
      </c>
      <c r="C97">
        <v>144.22</v>
      </c>
      <c r="G97">
        <f t="shared" ref="G97:K97" si="48">SUMPRODUCT($B97:$B101,P$2:P$6)</f>
        <v>49.904149306636512</v>
      </c>
      <c r="H97">
        <f t="shared" si="48"/>
        <v>56.839787760219316</v>
      </c>
      <c r="I97">
        <f t="shared" si="48"/>
        <v>59.751647506408993</v>
      </c>
      <c r="J97">
        <f t="shared" si="48"/>
        <v>70.186672165510373</v>
      </c>
      <c r="K97">
        <f t="shared" si="48"/>
        <v>78.648977420593454</v>
      </c>
      <c r="L97">
        <f t="shared" si="15"/>
        <v>143.01566288611835</v>
      </c>
      <c r="M97">
        <f t="shared" si="17"/>
        <v>2.504337113881661</v>
      </c>
      <c r="N97">
        <f t="shared" si="18"/>
        <v>6.2717043799651275</v>
      </c>
    </row>
    <row r="98" spans="1:14" x14ac:dyDescent="0.45">
      <c r="A98" s="23">
        <v>42285</v>
      </c>
      <c r="B98">
        <v>144</v>
      </c>
      <c r="C98">
        <v>141.26</v>
      </c>
      <c r="G98">
        <f t="shared" ref="G98:K98" si="49">SUMPRODUCT($B98:$B102,P$2:P$6)</f>
        <v>50.575788287782018</v>
      </c>
      <c r="H98">
        <f t="shared" si="49"/>
        <v>57.607205717818267</v>
      </c>
      <c r="I98">
        <f t="shared" si="49"/>
        <v>60.557417933750841</v>
      </c>
      <c r="J98">
        <f t="shared" si="49"/>
        <v>71.138756645600154</v>
      </c>
      <c r="K98">
        <f t="shared" si="49"/>
        <v>79.717329371004141</v>
      </c>
      <c r="L98">
        <f t="shared" si="15"/>
        <v>144.89471298273315</v>
      </c>
      <c r="M98">
        <f t="shared" si="17"/>
        <v>-2.8647129827331526</v>
      </c>
      <c r="N98">
        <f t="shared" si="18"/>
        <v>8.2065804734398764</v>
      </c>
    </row>
    <row r="99" spans="1:14" x14ac:dyDescent="0.45">
      <c r="A99" s="23">
        <v>42284</v>
      </c>
      <c r="B99">
        <v>146</v>
      </c>
      <c r="C99">
        <v>144.77000000000001</v>
      </c>
      <c r="G99">
        <f t="shared" ref="G99:K99" si="50">SUMPRODUCT($B99:$B103,P$2:P$6)</f>
        <v>51.106863525272097</v>
      </c>
      <c r="H99">
        <f t="shared" si="50"/>
        <v>58.232432235109805</v>
      </c>
      <c r="I99">
        <f t="shared" si="50"/>
        <v>61.206616693663705</v>
      </c>
      <c r="J99">
        <f t="shared" si="50"/>
        <v>71.947975179836803</v>
      </c>
      <c r="K99">
        <f t="shared" si="50"/>
        <v>80.636453300348506</v>
      </c>
      <c r="L99">
        <f t="shared" si="15"/>
        <v>146.45416421387625</v>
      </c>
      <c r="M99">
        <f t="shared" si="17"/>
        <v>-2.4541642138762541</v>
      </c>
      <c r="N99">
        <f t="shared" si="18"/>
        <v>6.022921988670852</v>
      </c>
    </row>
    <row r="100" spans="1:14" x14ac:dyDescent="0.45">
      <c r="A100" s="23">
        <v>42283</v>
      </c>
      <c r="B100">
        <v>149.28</v>
      </c>
      <c r="C100">
        <v>149.80000000000001</v>
      </c>
      <c r="G100">
        <f t="shared" ref="G100:K100" si="51">SUMPRODUCT($B100:$B104,P$2:P$6)</f>
        <v>52.239631816893727</v>
      </c>
      <c r="H100">
        <f t="shared" si="51"/>
        <v>59.524966916113669</v>
      </c>
      <c r="I100">
        <f t="shared" si="51"/>
        <v>62.564442915617697</v>
      </c>
      <c r="J100">
        <f t="shared" si="51"/>
        <v>73.548289893553999</v>
      </c>
      <c r="K100">
        <f t="shared" si="51"/>
        <v>82.431131717510453</v>
      </c>
      <c r="L100">
        <f t="shared" si="15"/>
        <v>149.61621246310764</v>
      </c>
      <c r="M100">
        <f t="shared" si="17"/>
        <v>-3.6162124631076438</v>
      </c>
      <c r="N100">
        <f t="shared" si="18"/>
        <v>13.076992578335052</v>
      </c>
    </row>
    <row r="101" spans="1:14" x14ac:dyDescent="0.45">
      <c r="A101" s="23">
        <v>42282</v>
      </c>
      <c r="B101">
        <v>149.55000000000001</v>
      </c>
      <c r="C101">
        <v>149.62</v>
      </c>
      <c r="G101">
        <f t="shared" ref="G101:K101" si="52">SUMPRODUCT($B101:$B105,P$2:P$6)</f>
        <v>52.314610432971932</v>
      </c>
      <c r="H101">
        <f t="shared" si="52"/>
        <v>59.61272317510263</v>
      </c>
      <c r="I101">
        <f t="shared" si="52"/>
        <v>62.655761944431852</v>
      </c>
      <c r="J101">
        <f t="shared" si="52"/>
        <v>73.660964508719118</v>
      </c>
      <c r="K101">
        <f t="shared" si="52"/>
        <v>82.558820844026826</v>
      </c>
      <c r="L101">
        <f t="shared" si="15"/>
        <v>149.83432432476678</v>
      </c>
      <c r="M101">
        <f t="shared" si="17"/>
        <v>-0.55432432476678173</v>
      </c>
      <c r="N101">
        <f t="shared" si="18"/>
        <v>0.30727545702814851</v>
      </c>
    </row>
    <row r="102" spans="1:14" x14ac:dyDescent="0.45">
      <c r="A102" s="23">
        <v>42279</v>
      </c>
      <c r="B102">
        <v>136.6</v>
      </c>
      <c r="C102">
        <v>148.51</v>
      </c>
      <c r="G102">
        <f t="shared" ref="G102:K102" si="53">SUMPRODUCT($B102:$B106,P$2:P$6)</f>
        <v>47.876691741586896</v>
      </c>
      <c r="H102">
        <f t="shared" si="53"/>
        <v>54.544724474398706</v>
      </c>
      <c r="I102">
        <f t="shared" si="53"/>
        <v>57.333399687228443</v>
      </c>
      <c r="J102">
        <f t="shared" si="53"/>
        <v>67.378596445607542</v>
      </c>
      <c r="K102">
        <f t="shared" si="53"/>
        <v>75.510929475854127</v>
      </c>
      <c r="L102">
        <f t="shared" si="15"/>
        <v>137.42955955928505</v>
      </c>
      <c r="M102">
        <f t="shared" si="17"/>
        <v>12.120440440714958</v>
      </c>
      <c r="N102">
        <f t="shared" si="18"/>
        <v>146.90507647691862</v>
      </c>
    </row>
    <row r="103" spans="1:14" x14ac:dyDescent="0.45">
      <c r="A103" s="23">
        <v>42278</v>
      </c>
      <c r="B103">
        <v>138.32</v>
      </c>
      <c r="C103">
        <v>137.53</v>
      </c>
      <c r="G103">
        <f t="shared" ref="G103:K103" si="54">SUMPRODUCT($B103:$B107,P$2:P$6)</f>
        <v>48.459509281888998</v>
      </c>
      <c r="H103">
        <f t="shared" si="54"/>
        <v>55.211092812924917</v>
      </c>
      <c r="I103">
        <f t="shared" si="54"/>
        <v>58.032894916190102</v>
      </c>
      <c r="J103">
        <f t="shared" si="54"/>
        <v>68.206100813396063</v>
      </c>
      <c r="K103">
        <f t="shared" si="54"/>
        <v>76.439752388754883</v>
      </c>
      <c r="L103">
        <f t="shared" si="15"/>
        <v>139.06185264200283</v>
      </c>
      <c r="M103">
        <f t="shared" si="17"/>
        <v>-2.4618526420028388</v>
      </c>
      <c r="N103">
        <f t="shared" si="18"/>
        <v>6.0607184309363573</v>
      </c>
    </row>
    <row r="104" spans="1:14" x14ac:dyDescent="0.45">
      <c r="A104" s="23">
        <v>42277</v>
      </c>
      <c r="B104">
        <v>136.86000000000001</v>
      </c>
      <c r="C104">
        <v>137.41</v>
      </c>
      <c r="G104">
        <f t="shared" ref="G104:K104" si="55">SUMPRODUCT($B104:$B108,P$2:P$6)</f>
        <v>47.991384967790339</v>
      </c>
      <c r="H104">
        <f t="shared" si="55"/>
        <v>54.67259174934302</v>
      </c>
      <c r="I104">
        <f t="shared" si="55"/>
        <v>57.468913432779416</v>
      </c>
      <c r="J104">
        <f t="shared" si="55"/>
        <v>67.531435823302502</v>
      </c>
      <c r="K104">
        <f t="shared" si="55"/>
        <v>75.68051865728718</v>
      </c>
      <c r="L104">
        <f t="shared" si="15"/>
        <v>137.73771025693932</v>
      </c>
      <c r="M104">
        <f t="shared" si="17"/>
        <v>0.58228974306067016</v>
      </c>
      <c r="N104">
        <f t="shared" si="18"/>
        <v>0.3390613448736613</v>
      </c>
    </row>
    <row r="105" spans="1:14" x14ac:dyDescent="0.45">
      <c r="A105" s="23">
        <v>42276</v>
      </c>
      <c r="B105">
        <v>133.09</v>
      </c>
      <c r="C105">
        <v>136.68</v>
      </c>
      <c r="G105">
        <f t="shared" ref="G105:K105" si="56">SUMPRODUCT($B105:$B109,P$2:P$6)</f>
        <v>46.665641839246057</v>
      </c>
      <c r="H105">
        <f t="shared" si="56"/>
        <v>53.162728584056367</v>
      </c>
      <c r="I105">
        <f t="shared" si="56"/>
        <v>55.881647422203727</v>
      </c>
      <c r="J105">
        <f t="shared" si="56"/>
        <v>65.667261775728136</v>
      </c>
      <c r="K105">
        <f t="shared" si="56"/>
        <v>73.591663818974283</v>
      </c>
      <c r="L105">
        <f t="shared" si="15"/>
        <v>134.0484353309586</v>
      </c>
      <c r="M105">
        <f t="shared" si="17"/>
        <v>2.8115646690414167</v>
      </c>
      <c r="N105">
        <f t="shared" si="18"/>
        <v>7.9048958882019704</v>
      </c>
    </row>
    <row r="106" spans="1:14" x14ac:dyDescent="0.45">
      <c r="A106" s="23">
        <v>42275</v>
      </c>
      <c r="B106">
        <v>133.01</v>
      </c>
      <c r="C106">
        <v>133.06</v>
      </c>
      <c r="G106">
        <f t="shared" ref="G106:K106" si="57">SUMPRODUCT($B106:$B110,P$2:P$6)</f>
        <v>46.712503691306175</v>
      </c>
      <c r="H106">
        <f t="shared" si="57"/>
        <v>53.207218258447114</v>
      </c>
      <c r="I106">
        <f t="shared" si="57"/>
        <v>55.931935318414226</v>
      </c>
      <c r="J106">
        <f t="shared" si="57"/>
        <v>65.705958828258957</v>
      </c>
      <c r="K106">
        <f t="shared" si="57"/>
        <v>73.629637350056356</v>
      </c>
      <c r="L106">
        <f t="shared" si="15"/>
        <v>134.14331952756481</v>
      </c>
      <c r="M106">
        <f t="shared" si="17"/>
        <v>-1.0533195275648097</v>
      </c>
      <c r="N106">
        <f t="shared" si="18"/>
        <v>1.109482027149354</v>
      </c>
    </row>
    <row r="107" spans="1:14" x14ac:dyDescent="0.45">
      <c r="A107" s="23">
        <v>42272</v>
      </c>
      <c r="B107">
        <v>135.41</v>
      </c>
      <c r="C107">
        <v>134.34</v>
      </c>
      <c r="G107">
        <f t="shared" ref="G107:K107" si="58">SUMPRODUCT($B107:$B111,P$2:P$6)</f>
        <v>47.541950738823388</v>
      </c>
      <c r="H107">
        <f t="shared" si="58"/>
        <v>54.153579642015551</v>
      </c>
      <c r="I107">
        <f t="shared" si="58"/>
        <v>56.926128692552112</v>
      </c>
      <c r="J107">
        <f t="shared" si="58"/>
        <v>66.877533215628262</v>
      </c>
      <c r="K107">
        <f t="shared" si="58"/>
        <v>74.94346073491316</v>
      </c>
      <c r="L107">
        <f t="shared" si="15"/>
        <v>136.45837509280577</v>
      </c>
      <c r="M107">
        <f t="shared" si="17"/>
        <v>-3.4483750928057759</v>
      </c>
      <c r="N107">
        <f t="shared" si="18"/>
        <v>11.891290780683244</v>
      </c>
    </row>
    <row r="108" spans="1:14" x14ac:dyDescent="0.45">
      <c r="A108" s="23">
        <v>42271</v>
      </c>
      <c r="B108">
        <v>131.35</v>
      </c>
      <c r="C108">
        <v>132.59</v>
      </c>
      <c r="G108">
        <f t="shared" ref="G108:K108" si="59">SUMPRODUCT($B108:$B112,P$2:P$6)</f>
        <v>46.218364441147457</v>
      </c>
      <c r="H108">
        <f t="shared" si="59"/>
        <v>52.633841589315473</v>
      </c>
      <c r="I108">
        <f t="shared" si="59"/>
        <v>55.333367430160244</v>
      </c>
      <c r="J108">
        <f t="shared" si="59"/>
        <v>64.978634090099277</v>
      </c>
      <c r="K108">
        <f t="shared" si="59"/>
        <v>72.808213916479346</v>
      </c>
      <c r="L108">
        <f t="shared" si="15"/>
        <v>132.72578337700639</v>
      </c>
      <c r="M108">
        <f t="shared" si="17"/>
        <v>2.6842166229936026</v>
      </c>
      <c r="N108">
        <f t="shared" si="18"/>
        <v>7.2050188791551806</v>
      </c>
    </row>
    <row r="109" spans="1:14" x14ac:dyDescent="0.45">
      <c r="A109" s="23">
        <v>42270</v>
      </c>
      <c r="B109">
        <v>137.84</v>
      </c>
      <c r="C109">
        <v>132.37</v>
      </c>
      <c r="G109">
        <f t="shared" ref="G109:K109" si="60">SUMPRODUCT($B109:$B113,P$2:P$6)</f>
        <v>48.424457854897383</v>
      </c>
      <c r="H109">
        <f t="shared" si="60"/>
        <v>55.155336281022606</v>
      </c>
      <c r="I109">
        <f t="shared" si="60"/>
        <v>57.980551051839875</v>
      </c>
      <c r="J109">
        <f t="shared" si="60"/>
        <v>68.108300799885953</v>
      </c>
      <c r="K109">
        <f t="shared" si="60"/>
        <v>76.320557694581794</v>
      </c>
      <c r="L109">
        <f t="shared" si="15"/>
        <v>138.90095019204728</v>
      </c>
      <c r="M109">
        <f t="shared" si="17"/>
        <v>-7.5509501920472815</v>
      </c>
      <c r="N109">
        <f t="shared" si="18"/>
        <v>57.016848802778874</v>
      </c>
    </row>
    <row r="110" spans="1:14" x14ac:dyDescent="0.45">
      <c r="A110" s="23">
        <v>42269</v>
      </c>
      <c r="B110">
        <v>139.15</v>
      </c>
      <c r="C110">
        <v>136.12</v>
      </c>
      <c r="G110">
        <f t="shared" ref="G110:K110" si="61">SUMPRODUCT($B110:$B114,P$2:P$6)</f>
        <v>48.924687739710102</v>
      </c>
      <c r="H110">
        <f t="shared" si="61"/>
        <v>55.720353894294711</v>
      </c>
      <c r="I110">
        <f t="shared" si="61"/>
        <v>58.576390200747873</v>
      </c>
      <c r="J110">
        <f t="shared" si="61"/>
        <v>68.797347460654763</v>
      </c>
      <c r="K110">
        <f t="shared" si="61"/>
        <v>77.089809984293126</v>
      </c>
      <c r="L110">
        <f t="shared" si="15"/>
        <v>140.27425269954293</v>
      </c>
      <c r="M110">
        <f t="shared" si="17"/>
        <v>-2.4342526995429239</v>
      </c>
      <c r="N110">
        <f t="shared" si="18"/>
        <v>5.9255862052320127</v>
      </c>
    </row>
    <row r="111" spans="1:14" x14ac:dyDescent="0.45">
      <c r="A111" s="23">
        <v>42268</v>
      </c>
      <c r="B111">
        <v>143.91</v>
      </c>
      <c r="C111">
        <v>140.84</v>
      </c>
      <c r="G111">
        <f t="shared" ref="G111:K111" si="62">SUMPRODUCT($B111:$B115,P$2:P$6)</f>
        <v>50.489938992274645</v>
      </c>
      <c r="H111">
        <f t="shared" si="62"/>
        <v>57.515851673766349</v>
      </c>
      <c r="I111">
        <f t="shared" si="62"/>
        <v>60.458837734162067</v>
      </c>
      <c r="J111">
        <f t="shared" si="62"/>
        <v>71.037693002476374</v>
      </c>
      <c r="K111">
        <f t="shared" si="62"/>
        <v>79.607978921097242</v>
      </c>
      <c r="L111">
        <f t="shared" si="15"/>
        <v>144.68148096480505</v>
      </c>
      <c r="M111">
        <f t="shared" si="17"/>
        <v>-5.5314809648050414</v>
      </c>
      <c r="N111">
        <f t="shared" si="18"/>
        <v>30.597281664000512</v>
      </c>
    </row>
    <row r="112" spans="1:14" x14ac:dyDescent="0.45">
      <c r="A112" s="23">
        <v>42265</v>
      </c>
      <c r="B112">
        <v>144.22</v>
      </c>
      <c r="C112">
        <v>142.57</v>
      </c>
      <c r="G112">
        <f t="shared" ref="G112:K112" si="63">SUMPRODUCT($B112:$B116,P$2:P$6)</f>
        <v>50.541551377458944</v>
      </c>
      <c r="H112">
        <f t="shared" si="63"/>
        <v>57.58142907836735</v>
      </c>
      <c r="I112">
        <f t="shared" si="63"/>
        <v>60.525083690060939</v>
      </c>
      <c r="J112">
        <f t="shared" si="63"/>
        <v>71.131078609393398</v>
      </c>
      <c r="K112">
        <f t="shared" si="63"/>
        <v>79.716743856158516</v>
      </c>
      <c r="L112">
        <f t="shared" si="15"/>
        <v>144.85229183571883</v>
      </c>
      <c r="M112">
        <f t="shared" si="17"/>
        <v>-0.94229183571883368</v>
      </c>
      <c r="N112">
        <f t="shared" si="18"/>
        <v>0.88791390366236944</v>
      </c>
    </row>
    <row r="113" spans="1:14" x14ac:dyDescent="0.45">
      <c r="A113" s="23">
        <v>42264</v>
      </c>
      <c r="B113">
        <v>149.1</v>
      </c>
      <c r="C113">
        <v>147.06</v>
      </c>
      <c r="G113">
        <f t="shared" ref="G113:K113" si="64">SUMPRODUCT($B113:$B117,P$2:P$6)</f>
        <v>52.242414329078045</v>
      </c>
      <c r="H113">
        <f t="shared" si="64"/>
        <v>59.520310966815025</v>
      </c>
      <c r="I113">
        <f t="shared" si="64"/>
        <v>62.562646127442832</v>
      </c>
      <c r="J113">
        <f t="shared" si="64"/>
        <v>73.528230022017354</v>
      </c>
      <c r="K113">
        <f t="shared" si="64"/>
        <v>82.403907520696407</v>
      </c>
      <c r="L113">
        <f t="shared" si="15"/>
        <v>149.59264668052961</v>
      </c>
      <c r="M113">
        <f t="shared" si="17"/>
        <v>-5.3726466805296127</v>
      </c>
      <c r="N113">
        <f t="shared" si="18"/>
        <v>28.865332353805865</v>
      </c>
    </row>
    <row r="114" spans="1:14" x14ac:dyDescent="0.45">
      <c r="A114" s="23">
        <v>42263</v>
      </c>
      <c r="B114">
        <v>144.69999999999999</v>
      </c>
      <c r="C114">
        <v>150.35</v>
      </c>
      <c r="G114">
        <f t="shared" ref="G114:K114" si="65">SUMPRODUCT($B114:$B118,P$2:P$6)</f>
        <v>50.779950194195727</v>
      </c>
      <c r="H114">
        <f t="shared" si="65"/>
        <v>57.844694774320722</v>
      </c>
      <c r="I114">
        <f t="shared" si="65"/>
        <v>60.805109375583385</v>
      </c>
      <c r="J114">
        <f t="shared" si="65"/>
        <v>71.441052604852629</v>
      </c>
      <c r="K114">
        <f t="shared" si="65"/>
        <v>80.059077740820882</v>
      </c>
      <c r="L114">
        <f t="shared" si="15"/>
        <v>145.48273301377307</v>
      </c>
      <c r="M114">
        <f t="shared" si="17"/>
        <v>3.6172669862269231</v>
      </c>
      <c r="N114">
        <f t="shared" si="18"/>
        <v>13.084620449647208</v>
      </c>
    </row>
    <row r="115" spans="1:14" x14ac:dyDescent="0.45">
      <c r="A115" s="23">
        <v>42262</v>
      </c>
      <c r="B115">
        <v>140</v>
      </c>
      <c r="C115">
        <v>141.4</v>
      </c>
      <c r="G115">
        <f t="shared" ref="G115:K115" si="66">SUMPRODUCT($B115:$B119,P$2:P$6)</f>
        <v>49.214303258934251</v>
      </c>
      <c r="H115">
        <f t="shared" si="66"/>
        <v>56.051291684652149</v>
      </c>
      <c r="I115">
        <f t="shared" si="66"/>
        <v>58.923856318045466</v>
      </c>
      <c r="J115">
        <f t="shared" si="66"/>
        <v>69.207949014918597</v>
      </c>
      <c r="K115">
        <f t="shared" si="66"/>
        <v>77.550567561090304</v>
      </c>
      <c r="L115">
        <f t="shared" si="15"/>
        <v>141.08458844532407</v>
      </c>
      <c r="M115">
        <f t="shared" si="17"/>
        <v>3.6154115546759158</v>
      </c>
      <c r="N115">
        <f t="shared" si="18"/>
        <v>13.071200709684122</v>
      </c>
    </row>
    <row r="116" spans="1:14" x14ac:dyDescent="0.45">
      <c r="A116" s="23">
        <v>42261</v>
      </c>
      <c r="B116">
        <v>143.91999999999999</v>
      </c>
      <c r="C116">
        <v>141.27000000000001</v>
      </c>
      <c r="G116">
        <f t="shared" ref="G116:K116" si="67">SUMPRODUCT($B116:$B120,P$2:P$6)</f>
        <v>50.556634318542621</v>
      </c>
      <c r="H116">
        <f t="shared" si="67"/>
        <v>57.584328397842064</v>
      </c>
      <c r="I116">
        <f t="shared" si="67"/>
        <v>60.533786290360226</v>
      </c>
      <c r="J116">
        <f t="shared" si="67"/>
        <v>71.108553674237342</v>
      </c>
      <c r="K116">
        <f t="shared" si="67"/>
        <v>79.682842110558866</v>
      </c>
      <c r="L116">
        <f t="shared" si="15"/>
        <v>144.83714418963976</v>
      </c>
      <c r="M116">
        <f t="shared" si="17"/>
        <v>-4.8371441896397585</v>
      </c>
      <c r="N116">
        <f t="shared" si="18"/>
        <v>23.397963911365675</v>
      </c>
    </row>
    <row r="117" spans="1:14" x14ac:dyDescent="0.45">
      <c r="A117" s="23">
        <v>42258</v>
      </c>
      <c r="B117">
        <v>146.62</v>
      </c>
      <c r="C117">
        <v>144.03</v>
      </c>
      <c r="G117">
        <f t="shared" ref="G117:K117" si="68">SUMPRODUCT($B117:$B121,P$2:P$6)</f>
        <v>51.485376459349403</v>
      </c>
      <c r="H117">
        <f t="shared" si="68"/>
        <v>58.644509441179473</v>
      </c>
      <c r="I117">
        <f t="shared" si="68"/>
        <v>61.647345082583335</v>
      </c>
      <c r="J117">
        <f t="shared" si="68"/>
        <v>72.422008306923544</v>
      </c>
      <c r="K117">
        <f t="shared" si="68"/>
        <v>81.156090857426264</v>
      </c>
      <c r="L117">
        <f t="shared" si="15"/>
        <v>147.43146464737487</v>
      </c>
      <c r="M117">
        <f t="shared" si="17"/>
        <v>-3.5114646473748792</v>
      </c>
      <c r="N117">
        <f t="shared" si="18"/>
        <v>12.330383969763584</v>
      </c>
    </row>
    <row r="118" spans="1:14" x14ac:dyDescent="0.45">
      <c r="A118" s="23">
        <v>42257</v>
      </c>
      <c r="B118">
        <v>149.19999999999999</v>
      </c>
      <c r="C118">
        <v>146.75</v>
      </c>
      <c r="G118">
        <f t="shared" ref="G118:K118" si="69">SUMPRODUCT($B118:$B122,P$2:P$6)</f>
        <v>52.302468913647466</v>
      </c>
      <c r="H118">
        <f t="shared" si="69"/>
        <v>59.585758755423385</v>
      </c>
      <c r="I118">
        <f t="shared" si="69"/>
        <v>62.63261605983049</v>
      </c>
      <c r="J118">
        <f t="shared" si="69"/>
        <v>73.603646707954439</v>
      </c>
      <c r="K118">
        <f t="shared" si="69"/>
        <v>82.486625992657864</v>
      </c>
      <c r="L118">
        <f t="shared" si="15"/>
        <v>149.7479750315477</v>
      </c>
      <c r="M118">
        <f t="shared" si="17"/>
        <v>-3.1279750315476917</v>
      </c>
      <c r="N118">
        <f t="shared" si="18"/>
        <v>9.7842277979857837</v>
      </c>
    </row>
    <row r="119" spans="1:14" x14ac:dyDescent="0.45">
      <c r="A119" s="23">
        <v>42256</v>
      </c>
      <c r="B119">
        <v>150.25</v>
      </c>
      <c r="C119">
        <v>150.11000000000001</v>
      </c>
      <c r="G119">
        <f t="shared" ref="G119:K119" si="70">SUMPRODUCT($B119:$B123,P$2:P$6)</f>
        <v>52.690628246715583</v>
      </c>
      <c r="H119">
        <f t="shared" si="70"/>
        <v>60.025585448886304</v>
      </c>
      <c r="I119">
        <f t="shared" si="70"/>
        <v>63.095878076882101</v>
      </c>
      <c r="J119">
        <f t="shared" si="70"/>
        <v>74.142590943362364</v>
      </c>
      <c r="K119">
        <f t="shared" si="70"/>
        <v>83.089167508889759</v>
      </c>
      <c r="L119">
        <f t="shared" si="15"/>
        <v>150.81918317825341</v>
      </c>
      <c r="M119">
        <f t="shared" si="17"/>
        <v>-1.6191831782534223</v>
      </c>
      <c r="N119">
        <f t="shared" si="18"/>
        <v>2.6217541647388538</v>
      </c>
    </row>
    <row r="120" spans="1:14" x14ac:dyDescent="0.45">
      <c r="A120" s="23">
        <v>42255</v>
      </c>
      <c r="B120">
        <v>151.34</v>
      </c>
      <c r="C120">
        <v>148.18</v>
      </c>
      <c r="G120">
        <f t="shared" ref="G120:K120" si="71">SUMPRODUCT($B120:$B124,P$2:P$6)</f>
        <v>53.027018582391875</v>
      </c>
      <c r="H120">
        <f t="shared" si="71"/>
        <v>60.414249247689256</v>
      </c>
      <c r="I120">
        <f t="shared" si="71"/>
        <v>63.502266300278293</v>
      </c>
      <c r="J120">
        <f t="shared" si="71"/>
        <v>74.63261556721983</v>
      </c>
      <c r="K120">
        <f t="shared" si="71"/>
        <v>83.641622938864614</v>
      </c>
      <c r="L120">
        <f t="shared" si="15"/>
        <v>151.77751222330375</v>
      </c>
      <c r="M120">
        <f t="shared" si="17"/>
        <v>-1.527512223303745</v>
      </c>
      <c r="N120">
        <f t="shared" si="18"/>
        <v>2.3332935923423501</v>
      </c>
    </row>
    <row r="121" spans="1:14" x14ac:dyDescent="0.45">
      <c r="A121" s="23">
        <v>42251</v>
      </c>
      <c r="B121">
        <v>146.21</v>
      </c>
      <c r="C121">
        <v>146</v>
      </c>
      <c r="G121">
        <f t="shared" ref="G121:K121" si="72">SUMPRODUCT($B121:$B125,P$2:P$6)</f>
        <v>51.250331673709141</v>
      </c>
      <c r="H121">
        <f t="shared" si="72"/>
        <v>58.387581250229928</v>
      </c>
      <c r="I121">
        <f t="shared" si="72"/>
        <v>61.372982358995124</v>
      </c>
      <c r="J121">
        <f t="shared" si="72"/>
        <v>72.124449851594164</v>
      </c>
      <c r="K121">
        <f t="shared" si="72"/>
        <v>80.829197128412844</v>
      </c>
      <c r="L121">
        <f t="shared" si="15"/>
        <v>146.82041646296176</v>
      </c>
      <c r="M121">
        <f t="shared" si="17"/>
        <v>4.519583537038244</v>
      </c>
      <c r="N121">
        <f t="shared" si="18"/>
        <v>20.426635348267123</v>
      </c>
    </row>
    <row r="122" spans="1:14" x14ac:dyDescent="0.45">
      <c r="A122" s="23">
        <v>42250</v>
      </c>
      <c r="B122">
        <v>149</v>
      </c>
      <c r="C122">
        <v>149.08000000000001</v>
      </c>
      <c r="G122">
        <f t="shared" ref="G122:K122" si="73">SUMPRODUCT($B122:$B126,P$2:P$6)</f>
        <v>52.30564044490697</v>
      </c>
      <c r="H122">
        <f t="shared" si="73"/>
        <v>59.580666999365263</v>
      </c>
      <c r="I122">
        <f t="shared" si="73"/>
        <v>62.630710841522806</v>
      </c>
      <c r="J122">
        <f t="shared" si="73"/>
        <v>73.581450517232867</v>
      </c>
      <c r="K122">
        <f t="shared" si="73"/>
        <v>82.456474222553751</v>
      </c>
      <c r="L122">
        <f t="shared" si="15"/>
        <v>149.7219847692306</v>
      </c>
      <c r="M122">
        <f t="shared" si="17"/>
        <v>-3.5119847692305939</v>
      </c>
      <c r="N122">
        <f t="shared" si="18"/>
        <v>12.334037019307667</v>
      </c>
    </row>
    <row r="123" spans="1:14" x14ac:dyDescent="0.45">
      <c r="A123" s="23">
        <v>42249</v>
      </c>
      <c r="B123">
        <v>146.06</v>
      </c>
      <c r="C123">
        <v>148.15</v>
      </c>
      <c r="G123">
        <f t="shared" ref="G123:K123" si="74">SUMPRODUCT($B123:$B127,P$2:P$6)</f>
        <v>51.281984066149363</v>
      </c>
      <c r="H123">
        <f t="shared" si="74"/>
        <v>58.413635336460352</v>
      </c>
      <c r="I123">
        <f t="shared" si="74"/>
        <v>61.404331998864365</v>
      </c>
      <c r="J123">
        <f t="shared" si="74"/>
        <v>72.138355522027368</v>
      </c>
      <c r="K123">
        <f t="shared" si="74"/>
        <v>80.838715093968858</v>
      </c>
      <c r="L123">
        <f t="shared" si="15"/>
        <v>146.86852691848816</v>
      </c>
      <c r="M123">
        <f t="shared" si="17"/>
        <v>2.1314730815118423</v>
      </c>
      <c r="N123">
        <f t="shared" si="18"/>
        <v>4.5431774972095891</v>
      </c>
    </row>
    <row r="124" spans="1:14" x14ac:dyDescent="0.45">
      <c r="A124" s="23">
        <v>42248</v>
      </c>
      <c r="B124">
        <v>142.93</v>
      </c>
      <c r="C124">
        <v>143.57</v>
      </c>
      <c r="G124">
        <f t="shared" ref="G124:K124" si="75">SUMPRODUCT($B124:$B128,P$2:P$6)</f>
        <v>50.186429640757623</v>
      </c>
      <c r="H124">
        <f t="shared" si="75"/>
        <v>57.165322341477577</v>
      </c>
      <c r="I124">
        <f t="shared" si="75"/>
        <v>60.092267379085513</v>
      </c>
      <c r="J124">
        <f t="shared" si="75"/>
        <v>70.596010121461134</v>
      </c>
      <c r="K124">
        <f t="shared" si="75"/>
        <v>79.110108207075655</v>
      </c>
      <c r="L124">
        <f t="shared" si="15"/>
        <v>143.81740381938738</v>
      </c>
      <c r="M124">
        <f t="shared" si="17"/>
        <v>2.2425961806126224</v>
      </c>
      <c r="N124">
        <f t="shared" si="18"/>
        <v>5.0292376292983221</v>
      </c>
    </row>
    <row r="125" spans="1:14" x14ac:dyDescent="0.45">
      <c r="A125" s="23">
        <v>42247</v>
      </c>
      <c r="B125">
        <v>152.44</v>
      </c>
      <c r="C125">
        <v>147.25</v>
      </c>
      <c r="G125">
        <f t="shared" ref="G125:K125" si="76">SUMPRODUCT($B125:$B129,P$2:P$6)</f>
        <v>53.330091468295947</v>
      </c>
      <c r="H125">
        <f t="shared" si="76"/>
        <v>60.7693300700195</v>
      </c>
      <c r="I125">
        <f t="shared" si="76"/>
        <v>63.871620375748364</v>
      </c>
      <c r="J125">
        <f t="shared" si="76"/>
        <v>75.089139350630717</v>
      </c>
      <c r="K125">
        <f t="shared" si="76"/>
        <v>84.159186611548932</v>
      </c>
      <c r="L125">
        <f t="shared" si="15"/>
        <v>152.66056246885424</v>
      </c>
      <c r="M125">
        <f t="shared" si="17"/>
        <v>-9.7305624688542309</v>
      </c>
      <c r="N125">
        <f t="shared" si="18"/>
        <v>94.683845960274539</v>
      </c>
    </row>
    <row r="126" spans="1:14" x14ac:dyDescent="0.45">
      <c r="A126" s="23">
        <v>42244</v>
      </c>
      <c r="B126">
        <v>150.16999999999999</v>
      </c>
      <c r="C126">
        <v>152.13</v>
      </c>
      <c r="G126">
        <f t="shared" ref="G126:K126" si="77">SUMPRODUCT($B126:$B130,P$2:P$6)</f>
        <v>52.671441661804408</v>
      </c>
      <c r="H126">
        <f t="shared" si="77"/>
        <v>60.002674979491793</v>
      </c>
      <c r="I126">
        <f t="shared" si="77"/>
        <v>63.072216567776195</v>
      </c>
      <c r="J126">
        <f t="shared" si="77"/>
        <v>74.112387967331188</v>
      </c>
      <c r="K126">
        <f t="shared" si="77"/>
        <v>83.05468024844447</v>
      </c>
      <c r="L126">
        <f t="shared" si="15"/>
        <v>150.76157429385896</v>
      </c>
      <c r="M126">
        <f t="shared" si="17"/>
        <v>1.6784257061410415</v>
      </c>
      <c r="N126">
        <f t="shared" si="18"/>
        <v>2.8171128510350538</v>
      </c>
    </row>
    <row r="127" spans="1:14" x14ac:dyDescent="0.45">
      <c r="A127" s="23">
        <v>42243</v>
      </c>
      <c r="B127">
        <v>147.25</v>
      </c>
      <c r="C127">
        <v>152.06</v>
      </c>
      <c r="G127">
        <f t="shared" ref="G127:K127" si="78">SUMPRODUCT($B127:$B131,P$2:P$6)</f>
        <v>51.400525230801179</v>
      </c>
      <c r="H127">
        <f t="shared" si="78"/>
        <v>58.584155376739872</v>
      </c>
      <c r="I127">
        <f t="shared" si="78"/>
        <v>61.569523545581866</v>
      </c>
      <c r="J127">
        <f t="shared" si="78"/>
        <v>72.413797944241367</v>
      </c>
      <c r="K127">
        <f t="shared" si="78"/>
        <v>81.168902900996386</v>
      </c>
      <c r="L127">
        <f t="shared" si="15"/>
        <v>147.34045798272683</v>
      </c>
      <c r="M127">
        <f t="shared" si="17"/>
        <v>2.8295420172731554</v>
      </c>
      <c r="N127">
        <f t="shared" si="18"/>
        <v>8.0063080275142369</v>
      </c>
    </row>
    <row r="128" spans="1:14" x14ac:dyDescent="0.45">
      <c r="A128" s="23">
        <v>42242</v>
      </c>
      <c r="B128">
        <v>139.9</v>
      </c>
      <c r="C128">
        <v>142.4</v>
      </c>
      <c r="G128">
        <f t="shared" ref="G128:K128" si="79">SUMPRODUCT($B128:$B132,P$2:P$6)</f>
        <v>49.240244948976077</v>
      </c>
      <c r="H128">
        <f t="shared" si="79"/>
        <v>56.073600177758117</v>
      </c>
      <c r="I128">
        <f t="shared" si="79"/>
        <v>58.950172923325688</v>
      </c>
      <c r="J128">
        <f t="shared" si="79"/>
        <v>69.222257066783968</v>
      </c>
      <c r="K128">
        <f t="shared" si="79"/>
        <v>77.562210810737895</v>
      </c>
      <c r="L128">
        <f t="shared" si="15"/>
        <v>141.12782506256116</v>
      </c>
      <c r="M128">
        <f t="shared" si="17"/>
        <v>6.1221749374388423</v>
      </c>
      <c r="N128">
        <f t="shared" si="18"/>
        <v>37.481025964604292</v>
      </c>
    </row>
    <row r="129" spans="1:14" x14ac:dyDescent="0.45">
      <c r="A129" s="23">
        <v>42241</v>
      </c>
      <c r="B129">
        <v>149.69999999999999</v>
      </c>
      <c r="C129">
        <v>136.99</v>
      </c>
      <c r="G129">
        <f t="shared" ref="G129:K129" si="80">SUMPRODUCT($B129:$B133,P$2:P$6)</f>
        <v>52.634106052445773</v>
      </c>
      <c r="H129">
        <f t="shared" si="80"/>
        <v>59.945003834754324</v>
      </c>
      <c r="I129">
        <f t="shared" si="80"/>
        <v>63.01758304865043</v>
      </c>
      <c r="J129">
        <f t="shared" si="80"/>
        <v>74.013454620810748</v>
      </c>
      <c r="K129">
        <f t="shared" si="80"/>
        <v>82.934634099736357</v>
      </c>
      <c r="L129">
        <f t="shared" si="15"/>
        <v>150.59703709271335</v>
      </c>
      <c r="M129">
        <f t="shared" si="17"/>
        <v>-10.697037092713344</v>
      </c>
      <c r="N129">
        <f t="shared" si="18"/>
        <v>114.42660256288517</v>
      </c>
    </row>
    <row r="130" spans="1:14" x14ac:dyDescent="0.45">
      <c r="A130" s="23">
        <v>42240</v>
      </c>
      <c r="B130">
        <v>125.15</v>
      </c>
      <c r="C130">
        <v>141.08000000000001</v>
      </c>
      <c r="G130">
        <f t="shared" ref="G130:K130" si="81">SUMPRODUCT($B130:$B134,P$2:P$6)</f>
        <v>44.355894938608451</v>
      </c>
      <c r="H130">
        <f t="shared" si="81"/>
        <v>50.475079429755432</v>
      </c>
      <c r="I130">
        <f t="shared" si="81"/>
        <v>53.07884167585766</v>
      </c>
      <c r="J130">
        <f t="shared" si="81"/>
        <v>62.244495361808887</v>
      </c>
      <c r="K130">
        <f t="shared" si="81"/>
        <v>69.721711375684322</v>
      </c>
      <c r="L130">
        <f t="shared" ref="L130:L193" si="82">(G130+$P$7)*$U$2+(H130+$Q$7)*$U$3+(I130+$R$7)*$U$4+(J130+$S$7)*$U$5+(K130+$T$7)*$U$6+$U$7</f>
        <v>127.39237089207454</v>
      </c>
      <c r="M130">
        <f t="shared" si="17"/>
        <v>22.30762910792545</v>
      </c>
      <c r="N130">
        <f t="shared" si="18"/>
        <v>497.63031641676281</v>
      </c>
    </row>
    <row r="131" spans="1:14" x14ac:dyDescent="0.45">
      <c r="A131" s="23">
        <v>42237</v>
      </c>
      <c r="B131">
        <v>154.44999999999999</v>
      </c>
      <c r="C131">
        <v>152.91</v>
      </c>
      <c r="G131">
        <f t="shared" ref="G131:K131" si="83">SUMPRODUCT($B131:$B135,P$2:P$6)</f>
        <v>54.287767227364334</v>
      </c>
      <c r="H131">
        <f t="shared" si="83"/>
        <v>61.830304561419815</v>
      </c>
      <c r="I131">
        <f t="shared" si="83"/>
        <v>64.998748587528851</v>
      </c>
      <c r="J131">
        <f t="shared" si="83"/>
        <v>76.34477723099306</v>
      </c>
      <c r="K131">
        <f t="shared" si="83"/>
        <v>85.548141360856434</v>
      </c>
      <c r="L131">
        <f t="shared" si="82"/>
        <v>155.20674736942732</v>
      </c>
      <c r="M131">
        <f t="shared" ref="M131:M194" si="84">B130-L131</f>
        <v>-30.056747369427313</v>
      </c>
      <c r="N131">
        <f t="shared" ref="N131:N194" si="85">M131^2</f>
        <v>903.40806242957569</v>
      </c>
    </row>
    <row r="132" spans="1:14" x14ac:dyDescent="0.45">
      <c r="A132" s="23">
        <v>42236</v>
      </c>
      <c r="B132">
        <v>160.41</v>
      </c>
      <c r="C132">
        <v>157.4</v>
      </c>
      <c r="G132">
        <f t="shared" ref="G132:K132" si="86">SUMPRODUCT($B132:$B136,P$2:P$6)</f>
        <v>56.304632972960917</v>
      </c>
      <c r="H132">
        <f t="shared" si="86"/>
        <v>64.136629036819841</v>
      </c>
      <c r="I132">
        <f t="shared" si="86"/>
        <v>67.419599212256102</v>
      </c>
      <c r="J132">
        <f t="shared" si="86"/>
        <v>79.20940592649491</v>
      </c>
      <c r="K132">
        <f t="shared" si="86"/>
        <v>88.763707423697042</v>
      </c>
      <c r="L132">
        <f t="shared" si="82"/>
        <v>160.85669021596675</v>
      </c>
      <c r="M132">
        <f t="shared" si="84"/>
        <v>-6.406690215966762</v>
      </c>
      <c r="N132">
        <f t="shared" si="85"/>
        <v>41.045679523364235</v>
      </c>
    </row>
    <row r="133" spans="1:14" x14ac:dyDescent="0.45">
      <c r="A133" s="23">
        <v>42235</v>
      </c>
      <c r="B133">
        <v>165.1</v>
      </c>
      <c r="C133">
        <v>162.88999999999999</v>
      </c>
      <c r="G133">
        <f t="shared" ref="G133:K133" si="87">SUMPRODUCT($B133:$B137,P$2:P$6)</f>
        <v>57.864950161984552</v>
      </c>
      <c r="H133">
        <f t="shared" si="87"/>
        <v>65.924176876748504</v>
      </c>
      <c r="I133">
        <f t="shared" si="87"/>
        <v>69.294611274032491</v>
      </c>
      <c r="J133">
        <f t="shared" si="87"/>
        <v>81.435669941275378</v>
      </c>
      <c r="K133">
        <f t="shared" si="87"/>
        <v>91.264684130445673</v>
      </c>
      <c r="L133">
        <f t="shared" si="82"/>
        <v>165.24085914636385</v>
      </c>
      <c r="M133">
        <f t="shared" si="84"/>
        <v>-4.8308591463638493</v>
      </c>
      <c r="N133">
        <f t="shared" si="85"/>
        <v>23.337200092007258</v>
      </c>
    </row>
    <row r="134" spans="1:14" x14ac:dyDescent="0.45">
      <c r="A134" s="23">
        <v>42234</v>
      </c>
      <c r="B134">
        <v>164.06</v>
      </c>
      <c r="C134">
        <v>166.11</v>
      </c>
      <c r="G134">
        <f t="shared" ref="G134:K134" si="88">SUMPRODUCT($B134:$B138,P$2:P$6)</f>
        <v>57.533211356656246</v>
      </c>
      <c r="H134">
        <f t="shared" si="88"/>
        <v>65.542341864637635</v>
      </c>
      <c r="I134">
        <f t="shared" si="88"/>
        <v>68.894795576467416</v>
      </c>
      <c r="J134">
        <f t="shared" si="88"/>
        <v>80.956876527825145</v>
      </c>
      <c r="K134">
        <f t="shared" si="88"/>
        <v>90.725742468204857</v>
      </c>
      <c r="L134">
        <f t="shared" si="82"/>
        <v>164.30160055486044</v>
      </c>
      <c r="M134">
        <f t="shared" si="84"/>
        <v>0.79839944513955174</v>
      </c>
      <c r="N134">
        <f t="shared" si="85"/>
        <v>0.63744167399914409</v>
      </c>
    </row>
    <row r="135" spans="1:14" x14ac:dyDescent="0.45">
      <c r="A135" s="23">
        <v>42233</v>
      </c>
      <c r="B135">
        <v>163.55000000000001</v>
      </c>
      <c r="C135">
        <v>167.43</v>
      </c>
      <c r="G135">
        <f t="shared" ref="G135:K135" si="89">SUMPRODUCT($B135:$B139,P$2:P$6)</f>
        <v>57.381348799561835</v>
      </c>
      <c r="H135">
        <f t="shared" si="89"/>
        <v>65.366134257402678</v>
      </c>
      <c r="I135">
        <f t="shared" si="89"/>
        <v>68.710842275113478</v>
      </c>
      <c r="J135">
        <f t="shared" si="89"/>
        <v>80.733363268279106</v>
      </c>
      <c r="K135">
        <f t="shared" si="89"/>
        <v>90.473316371130437</v>
      </c>
      <c r="L135">
        <f t="shared" si="82"/>
        <v>163.8659725142073</v>
      </c>
      <c r="M135">
        <f t="shared" si="84"/>
        <v>0.19402748579270224</v>
      </c>
      <c r="N135">
        <f t="shared" si="85"/>
        <v>3.7646665243037267E-2</v>
      </c>
    </row>
    <row r="136" spans="1:14" x14ac:dyDescent="0.45">
      <c r="A136" s="23">
        <v>42230</v>
      </c>
      <c r="B136">
        <v>160.80000000000001</v>
      </c>
      <c r="C136">
        <v>164.24</v>
      </c>
      <c r="G136">
        <f t="shared" ref="G136:K136" si="90">SUMPRODUCT($B136:$B140,P$2:P$6)</f>
        <v>56.552640098095409</v>
      </c>
      <c r="H136">
        <f t="shared" si="90"/>
        <v>64.405951957973329</v>
      </c>
      <c r="I136">
        <f t="shared" si="90"/>
        <v>67.707925742753304</v>
      </c>
      <c r="J136">
        <f t="shared" si="90"/>
        <v>79.517917873590008</v>
      </c>
      <c r="K136">
        <f t="shared" si="90"/>
        <v>89.101439878328875</v>
      </c>
      <c r="L136">
        <f t="shared" si="82"/>
        <v>161.49431601643101</v>
      </c>
      <c r="M136">
        <f t="shared" si="84"/>
        <v>2.0556839835689971</v>
      </c>
      <c r="N136">
        <f t="shared" si="85"/>
        <v>4.2258366403021004</v>
      </c>
    </row>
    <row r="137" spans="1:14" x14ac:dyDescent="0.45">
      <c r="A137" s="23">
        <v>42229</v>
      </c>
      <c r="B137">
        <v>162.66</v>
      </c>
      <c r="C137">
        <v>160.88999999999999</v>
      </c>
      <c r="G137">
        <f t="shared" ref="G137:K137" si="91">SUMPRODUCT($B137:$B141,P$2:P$6)</f>
        <v>57.23108987832078</v>
      </c>
      <c r="H137">
        <f t="shared" si="91"/>
        <v>65.175739563498283</v>
      </c>
      <c r="I137">
        <f t="shared" si="91"/>
        <v>68.518319336056109</v>
      </c>
      <c r="J137">
        <f t="shared" si="91"/>
        <v>80.46307202602577</v>
      </c>
      <c r="K137">
        <f t="shared" si="91"/>
        <v>90.158758676605871</v>
      </c>
      <c r="L137">
        <f t="shared" si="82"/>
        <v>163.37076105124885</v>
      </c>
      <c r="M137">
        <f t="shared" si="84"/>
        <v>-2.5707610512488372</v>
      </c>
      <c r="N137">
        <f t="shared" si="85"/>
        <v>6.6088123826180265</v>
      </c>
    </row>
    <row r="138" spans="1:14" x14ac:dyDescent="0.45">
      <c r="A138" s="23">
        <v>42228</v>
      </c>
      <c r="B138">
        <v>164.52</v>
      </c>
      <c r="C138">
        <v>160.82</v>
      </c>
      <c r="G138">
        <f t="shared" ref="G138:K138" si="92">SUMPRODUCT($B138:$B142,P$2:P$6)</f>
        <v>57.832449973563122</v>
      </c>
      <c r="H138">
        <f t="shared" si="92"/>
        <v>65.866859712815469</v>
      </c>
      <c r="I138">
        <f t="shared" si="92"/>
        <v>69.24239661498126</v>
      </c>
      <c r="J138">
        <f t="shared" si="92"/>
        <v>81.327783327400468</v>
      </c>
      <c r="K138">
        <f t="shared" si="92"/>
        <v>91.13147731068166</v>
      </c>
      <c r="L138">
        <f t="shared" si="82"/>
        <v>165.06919514010849</v>
      </c>
      <c r="M138">
        <f t="shared" si="84"/>
        <v>-2.4091951401084941</v>
      </c>
      <c r="N138">
        <f t="shared" si="85"/>
        <v>5.8042212231223864</v>
      </c>
    </row>
    <row r="139" spans="1:14" x14ac:dyDescent="0.45">
      <c r="A139" s="23">
        <v>42227</v>
      </c>
      <c r="B139">
        <v>173.69</v>
      </c>
      <c r="C139">
        <v>167.94</v>
      </c>
      <c r="G139">
        <f t="shared" ref="G139:K139" si="93">SUMPRODUCT($B139:$B143,P$2:P$6)</f>
        <v>60.915908369415732</v>
      </c>
      <c r="H139">
        <f t="shared" si="93"/>
        <v>69.39527395338186</v>
      </c>
      <c r="I139">
        <f t="shared" si="93"/>
        <v>72.945067241223128</v>
      </c>
      <c r="J139">
        <f t="shared" si="93"/>
        <v>85.714743117040683</v>
      </c>
      <c r="K139">
        <f t="shared" si="93"/>
        <v>96.057324992320957</v>
      </c>
      <c r="L139">
        <f t="shared" si="82"/>
        <v>173.71671489381615</v>
      </c>
      <c r="M139">
        <f t="shared" si="84"/>
        <v>-9.1967148938161358</v>
      </c>
      <c r="N139">
        <f t="shared" si="85"/>
        <v>84.579564838139532</v>
      </c>
    </row>
    <row r="140" spans="1:14" x14ac:dyDescent="0.45">
      <c r="A140" s="23">
        <v>42226</v>
      </c>
      <c r="B140">
        <v>177.83</v>
      </c>
      <c r="C140">
        <v>176.85</v>
      </c>
      <c r="G140">
        <f t="shared" ref="G140:K140" si="94">SUMPRODUCT($B140:$B144,P$2:P$6)</f>
        <v>62.30929254138195</v>
      </c>
      <c r="H140">
        <f t="shared" si="94"/>
        <v>70.98956969718347</v>
      </c>
      <c r="I140">
        <f t="shared" si="94"/>
        <v>74.618163216726884</v>
      </c>
      <c r="J140">
        <f t="shared" si="94"/>
        <v>87.696680468513094</v>
      </c>
      <c r="K140">
        <f t="shared" si="94"/>
        <v>98.282624859521562</v>
      </c>
      <c r="L140">
        <f t="shared" si="82"/>
        <v>177.62380740202852</v>
      </c>
      <c r="M140">
        <f t="shared" si="84"/>
        <v>-3.9338074020285205</v>
      </c>
      <c r="N140">
        <f t="shared" si="85"/>
        <v>15.474840676254377</v>
      </c>
    </row>
    <row r="141" spans="1:14" x14ac:dyDescent="0.45">
      <c r="A141" s="23">
        <v>42223</v>
      </c>
      <c r="B141">
        <v>175.21</v>
      </c>
      <c r="C141">
        <v>176.08</v>
      </c>
      <c r="G141">
        <f t="shared" ref="G141:K141" si="95">SUMPRODUCT($B141:$B145,P$2:P$6)</f>
        <v>61.38500426706031</v>
      </c>
      <c r="H141">
        <f t="shared" si="95"/>
        <v>69.937264964846804</v>
      </c>
      <c r="I141">
        <f t="shared" si="95"/>
        <v>73.511774351357474</v>
      </c>
      <c r="J141">
        <f t="shared" si="95"/>
        <v>86.398078025741171</v>
      </c>
      <c r="K141">
        <f t="shared" si="95"/>
        <v>96.827719258924944</v>
      </c>
      <c r="L141">
        <f t="shared" si="82"/>
        <v>175.05309946583046</v>
      </c>
      <c r="M141">
        <f t="shared" si="84"/>
        <v>2.7769005341695561</v>
      </c>
      <c r="N141">
        <f t="shared" si="85"/>
        <v>7.711176576671166</v>
      </c>
    </row>
    <row r="142" spans="1:14" x14ac:dyDescent="0.45">
      <c r="A142" s="23">
        <v>42222</v>
      </c>
      <c r="B142">
        <v>172.7</v>
      </c>
      <c r="C142">
        <v>174.46</v>
      </c>
      <c r="G142">
        <f t="shared" ref="G142:K142" si="96">SUMPRODUCT($B142:$B146,P$2:P$6)</f>
        <v>60.558488980919989</v>
      </c>
      <c r="H142">
        <f t="shared" si="96"/>
        <v>68.989314808965844</v>
      </c>
      <c r="I142">
        <f t="shared" si="96"/>
        <v>72.517861190637845</v>
      </c>
      <c r="J142">
        <f t="shared" si="96"/>
        <v>85.215527363243936</v>
      </c>
      <c r="K142">
        <f t="shared" si="96"/>
        <v>95.498607684090004</v>
      </c>
      <c r="L142">
        <f t="shared" si="82"/>
        <v>172.72648347751547</v>
      </c>
      <c r="M142">
        <f t="shared" si="84"/>
        <v>2.4835165224845355</v>
      </c>
      <c r="N142">
        <f t="shared" si="85"/>
        <v>6.1678543174536804</v>
      </c>
    </row>
    <row r="143" spans="1:14" x14ac:dyDescent="0.45">
      <c r="A143" s="23">
        <v>42221</v>
      </c>
      <c r="B143">
        <v>171.68</v>
      </c>
      <c r="C143">
        <v>172.74</v>
      </c>
      <c r="G143">
        <f t="shared" ref="G143:K143" si="97">SUMPRODUCT($B143:$B147,P$2:P$6)</f>
        <v>60.254289117055457</v>
      </c>
      <c r="H143">
        <f t="shared" si="97"/>
        <v>68.636415203155451</v>
      </c>
      <c r="I143">
        <f t="shared" si="97"/>
        <v>72.149426811658302</v>
      </c>
      <c r="J143">
        <f t="shared" si="97"/>
        <v>84.768024853306059</v>
      </c>
      <c r="K143">
        <f t="shared" si="97"/>
        <v>94.993254897253621</v>
      </c>
      <c r="L143">
        <f t="shared" si="82"/>
        <v>171.85415121866117</v>
      </c>
      <c r="M143">
        <f t="shared" si="84"/>
        <v>0.84584878133881602</v>
      </c>
      <c r="N143">
        <f t="shared" si="85"/>
        <v>0.7154601608923602</v>
      </c>
    </row>
    <row r="144" spans="1:14" x14ac:dyDescent="0.45">
      <c r="A144" s="23">
        <v>42220</v>
      </c>
      <c r="B144">
        <v>168.6</v>
      </c>
      <c r="C144">
        <v>170.32</v>
      </c>
      <c r="G144">
        <f t="shared" ref="G144:K144" si="98">SUMPRODUCT($B144:$B148,P$2:P$6)</f>
        <v>59.1861987176366</v>
      </c>
      <c r="H144">
        <f t="shared" si="98"/>
        <v>67.418210366893703</v>
      </c>
      <c r="I144">
        <f t="shared" si="98"/>
        <v>70.869476572470234</v>
      </c>
      <c r="J144">
        <f t="shared" si="98"/>
        <v>83.260710323732482</v>
      </c>
      <c r="K144">
        <f t="shared" si="98"/>
        <v>93.303191412473481</v>
      </c>
      <c r="L144">
        <f t="shared" si="82"/>
        <v>168.87477055218963</v>
      </c>
      <c r="M144">
        <f t="shared" si="84"/>
        <v>2.8052294478103761</v>
      </c>
      <c r="N144">
        <f t="shared" si="85"/>
        <v>7.8693122548625078</v>
      </c>
    </row>
    <row r="145" spans="1:14" x14ac:dyDescent="0.45">
      <c r="A145" s="23">
        <v>42219</v>
      </c>
      <c r="B145">
        <v>170.82</v>
      </c>
      <c r="C145">
        <v>169.14</v>
      </c>
      <c r="G145">
        <f t="shared" ref="G145:K145" si="99">SUMPRODUCT($B145:$B149,P$2:P$6)</f>
        <v>59.90198516537825</v>
      </c>
      <c r="H145">
        <f t="shared" si="99"/>
        <v>68.241089524802021</v>
      </c>
      <c r="I145">
        <f t="shared" si="99"/>
        <v>71.731495430835764</v>
      </c>
      <c r="J145">
        <f t="shared" si="99"/>
        <v>84.290727576406425</v>
      </c>
      <c r="K145">
        <f t="shared" si="99"/>
        <v>94.462014317011139</v>
      </c>
      <c r="L145">
        <f t="shared" si="82"/>
        <v>170.89738792495268</v>
      </c>
      <c r="M145">
        <f t="shared" si="84"/>
        <v>-2.2973879249526874</v>
      </c>
      <c r="N145">
        <f t="shared" si="85"/>
        <v>5.2779912777184146</v>
      </c>
    </row>
    <row r="146" spans="1:14" x14ac:dyDescent="0.45">
      <c r="A146" s="23">
        <v>42216</v>
      </c>
      <c r="B146">
        <v>174.5</v>
      </c>
      <c r="C146">
        <v>172.66</v>
      </c>
      <c r="G146">
        <f t="shared" ref="G146:K146" si="100">SUMPRODUCT($B146:$B150,P$2:P$6)</f>
        <v>61.189686909881779</v>
      </c>
      <c r="H146">
        <f t="shared" si="100"/>
        <v>69.708384920794558</v>
      </c>
      <c r="I146">
        <f t="shared" si="100"/>
        <v>73.273705834293565</v>
      </c>
      <c r="J146">
        <f t="shared" si="100"/>
        <v>86.103698272912325</v>
      </c>
      <c r="K146">
        <f t="shared" si="100"/>
        <v>96.493955789441259</v>
      </c>
      <c r="L146">
        <f t="shared" si="82"/>
        <v>174.48379796875727</v>
      </c>
      <c r="M146">
        <f t="shared" si="84"/>
        <v>-3.6637979687572795</v>
      </c>
      <c r="N146">
        <f t="shared" si="85"/>
        <v>13.423415555869967</v>
      </c>
    </row>
    <row r="147" spans="1:14" x14ac:dyDescent="0.45">
      <c r="A147" s="23">
        <v>42215</v>
      </c>
      <c r="B147">
        <v>172.5</v>
      </c>
      <c r="C147">
        <v>174.47</v>
      </c>
      <c r="G147">
        <f t="shared" ref="G147:K147" si="101">SUMPRODUCT($B147:$B151,P$2:P$6)</f>
        <v>60.798891223498302</v>
      </c>
      <c r="H147">
        <f t="shared" si="101"/>
        <v>69.226308957956917</v>
      </c>
      <c r="I147">
        <f t="shared" si="101"/>
        <v>72.78157364453638</v>
      </c>
      <c r="J147">
        <f t="shared" si="101"/>
        <v>85.440847661314109</v>
      </c>
      <c r="K147">
        <f t="shared" si="101"/>
        <v>95.728764111528079</v>
      </c>
      <c r="L147">
        <f t="shared" si="82"/>
        <v>173.2482581524672</v>
      </c>
      <c r="M147">
        <f t="shared" si="84"/>
        <v>1.2517418475327986</v>
      </c>
      <c r="N147">
        <f t="shared" si="85"/>
        <v>1.5668576528648239</v>
      </c>
    </row>
    <row r="148" spans="1:14" x14ac:dyDescent="0.45">
      <c r="A148" s="23">
        <v>42214</v>
      </c>
      <c r="B148">
        <v>169.2</v>
      </c>
      <c r="C148">
        <v>170.01</v>
      </c>
      <c r="G148">
        <f t="shared" ref="G148:K148" si="102">SUMPRODUCT($B148:$B152,P$2:P$6)</f>
        <v>59.816476302705091</v>
      </c>
      <c r="H148">
        <f t="shared" si="102"/>
        <v>68.086372074327031</v>
      </c>
      <c r="I148">
        <f t="shared" si="102"/>
        <v>71.591551227851781</v>
      </c>
      <c r="J148">
        <f t="shared" si="102"/>
        <v>83.994879410497461</v>
      </c>
      <c r="K148">
        <f t="shared" si="102"/>
        <v>94.095727967118336</v>
      </c>
      <c r="L148">
        <f t="shared" si="82"/>
        <v>170.43006951262205</v>
      </c>
      <c r="M148">
        <f t="shared" si="84"/>
        <v>2.0699304873779454</v>
      </c>
      <c r="N148">
        <f t="shared" si="85"/>
        <v>4.2846122225766985</v>
      </c>
    </row>
    <row r="149" spans="1:14" x14ac:dyDescent="0.45">
      <c r="A149" s="23">
        <v>42213</v>
      </c>
      <c r="B149">
        <v>172.6</v>
      </c>
      <c r="C149">
        <v>168.03</v>
      </c>
      <c r="G149">
        <f t="shared" ref="G149:K149" si="103">SUMPRODUCT($B149:$B153,P$2:P$6)</f>
        <v>60.940815544877857</v>
      </c>
      <c r="H149">
        <f t="shared" si="103"/>
        <v>69.375302116741921</v>
      </c>
      <c r="I149">
        <f t="shared" si="103"/>
        <v>72.943214005030995</v>
      </c>
      <c r="J149">
        <f t="shared" si="103"/>
        <v>85.601705157519888</v>
      </c>
      <c r="K149">
        <f t="shared" si="103"/>
        <v>95.901338970910359</v>
      </c>
      <c r="L149">
        <f t="shared" si="82"/>
        <v>173.59264558241981</v>
      </c>
      <c r="M149">
        <f t="shared" si="84"/>
        <v>-4.3926455824198172</v>
      </c>
      <c r="N149">
        <f t="shared" si="85"/>
        <v>19.295335212752335</v>
      </c>
    </row>
    <row r="150" spans="1:14" x14ac:dyDescent="0.45">
      <c r="A150" s="23">
        <v>42212</v>
      </c>
      <c r="B150">
        <v>197.85</v>
      </c>
      <c r="C150">
        <v>197.68</v>
      </c>
      <c r="G150">
        <f t="shared" ref="G150:K150" si="104">SUMPRODUCT($B150:$B154,P$2:P$6)</f>
        <v>69.445525695970701</v>
      </c>
      <c r="H150">
        <f t="shared" si="104"/>
        <v>79.105509920902577</v>
      </c>
      <c r="I150">
        <f t="shared" si="104"/>
        <v>83.154660342266396</v>
      </c>
      <c r="J150">
        <f t="shared" si="104"/>
        <v>97.696284091692036</v>
      </c>
      <c r="K150">
        <f t="shared" si="104"/>
        <v>109.48053910647062</v>
      </c>
      <c r="L150">
        <f t="shared" si="82"/>
        <v>197.43692687807993</v>
      </c>
      <c r="M150">
        <f t="shared" si="84"/>
        <v>-24.836926878079936</v>
      </c>
      <c r="N150">
        <f t="shared" si="85"/>
        <v>616.87293674708951</v>
      </c>
    </row>
    <row r="151" spans="1:14" x14ac:dyDescent="0.45">
      <c r="A151" s="23">
        <v>42209</v>
      </c>
      <c r="B151">
        <v>209.91</v>
      </c>
      <c r="C151">
        <v>206.25</v>
      </c>
      <c r="G151">
        <f t="shared" ref="G151:K151" si="105">SUMPRODUCT($B151:$B155,P$2:P$6)</f>
        <v>73.513660571195089</v>
      </c>
      <c r="H151">
        <f t="shared" si="105"/>
        <v>83.759096097393339</v>
      </c>
      <c r="I151">
        <f t="shared" si="105"/>
        <v>88.038700853769726</v>
      </c>
      <c r="J151">
        <f t="shared" si="105"/>
        <v>103.47928915912516</v>
      </c>
      <c r="K151">
        <f t="shared" si="105"/>
        <v>115.97296254922033</v>
      </c>
      <c r="L151">
        <f t="shared" si="82"/>
        <v>208.8395681468933</v>
      </c>
      <c r="M151">
        <f t="shared" si="84"/>
        <v>-10.989568146893305</v>
      </c>
      <c r="N151">
        <f t="shared" si="85"/>
        <v>120.77060805521195</v>
      </c>
    </row>
    <row r="152" spans="1:14" x14ac:dyDescent="0.45">
      <c r="A152" s="23">
        <v>42208</v>
      </c>
      <c r="B152">
        <v>207.32</v>
      </c>
      <c r="C152">
        <v>207.63</v>
      </c>
      <c r="G152">
        <f t="shared" ref="G152:K152" si="106">SUMPRODUCT($B152:$B156,P$2:P$6)</f>
        <v>72.635355086680008</v>
      </c>
      <c r="H152">
        <f t="shared" si="106"/>
        <v>82.754964525666509</v>
      </c>
      <c r="I152">
        <f t="shared" si="106"/>
        <v>86.984618046867652</v>
      </c>
      <c r="J152">
        <f t="shared" si="106"/>
        <v>102.23250200307581</v>
      </c>
      <c r="K152">
        <f t="shared" si="106"/>
        <v>114.57357133677807</v>
      </c>
      <c r="L152">
        <f t="shared" si="82"/>
        <v>206.38004478134934</v>
      </c>
      <c r="M152">
        <f t="shared" si="84"/>
        <v>3.529955218650656</v>
      </c>
      <c r="N152">
        <f t="shared" si="85"/>
        <v>12.460583845679</v>
      </c>
    </row>
    <row r="153" spans="1:14" x14ac:dyDescent="0.45">
      <c r="A153" s="23">
        <v>42207</v>
      </c>
      <c r="B153">
        <v>201.66</v>
      </c>
      <c r="C153">
        <v>205.74</v>
      </c>
      <c r="G153">
        <f t="shared" ref="G153:K153" si="107">SUMPRODUCT($B153:$B157,P$2:P$6)</f>
        <v>70.658942083100882</v>
      </c>
      <c r="H153">
        <f t="shared" si="107"/>
        <v>80.502413047764463</v>
      </c>
      <c r="I153">
        <f t="shared" si="107"/>
        <v>84.617247569841993</v>
      </c>
      <c r="J153">
        <f t="shared" si="107"/>
        <v>99.448350420277436</v>
      </c>
      <c r="K153">
        <f t="shared" si="107"/>
        <v>111.4528541792501</v>
      </c>
      <c r="L153">
        <f t="shared" si="82"/>
        <v>200.87349018763933</v>
      </c>
      <c r="M153">
        <f t="shared" si="84"/>
        <v>6.4465098123606595</v>
      </c>
      <c r="N153">
        <f t="shared" si="85"/>
        <v>41.557488760862263</v>
      </c>
    </row>
    <row r="154" spans="1:14" x14ac:dyDescent="0.45">
      <c r="A154" s="23">
        <v>42206</v>
      </c>
      <c r="B154">
        <v>199.49</v>
      </c>
      <c r="C154">
        <v>202.4</v>
      </c>
      <c r="G154">
        <f t="shared" ref="G154:K154" si="108">SUMPRODUCT($B154:$B158,P$2:P$6)</f>
        <v>69.857950195002587</v>
      </c>
      <c r="H154">
        <f t="shared" si="108"/>
        <v>79.594666610025627</v>
      </c>
      <c r="I154">
        <f t="shared" si="108"/>
        <v>83.661188545883121</v>
      </c>
      <c r="J154">
        <f t="shared" si="108"/>
        <v>98.335793718157674</v>
      </c>
      <c r="K154">
        <f t="shared" si="108"/>
        <v>110.20892828299297</v>
      </c>
      <c r="L154">
        <f t="shared" si="82"/>
        <v>198.6624454935988</v>
      </c>
      <c r="M154">
        <f t="shared" si="84"/>
        <v>2.997554506401201</v>
      </c>
      <c r="N154">
        <f t="shared" si="85"/>
        <v>8.9853330188461484</v>
      </c>
    </row>
    <row r="155" spans="1:14" x14ac:dyDescent="0.45">
      <c r="A155" s="23">
        <v>42205</v>
      </c>
      <c r="B155">
        <v>199.55</v>
      </c>
      <c r="C155">
        <v>199.61</v>
      </c>
      <c r="G155">
        <f t="shared" ref="G155:K155" si="109">SUMPRODUCT($B155:$B159,P$2:P$6)</f>
        <v>69.888465246416317</v>
      </c>
      <c r="H155">
        <f t="shared" si="109"/>
        <v>79.628304650118096</v>
      </c>
      <c r="I155">
        <f t="shared" si="109"/>
        <v>83.696992053067575</v>
      </c>
      <c r="J155">
        <f t="shared" si="109"/>
        <v>98.375284203334957</v>
      </c>
      <c r="K155">
        <f t="shared" si="109"/>
        <v>110.25250219465012</v>
      </c>
      <c r="L155">
        <f t="shared" si="82"/>
        <v>198.74289947663382</v>
      </c>
      <c r="M155">
        <f t="shared" si="84"/>
        <v>0.7471005233661856</v>
      </c>
      <c r="N155">
        <f t="shared" si="85"/>
        <v>0.55815919201402842</v>
      </c>
    </row>
    <row r="156" spans="1:14" x14ac:dyDescent="0.45">
      <c r="A156" s="23">
        <v>42202</v>
      </c>
      <c r="B156">
        <v>194.68</v>
      </c>
      <c r="C156">
        <v>198.44</v>
      </c>
      <c r="G156">
        <f t="shared" ref="G156:K156" si="110">SUMPRODUCT($B156:$B160,P$2:P$6)</f>
        <v>68.274015211508313</v>
      </c>
      <c r="H156">
        <f t="shared" si="110"/>
        <v>77.778020677669105</v>
      </c>
      <c r="I156">
        <f t="shared" si="110"/>
        <v>81.756457939696901</v>
      </c>
      <c r="J156">
        <f t="shared" si="110"/>
        <v>96.069580157943179</v>
      </c>
      <c r="K156">
        <f t="shared" si="110"/>
        <v>107.66185235331173</v>
      </c>
      <c r="L156">
        <f t="shared" si="82"/>
        <v>194.20375040869976</v>
      </c>
      <c r="M156">
        <f t="shared" si="84"/>
        <v>5.3462495913002499</v>
      </c>
      <c r="N156">
        <f t="shared" si="85"/>
        <v>28.58238469247809</v>
      </c>
    </row>
    <row r="157" spans="1:14" x14ac:dyDescent="0.45">
      <c r="A157" s="23">
        <v>42201</v>
      </c>
      <c r="B157">
        <v>189.02</v>
      </c>
      <c r="C157">
        <v>190.1</v>
      </c>
      <c r="G157">
        <f t="shared" ref="G157:K157" si="111">SUMPRODUCT($B157:$B161,P$2:P$6)</f>
        <v>66.314714388173499</v>
      </c>
      <c r="H157">
        <f t="shared" si="111"/>
        <v>75.542931582203281</v>
      </c>
      <c r="I157">
        <f t="shared" si="111"/>
        <v>79.408246426082997</v>
      </c>
      <c r="J157">
        <f t="shared" si="111"/>
        <v>93.303278324843404</v>
      </c>
      <c r="K157">
        <f t="shared" si="111"/>
        <v>104.55990742156804</v>
      </c>
      <c r="L157">
        <f t="shared" si="82"/>
        <v>188.73670325309706</v>
      </c>
      <c r="M157">
        <f t="shared" si="84"/>
        <v>5.943296746902945</v>
      </c>
      <c r="N157">
        <f t="shared" si="85"/>
        <v>35.322776221747127</v>
      </c>
    </row>
    <row r="158" spans="1:14" x14ac:dyDescent="0.45">
      <c r="A158" s="23">
        <v>42200</v>
      </c>
      <c r="B158">
        <v>189.91</v>
      </c>
      <c r="C158">
        <v>186.58</v>
      </c>
      <c r="G158">
        <f t="shared" ref="G158:K158" si="112">SUMPRODUCT($B158:$B162,P$2:P$6)</f>
        <v>66.632612114315506</v>
      </c>
      <c r="H158">
        <f t="shared" si="112"/>
        <v>75.904396075317621</v>
      </c>
      <c r="I158">
        <f t="shared" si="112"/>
        <v>79.788471749026272</v>
      </c>
      <c r="J158">
        <f t="shared" si="112"/>
        <v>93.7484970914374</v>
      </c>
      <c r="K158">
        <f t="shared" si="112"/>
        <v>105.05843292877867</v>
      </c>
      <c r="L158">
        <f t="shared" si="82"/>
        <v>189.61901316147731</v>
      </c>
      <c r="M158">
        <f t="shared" si="84"/>
        <v>-0.59901316147730199</v>
      </c>
      <c r="N158">
        <f t="shared" si="85"/>
        <v>0.35881676762303227</v>
      </c>
    </row>
    <row r="159" spans="1:14" x14ac:dyDescent="0.45">
      <c r="A159" s="23">
        <v>42199</v>
      </c>
      <c r="B159">
        <v>193.27</v>
      </c>
      <c r="C159">
        <v>191.28</v>
      </c>
      <c r="G159">
        <f t="shared" ref="G159:K159" si="113">SUMPRODUCT($B159:$B163,P$2:P$6)</f>
        <v>67.788984627996797</v>
      </c>
      <c r="H159">
        <f t="shared" si="113"/>
        <v>77.22434940055328</v>
      </c>
      <c r="I159">
        <f t="shared" si="113"/>
        <v>81.174911938626394</v>
      </c>
      <c r="J159">
        <f t="shared" si="113"/>
        <v>95.383655707657184</v>
      </c>
      <c r="K159">
        <f t="shared" si="113"/>
        <v>106.89247938508983</v>
      </c>
      <c r="L159">
        <f t="shared" si="82"/>
        <v>192.84890347099423</v>
      </c>
      <c r="M159">
        <f t="shared" si="84"/>
        <v>-2.9389034709942337</v>
      </c>
      <c r="N159">
        <f t="shared" si="85"/>
        <v>8.6371536118219545</v>
      </c>
    </row>
    <row r="160" spans="1:14" x14ac:dyDescent="0.45">
      <c r="A160" s="23">
        <v>42198</v>
      </c>
      <c r="B160">
        <v>189.9</v>
      </c>
      <c r="C160">
        <v>193.27</v>
      </c>
      <c r="G160">
        <f t="shared" ref="G160:K160" si="114">SUMPRODUCT($B160:$B164,P$2:P$6)</f>
        <v>66.495102680190286</v>
      </c>
      <c r="H160">
        <f t="shared" si="114"/>
        <v>75.763655900062844</v>
      </c>
      <c r="I160">
        <f t="shared" si="114"/>
        <v>79.63423284777187</v>
      </c>
      <c r="J160">
        <f t="shared" si="114"/>
        <v>93.603738468896978</v>
      </c>
      <c r="K160">
        <f t="shared" si="114"/>
        <v>104.90585272457008</v>
      </c>
      <c r="L160">
        <f t="shared" si="82"/>
        <v>189.29982641376756</v>
      </c>
      <c r="M160">
        <f t="shared" si="84"/>
        <v>3.9701735862324483</v>
      </c>
      <c r="N160">
        <f t="shared" si="85"/>
        <v>15.762278304817819</v>
      </c>
    </row>
    <row r="161" spans="1:14" x14ac:dyDescent="0.45">
      <c r="A161" s="23">
        <v>42195</v>
      </c>
      <c r="B161">
        <v>191.29</v>
      </c>
      <c r="C161">
        <v>187.75</v>
      </c>
      <c r="G161">
        <f t="shared" ref="G161:K161" si="115">SUMPRODUCT($B161:$B165,P$2:P$6)</f>
        <v>67.032529115196368</v>
      </c>
      <c r="H161">
        <f t="shared" si="115"/>
        <v>76.369962586744649</v>
      </c>
      <c r="I161">
        <f t="shared" si="115"/>
        <v>80.273900667951381</v>
      </c>
      <c r="J161">
        <f t="shared" si="115"/>
        <v>94.341789831477186</v>
      </c>
      <c r="K161">
        <f t="shared" si="115"/>
        <v>105.72936568588614</v>
      </c>
      <c r="L161">
        <f t="shared" si="82"/>
        <v>190.77233403215897</v>
      </c>
      <c r="M161">
        <f t="shared" si="84"/>
        <v>-0.87233403215896033</v>
      </c>
      <c r="N161">
        <f t="shared" si="85"/>
        <v>0.76096666366271004</v>
      </c>
    </row>
    <row r="162" spans="1:14" x14ac:dyDescent="0.45">
      <c r="A162" s="23">
        <v>42194</v>
      </c>
      <c r="B162">
        <v>192.7</v>
      </c>
      <c r="C162">
        <v>187.57</v>
      </c>
      <c r="G162">
        <f t="shared" ref="G162:K162" si="116">SUMPRODUCT($B162:$B166,P$2:P$6)</f>
        <v>67.598978341195732</v>
      </c>
      <c r="H162">
        <f t="shared" si="116"/>
        <v>77.006718896517384</v>
      </c>
      <c r="I162">
        <f t="shared" si="116"/>
        <v>80.946610975227344</v>
      </c>
      <c r="J162">
        <f t="shared" si="116"/>
        <v>95.112679063710246</v>
      </c>
      <c r="K162">
        <f t="shared" si="116"/>
        <v>106.58809444884128</v>
      </c>
      <c r="L162">
        <f t="shared" si="82"/>
        <v>192.31519293212293</v>
      </c>
      <c r="M162">
        <f t="shared" si="84"/>
        <v>-1.0251929321229341</v>
      </c>
      <c r="N162">
        <f t="shared" si="85"/>
        <v>1.0510205480748189</v>
      </c>
    </row>
    <row r="163" spans="1:14" x14ac:dyDescent="0.45">
      <c r="A163" s="23">
        <v>42193</v>
      </c>
      <c r="B163">
        <v>179.53</v>
      </c>
      <c r="C163">
        <v>184.58</v>
      </c>
      <c r="G163">
        <f t="shared" ref="G163:K163" si="117">SUMPRODUCT($B163:$B167,P$2:P$6)</f>
        <v>63.190515780899766</v>
      </c>
      <c r="H163">
        <f t="shared" si="117"/>
        <v>71.959618171614295</v>
      </c>
      <c r="I163">
        <f t="shared" si="117"/>
        <v>75.651228187851288</v>
      </c>
      <c r="J163">
        <f t="shared" si="117"/>
        <v>88.83299111481594</v>
      </c>
      <c r="K163">
        <f t="shared" si="117"/>
        <v>99.535532372294611</v>
      </c>
      <c r="L163">
        <f t="shared" si="82"/>
        <v>179.94180030150335</v>
      </c>
      <c r="M163">
        <f t="shared" si="84"/>
        <v>12.758199698496639</v>
      </c>
      <c r="N163">
        <f t="shared" si="85"/>
        <v>162.77165954671975</v>
      </c>
    </row>
    <row r="164" spans="1:14" x14ac:dyDescent="0.45">
      <c r="A164" s="23">
        <v>42192</v>
      </c>
      <c r="B164">
        <v>185.29</v>
      </c>
      <c r="C164">
        <v>187.54</v>
      </c>
      <c r="G164">
        <f t="shared" ref="G164:K164" si="118">SUMPRODUCT($B164:$B168,P$2:P$6)</f>
        <v>65.170757942077131</v>
      </c>
      <c r="H164">
        <f t="shared" si="118"/>
        <v>74.220241282919474</v>
      </c>
      <c r="I164">
        <f t="shared" si="118"/>
        <v>78.025614677420648</v>
      </c>
      <c r="J164">
        <f t="shared" si="118"/>
        <v>91.63389321616711</v>
      </c>
      <c r="K164">
        <f t="shared" si="118"/>
        <v>102.67726995303966</v>
      </c>
      <c r="L164">
        <f t="shared" si="82"/>
        <v>185.47385588081315</v>
      </c>
      <c r="M164">
        <f t="shared" si="84"/>
        <v>-5.9438558808131461</v>
      </c>
      <c r="N164">
        <f t="shared" si="85"/>
        <v>35.329422731877024</v>
      </c>
    </row>
    <row r="165" spans="1:14" x14ac:dyDescent="0.45">
      <c r="A165" s="23">
        <v>42191</v>
      </c>
      <c r="B165">
        <v>193</v>
      </c>
      <c r="C165">
        <v>189.03</v>
      </c>
      <c r="G165">
        <f t="shared" ref="G165:K165" si="119">SUMPRODUCT($B165:$B169,P$2:P$6)</f>
        <v>67.821559204689521</v>
      </c>
      <c r="H165">
        <f t="shared" si="119"/>
        <v>77.246347528964264</v>
      </c>
      <c r="I165">
        <f t="shared" si="119"/>
        <v>81.204015682848421</v>
      </c>
      <c r="J165">
        <f t="shared" si="119"/>
        <v>95.38319649541306</v>
      </c>
      <c r="K165">
        <f t="shared" si="119"/>
        <v>106.8828049846707</v>
      </c>
      <c r="L165">
        <f t="shared" si="82"/>
        <v>192.879130497966</v>
      </c>
      <c r="M165">
        <f t="shared" si="84"/>
        <v>-7.5891304979660106</v>
      </c>
      <c r="N165">
        <f t="shared" si="85"/>
        <v>57.594901715157825</v>
      </c>
    </row>
    <row r="166" spans="1:14" x14ac:dyDescent="0.45">
      <c r="A166" s="23">
        <v>42187</v>
      </c>
      <c r="B166">
        <v>198.36</v>
      </c>
      <c r="C166">
        <v>197.03</v>
      </c>
      <c r="G166">
        <f t="shared" ref="G166:K166" si="120">SUMPRODUCT($B166:$B170,P$2:P$6)</f>
        <v>69.598884147488164</v>
      </c>
      <c r="H166">
        <f t="shared" si="120"/>
        <v>79.283243987428506</v>
      </c>
      <c r="I166">
        <f t="shared" si="120"/>
        <v>83.340285841188162</v>
      </c>
      <c r="J166">
        <f t="shared" si="120"/>
        <v>97.921344317319139</v>
      </c>
      <c r="K166">
        <f t="shared" si="120"/>
        <v>109.73459212977968</v>
      </c>
      <c r="L166">
        <f t="shared" si="82"/>
        <v>197.87599467256837</v>
      </c>
      <c r="M166">
        <f t="shared" si="84"/>
        <v>-4.8759946725683676</v>
      </c>
      <c r="N166">
        <f t="shared" si="85"/>
        <v>23.775324046915102</v>
      </c>
    </row>
    <row r="167" spans="1:14" x14ac:dyDescent="0.45">
      <c r="A167" s="23">
        <v>42186</v>
      </c>
      <c r="B167">
        <v>200.59</v>
      </c>
      <c r="C167">
        <v>198.71</v>
      </c>
      <c r="G167">
        <f t="shared" ref="G167:K167" si="121">SUMPRODUCT($B167:$B171,P$2:P$6)</f>
        <v>70.41351525795227</v>
      </c>
      <c r="H167">
        <f t="shared" si="121"/>
        <v>80.207407234700014</v>
      </c>
      <c r="I167">
        <f t="shared" si="121"/>
        <v>84.313252361670223</v>
      </c>
      <c r="J167">
        <f t="shared" si="121"/>
        <v>99.055779762432678</v>
      </c>
      <c r="K167">
        <f t="shared" si="121"/>
        <v>111.00357000825345</v>
      </c>
      <c r="L167">
        <f t="shared" si="82"/>
        <v>200.12852274695098</v>
      </c>
      <c r="M167">
        <f t="shared" si="84"/>
        <v>-1.7685227469509641</v>
      </c>
      <c r="N167">
        <f t="shared" si="85"/>
        <v>3.1276727064829837</v>
      </c>
    </row>
    <row r="168" spans="1:14" x14ac:dyDescent="0.45">
      <c r="A168" s="23">
        <v>42185</v>
      </c>
      <c r="B168">
        <v>203.59</v>
      </c>
      <c r="C168">
        <v>199.08</v>
      </c>
      <c r="G168">
        <f t="shared" ref="G168:K168" si="122">SUMPRODUCT($B168:$B172,P$2:P$6)</f>
        <v>71.482280066520929</v>
      </c>
      <c r="H168">
        <f t="shared" si="122"/>
        <v>81.422969008653112</v>
      </c>
      <c r="I168">
        <f t="shared" si="122"/>
        <v>85.591775437828645</v>
      </c>
      <c r="J168">
        <f t="shared" si="122"/>
        <v>100.55359702473379</v>
      </c>
      <c r="K168">
        <f t="shared" si="122"/>
        <v>112.68092201449808</v>
      </c>
      <c r="L168">
        <f t="shared" si="82"/>
        <v>203.09613651152162</v>
      </c>
      <c r="M168">
        <f t="shared" si="84"/>
        <v>-2.5061365115216176</v>
      </c>
      <c r="N168">
        <f t="shared" si="85"/>
        <v>6.2807202143817431</v>
      </c>
    </row>
    <row r="169" spans="1:14" x14ac:dyDescent="0.45">
      <c r="A169" s="23">
        <v>42184</v>
      </c>
      <c r="B169">
        <v>199.93</v>
      </c>
      <c r="C169">
        <v>200.5</v>
      </c>
      <c r="G169">
        <f t="shared" ref="G169:K169" si="123">SUMPRODUCT($B169:$B173,P$2:P$6)</f>
        <v>70.268100468183903</v>
      </c>
      <c r="H169">
        <f t="shared" si="123"/>
        <v>80.031533240047736</v>
      </c>
      <c r="I169">
        <f t="shared" si="123"/>
        <v>84.132427866148191</v>
      </c>
      <c r="J169">
        <f t="shared" si="123"/>
        <v>98.819873556705389</v>
      </c>
      <c r="K169">
        <f t="shared" si="123"/>
        <v>110.73300413074621</v>
      </c>
      <c r="L169">
        <f t="shared" si="82"/>
        <v>199.68280654009811</v>
      </c>
      <c r="M169">
        <f t="shared" si="84"/>
        <v>3.9071934599018903</v>
      </c>
      <c r="N169">
        <f t="shared" si="85"/>
        <v>15.266160733100104</v>
      </c>
    </row>
    <row r="170" spans="1:14" x14ac:dyDescent="0.45">
      <c r="A170" s="23">
        <v>42181</v>
      </c>
      <c r="B170">
        <v>205</v>
      </c>
      <c r="C170">
        <v>203.36</v>
      </c>
      <c r="G170">
        <f t="shared" ref="G170:K170" si="124">SUMPRODUCT($B170:$B174,P$2:P$6)</f>
        <v>71.97859152643521</v>
      </c>
      <c r="H170">
        <f t="shared" si="124"/>
        <v>81.988152077387994</v>
      </c>
      <c r="I170">
        <f t="shared" si="124"/>
        <v>86.185954303601008</v>
      </c>
      <c r="J170">
        <f t="shared" si="124"/>
        <v>101.25130231811725</v>
      </c>
      <c r="K170">
        <f t="shared" si="124"/>
        <v>113.4626846517376</v>
      </c>
      <c r="L170">
        <f t="shared" si="82"/>
        <v>204.47704218299313</v>
      </c>
      <c r="M170">
        <f t="shared" si="84"/>
        <v>-4.547042182993124</v>
      </c>
      <c r="N170">
        <f t="shared" si="85"/>
        <v>20.675592613918873</v>
      </c>
    </row>
    <row r="171" spans="1:14" x14ac:dyDescent="0.45">
      <c r="A171" s="23">
        <v>42180</v>
      </c>
      <c r="B171">
        <v>209.44</v>
      </c>
      <c r="C171">
        <v>207.55</v>
      </c>
      <c r="G171">
        <f t="shared" ref="G171:K171" si="125">SUMPRODUCT($B171:$B175,P$2:P$6)</f>
        <v>73.502528248866355</v>
      </c>
      <c r="H171">
        <f t="shared" si="125"/>
        <v>83.728164629782754</v>
      </c>
      <c r="I171">
        <f t="shared" si="125"/>
        <v>88.013412010621877</v>
      </c>
      <c r="J171">
        <f t="shared" si="125"/>
        <v>103.40772545059298</v>
      </c>
      <c r="K171">
        <f t="shared" si="125"/>
        <v>115.88170048004812</v>
      </c>
      <c r="L171">
        <f t="shared" si="82"/>
        <v>208.73556552756122</v>
      </c>
      <c r="M171">
        <f t="shared" si="84"/>
        <v>-3.7355655275612207</v>
      </c>
      <c r="N171">
        <f t="shared" si="85"/>
        <v>13.954449810703741</v>
      </c>
    </row>
    <row r="172" spans="1:14" x14ac:dyDescent="0.45">
      <c r="A172" s="23">
        <v>42179</v>
      </c>
      <c r="B172">
        <v>211.89</v>
      </c>
      <c r="C172">
        <v>210.32</v>
      </c>
      <c r="G172">
        <f t="shared" ref="G172:K172" si="126">SUMPRODUCT($B172:$B176,P$2:P$6)</f>
        <v>74.323279661997802</v>
      </c>
      <c r="H172">
        <f t="shared" si="126"/>
        <v>84.667734480025686</v>
      </c>
      <c r="I172">
        <f t="shared" si="126"/>
        <v>88.999234228428577</v>
      </c>
      <c r="J172">
        <f t="shared" si="126"/>
        <v>104.57660825470245</v>
      </c>
      <c r="K172">
        <f t="shared" si="126"/>
        <v>117.1943952965272</v>
      </c>
      <c r="L172">
        <f t="shared" si="82"/>
        <v>211.03887616188942</v>
      </c>
      <c r="M172">
        <f t="shared" si="84"/>
        <v>-1.5988761618894216</v>
      </c>
      <c r="N172">
        <f t="shared" si="85"/>
        <v>2.5564049810582481</v>
      </c>
    </row>
    <row r="173" spans="1:14" x14ac:dyDescent="0.45">
      <c r="A173" s="23">
        <v>42178</v>
      </c>
      <c r="B173">
        <v>211</v>
      </c>
      <c r="C173">
        <v>211.98</v>
      </c>
      <c r="G173">
        <f t="shared" ref="G173:K173" si="127">SUMPRODUCT($B173:$B177,P$2:P$6)</f>
        <v>74.002188347863225</v>
      </c>
      <c r="H173">
        <f t="shared" si="127"/>
        <v>84.303011037594985</v>
      </c>
      <c r="I173">
        <f t="shared" si="127"/>
        <v>88.615433194332965</v>
      </c>
      <c r="J173">
        <f t="shared" si="127"/>
        <v>104.12805754021458</v>
      </c>
      <c r="K173">
        <f t="shared" si="127"/>
        <v>116.6923656405035</v>
      </c>
      <c r="L173">
        <f t="shared" si="82"/>
        <v>210.14919237665413</v>
      </c>
      <c r="M173">
        <f t="shared" si="84"/>
        <v>1.7408076233458587</v>
      </c>
      <c r="N173">
        <f t="shared" si="85"/>
        <v>3.0304111814990571</v>
      </c>
    </row>
    <row r="174" spans="1:14" x14ac:dyDescent="0.45">
      <c r="A174" s="23">
        <v>42177</v>
      </c>
      <c r="B174">
        <v>212.5</v>
      </c>
      <c r="C174">
        <v>209.64</v>
      </c>
      <c r="G174">
        <f t="shared" ref="G174:K174" si="128">SUMPRODUCT($B174:$B178,P$2:P$6)</f>
        <v>74.488555997700743</v>
      </c>
      <c r="H174">
        <f t="shared" si="128"/>
        <v>84.861794487031673</v>
      </c>
      <c r="I174">
        <f t="shared" si="128"/>
        <v>89.200934208607507</v>
      </c>
      <c r="J174">
        <f t="shared" si="128"/>
        <v>104.82686788327239</v>
      </c>
      <c r="K174">
        <f t="shared" si="128"/>
        <v>117.4783542632579</v>
      </c>
      <c r="L174">
        <f t="shared" si="82"/>
        <v>211.52213156228532</v>
      </c>
      <c r="M174">
        <f t="shared" si="84"/>
        <v>-0.52213156228532398</v>
      </c>
      <c r="N174">
        <f t="shared" si="85"/>
        <v>0.27262136833451317</v>
      </c>
    </row>
    <row r="175" spans="1:14" x14ac:dyDescent="0.45">
      <c r="A175" s="23">
        <v>42174</v>
      </c>
      <c r="B175">
        <v>211.56</v>
      </c>
      <c r="C175">
        <v>210.87</v>
      </c>
      <c r="G175">
        <f t="shared" ref="G175:K175" si="129">SUMPRODUCT($B175:$B179,P$2:P$6)</f>
        <v>74.125067257974393</v>
      </c>
      <c r="H175">
        <f t="shared" si="129"/>
        <v>84.451723829508552</v>
      </c>
      <c r="I175">
        <f t="shared" si="129"/>
        <v>88.768296921347712</v>
      </c>
      <c r="J175">
        <f t="shared" si="129"/>
        <v>104.32769750866964</v>
      </c>
      <c r="K175">
        <f t="shared" si="129"/>
        <v>116.92138679460282</v>
      </c>
      <c r="L175">
        <f t="shared" si="82"/>
        <v>210.52621599160685</v>
      </c>
      <c r="M175">
        <f t="shared" si="84"/>
        <v>1.973784008393153</v>
      </c>
      <c r="N175">
        <f t="shared" si="85"/>
        <v>3.8958233117885426</v>
      </c>
    </row>
    <row r="176" spans="1:14" x14ac:dyDescent="0.45">
      <c r="A176" s="23">
        <v>42173</v>
      </c>
      <c r="B176">
        <v>209.89</v>
      </c>
      <c r="C176">
        <v>210.7</v>
      </c>
      <c r="G176">
        <f t="shared" ref="G176:K176" si="130">SUMPRODUCT($B176:$B180,P$2:P$6)</f>
        <v>73.559565352324682</v>
      </c>
      <c r="H176">
        <f t="shared" si="130"/>
        <v>83.805107549517373</v>
      </c>
      <c r="I176">
        <f t="shared" si="130"/>
        <v>88.089552850048776</v>
      </c>
      <c r="J176">
        <f t="shared" si="130"/>
        <v>103.52463316599153</v>
      </c>
      <c r="K176">
        <f t="shared" si="130"/>
        <v>116.01996909651646</v>
      </c>
      <c r="L176">
        <f t="shared" si="82"/>
        <v>208.94223020751051</v>
      </c>
      <c r="M176">
        <f t="shared" si="84"/>
        <v>2.6177697924894971</v>
      </c>
      <c r="N176">
        <f t="shared" si="85"/>
        <v>6.8527186864705047</v>
      </c>
    </row>
    <row r="177" spans="1:14" x14ac:dyDescent="0.45">
      <c r="A177" s="23">
        <v>42172</v>
      </c>
      <c r="B177">
        <v>207.9</v>
      </c>
      <c r="C177">
        <v>209.51</v>
      </c>
      <c r="G177">
        <f t="shared" ref="G177:K177" si="131">SUMPRODUCT($B177:$B181,P$2:P$6)</f>
        <v>72.915450688491362</v>
      </c>
      <c r="H177">
        <f t="shared" si="131"/>
        <v>83.064944476655469</v>
      </c>
      <c r="I177">
        <f t="shared" si="131"/>
        <v>87.314058203994861</v>
      </c>
      <c r="J177">
        <f t="shared" si="131"/>
        <v>102.59873396222227</v>
      </c>
      <c r="K177">
        <f t="shared" si="131"/>
        <v>114.97847483772676</v>
      </c>
      <c r="L177">
        <f t="shared" si="82"/>
        <v>207.12342106289236</v>
      </c>
      <c r="M177">
        <f t="shared" si="84"/>
        <v>2.7665789371076244</v>
      </c>
      <c r="N177">
        <f t="shared" si="85"/>
        <v>7.653959015247553</v>
      </c>
    </row>
    <row r="178" spans="1:14" x14ac:dyDescent="0.45">
      <c r="A178" s="23">
        <v>42171</v>
      </c>
      <c r="B178">
        <v>204</v>
      </c>
      <c r="C178">
        <v>205</v>
      </c>
      <c r="G178">
        <f t="shared" ref="G178:K178" si="132">SUMPRODUCT($B178:$B182,P$2:P$6)</f>
        <v>71.569528750798327</v>
      </c>
      <c r="H178">
        <f t="shared" si="132"/>
        <v>81.529076214592664</v>
      </c>
      <c r="I178">
        <f t="shared" si="132"/>
        <v>85.700653376974969</v>
      </c>
      <c r="J178">
        <f t="shared" si="132"/>
        <v>100.69693367281684</v>
      </c>
      <c r="K178">
        <f t="shared" si="132"/>
        <v>112.84562371273522</v>
      </c>
      <c r="L178">
        <f t="shared" si="82"/>
        <v>203.36590575461923</v>
      </c>
      <c r="M178">
        <f t="shared" si="84"/>
        <v>4.5340942453807713</v>
      </c>
      <c r="N178">
        <f t="shared" si="85"/>
        <v>20.558010625995028</v>
      </c>
    </row>
    <row r="179" spans="1:14" x14ac:dyDescent="0.45">
      <c r="A179" s="23">
        <v>42170</v>
      </c>
      <c r="B179">
        <v>204.11</v>
      </c>
      <c r="C179">
        <v>205.73</v>
      </c>
      <c r="G179">
        <f t="shared" ref="G179:K179" si="133">SUMPRODUCT($B179:$B183,P$2:P$6)</f>
        <v>71.582683353295408</v>
      </c>
      <c r="H179">
        <f t="shared" si="133"/>
        <v>81.547080557277198</v>
      </c>
      <c r="I179">
        <f t="shared" si="133"/>
        <v>85.718383425663532</v>
      </c>
      <c r="J179">
        <f t="shared" si="133"/>
        <v>100.72468870749114</v>
      </c>
      <c r="K179">
        <f t="shared" si="133"/>
        <v>112.87855779495061</v>
      </c>
      <c r="L179">
        <f t="shared" si="82"/>
        <v>203.41460429142822</v>
      </c>
      <c r="M179">
        <f t="shared" si="84"/>
        <v>0.58539570857178092</v>
      </c>
      <c r="N179">
        <f t="shared" si="85"/>
        <v>0.34268813561425743</v>
      </c>
    </row>
    <row r="180" spans="1:14" x14ac:dyDescent="0.45">
      <c r="A180" s="23">
        <v>42167</v>
      </c>
      <c r="B180">
        <v>206.85</v>
      </c>
      <c r="C180">
        <v>207.6</v>
      </c>
      <c r="G180">
        <f t="shared" ref="G180:K180" si="134">SUMPRODUCT($B180:$B184,P$2:P$6)</f>
        <v>72.503456440588067</v>
      </c>
      <c r="H180">
        <f t="shared" si="134"/>
        <v>82.600795050410071</v>
      </c>
      <c r="I180">
        <f t="shared" si="134"/>
        <v>86.824108742437588</v>
      </c>
      <c r="J180">
        <f t="shared" si="134"/>
        <v>102.03491908175606</v>
      </c>
      <c r="K180">
        <f t="shared" si="134"/>
        <v>114.34977735356877</v>
      </c>
      <c r="L180">
        <f t="shared" si="82"/>
        <v>205.99717579061414</v>
      </c>
      <c r="M180">
        <f t="shared" si="84"/>
        <v>-1.8871757906141227</v>
      </c>
      <c r="N180">
        <f t="shared" si="85"/>
        <v>3.5614324646800388</v>
      </c>
    </row>
    <row r="181" spans="1:14" x14ac:dyDescent="0.45">
      <c r="A181" s="23">
        <v>42166</v>
      </c>
      <c r="B181">
        <v>204.89</v>
      </c>
      <c r="C181">
        <v>206.77</v>
      </c>
      <c r="G181">
        <f t="shared" ref="G181:K181" si="135">SUMPRODUCT($B181:$B185,P$2:P$6)</f>
        <v>71.893355984471427</v>
      </c>
      <c r="H181">
        <f t="shared" si="135"/>
        <v>81.896591575713728</v>
      </c>
      <c r="I181">
        <f t="shared" si="135"/>
        <v>86.087517987008511</v>
      </c>
      <c r="J181">
        <f t="shared" si="135"/>
        <v>101.14834034692981</v>
      </c>
      <c r="K181">
        <f t="shared" si="135"/>
        <v>113.3506569248844</v>
      </c>
      <c r="L181">
        <f t="shared" si="82"/>
        <v>204.26190823551366</v>
      </c>
      <c r="M181">
        <f t="shared" si="84"/>
        <v>2.5880917644863359</v>
      </c>
      <c r="N181">
        <f t="shared" si="85"/>
        <v>6.6982189814019959</v>
      </c>
    </row>
    <row r="182" spans="1:14" x14ac:dyDescent="0.45">
      <c r="A182" s="23">
        <v>42165</v>
      </c>
      <c r="B182">
        <v>202.77</v>
      </c>
      <c r="C182">
        <v>204.63</v>
      </c>
      <c r="G182">
        <f t="shared" ref="G182:K182" si="136">SUMPRODUCT($B182:$B186,P$2:P$6)</f>
        <v>71.13818308760564</v>
      </c>
      <c r="H182">
        <f t="shared" si="136"/>
        <v>81.037683946146274</v>
      </c>
      <c r="I182">
        <f t="shared" si="136"/>
        <v>85.184126211162777</v>
      </c>
      <c r="J182">
        <f t="shared" si="136"/>
        <v>100.08997325026368</v>
      </c>
      <c r="K182">
        <f t="shared" si="136"/>
        <v>112.16542328641552</v>
      </c>
      <c r="L182">
        <f t="shared" si="82"/>
        <v>202.16499574283523</v>
      </c>
      <c r="M182">
        <f t="shared" si="84"/>
        <v>2.7250042571647555</v>
      </c>
      <c r="N182">
        <f t="shared" si="85"/>
        <v>7.425648201566041</v>
      </c>
    </row>
    <row r="183" spans="1:14" x14ac:dyDescent="0.45">
      <c r="A183" s="23">
        <v>42164</v>
      </c>
      <c r="B183">
        <v>201.97</v>
      </c>
      <c r="C183">
        <v>202.56</v>
      </c>
      <c r="G183">
        <f t="shared" ref="G183:K183" si="137">SUMPRODUCT($B183:$B187,P$2:P$6)</f>
        <v>70.85824310380265</v>
      </c>
      <c r="H183">
        <f t="shared" si="137"/>
        <v>80.718701743599368</v>
      </c>
      <c r="I183">
        <f t="shared" si="137"/>
        <v>84.848856642213448</v>
      </c>
      <c r="J183">
        <f t="shared" si="137"/>
        <v>99.695838842483013</v>
      </c>
      <c r="K183">
        <f t="shared" si="137"/>
        <v>111.72368599691576</v>
      </c>
      <c r="L183">
        <f t="shared" si="82"/>
        <v>201.38532475074209</v>
      </c>
      <c r="M183">
        <f t="shared" si="84"/>
        <v>1.3846752492579242</v>
      </c>
      <c r="N183">
        <f t="shared" si="85"/>
        <v>1.9173255459074945</v>
      </c>
    </row>
    <row r="184" spans="1:14" x14ac:dyDescent="0.45">
      <c r="A184" s="23">
        <v>42163</v>
      </c>
      <c r="B184">
        <v>206.8</v>
      </c>
      <c r="C184">
        <v>203.15</v>
      </c>
      <c r="G184">
        <f t="shared" ref="G184:K184" si="138">SUMPRODUCT($B184:$B188,P$2:P$6)</f>
        <v>72.49822703024347</v>
      </c>
      <c r="H184">
        <f t="shared" si="138"/>
        <v>82.593376589569161</v>
      </c>
      <c r="I184">
        <f t="shared" si="138"/>
        <v>86.816890739769605</v>
      </c>
      <c r="J184">
        <f t="shared" si="138"/>
        <v>102.02309287299396</v>
      </c>
      <c r="K184">
        <f t="shared" si="138"/>
        <v>114.33563784497527</v>
      </c>
      <c r="L184">
        <f t="shared" si="82"/>
        <v>205.97677923315479</v>
      </c>
      <c r="M184">
        <f t="shared" si="84"/>
        <v>-4.0067792331547878</v>
      </c>
      <c r="N184">
        <f t="shared" si="85"/>
        <v>16.054279823240471</v>
      </c>
    </row>
    <row r="185" spans="1:14" x14ac:dyDescent="0.45">
      <c r="A185" s="23">
        <v>42160</v>
      </c>
      <c r="B185">
        <v>203.67</v>
      </c>
      <c r="C185">
        <v>205.89</v>
      </c>
      <c r="G185">
        <f t="shared" ref="G185:K185" si="139">SUMPRODUCT($B185:$B189,P$2:P$6)</f>
        <v>71.398117099829605</v>
      </c>
      <c r="H185">
        <f t="shared" si="139"/>
        <v>81.340414831931994</v>
      </c>
      <c r="I185">
        <f t="shared" si="139"/>
        <v>85.4997241516119</v>
      </c>
      <c r="J185">
        <f t="shared" si="139"/>
        <v>100.47598752982412</v>
      </c>
      <c r="K185">
        <f t="shared" si="139"/>
        <v>112.60202503120622</v>
      </c>
      <c r="L185">
        <f t="shared" si="82"/>
        <v>202.91513033081071</v>
      </c>
      <c r="M185">
        <f t="shared" si="84"/>
        <v>3.8848696691892997</v>
      </c>
      <c r="N185">
        <f t="shared" si="85"/>
        <v>15.092212346586978</v>
      </c>
    </row>
    <row r="186" spans="1:14" x14ac:dyDescent="0.45">
      <c r="A186" s="23">
        <v>42159</v>
      </c>
      <c r="B186">
        <v>202.93</v>
      </c>
      <c r="C186">
        <v>204.32</v>
      </c>
      <c r="G186">
        <f t="shared" ref="G186:K186" si="140">SUMPRODUCT($B186:$B190,P$2:P$6)</f>
        <v>71.138541545088614</v>
      </c>
      <c r="H186">
        <f t="shared" si="140"/>
        <v>81.044712302688652</v>
      </c>
      <c r="I186">
        <f t="shared" si="140"/>
        <v>85.188892823456939</v>
      </c>
      <c r="J186">
        <f t="shared" si="140"/>
        <v>100.11075275764151</v>
      </c>
      <c r="K186">
        <f t="shared" si="140"/>
        <v>112.19272346606495</v>
      </c>
      <c r="L186">
        <f t="shared" si="82"/>
        <v>202.19247544399963</v>
      </c>
      <c r="M186">
        <f t="shared" si="84"/>
        <v>1.4775245560003611</v>
      </c>
      <c r="N186">
        <f t="shared" si="85"/>
        <v>2.1830788135840642</v>
      </c>
    </row>
    <row r="187" spans="1:14" x14ac:dyDescent="0.45">
      <c r="A187" s="23">
        <v>42158</v>
      </c>
      <c r="B187">
        <v>203</v>
      </c>
      <c r="C187">
        <v>203.88</v>
      </c>
      <c r="G187">
        <f t="shared" ref="G187:K187" si="141">SUMPRODUCT($B187:$B191,P$2:P$6)</f>
        <v>71.186128790690788</v>
      </c>
      <c r="H187">
        <f t="shared" si="141"/>
        <v>81.096188382146991</v>
      </c>
      <c r="I187">
        <f t="shared" si="141"/>
        <v>85.244085900090326</v>
      </c>
      <c r="J187">
        <f t="shared" si="141"/>
        <v>100.16933964840695</v>
      </c>
      <c r="K187">
        <f t="shared" si="141"/>
        <v>112.25672111240927</v>
      </c>
      <c r="L187">
        <f t="shared" si="82"/>
        <v>202.31402377714826</v>
      </c>
      <c r="M187">
        <f t="shared" si="84"/>
        <v>0.61597622285174225</v>
      </c>
      <c r="N187">
        <f t="shared" si="85"/>
        <v>0.37942670711869925</v>
      </c>
    </row>
    <row r="188" spans="1:14" x14ac:dyDescent="0.45">
      <c r="A188" s="23">
        <v>42157</v>
      </c>
      <c r="B188">
        <v>199.68</v>
      </c>
      <c r="C188">
        <v>203.36</v>
      </c>
      <c r="G188">
        <f t="shared" ref="G188:K188" si="142">SUMPRODUCT($B188:$B192,P$2:P$6)</f>
        <v>70.020970446182062</v>
      </c>
      <c r="H188">
        <f t="shared" si="142"/>
        <v>79.768935087758891</v>
      </c>
      <c r="I188">
        <f t="shared" si="142"/>
        <v>83.848901476950118</v>
      </c>
      <c r="J188">
        <f t="shared" si="142"/>
        <v>98.530123786014386</v>
      </c>
      <c r="K188">
        <f t="shared" si="142"/>
        <v>110.41976943064563</v>
      </c>
      <c r="L188">
        <f t="shared" si="82"/>
        <v>199.07051844746127</v>
      </c>
      <c r="M188">
        <f t="shared" si="84"/>
        <v>3.9294815525387321</v>
      </c>
      <c r="N188">
        <f t="shared" si="85"/>
        <v>15.440825271742204</v>
      </c>
    </row>
    <row r="189" spans="1:14" x14ac:dyDescent="0.45">
      <c r="A189" s="23">
        <v>42156</v>
      </c>
      <c r="B189">
        <v>198.94</v>
      </c>
      <c r="C189">
        <v>201.56</v>
      </c>
      <c r="G189">
        <f t="shared" ref="G189:K189" si="143">SUMPRODUCT($B189:$B193,P$2:P$6)</f>
        <v>69.802791995380446</v>
      </c>
      <c r="H189">
        <f t="shared" si="143"/>
        <v>79.515476917472924</v>
      </c>
      <c r="I189">
        <f t="shared" si="143"/>
        <v>83.584421679258853</v>
      </c>
      <c r="J189">
        <f t="shared" si="143"/>
        <v>98.208085402764752</v>
      </c>
      <c r="K189">
        <f t="shared" si="143"/>
        <v>110.05589665190233</v>
      </c>
      <c r="L189">
        <f t="shared" si="82"/>
        <v>198.44345389313182</v>
      </c>
      <c r="M189">
        <f t="shared" si="84"/>
        <v>1.2365461068681896</v>
      </c>
      <c r="N189">
        <f t="shared" si="85"/>
        <v>1.5290462744108761</v>
      </c>
    </row>
    <row r="190" spans="1:14" x14ac:dyDescent="0.45">
      <c r="A190" s="23">
        <v>42153</v>
      </c>
      <c r="B190">
        <v>201.03</v>
      </c>
      <c r="C190">
        <v>197.4</v>
      </c>
      <c r="G190">
        <f t="shared" ref="G190:K190" si="144">SUMPRODUCT($B190:$B194,P$2:P$6)</f>
        <v>70.551430146327789</v>
      </c>
      <c r="H190">
        <f t="shared" si="144"/>
        <v>80.366466839442367</v>
      </c>
      <c r="I190">
        <f t="shared" si="144"/>
        <v>84.4796787132194</v>
      </c>
      <c r="J190">
        <f t="shared" si="144"/>
        <v>99.255810621095108</v>
      </c>
      <c r="K190">
        <f t="shared" si="144"/>
        <v>111.22891716969264</v>
      </c>
      <c r="L190">
        <f t="shared" si="82"/>
        <v>200.52028273674085</v>
      </c>
      <c r="M190">
        <f t="shared" si="84"/>
        <v>-1.5802827367408554</v>
      </c>
      <c r="N190">
        <f t="shared" si="85"/>
        <v>2.4972935280411677</v>
      </c>
    </row>
    <row r="191" spans="1:14" x14ac:dyDescent="0.45">
      <c r="A191" s="23">
        <v>42152</v>
      </c>
      <c r="B191">
        <v>197.66</v>
      </c>
      <c r="C191">
        <v>200.27</v>
      </c>
      <c r="G191">
        <f t="shared" ref="G191:K191" si="145">SUMPRODUCT($B191:$B195,P$2:P$6)</f>
        <v>69.382979268100883</v>
      </c>
      <c r="H191">
        <f t="shared" si="145"/>
        <v>79.033771608107756</v>
      </c>
      <c r="I191">
        <f t="shared" si="145"/>
        <v>83.079445344669836</v>
      </c>
      <c r="J191">
        <f t="shared" si="145"/>
        <v>97.606791526036318</v>
      </c>
      <c r="K191">
        <f t="shared" si="145"/>
        <v>109.37995349825772</v>
      </c>
      <c r="L191">
        <f t="shared" si="82"/>
        <v>197.26085528349731</v>
      </c>
      <c r="M191">
        <f t="shared" si="84"/>
        <v>3.7691447165026943</v>
      </c>
      <c r="N191">
        <f t="shared" si="85"/>
        <v>14.206451893940176</v>
      </c>
    </row>
    <row r="192" spans="1:14" x14ac:dyDescent="0.45">
      <c r="A192" s="23">
        <v>42151</v>
      </c>
      <c r="B192">
        <v>200.55</v>
      </c>
      <c r="C192">
        <v>201.45</v>
      </c>
      <c r="G192">
        <f t="shared" ref="G192:K192" si="146">SUMPRODUCT($B192:$B196,P$2:P$6)</f>
        <v>70.293300387759217</v>
      </c>
      <c r="H192">
        <f t="shared" si="146"/>
        <v>80.083066385346214</v>
      </c>
      <c r="I192">
        <f t="shared" si="146"/>
        <v>84.177561032105814</v>
      </c>
      <c r="J192">
        <f t="shared" si="146"/>
        <v>98.925249915079263</v>
      </c>
      <c r="K192">
        <f t="shared" si="146"/>
        <v>110.86493265129239</v>
      </c>
      <c r="L192">
        <f t="shared" si="82"/>
        <v>199.84428258979051</v>
      </c>
      <c r="M192">
        <f t="shared" si="84"/>
        <v>-2.1842825897905129</v>
      </c>
      <c r="N192">
        <f t="shared" si="85"/>
        <v>4.7710904320619498</v>
      </c>
    </row>
    <row r="193" spans="1:14" x14ac:dyDescent="0.45">
      <c r="A193" s="23">
        <v>42150</v>
      </c>
      <c r="B193">
        <v>204</v>
      </c>
      <c r="C193">
        <v>200.19</v>
      </c>
      <c r="G193">
        <f t="shared" ref="G193:K193" si="147">SUMPRODUCT($B193:$B197,P$2:P$6)</f>
        <v>71.44533097246125</v>
      </c>
      <c r="H193">
        <f t="shared" si="147"/>
        <v>81.402336564080571</v>
      </c>
      <c r="I193">
        <f t="shared" si="147"/>
        <v>85.561592865026824</v>
      </c>
      <c r="J193">
        <f t="shared" si="147"/>
        <v>100.56734450976447</v>
      </c>
      <c r="K193">
        <f t="shared" si="147"/>
        <v>112.70933735354126</v>
      </c>
      <c r="L193">
        <f t="shared" si="82"/>
        <v>203.07912681037828</v>
      </c>
      <c r="M193">
        <f t="shared" si="84"/>
        <v>-2.5291268103782727</v>
      </c>
      <c r="N193">
        <f t="shared" si="85"/>
        <v>6.3964824229741755</v>
      </c>
    </row>
    <row r="194" spans="1:14" x14ac:dyDescent="0.45">
      <c r="A194" s="23">
        <v>42146</v>
      </c>
      <c r="B194">
        <v>201.83</v>
      </c>
      <c r="C194">
        <v>203.8</v>
      </c>
      <c r="G194">
        <f t="shared" ref="G194:K194" si="148">SUMPRODUCT($B194:$B198,P$2:P$6)</f>
        <v>70.681629999479284</v>
      </c>
      <c r="H194">
        <f t="shared" si="148"/>
        <v>80.532644262070676</v>
      </c>
      <c r="I194">
        <f t="shared" si="148"/>
        <v>84.647287891620735</v>
      </c>
      <c r="J194">
        <f t="shared" si="148"/>
        <v>99.493700249190965</v>
      </c>
      <c r="K194">
        <f t="shared" si="148"/>
        <v>111.5063349094939</v>
      </c>
      <c r="L194">
        <f t="shared" ref="L194:L246" si="149">(G194+$P$7)*$U$2+(H194+$Q$7)*$U$3+(I194+$R$7)*$U$4+(J194+$S$7)*$U$5+(K194+$T$7)*$U$6+$U$7</f>
        <v>200.95419156341342</v>
      </c>
      <c r="M194">
        <f t="shared" si="84"/>
        <v>3.045808436586583</v>
      </c>
      <c r="N194">
        <f t="shared" si="85"/>
        <v>9.2769490323820047</v>
      </c>
    </row>
    <row r="195" spans="1:14" x14ac:dyDescent="0.45">
      <c r="A195" s="23">
        <v>42145</v>
      </c>
      <c r="B195">
        <v>195.65</v>
      </c>
      <c r="C195">
        <v>200.13</v>
      </c>
      <c r="G195">
        <f t="shared" ref="G195:K195" si="150">SUMPRODUCT($B195:$B199,P$2:P$6)</f>
        <v>68.600019074680972</v>
      </c>
      <c r="H195">
        <f t="shared" si="150"/>
        <v>78.151088489313395</v>
      </c>
      <c r="I195">
        <f t="shared" si="150"/>
        <v>82.147941966237809</v>
      </c>
      <c r="J195">
        <f t="shared" si="150"/>
        <v>96.533459061943077</v>
      </c>
      <c r="K195">
        <f t="shared" si="150"/>
        <v>108.18272574829379</v>
      </c>
      <c r="L195">
        <f t="shared" si="149"/>
        <v>195.1181031476836</v>
      </c>
      <c r="M195">
        <f t="shared" ref="M195:M246" si="151">B194-L195</f>
        <v>6.7118968523164142</v>
      </c>
      <c r="N195">
        <f t="shared" ref="N195:N246" si="152">M195^2</f>
        <v>45.049559356134992</v>
      </c>
    </row>
    <row r="196" spans="1:14" x14ac:dyDescent="0.45">
      <c r="A196" s="23">
        <v>42144</v>
      </c>
      <c r="B196">
        <v>194</v>
      </c>
      <c r="C196">
        <v>195.51</v>
      </c>
      <c r="G196">
        <f t="shared" ref="G196:K196" si="153">SUMPRODUCT($B196:$B200,P$2:P$6)</f>
        <v>68.025678268743633</v>
      </c>
      <c r="H196">
        <f t="shared" si="153"/>
        <v>77.496285238826232</v>
      </c>
      <c r="I196">
        <f t="shared" si="153"/>
        <v>81.459847361699474</v>
      </c>
      <c r="J196">
        <f t="shared" si="153"/>
        <v>95.723725163685913</v>
      </c>
      <c r="K196">
        <f t="shared" si="153"/>
        <v>107.27497465877727</v>
      </c>
      <c r="L196">
        <f t="shared" si="149"/>
        <v>193.51704183169821</v>
      </c>
      <c r="M196">
        <f t="shared" si="151"/>
        <v>2.1329581683017977</v>
      </c>
      <c r="N196">
        <f t="shared" si="152"/>
        <v>4.5495105477253599</v>
      </c>
    </row>
    <row r="197" spans="1:14" x14ac:dyDescent="0.45">
      <c r="A197" s="23">
        <v>42143</v>
      </c>
      <c r="B197">
        <v>191.61</v>
      </c>
      <c r="C197">
        <v>193.14</v>
      </c>
      <c r="G197">
        <f t="shared" ref="G197:K197" si="154">SUMPRODUCT($B197:$B201,P$2:P$6)</f>
        <v>67.205900811279648</v>
      </c>
      <c r="H197">
        <f t="shared" si="154"/>
        <v>76.560207744915203</v>
      </c>
      <c r="I197">
        <f t="shared" si="154"/>
        <v>80.476752944162911</v>
      </c>
      <c r="J197">
        <f t="shared" si="154"/>
        <v>94.56351228749034</v>
      </c>
      <c r="K197">
        <f t="shared" si="154"/>
        <v>105.97344037743447</v>
      </c>
      <c r="L197">
        <f t="shared" si="149"/>
        <v>191.22597630373437</v>
      </c>
      <c r="M197">
        <f t="shared" si="151"/>
        <v>2.7740236962656297</v>
      </c>
      <c r="N197">
        <f t="shared" si="152"/>
        <v>7.6952074674432271</v>
      </c>
    </row>
    <row r="198" spans="1:14" x14ac:dyDescent="0.45">
      <c r="A198" s="23">
        <v>42142</v>
      </c>
      <c r="B198">
        <v>192.99</v>
      </c>
      <c r="C198">
        <v>191.32</v>
      </c>
      <c r="G198">
        <f t="shared" ref="G198:K198" si="155">SUMPRODUCT($B198:$B202,P$2:P$6)</f>
        <v>67.666485503862617</v>
      </c>
      <c r="H198">
        <f t="shared" si="155"/>
        <v>77.087683616034198</v>
      </c>
      <c r="I198">
        <f t="shared" si="155"/>
        <v>81.030110793153796</v>
      </c>
      <c r="J198">
        <f t="shared" si="155"/>
        <v>95.220112128353691</v>
      </c>
      <c r="K198">
        <f t="shared" si="155"/>
        <v>106.71095196199023</v>
      </c>
      <c r="L198">
        <f t="shared" si="149"/>
        <v>192.51938798941796</v>
      </c>
      <c r="M198">
        <f t="shared" si="151"/>
        <v>-0.90938798941795085</v>
      </c>
      <c r="N198">
        <f t="shared" si="152"/>
        <v>0.82698651529762313</v>
      </c>
    </row>
    <row r="199" spans="1:14" x14ac:dyDescent="0.45">
      <c r="A199" s="23">
        <v>42139</v>
      </c>
      <c r="B199">
        <v>191.73</v>
      </c>
      <c r="C199">
        <v>192.98</v>
      </c>
      <c r="G199">
        <f t="shared" ref="G199:K199" si="156">SUMPRODUCT($B199:$B203,P$2:P$6)</f>
        <v>67.234656035605795</v>
      </c>
      <c r="H199">
        <f t="shared" si="156"/>
        <v>76.59454839379157</v>
      </c>
      <c r="I199">
        <f t="shared" si="156"/>
        <v>80.512222632651458</v>
      </c>
      <c r="J199">
        <f t="shared" si="156"/>
        <v>94.608816743454184</v>
      </c>
      <c r="K199">
        <f t="shared" si="156"/>
        <v>106.02517126810238</v>
      </c>
      <c r="L199">
        <f t="shared" si="149"/>
        <v>191.31235932489494</v>
      </c>
      <c r="M199">
        <f t="shared" si="151"/>
        <v>1.6776406751050672</v>
      </c>
      <c r="N199">
        <f t="shared" si="152"/>
        <v>2.8144782347669857</v>
      </c>
    </row>
    <row r="200" spans="1:14" x14ac:dyDescent="0.45">
      <c r="A200" s="23">
        <v>42138</v>
      </c>
      <c r="B200">
        <v>190.97</v>
      </c>
      <c r="C200">
        <v>190.27</v>
      </c>
      <c r="G200">
        <f t="shared" ref="G200:K200" si="157">SUMPRODUCT($B200:$B204,P$2:P$6)</f>
        <v>67.031469161188809</v>
      </c>
      <c r="H200">
        <f t="shared" si="157"/>
        <v>76.355555817605264</v>
      </c>
      <c r="I200">
        <f t="shared" si="157"/>
        <v>80.263983535697037</v>
      </c>
      <c r="J200">
        <f t="shared" si="157"/>
        <v>94.299873821441295</v>
      </c>
      <c r="K200">
        <f t="shared" si="157"/>
        <v>105.67438988207159</v>
      </c>
      <c r="L200">
        <f t="shared" si="149"/>
        <v>190.71658350324523</v>
      </c>
      <c r="M200">
        <f t="shared" si="151"/>
        <v>1.0134164967547576</v>
      </c>
      <c r="N200">
        <f t="shared" si="152"/>
        <v>1.0270129958946856</v>
      </c>
    </row>
    <row r="201" spans="1:14" x14ac:dyDescent="0.45">
      <c r="A201" s="23">
        <v>42137</v>
      </c>
      <c r="B201">
        <v>190.29</v>
      </c>
      <c r="C201">
        <v>189.18</v>
      </c>
      <c r="G201">
        <f t="shared" ref="G201:K201" si="158">SUMPRODUCT($B201:$B205,P$2:P$6)</f>
        <v>66.812891811233186</v>
      </c>
      <c r="H201">
        <f t="shared" si="158"/>
        <v>76.104189069743398</v>
      </c>
      <c r="I201">
        <f t="shared" si="158"/>
        <v>80.000695267634626</v>
      </c>
      <c r="J201">
        <f t="shared" si="158"/>
        <v>93.985077383448399</v>
      </c>
      <c r="K201">
        <f t="shared" si="158"/>
        <v>105.32017586040182</v>
      </c>
      <c r="L201">
        <f t="shared" si="149"/>
        <v>190.09859868957574</v>
      </c>
      <c r="M201">
        <f t="shared" si="151"/>
        <v>0.87140131042426106</v>
      </c>
      <c r="N201">
        <f t="shared" si="152"/>
        <v>0.75934024380911935</v>
      </c>
    </row>
    <row r="202" spans="1:14" x14ac:dyDescent="0.45">
      <c r="A202" s="23">
        <v>42136</v>
      </c>
      <c r="B202">
        <v>189.92</v>
      </c>
      <c r="C202">
        <v>189.97</v>
      </c>
      <c r="G202">
        <f t="shared" ref="G202:K202" si="159">SUMPRODUCT($B202:$B206,P$2:P$6)</f>
        <v>66.645130555440389</v>
      </c>
      <c r="H202">
        <f t="shared" si="159"/>
        <v>75.917587129932329</v>
      </c>
      <c r="I202">
        <f t="shared" si="159"/>
        <v>79.802760955902428</v>
      </c>
      <c r="J202">
        <f t="shared" si="159"/>
        <v>93.76283356448225</v>
      </c>
      <c r="K202">
        <f t="shared" si="159"/>
        <v>105.07385073659003</v>
      </c>
      <c r="L202">
        <f t="shared" si="149"/>
        <v>189.64958386579215</v>
      </c>
      <c r="M202">
        <f t="shared" si="151"/>
        <v>0.6404161342078396</v>
      </c>
      <c r="N202">
        <f t="shared" si="152"/>
        <v>0.41013282495371362</v>
      </c>
    </row>
    <row r="203" spans="1:14" x14ac:dyDescent="0.45">
      <c r="A203" s="23">
        <v>42135</v>
      </c>
      <c r="B203">
        <v>194.72</v>
      </c>
      <c r="C203">
        <v>190.84</v>
      </c>
      <c r="G203">
        <f t="shared" ref="G203:K203" si="160">SUMPRODUCT($B203:$B207,P$2:P$6)</f>
        <v>68.301285770958316</v>
      </c>
      <c r="H203">
        <f t="shared" si="160"/>
        <v>77.807514967268858</v>
      </c>
      <c r="I203">
        <f t="shared" si="160"/>
        <v>81.788081419372915</v>
      </c>
      <c r="J203">
        <f t="shared" si="160"/>
        <v>96.10312638886316</v>
      </c>
      <c r="K203">
        <f t="shared" si="160"/>
        <v>107.69849395017813</v>
      </c>
      <c r="L203">
        <f t="shared" si="149"/>
        <v>194.27337266608265</v>
      </c>
      <c r="M203">
        <f t="shared" si="151"/>
        <v>-4.353372666082663</v>
      </c>
      <c r="N203">
        <f t="shared" si="152"/>
        <v>18.951853569795674</v>
      </c>
    </row>
    <row r="204" spans="1:14" x14ac:dyDescent="0.45">
      <c r="A204" s="23">
        <v>42132</v>
      </c>
      <c r="B204">
        <v>195.79</v>
      </c>
      <c r="C204">
        <v>193.54</v>
      </c>
      <c r="G204">
        <f t="shared" ref="G204:K204" si="161">SUMPRODUCT($B204:$B208,P$2:P$6)</f>
        <v>68.74823961713011</v>
      </c>
      <c r="H204">
        <f t="shared" si="161"/>
        <v>78.308172299568781</v>
      </c>
      <c r="I204">
        <f t="shared" si="161"/>
        <v>82.317719341823832</v>
      </c>
      <c r="J204">
        <f t="shared" si="161"/>
        <v>96.705967062825607</v>
      </c>
      <c r="K204">
        <f t="shared" si="161"/>
        <v>108.36891494091374</v>
      </c>
      <c r="L204">
        <f t="shared" si="149"/>
        <v>195.48367077144201</v>
      </c>
      <c r="M204">
        <f t="shared" si="151"/>
        <v>-0.76367077144200834</v>
      </c>
      <c r="N204">
        <f t="shared" si="152"/>
        <v>0.58319304715483211</v>
      </c>
    </row>
    <row r="205" spans="1:14" x14ac:dyDescent="0.45">
      <c r="A205" s="23">
        <v>42131</v>
      </c>
      <c r="B205">
        <v>192.09</v>
      </c>
      <c r="C205">
        <v>193.63</v>
      </c>
      <c r="G205">
        <f t="shared" ref="G205:K205" si="162">SUMPRODUCT($B205:$B209,P$2:P$6)</f>
        <v>67.528692772399452</v>
      </c>
      <c r="H205">
        <f t="shared" si="162"/>
        <v>76.909593808625857</v>
      </c>
      <c r="I205">
        <f t="shared" si="162"/>
        <v>80.851271509420414</v>
      </c>
      <c r="J205">
        <f t="shared" si="162"/>
        <v>94.961545043653189</v>
      </c>
      <c r="K205">
        <f t="shared" si="162"/>
        <v>106.40838390929935</v>
      </c>
      <c r="L205">
        <f t="shared" si="149"/>
        <v>192.05128772219757</v>
      </c>
      <c r="M205">
        <f t="shared" si="151"/>
        <v>3.7387122778024207</v>
      </c>
      <c r="N205">
        <f t="shared" si="152"/>
        <v>13.977969496190564</v>
      </c>
    </row>
    <row r="206" spans="1:14" x14ac:dyDescent="0.45">
      <c r="A206" s="23">
        <v>42130</v>
      </c>
      <c r="B206">
        <v>194.47</v>
      </c>
      <c r="C206">
        <v>190.05</v>
      </c>
      <c r="G206">
        <f t="shared" ref="G206:K206" si="163">SUMPRODUCT($B206:$B210,P$2:P$6)</f>
        <v>68.289775097040319</v>
      </c>
      <c r="H206">
        <f t="shared" si="163"/>
        <v>77.785358434941841</v>
      </c>
      <c r="I206">
        <f t="shared" si="163"/>
        <v>81.768371507543222</v>
      </c>
      <c r="J206">
        <f t="shared" si="163"/>
        <v>96.059227140896695</v>
      </c>
      <c r="K206">
        <f t="shared" si="163"/>
        <v>107.6438153732132</v>
      </c>
      <c r="L206">
        <f t="shared" si="149"/>
        <v>194.20514466771954</v>
      </c>
      <c r="M206">
        <f t="shared" si="151"/>
        <v>-2.1151446677195338</v>
      </c>
      <c r="N206">
        <f t="shared" si="152"/>
        <v>4.4738369653823771</v>
      </c>
    </row>
    <row r="207" spans="1:14" x14ac:dyDescent="0.45">
      <c r="A207" s="23">
        <v>42129</v>
      </c>
      <c r="B207">
        <v>201.82</v>
      </c>
      <c r="C207">
        <v>194.74</v>
      </c>
      <c r="G207">
        <f t="shared" ref="G207:K207" si="164">SUMPRODUCT($B207:$B211,P$2:P$6)</f>
        <v>70.880791832492605</v>
      </c>
      <c r="H207">
        <f t="shared" si="164"/>
        <v>80.735465764508149</v>
      </c>
      <c r="I207">
        <f t="shared" si="164"/>
        <v>84.870009075964248</v>
      </c>
      <c r="J207">
        <f t="shared" si="164"/>
        <v>99.700224652250213</v>
      </c>
      <c r="K207">
        <f t="shared" si="164"/>
        <v>111.72319210872017</v>
      </c>
      <c r="L207">
        <f t="shared" si="149"/>
        <v>201.41239263928549</v>
      </c>
      <c r="M207">
        <f t="shared" si="151"/>
        <v>-6.9423926392854867</v>
      </c>
      <c r="N207">
        <f t="shared" si="152"/>
        <v>48.196815558005305</v>
      </c>
    </row>
    <row r="208" spans="1:14" x14ac:dyDescent="0.45">
      <c r="A208" s="23">
        <v>42128</v>
      </c>
      <c r="B208">
        <v>204.99</v>
      </c>
      <c r="C208">
        <v>203.7</v>
      </c>
      <c r="G208">
        <f t="shared" ref="G208:K208" si="165">SUMPRODUCT($B208:$B212,P$2:P$6)</f>
        <v>72.06643757803684</v>
      </c>
      <c r="H208">
        <f t="shared" si="165"/>
        <v>82.077379599579984</v>
      </c>
      <c r="I208">
        <f t="shared" si="165"/>
        <v>86.284039654197031</v>
      </c>
      <c r="J208">
        <f t="shared" si="165"/>
        <v>101.34168435181682</v>
      </c>
      <c r="K208">
        <f t="shared" si="165"/>
        <v>113.55739723519409</v>
      </c>
      <c r="L208">
        <f t="shared" si="149"/>
        <v>204.67821529539415</v>
      </c>
      <c r="M208">
        <f t="shared" si="151"/>
        <v>-2.8582152953941602</v>
      </c>
      <c r="N208">
        <f t="shared" si="152"/>
        <v>8.169394674825126</v>
      </c>
    </row>
    <row r="209" spans="1:14" x14ac:dyDescent="0.45">
      <c r="A209" s="23">
        <v>42125</v>
      </c>
      <c r="B209">
        <v>200.9</v>
      </c>
      <c r="C209">
        <v>202.47</v>
      </c>
      <c r="G209">
        <f t="shared" ref="G209:K209" si="166">SUMPRODUCT($B209:$B213,P$2:P$6)</f>
        <v>70.720235822317136</v>
      </c>
      <c r="H209">
        <f t="shared" si="166"/>
        <v>80.533314012323302</v>
      </c>
      <c r="I209">
        <f t="shared" si="166"/>
        <v>84.66513856351304</v>
      </c>
      <c r="J209">
        <f t="shared" si="166"/>
        <v>99.415364592181987</v>
      </c>
      <c r="K209">
        <f t="shared" si="166"/>
        <v>111.39229140384447</v>
      </c>
      <c r="L209">
        <f t="shared" si="149"/>
        <v>200.88840876512933</v>
      </c>
      <c r="M209">
        <f t="shared" si="151"/>
        <v>4.101591234870682</v>
      </c>
      <c r="N209">
        <f t="shared" si="152"/>
        <v>16.823050657968007</v>
      </c>
    </row>
    <row r="210" spans="1:14" x14ac:dyDescent="0.45">
      <c r="A210" s="23">
        <v>42124</v>
      </c>
      <c r="B210">
        <v>209.37</v>
      </c>
      <c r="C210">
        <v>200.28</v>
      </c>
      <c r="G210">
        <f t="shared" ref="G210:K210" si="167">SUMPRODUCT($B210:$B214,P$2:P$6)</f>
        <v>73.548338162900478</v>
      </c>
      <c r="H210">
        <f t="shared" si="167"/>
        <v>83.771997237677454</v>
      </c>
      <c r="I210">
        <f t="shared" si="167"/>
        <v>88.062794508520341</v>
      </c>
      <c r="J210">
        <f t="shared" si="167"/>
        <v>103.44659818037843</v>
      </c>
      <c r="K210">
        <f t="shared" si="167"/>
        <v>115.92019918648604</v>
      </c>
      <c r="L210">
        <f t="shared" si="149"/>
        <v>208.82968435779179</v>
      </c>
      <c r="M210">
        <f t="shared" si="151"/>
        <v>-7.9296843577917855</v>
      </c>
      <c r="N210">
        <f t="shared" si="152"/>
        <v>62.879894014207721</v>
      </c>
    </row>
    <row r="211" spans="1:14" x14ac:dyDescent="0.45">
      <c r="A211" s="23">
        <v>42123</v>
      </c>
      <c r="B211">
        <v>219</v>
      </c>
      <c r="C211">
        <v>219</v>
      </c>
      <c r="G211">
        <f t="shared" ref="G211:K211" si="168">SUMPRODUCT($B211:$B215,P$2:P$6)</f>
        <v>76.773312378779053</v>
      </c>
      <c r="H211">
        <f t="shared" si="168"/>
        <v>87.463978505396383</v>
      </c>
      <c r="I211">
        <f t="shared" si="168"/>
        <v>91.936467694607643</v>
      </c>
      <c r="J211">
        <f t="shared" si="168"/>
        <v>108.03989009482058</v>
      </c>
      <c r="K211">
        <f t="shared" si="168"/>
        <v>121.07870178887099</v>
      </c>
      <c r="L211">
        <f t="shared" si="149"/>
        <v>217.88060343153154</v>
      </c>
      <c r="M211">
        <f t="shared" si="151"/>
        <v>-8.5106034315315355</v>
      </c>
      <c r="N211">
        <f t="shared" si="152"/>
        <v>72.430370768796351</v>
      </c>
    </row>
    <row r="212" spans="1:14" x14ac:dyDescent="0.45">
      <c r="A212" s="23">
        <v>42122</v>
      </c>
      <c r="B212">
        <v>222.67</v>
      </c>
      <c r="C212">
        <v>219.19</v>
      </c>
      <c r="G212">
        <f t="shared" ref="G212:K212" si="169">SUMPRODUCT($B212:$B216,P$2:P$6)</f>
        <v>78.000921387269557</v>
      </c>
      <c r="H212">
        <f t="shared" si="169"/>
        <v>88.869534947695058</v>
      </c>
      <c r="I212">
        <f t="shared" si="169"/>
        <v>93.41112474560002</v>
      </c>
      <c r="J212">
        <f t="shared" si="169"/>
        <v>109.78890202193662</v>
      </c>
      <c r="K212">
        <f t="shared" si="169"/>
        <v>123.04303866580938</v>
      </c>
      <c r="L212">
        <f t="shared" si="149"/>
        <v>221.32660910470804</v>
      </c>
      <c r="M212">
        <f t="shared" si="151"/>
        <v>-2.3266091047080408</v>
      </c>
      <c r="N212">
        <f t="shared" si="152"/>
        <v>5.4131099261103515</v>
      </c>
    </row>
    <row r="213" spans="1:14" x14ac:dyDescent="0.45">
      <c r="A213" s="23">
        <v>42121</v>
      </c>
      <c r="B213">
        <v>218.6</v>
      </c>
      <c r="C213">
        <v>220.46</v>
      </c>
      <c r="G213">
        <f t="shared" ref="G213:K213" si="170">SUMPRODUCT($B213:$B217,P$2:P$6)</f>
        <v>76.63334350184229</v>
      </c>
      <c r="H213">
        <f t="shared" si="170"/>
        <v>87.304488540207899</v>
      </c>
      <c r="I213">
        <f t="shared" si="170"/>
        <v>91.768833929443502</v>
      </c>
      <c r="J213">
        <f t="shared" si="170"/>
        <v>107.84282288074606</v>
      </c>
      <c r="K213">
        <f t="shared" si="170"/>
        <v>120.8578331441211</v>
      </c>
      <c r="L213">
        <f t="shared" si="149"/>
        <v>217.49076930185876</v>
      </c>
      <c r="M213">
        <f t="shared" si="151"/>
        <v>5.1792306981412253</v>
      </c>
      <c r="N213">
        <f t="shared" si="152"/>
        <v>26.824430624568443</v>
      </c>
    </row>
    <row r="214" spans="1:14" x14ac:dyDescent="0.45">
      <c r="A214" s="23">
        <v>42118</v>
      </c>
      <c r="B214">
        <v>214.81</v>
      </c>
      <c r="C214">
        <v>216.9</v>
      </c>
      <c r="G214">
        <f t="shared" ref="G214:K214" si="171">SUMPRODUCT($B214:$B218,P$2:P$6)</f>
        <v>75.348013821594662</v>
      </c>
      <c r="H214">
        <f t="shared" si="171"/>
        <v>85.835033176605393</v>
      </c>
      <c r="I214">
        <f t="shared" si="171"/>
        <v>90.226274913279028</v>
      </c>
      <c r="J214">
        <f t="shared" si="171"/>
        <v>106.01828091905337</v>
      </c>
      <c r="K214">
        <f t="shared" si="171"/>
        <v>118.8099777408534</v>
      </c>
      <c r="L214">
        <f t="shared" si="149"/>
        <v>213.89149508380521</v>
      </c>
      <c r="M214">
        <f t="shared" si="151"/>
        <v>4.7085049161947836</v>
      </c>
      <c r="N214">
        <f t="shared" si="152"/>
        <v>22.170018545830445</v>
      </c>
    </row>
    <row r="215" spans="1:14" x14ac:dyDescent="0.45">
      <c r="A215" s="23">
        <v>42117</v>
      </c>
      <c r="B215">
        <v>213.24</v>
      </c>
      <c r="C215">
        <v>212.28</v>
      </c>
      <c r="G215">
        <f t="shared" ref="G215:K215" si="172">SUMPRODUCT($B215:$B219,P$2:P$6)</f>
        <v>74.754291568442071</v>
      </c>
      <c r="H215">
        <f t="shared" si="172"/>
        <v>85.163783098503956</v>
      </c>
      <c r="I215">
        <f t="shared" si="172"/>
        <v>89.518662426105578</v>
      </c>
      <c r="J215">
        <f t="shared" si="172"/>
        <v>105.19852856717856</v>
      </c>
      <c r="K215">
        <f t="shared" si="172"/>
        <v>117.89441382968154</v>
      </c>
      <c r="L215">
        <f t="shared" si="149"/>
        <v>212.25900867413233</v>
      </c>
      <c r="M215">
        <f t="shared" si="151"/>
        <v>2.5509913258676704</v>
      </c>
      <c r="N215">
        <f t="shared" si="152"/>
        <v>6.5075567446520948</v>
      </c>
    </row>
    <row r="216" spans="1:14" x14ac:dyDescent="0.45">
      <c r="A216" s="23">
        <v>42116</v>
      </c>
      <c r="B216">
        <v>214.44</v>
      </c>
      <c r="C216">
        <v>213.37</v>
      </c>
      <c r="G216">
        <f t="shared" ref="G216:K216" si="173">SUMPRODUCT($B216:$B220,P$2:P$6)</f>
        <v>75.10293352653612</v>
      </c>
      <c r="H216">
        <f t="shared" si="173"/>
        <v>85.569529740360537</v>
      </c>
      <c r="I216">
        <f t="shared" si="173"/>
        <v>89.941767741260563</v>
      </c>
      <c r="J216">
        <f t="shared" si="173"/>
        <v>105.71535624166964</v>
      </c>
      <c r="K216">
        <f t="shared" si="173"/>
        <v>118.47880215649661</v>
      </c>
      <c r="L216">
        <f t="shared" si="149"/>
        <v>213.26394107894271</v>
      </c>
      <c r="M216">
        <f t="shared" si="151"/>
        <v>-2.3941078942698368E-2</v>
      </c>
      <c r="N216">
        <f t="shared" si="152"/>
        <v>5.7317526094051528E-4</v>
      </c>
    </row>
    <row r="217" spans="1:14" x14ac:dyDescent="0.45">
      <c r="A217" s="23">
        <v>42115</v>
      </c>
      <c r="B217">
        <v>214.52</v>
      </c>
      <c r="C217">
        <v>212.84</v>
      </c>
      <c r="G217">
        <f t="shared" ref="G217:K217" si="174">SUMPRODUCT($B217:$B221,P$2:P$6)</f>
        <v>75.201475235696577</v>
      </c>
      <c r="H217">
        <f t="shared" si="174"/>
        <v>85.673419534047923</v>
      </c>
      <c r="I217">
        <f t="shared" si="174"/>
        <v>90.054285273004382</v>
      </c>
      <c r="J217">
        <f t="shared" si="174"/>
        <v>105.82838203288274</v>
      </c>
      <c r="K217">
        <f t="shared" si="174"/>
        <v>118.60039254458101</v>
      </c>
      <c r="L217">
        <f t="shared" si="149"/>
        <v>213.50480867326098</v>
      </c>
      <c r="M217">
        <f t="shared" si="151"/>
        <v>0.93519132673901595</v>
      </c>
      <c r="N217">
        <f t="shared" si="152"/>
        <v>0.87458281760788092</v>
      </c>
    </row>
    <row r="218" spans="1:14" x14ac:dyDescent="0.45">
      <c r="A218" s="23">
        <v>42114</v>
      </c>
      <c r="B218">
        <v>209.18</v>
      </c>
      <c r="C218">
        <v>211.86</v>
      </c>
      <c r="G218">
        <f t="shared" ref="G218:K218" si="175">SUMPRODUCT($B218:$B222,P$2:P$6)</f>
        <v>73.435390902887875</v>
      </c>
      <c r="H218">
        <f t="shared" si="175"/>
        <v>83.648826540944214</v>
      </c>
      <c r="I218">
        <f t="shared" si="175"/>
        <v>87.931145546867612</v>
      </c>
      <c r="J218">
        <f t="shared" si="175"/>
        <v>103.30450835566413</v>
      </c>
      <c r="K218">
        <f t="shared" si="175"/>
        <v>115.76429808629544</v>
      </c>
      <c r="L218">
        <f t="shared" si="149"/>
        <v>208.53722585646494</v>
      </c>
      <c r="M218">
        <f t="shared" si="151"/>
        <v>5.9827741435350674</v>
      </c>
      <c r="N218">
        <f t="shared" si="152"/>
        <v>35.793586452551757</v>
      </c>
    </row>
    <row r="219" spans="1:14" x14ac:dyDescent="0.45">
      <c r="A219" s="23">
        <v>42111</v>
      </c>
      <c r="B219">
        <v>204.04</v>
      </c>
      <c r="C219">
        <v>207.87</v>
      </c>
      <c r="G219">
        <f t="shared" ref="G219:K219" si="176">SUMPRODUCT($B219:$B223,P$2:P$6)</f>
        <v>71.702970582223813</v>
      </c>
      <c r="H219">
        <f t="shared" si="176"/>
        <v>81.666914741098552</v>
      </c>
      <c r="I219">
        <f t="shared" si="176"/>
        <v>85.851155058749455</v>
      </c>
      <c r="J219">
        <f t="shared" si="176"/>
        <v>100.84126733080002</v>
      </c>
      <c r="K219">
        <f t="shared" si="176"/>
        <v>112.99877825763613</v>
      </c>
      <c r="L219">
        <f t="shared" si="149"/>
        <v>203.68069039424535</v>
      </c>
      <c r="M219">
        <f t="shared" si="151"/>
        <v>5.4993096057546609</v>
      </c>
      <c r="N219">
        <f t="shared" si="152"/>
        <v>30.242406139945484</v>
      </c>
    </row>
    <row r="220" spans="1:14" x14ac:dyDescent="0.45">
      <c r="A220" s="23">
        <v>42110</v>
      </c>
      <c r="B220">
        <v>210.3</v>
      </c>
      <c r="C220">
        <v>206.9</v>
      </c>
      <c r="G220">
        <f t="shared" ref="G220:K220" si="177">SUMPRODUCT($B220:$B224,P$2:P$6)</f>
        <v>73.841040643607002</v>
      </c>
      <c r="H220">
        <f t="shared" si="177"/>
        <v>84.109416453040495</v>
      </c>
      <c r="I220">
        <f t="shared" si="177"/>
        <v>88.415899729779667</v>
      </c>
      <c r="J220">
        <f t="shared" si="177"/>
        <v>103.87062394013512</v>
      </c>
      <c r="K220">
        <f t="shared" si="177"/>
        <v>116.39779813149129</v>
      </c>
      <c r="L220">
        <f t="shared" si="149"/>
        <v>209.66047457189592</v>
      </c>
      <c r="M220">
        <f t="shared" si="151"/>
        <v>-5.6204745718959259</v>
      </c>
      <c r="N220">
        <f t="shared" si="152"/>
        <v>31.589734413328692</v>
      </c>
    </row>
    <row r="221" spans="1:14" x14ac:dyDescent="0.45">
      <c r="A221" s="23">
        <v>42109</v>
      </c>
      <c r="B221">
        <v>214.35</v>
      </c>
      <c r="C221">
        <v>210.77</v>
      </c>
      <c r="G221">
        <f t="shared" ref="G221:K221" si="178">SUMPRODUCT($B221:$B225,P$2:P$6)</f>
        <v>75.244820016020611</v>
      </c>
      <c r="H221">
        <f t="shared" si="178"/>
        <v>85.710572466178846</v>
      </c>
      <c r="I221">
        <f t="shared" si="178"/>
        <v>90.098179943107681</v>
      </c>
      <c r="J221">
        <f t="shared" si="178"/>
        <v>105.85193222845756</v>
      </c>
      <c r="K221">
        <f t="shared" si="178"/>
        <v>118.61937260586458</v>
      </c>
      <c r="L221">
        <f t="shared" si="149"/>
        <v>213.57658102976293</v>
      </c>
      <c r="M221">
        <f t="shared" si="151"/>
        <v>-3.276581029762923</v>
      </c>
      <c r="N221">
        <f t="shared" si="152"/>
        <v>10.735983244602258</v>
      </c>
    </row>
    <row r="222" spans="1:14" x14ac:dyDescent="0.45">
      <c r="A222" s="23">
        <v>42108</v>
      </c>
      <c r="B222">
        <v>215.4</v>
      </c>
      <c r="C222">
        <v>213.91</v>
      </c>
      <c r="G222">
        <f t="shared" ref="G222:K222" si="179">SUMPRODUCT($B222:$B226,P$2:P$6)</f>
        <v>75.55827935482219</v>
      </c>
      <c r="H222">
        <f t="shared" si="179"/>
        <v>86.074170325895849</v>
      </c>
      <c r="I222">
        <f t="shared" si="179"/>
        <v>90.477802392180877</v>
      </c>
      <c r="J222">
        <f t="shared" si="179"/>
        <v>106.31293257019131</v>
      </c>
      <c r="K222">
        <f t="shared" si="179"/>
        <v>119.13994206950505</v>
      </c>
      <c r="L222">
        <f t="shared" si="149"/>
        <v>214.47530187608984</v>
      </c>
      <c r="M222">
        <f t="shared" si="151"/>
        <v>-0.12530187608984988</v>
      </c>
      <c r="N222">
        <f t="shared" si="152"/>
        <v>1.5700560151636095E-2</v>
      </c>
    </row>
    <row r="223" spans="1:14" x14ac:dyDescent="0.45">
      <c r="A223" s="23">
        <v>42107</v>
      </c>
      <c r="B223">
        <v>216.59</v>
      </c>
      <c r="C223">
        <v>215.4</v>
      </c>
      <c r="G223">
        <f t="shared" ref="G223:K223" si="180">SUMPRODUCT($B223:$B227,P$2:P$6)</f>
        <v>75.866343637911129</v>
      </c>
      <c r="H223">
        <f t="shared" si="180"/>
        <v>86.438092422981086</v>
      </c>
      <c r="I223">
        <f t="shared" si="180"/>
        <v>90.855202143697511</v>
      </c>
      <c r="J223">
        <f t="shared" si="180"/>
        <v>106.78615019101107</v>
      </c>
      <c r="K223">
        <f t="shared" si="180"/>
        <v>119.67812613822252</v>
      </c>
      <c r="L223">
        <f t="shared" si="149"/>
        <v>215.38487720991517</v>
      </c>
      <c r="M223">
        <f t="shared" si="151"/>
        <v>1.5122790084831195E-2</v>
      </c>
      <c r="N223">
        <f t="shared" si="152"/>
        <v>2.2869877994986869E-4</v>
      </c>
    </row>
    <row r="224" spans="1:14" x14ac:dyDescent="0.45">
      <c r="A224" s="23">
        <v>42104</v>
      </c>
      <c r="B224">
        <v>219.16</v>
      </c>
      <c r="C224">
        <v>214.79</v>
      </c>
      <c r="G224">
        <f t="shared" ref="G224:K224" si="181">SUMPRODUCT($B224:$B228,P$2:P$6)</f>
        <v>76.71675959722927</v>
      </c>
      <c r="H224">
        <f t="shared" si="181"/>
        <v>87.41293086710013</v>
      </c>
      <c r="I224">
        <f t="shared" si="181"/>
        <v>91.877512814114226</v>
      </c>
      <c r="J224">
        <f t="shared" si="181"/>
        <v>108.00128943673074</v>
      </c>
      <c r="K224">
        <f t="shared" si="181"/>
        <v>121.04355303074468</v>
      </c>
      <c r="L224">
        <f t="shared" si="149"/>
        <v>217.77667383807281</v>
      </c>
      <c r="M224">
        <f t="shared" si="151"/>
        <v>-1.1866738380728066</v>
      </c>
      <c r="N224">
        <f t="shared" si="152"/>
        <v>1.4081947979664455</v>
      </c>
    </row>
    <row r="225" spans="1:14" x14ac:dyDescent="0.45">
      <c r="A225" s="23">
        <v>42103</v>
      </c>
      <c r="B225">
        <v>215.4</v>
      </c>
      <c r="C225">
        <v>218.48</v>
      </c>
      <c r="G225">
        <f t="shared" ref="G225:K225" si="182">SUMPRODUCT($B225:$B229,P$2:P$6)</f>
        <v>75.43500755626421</v>
      </c>
      <c r="H225">
        <f t="shared" si="182"/>
        <v>85.94837555334594</v>
      </c>
      <c r="I225">
        <f t="shared" si="182"/>
        <v>90.339775896378328</v>
      </c>
      <c r="J225">
        <f t="shared" si="182"/>
        <v>106.18429538638236</v>
      </c>
      <c r="K225">
        <f t="shared" si="182"/>
        <v>119.00465689568625</v>
      </c>
      <c r="L225">
        <f t="shared" si="149"/>
        <v>214.19064637697008</v>
      </c>
      <c r="M225">
        <f t="shared" si="151"/>
        <v>4.9693536230299173</v>
      </c>
      <c r="N225">
        <f t="shared" si="152"/>
        <v>24.694475430720566</v>
      </c>
    </row>
    <row r="226" spans="1:14" x14ac:dyDescent="0.45">
      <c r="A226" s="23">
        <v>42102</v>
      </c>
      <c r="B226">
        <v>207</v>
      </c>
      <c r="C226">
        <v>212.84</v>
      </c>
      <c r="G226">
        <f t="shared" ref="G226:K226" si="183">SUMPRODUCT($B226:$B230,P$2:P$6)</f>
        <v>72.655175718857791</v>
      </c>
      <c r="H226">
        <f t="shared" si="183"/>
        <v>82.761865649934251</v>
      </c>
      <c r="I226">
        <f t="shared" si="183"/>
        <v>86.998078262332456</v>
      </c>
      <c r="J226">
        <f t="shared" si="183"/>
        <v>102.21236268976038</v>
      </c>
      <c r="K226">
        <f t="shared" si="183"/>
        <v>114.54149764842036</v>
      </c>
      <c r="L226">
        <f t="shared" si="149"/>
        <v>206.37249790791532</v>
      </c>
      <c r="M226">
        <f t="shared" si="151"/>
        <v>9.0275020920846885</v>
      </c>
      <c r="N226">
        <f t="shared" si="152"/>
        <v>81.495794022593429</v>
      </c>
    </row>
    <row r="227" spans="1:14" x14ac:dyDescent="0.45">
      <c r="A227" s="23">
        <v>42101</v>
      </c>
      <c r="B227">
        <v>205.09</v>
      </c>
      <c r="C227">
        <v>203.86</v>
      </c>
      <c r="G227">
        <f t="shared" ref="G227:K227" si="184">SUMPRODUCT($B227:$B231,P$2:P$6)</f>
        <v>71.99932583511584</v>
      </c>
      <c r="H227">
        <f t="shared" si="184"/>
        <v>82.013058446555178</v>
      </c>
      <c r="I227">
        <f t="shared" si="184"/>
        <v>86.211625955489666</v>
      </c>
      <c r="J227">
        <f t="shared" si="184"/>
        <v>101.28441791902912</v>
      </c>
      <c r="K227">
        <f t="shared" si="184"/>
        <v>113.50057549549231</v>
      </c>
      <c r="L227">
        <f t="shared" si="149"/>
        <v>204.539913750061</v>
      </c>
      <c r="M227">
        <f t="shared" si="151"/>
        <v>2.4600862499389962</v>
      </c>
      <c r="N227">
        <f t="shared" si="152"/>
        <v>6.0520243571389134</v>
      </c>
    </row>
    <row r="228" spans="1:14" x14ac:dyDescent="0.45">
      <c r="A228" s="23">
        <v>42100</v>
      </c>
      <c r="B228">
        <v>204.59</v>
      </c>
      <c r="C228">
        <v>203.6</v>
      </c>
      <c r="G228">
        <f t="shared" ref="G228:K228" si="185">SUMPRODUCT($B228:$B232,P$2:P$6)</f>
        <v>71.828040494817415</v>
      </c>
      <c r="H228">
        <f t="shared" si="185"/>
        <v>81.817446980009279</v>
      </c>
      <c r="I228">
        <f t="shared" si="185"/>
        <v>86.006199849330969</v>
      </c>
      <c r="J228">
        <f t="shared" si="185"/>
        <v>101.04192161287227</v>
      </c>
      <c r="K228">
        <f t="shared" si="185"/>
        <v>113.2285257180986</v>
      </c>
      <c r="L228">
        <f t="shared" si="149"/>
        <v>204.06111105980307</v>
      </c>
      <c r="M228">
        <f t="shared" si="151"/>
        <v>1.0288889401969357</v>
      </c>
      <c r="N228">
        <f t="shared" si="152"/>
        <v>1.0586124512595734</v>
      </c>
    </row>
    <row r="229" spans="1:14" x14ac:dyDescent="0.45">
      <c r="A229" s="23">
        <v>42096</v>
      </c>
      <c r="B229">
        <v>210.81</v>
      </c>
      <c r="C229">
        <v>208.51</v>
      </c>
      <c r="G229">
        <f t="shared" ref="G229:K229" si="186">SUMPRODUCT($B229:$B233,P$2:P$6)</f>
        <v>73.932116258373071</v>
      </c>
      <c r="H229">
        <f t="shared" si="186"/>
        <v>84.223593032575408</v>
      </c>
      <c r="I229">
        <f t="shared" si="186"/>
        <v>88.531791639988796</v>
      </c>
      <c r="J229">
        <f t="shared" si="186"/>
        <v>104.0307110929641</v>
      </c>
      <c r="K229">
        <f t="shared" si="186"/>
        <v>116.58352025294549</v>
      </c>
      <c r="L229">
        <f t="shared" si="149"/>
        <v>209.95574205761741</v>
      </c>
      <c r="M229">
        <f t="shared" si="151"/>
        <v>-5.3657420576174104</v>
      </c>
      <c r="N229">
        <f t="shared" si="152"/>
        <v>28.791187828884322</v>
      </c>
    </row>
    <row r="230" spans="1:14" x14ac:dyDescent="0.45">
      <c r="A230" s="23">
        <v>42095</v>
      </c>
      <c r="B230">
        <v>210.14</v>
      </c>
      <c r="C230">
        <v>211.07</v>
      </c>
      <c r="G230">
        <f t="shared" ref="G230:K230" si="187">SUMPRODUCT($B230:$B234,P$2:P$6)</f>
        <v>73.654329121679382</v>
      </c>
      <c r="H230">
        <f t="shared" si="187"/>
        <v>83.912221066978901</v>
      </c>
      <c r="I230">
        <f t="shared" si="187"/>
        <v>88.202479075746737</v>
      </c>
      <c r="J230">
        <f t="shared" si="187"/>
        <v>103.65540118912226</v>
      </c>
      <c r="K230">
        <f t="shared" si="187"/>
        <v>116.16600583896495</v>
      </c>
      <c r="L230">
        <f t="shared" si="149"/>
        <v>209.20269555410792</v>
      </c>
      <c r="M230">
        <f t="shared" si="151"/>
        <v>1.6073044458920833</v>
      </c>
      <c r="N230">
        <f t="shared" si="152"/>
        <v>2.583427581784457</v>
      </c>
    </row>
    <row r="231" spans="1:14" x14ac:dyDescent="0.45">
      <c r="A231" s="23">
        <v>42094</v>
      </c>
      <c r="B231">
        <v>210</v>
      </c>
      <c r="C231">
        <v>208.4</v>
      </c>
      <c r="G231">
        <f t="shared" ref="G231:K231" si="188">SUMPRODUCT($B231:$B235,P$2:P$6)</f>
        <v>73.607047425560012</v>
      </c>
      <c r="H231">
        <f t="shared" si="188"/>
        <v>83.858141924064938</v>
      </c>
      <c r="I231">
        <f t="shared" si="188"/>
        <v>88.145718505121152</v>
      </c>
      <c r="J231">
        <f t="shared" si="188"/>
        <v>103.58820669107919</v>
      </c>
      <c r="K231">
        <f t="shared" si="188"/>
        <v>116.09057277847232</v>
      </c>
      <c r="L231">
        <f t="shared" si="149"/>
        <v>209.0701935156192</v>
      </c>
      <c r="M231">
        <f t="shared" si="151"/>
        <v>1.0698064843807913</v>
      </c>
      <c r="N231">
        <f t="shared" si="152"/>
        <v>1.1444859140231882</v>
      </c>
    </row>
    <row r="232" spans="1:14" x14ac:dyDescent="0.45">
      <c r="A232" s="23">
        <v>42093</v>
      </c>
      <c r="B232">
        <v>209.4</v>
      </c>
      <c r="C232">
        <v>210.54</v>
      </c>
      <c r="G232">
        <f t="shared" ref="G232:K232" si="189">SUMPRODUCT($B232:$B236,P$2:P$6)</f>
        <v>73.440148895497728</v>
      </c>
      <c r="H232">
        <f t="shared" si="189"/>
        <v>83.662842925610661</v>
      </c>
      <c r="I232">
        <f t="shared" si="189"/>
        <v>87.9424746302317</v>
      </c>
      <c r="J232">
        <f t="shared" si="189"/>
        <v>103.33752773971412</v>
      </c>
      <c r="K232">
        <f t="shared" si="189"/>
        <v>115.80651324623798</v>
      </c>
      <c r="L232">
        <f t="shared" si="149"/>
        <v>208.58485601485307</v>
      </c>
      <c r="M232">
        <f t="shared" si="151"/>
        <v>1.4151439851469263</v>
      </c>
      <c r="N232">
        <f t="shared" si="152"/>
        <v>2.0026324986975239</v>
      </c>
    </row>
    <row r="233" spans="1:14" x14ac:dyDescent="0.45">
      <c r="A233" s="23">
        <v>42090</v>
      </c>
      <c r="B233">
        <v>204.98</v>
      </c>
      <c r="C233">
        <v>207.33</v>
      </c>
      <c r="G233">
        <f t="shared" ref="G233:K233" si="190">SUMPRODUCT($B233:$B237,P$2:P$6)</f>
        <v>72.028823499836108</v>
      </c>
      <c r="H233">
        <f t="shared" si="190"/>
        <v>82.038579311780865</v>
      </c>
      <c r="I233">
        <f t="shared" si="190"/>
        <v>86.24165267534201</v>
      </c>
      <c r="J233">
        <f t="shared" si="190"/>
        <v>101.30116825582998</v>
      </c>
      <c r="K233">
        <f t="shared" si="190"/>
        <v>113.51444682956576</v>
      </c>
      <c r="L233">
        <f t="shared" si="149"/>
        <v>204.58970309016451</v>
      </c>
      <c r="M233">
        <f t="shared" si="151"/>
        <v>4.8102969098355004</v>
      </c>
      <c r="N233">
        <f t="shared" si="152"/>
        <v>23.138956360772966</v>
      </c>
    </row>
    <row r="234" spans="1:14" x14ac:dyDescent="0.45">
      <c r="A234" s="23">
        <v>42089</v>
      </c>
      <c r="B234">
        <v>205</v>
      </c>
      <c r="C234">
        <v>205.44</v>
      </c>
      <c r="G234">
        <f t="shared" ref="G234:K234" si="191">SUMPRODUCT($B234:$B238,P$2:P$6)</f>
        <v>72.001061186024614</v>
      </c>
      <c r="H234">
        <f t="shared" si="191"/>
        <v>82.011081599483774</v>
      </c>
      <c r="I234">
        <f t="shared" si="191"/>
        <v>86.211112436703033</v>
      </c>
      <c r="J234">
        <f t="shared" si="191"/>
        <v>101.27474498419558</v>
      </c>
      <c r="K234">
        <f t="shared" si="191"/>
        <v>113.48733884160097</v>
      </c>
      <c r="L234">
        <f t="shared" si="149"/>
        <v>204.52892328532462</v>
      </c>
      <c r="M234">
        <f t="shared" si="151"/>
        <v>0.45107671467536647</v>
      </c>
      <c r="N234">
        <f t="shared" si="152"/>
        <v>0.20347020252232198</v>
      </c>
    </row>
    <row r="235" spans="1:14" x14ac:dyDescent="0.45">
      <c r="A235" s="23">
        <v>42088</v>
      </c>
      <c r="B235">
        <v>208.22</v>
      </c>
      <c r="C235">
        <v>207.74</v>
      </c>
      <c r="G235">
        <f t="shared" ref="G235:K235" si="192">SUMPRODUCT($B235:$B239,P$2:P$6)</f>
        <v>73.140147444002864</v>
      </c>
      <c r="H235">
        <f t="shared" si="192"/>
        <v>83.307565111788222</v>
      </c>
      <c r="I235">
        <f t="shared" si="192"/>
        <v>87.574376857832192</v>
      </c>
      <c r="J235">
        <f t="shared" si="192"/>
        <v>102.87400566983884</v>
      </c>
      <c r="K235">
        <f t="shared" si="192"/>
        <v>115.27886620662795</v>
      </c>
      <c r="L235">
        <f t="shared" si="149"/>
        <v>207.69557153759209</v>
      </c>
      <c r="M235">
        <f t="shared" si="151"/>
        <v>-2.6955715375920875</v>
      </c>
      <c r="N235">
        <f t="shared" si="152"/>
        <v>7.2661059142765705</v>
      </c>
    </row>
    <row r="236" spans="1:14" x14ac:dyDescent="0.45">
      <c r="A236" s="23">
        <v>42087</v>
      </c>
      <c r="B236">
        <v>216</v>
      </c>
      <c r="C236">
        <v>213.6</v>
      </c>
      <c r="G236">
        <f t="shared" ref="G236:K236" si="193">SUMPRODUCT($B236:$B240,P$2:P$6)</f>
        <v>75.709101520887643</v>
      </c>
      <c r="H236">
        <f t="shared" si="193"/>
        <v>86.253063920756929</v>
      </c>
      <c r="I236">
        <f t="shared" si="193"/>
        <v>90.663045159845225</v>
      </c>
      <c r="J236">
        <f t="shared" si="193"/>
        <v>106.54683275172172</v>
      </c>
      <c r="K236">
        <f t="shared" si="193"/>
        <v>119.40635570950217</v>
      </c>
      <c r="L236">
        <f t="shared" si="149"/>
        <v>214.92351355030985</v>
      </c>
      <c r="M236">
        <f t="shared" si="151"/>
        <v>-6.7035135503098502</v>
      </c>
      <c r="N236">
        <f t="shared" si="152"/>
        <v>44.937093919187774</v>
      </c>
    </row>
    <row r="237" spans="1:14" x14ac:dyDescent="0.45">
      <c r="A237" s="23">
        <v>42086</v>
      </c>
      <c r="B237">
        <v>212.97</v>
      </c>
      <c r="C237">
        <v>216.78</v>
      </c>
      <c r="G237">
        <f t="shared" ref="G237:K237" si="194">SUMPRODUCT($B237:$B241,P$2:P$6)</f>
        <v>74.586939038966278</v>
      </c>
      <c r="H237">
        <f t="shared" si="194"/>
        <v>84.981762355229449</v>
      </c>
      <c r="I237">
        <f t="shared" si="194"/>
        <v>89.323914168800187</v>
      </c>
      <c r="J237">
        <f t="shared" si="194"/>
        <v>104.98946530975057</v>
      </c>
      <c r="K237">
        <f t="shared" si="194"/>
        <v>117.66535468392999</v>
      </c>
      <c r="L237">
        <f t="shared" si="149"/>
        <v>211.82759580964466</v>
      </c>
      <c r="M237">
        <f t="shared" si="151"/>
        <v>4.1724041903553371</v>
      </c>
      <c r="N237">
        <f t="shared" si="152"/>
        <v>17.408956727694775</v>
      </c>
    </row>
    <row r="238" spans="1:14" x14ac:dyDescent="0.45">
      <c r="A238" s="23">
        <v>42083</v>
      </c>
      <c r="B238">
        <v>217.03</v>
      </c>
      <c r="C238">
        <v>212.69</v>
      </c>
      <c r="G238">
        <f t="shared" ref="G238:K238" si="195">SUMPRODUCT($B238:$B242,P$2:P$6)</f>
        <v>75.987844011636412</v>
      </c>
      <c r="H238">
        <f t="shared" si="195"/>
        <v>86.58040153502219</v>
      </c>
      <c r="I238">
        <f t="shared" si="195"/>
        <v>91.003247957408945</v>
      </c>
      <c r="J238">
        <f t="shared" si="195"/>
        <v>106.96904529043623</v>
      </c>
      <c r="K238">
        <f t="shared" si="195"/>
        <v>119.8854519629088</v>
      </c>
      <c r="L238">
        <f t="shared" si="149"/>
        <v>215.73872625747325</v>
      </c>
      <c r="M238">
        <f t="shared" si="151"/>
        <v>-2.7687262574732472</v>
      </c>
      <c r="N238">
        <f t="shared" si="152"/>
        <v>7.6658450888218139</v>
      </c>
    </row>
    <row r="239" spans="1:14" x14ac:dyDescent="0.45">
      <c r="A239" s="23">
        <v>42082</v>
      </c>
      <c r="B239">
        <v>210.77</v>
      </c>
      <c r="C239">
        <v>214.57</v>
      </c>
      <c r="G239">
        <f t="shared" ref="G239:K239" si="196">SUMPRODUCT($B239:$B243,P$2:P$6)</f>
        <v>73.86973139763596</v>
      </c>
      <c r="H239">
        <f t="shared" si="196"/>
        <v>84.158265730879279</v>
      </c>
      <c r="I239">
        <f t="shared" si="196"/>
        <v>88.460849216594852</v>
      </c>
      <c r="J239">
        <f t="shared" si="196"/>
        <v>103.96051338140136</v>
      </c>
      <c r="K239">
        <f t="shared" si="196"/>
        <v>116.50833301913534</v>
      </c>
      <c r="L239">
        <f t="shared" si="149"/>
        <v>209.805025775274</v>
      </c>
      <c r="M239">
        <f t="shared" si="151"/>
        <v>7.2249742247259974</v>
      </c>
      <c r="N239">
        <f t="shared" si="152"/>
        <v>52.200252547955024</v>
      </c>
    </row>
    <row r="240" spans="1:14" x14ac:dyDescent="0.45">
      <c r="A240" s="23">
        <v>42081</v>
      </c>
      <c r="B240">
        <v>202.54</v>
      </c>
      <c r="C240">
        <v>210.95</v>
      </c>
      <c r="G240">
        <f t="shared" ref="G240:K240" si="197">SUMPRODUCT($B240:$B244,P$2:P$6)</f>
        <v>71.057049991496271</v>
      </c>
      <c r="H240">
        <f t="shared" si="197"/>
        <v>80.945312891078558</v>
      </c>
      <c r="I240">
        <f t="shared" si="197"/>
        <v>85.087007507524646</v>
      </c>
      <c r="J240">
        <f t="shared" si="197"/>
        <v>99.975978343886425</v>
      </c>
      <c r="K240">
        <f t="shared" si="197"/>
        <v>112.03770734240022</v>
      </c>
      <c r="L240">
        <f t="shared" si="149"/>
        <v>201.93933586341038</v>
      </c>
      <c r="M240">
        <f t="shared" si="151"/>
        <v>8.8306641365896326</v>
      </c>
      <c r="N240">
        <f t="shared" si="152"/>
        <v>77.980629093250315</v>
      </c>
    </row>
    <row r="241" spans="1:14" x14ac:dyDescent="0.45">
      <c r="A241" s="23">
        <v>42080</v>
      </c>
      <c r="B241">
        <v>204.56</v>
      </c>
      <c r="C241">
        <v>203.26</v>
      </c>
      <c r="G241">
        <f t="shared" ref="G241:K241" si="198">SUMPRODUCT($B241:$B245,P$2:P$6)</f>
        <v>71.768823476840907</v>
      </c>
      <c r="H241">
        <f t="shared" si="198"/>
        <v>81.75576875671635</v>
      </c>
      <c r="I241">
        <f t="shared" si="198"/>
        <v>85.939076784232498</v>
      </c>
      <c r="J241">
        <f t="shared" si="198"/>
        <v>100.97630251329974</v>
      </c>
      <c r="K241">
        <f t="shared" si="198"/>
        <v>113.1584941420044</v>
      </c>
      <c r="L241">
        <f t="shared" si="149"/>
        <v>203.91937307366473</v>
      </c>
      <c r="M241">
        <f t="shared" si="151"/>
        <v>-1.3793730736647376</v>
      </c>
      <c r="N241">
        <f t="shared" si="152"/>
        <v>1.9026700763513056</v>
      </c>
    </row>
    <row r="242" spans="1:14" x14ac:dyDescent="0.45">
      <c r="A242" s="23">
        <v>42079</v>
      </c>
      <c r="B242">
        <v>205.12</v>
      </c>
      <c r="C242">
        <v>205.3</v>
      </c>
      <c r="G242">
        <f t="shared" ref="G242:K242" si="199">SUMPRODUCT($B242:$B246,P$2:P$6)</f>
        <v>72.009849133421667</v>
      </c>
      <c r="H242">
        <f t="shared" si="199"/>
        <v>82.025046351688289</v>
      </c>
      <c r="I242">
        <f t="shared" si="199"/>
        <v>86.224227193319479</v>
      </c>
      <c r="J242">
        <f t="shared" si="199"/>
        <v>101.29922473294094</v>
      </c>
      <c r="K242">
        <f t="shared" si="199"/>
        <v>113.51716880218723</v>
      </c>
      <c r="L242">
        <f t="shared" si="149"/>
        <v>204.56921052631174</v>
      </c>
      <c r="M242">
        <f t="shared" si="151"/>
        <v>-9.210526311733247E-3</v>
      </c>
      <c r="N242">
        <f t="shared" si="152"/>
        <v>8.4833794939130451E-5</v>
      </c>
    </row>
    <row r="243" spans="1:14" x14ac:dyDescent="0.45">
      <c r="A243" s="23">
        <v>42076</v>
      </c>
      <c r="B243">
        <v>203.4</v>
      </c>
      <c r="C243">
        <v>204.44</v>
      </c>
      <c r="G243">
        <f t="shared" ref="G243:K243" si="200">SUMPRODUCT($B243:$B247,P$2:P$6)</f>
        <v>71.422816316698615</v>
      </c>
      <c r="H243">
        <f t="shared" si="200"/>
        <v>81.354376447060176</v>
      </c>
      <c r="I243">
        <f t="shared" si="200"/>
        <v>85.52001133192303</v>
      </c>
      <c r="J243">
        <f t="shared" si="200"/>
        <v>100.46731742847413</v>
      </c>
      <c r="K243">
        <f t="shared" si="200"/>
        <v>112.58371540692634</v>
      </c>
      <c r="L243">
        <f t="shared" si="149"/>
        <v>202.9271793167589</v>
      </c>
      <c r="M243">
        <f t="shared" si="151"/>
        <v>2.1928206832411092</v>
      </c>
      <c r="N243">
        <f t="shared" si="152"/>
        <v>4.808462548850005</v>
      </c>
    </row>
    <row r="244" spans="1:14" x14ac:dyDescent="0.45">
      <c r="A244" s="23">
        <v>42075</v>
      </c>
      <c r="B244">
        <v>205.7</v>
      </c>
      <c r="C244">
        <v>203.39</v>
      </c>
      <c r="G244">
        <f t="shared" ref="G244:K244" si="201">SUMPRODUCT($B244:$B248,P$2:P$6)</f>
        <v>72.227561303085466</v>
      </c>
      <c r="H244">
        <f t="shared" si="201"/>
        <v>82.271366107018309</v>
      </c>
      <c r="I244">
        <f t="shared" si="201"/>
        <v>86.483818383663632</v>
      </c>
      <c r="J244">
        <f t="shared" si="201"/>
        <v>101.60036462030421</v>
      </c>
      <c r="K244">
        <f t="shared" si="201"/>
        <v>113.85361625310919</v>
      </c>
      <c r="L244">
        <f t="shared" si="149"/>
        <v>205.16853969193224</v>
      </c>
      <c r="M244">
        <f t="shared" si="151"/>
        <v>-1.7685396919322329</v>
      </c>
      <c r="N244">
        <f t="shared" si="152"/>
        <v>3.1277326419397573</v>
      </c>
    </row>
    <row r="245" spans="1:14" x14ac:dyDescent="0.45">
      <c r="A245" s="23">
        <v>42074</v>
      </c>
      <c r="B245">
        <v>210.17</v>
      </c>
      <c r="C245">
        <v>204.38</v>
      </c>
      <c r="G245">
        <f t="shared" ref="G245:K245" si="202">SUMPRODUCT($B245:$B249,P$2:P$6)</f>
        <v>73.779919560112916</v>
      </c>
      <c r="H245">
        <f t="shared" si="202"/>
        <v>84.041631141847475</v>
      </c>
      <c r="I245">
        <f t="shared" si="202"/>
        <v>88.34391891902213</v>
      </c>
      <c r="J245">
        <f t="shared" si="202"/>
        <v>103.79027729999881</v>
      </c>
      <c r="K245">
        <f t="shared" si="202"/>
        <v>116.3088736511022</v>
      </c>
      <c r="L245">
        <f t="shared" si="149"/>
        <v>209.49769554988904</v>
      </c>
      <c r="M245">
        <f t="shared" si="151"/>
        <v>-3.7976955498890561</v>
      </c>
      <c r="N245">
        <f t="shared" si="152"/>
        <v>14.42249148964714</v>
      </c>
    </row>
    <row r="246" spans="1:14" x14ac:dyDescent="0.45">
      <c r="A246" s="23">
        <v>42073</v>
      </c>
      <c r="B246">
        <v>209.88</v>
      </c>
      <c r="C246">
        <v>210.39</v>
      </c>
      <c r="G246">
        <f t="shared" ref="G246:K246" si="203">SUMPRODUCT($B246:$B250,P$2:P$6)</f>
        <v>73.597679980909504</v>
      </c>
      <c r="H246">
        <f t="shared" si="203"/>
        <v>83.843585852646541</v>
      </c>
      <c r="I246">
        <f t="shared" si="203"/>
        <v>88.13195679153749</v>
      </c>
      <c r="J246">
        <f t="shared" si="203"/>
        <v>103.56313194857793</v>
      </c>
      <c r="K246">
        <f t="shared" si="203"/>
        <v>116.0601170770266</v>
      </c>
      <c r="L246">
        <f t="shared" si="149"/>
        <v>209.02857818471728</v>
      </c>
      <c r="M246">
        <f t="shared" si="151"/>
        <v>1.1414218152827118</v>
      </c>
      <c r="N246">
        <f t="shared" si="152"/>
        <v>1.302843760403281</v>
      </c>
    </row>
    <row r="247" spans="1:14" x14ac:dyDescent="0.45">
      <c r="A247" s="23">
        <v>42072</v>
      </c>
      <c r="B247">
        <v>212</v>
      </c>
      <c r="C247">
        <v>211.62</v>
      </c>
      <c r="G247">
        <f>SUMPRODUCT($B247:$B251,P$2:P$6)</f>
        <v>74.288077885924622</v>
      </c>
      <c r="H247">
        <f>SUMPRODUCT($B247:$B251,Q$2:Q$6)</f>
        <v>84.636392767019061</v>
      </c>
      <c r="I247">
        <f>SUMPRODUCT($B247:$B251,R$2:R$6)</f>
        <v>88.962821141364429</v>
      </c>
      <c r="J247">
        <f>SUMPRODUCT($B247:$B251,S$2:S$6)</f>
        <v>104.55390800681653</v>
      </c>
      <c r="K247">
        <f>SUMPRODUCT($B247:$B251,T$2:T$6)</f>
        <v>117.17426655385898</v>
      </c>
      <c r="L247">
        <f>(G247+$P$7)*$U$2+(H247+$Q$7)*$U$3+(I247+$R$7)*$U$4+(J247+$S$7)*$U$5+(K247+$T$7)*$U$6+$U$7</f>
        <v>210.97591761492635</v>
      </c>
      <c r="M247">
        <f>B246-L247</f>
        <v>-1.0959176149263499</v>
      </c>
      <c r="N247">
        <f>M247^2</f>
        <v>1.2010354187058592</v>
      </c>
    </row>
    <row r="248" spans="1:14" x14ac:dyDescent="0.45">
      <c r="A248" s="23">
        <v>42069</v>
      </c>
      <c r="B248">
        <v>215.1</v>
      </c>
      <c r="C248">
        <v>213.31</v>
      </c>
    </row>
    <row r="249" spans="1:14" x14ac:dyDescent="0.45">
      <c r="A249" s="23">
        <v>42068</v>
      </c>
      <c r="B249">
        <v>207.75</v>
      </c>
      <c r="C249">
        <v>214.23</v>
      </c>
    </row>
    <row r="250" spans="1:14" x14ac:dyDescent="0.45">
      <c r="A250" s="23">
        <v>42067</v>
      </c>
      <c r="B250">
        <v>205.2</v>
      </c>
      <c r="C250">
        <v>207.69</v>
      </c>
    </row>
    <row r="251" spans="1:14" x14ac:dyDescent="0.45">
      <c r="A251" s="23">
        <v>42066</v>
      </c>
      <c r="B251">
        <v>204.5</v>
      </c>
      <c r="C251">
        <v>206.34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51"/>
  <sheetViews>
    <sheetView workbookViewId="0">
      <selection activeCell="C2" sqref="C2"/>
    </sheetView>
  </sheetViews>
  <sheetFormatPr defaultRowHeight="14.25" x14ac:dyDescent="0.45"/>
  <sheetData>
    <row r="1" spans="1:23" x14ac:dyDescent="0.45">
      <c r="A1" t="s">
        <v>3</v>
      </c>
      <c r="B1" t="s">
        <v>4</v>
      </c>
      <c r="C1" t="s">
        <v>5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</row>
    <row r="2" spans="1:23" x14ac:dyDescent="0.45">
      <c r="A2" s="23">
        <v>42426</v>
      </c>
      <c r="B2">
        <v>264.06</v>
      </c>
      <c r="C2">
        <v>264.49</v>
      </c>
      <c r="G2">
        <f t="shared" ref="G2" si="0">SUMPRODUCT($B2:$B6,P$2:P$6)</f>
        <v>355.27844358066176</v>
      </c>
      <c r="H2">
        <f t="shared" ref="H2" si="1">SUMPRODUCT($B2:$B6,Q$2:Q$6)</f>
        <v>427.72579922891589</v>
      </c>
      <c r="I2">
        <f t="shared" ref="I2" si="2">SUMPRODUCT($B2:$B6,R$2:R$6)</f>
        <v>489.74283565852062</v>
      </c>
      <c r="J2">
        <f t="shared" ref="J2" si="3">SUMPRODUCT($B2:$B6,S$2:S$6)</f>
        <v>691.87060925522121</v>
      </c>
      <c r="K2">
        <f t="shared" ref="K2" si="4">SUMPRODUCT($B2:$B6,T$2:T$6)</f>
        <v>745.06936080082994</v>
      </c>
      <c r="L2">
        <f t="shared" ref="L2" si="5">(G2+$P$7)*$U$2+(H2+$Q$7)*$U$3+(I2+$R$7)*$U$4+(J2+$S$7)*$U$5+(K2+$T$7)*$U$6+$U$7</f>
        <v>265.50799847863527</v>
      </c>
      <c r="P2">
        <v>0.23719413004908835</v>
      </c>
      <c r="Q2">
        <v>0.25274474517752504</v>
      </c>
      <c r="R2">
        <v>0.36134284607556272</v>
      </c>
      <c r="S2">
        <v>0.39478191736583201</v>
      </c>
      <c r="T2">
        <v>0.41452478354675326</v>
      </c>
      <c r="U2">
        <v>0.10082895444033232</v>
      </c>
      <c r="W2" t="s">
        <v>31</v>
      </c>
    </row>
    <row r="3" spans="1:23" x14ac:dyDescent="0.45">
      <c r="A3" s="23">
        <v>42425</v>
      </c>
      <c r="B3">
        <v>261.89999999999998</v>
      </c>
      <c r="C3">
        <v>262.35000000000002</v>
      </c>
      <c r="G3">
        <f t="shared" ref="G3:G65" si="6">SUMPRODUCT($B3:$B7,P$2:P$6)</f>
        <v>355.60127292912358</v>
      </c>
      <c r="H3">
        <f t="shared" ref="H3:H65" si="7">SUMPRODUCT($B3:$B7,Q$2:Q$6)</f>
        <v>427.89543509089748</v>
      </c>
      <c r="I3">
        <f t="shared" ref="I3:I65" si="8">SUMPRODUCT($B3:$B7,R$2:R$6)</f>
        <v>488.12021275397683</v>
      </c>
      <c r="J3">
        <f t="shared" ref="J3:J65" si="9">SUMPRODUCT($B3:$B7,S$2:S$6)</f>
        <v>691.81137539252313</v>
      </c>
      <c r="K3">
        <f t="shared" ref="K3:K65" si="10">SUMPRODUCT($B3:$B7,T$2:T$6)</f>
        <v>747.11715688379286</v>
      </c>
      <c r="L3">
        <f t="shared" ref="L3:L65" si="11">(G3+$P$7)*$U$2+(H3+$Q$7)*$U$3+(I3+$R$7)*$U$4+(J3+$S$7)*$U$5+(K3+$T$7)*$U$6+$U$7</f>
        <v>265.22145104661985</v>
      </c>
      <c r="M3">
        <f t="shared" ref="M3:M66" si="12">B2-L3</f>
        <v>-1.1614510466198453</v>
      </c>
      <c r="N3">
        <f t="shared" ref="N3:N66" si="13">M3^2</f>
        <v>1.3489685336943342</v>
      </c>
      <c r="P3">
        <v>0.39492665369339791</v>
      </c>
      <c r="Q3">
        <v>0.50976920878844101</v>
      </c>
      <c r="R3">
        <v>0.54657469695072092</v>
      </c>
      <c r="S3">
        <v>0.79038634035472677</v>
      </c>
      <c r="T3">
        <v>0.90949483525943098</v>
      </c>
      <c r="U3">
        <v>9.7290665622952785E-2</v>
      </c>
      <c r="V3" t="s">
        <v>29</v>
      </c>
      <c r="W3">
        <f>SUM(N3:N251)</f>
        <v>163279.8391542405</v>
      </c>
    </row>
    <row r="4" spans="1:23" x14ac:dyDescent="0.45">
      <c r="A4" s="23">
        <v>42424</v>
      </c>
      <c r="B4">
        <v>256.35000000000002</v>
      </c>
      <c r="C4">
        <v>257.22000000000003</v>
      </c>
      <c r="G4">
        <f t="shared" si="6"/>
        <v>356.06731957920312</v>
      </c>
      <c r="H4">
        <f t="shared" si="7"/>
        <v>428.84654656821317</v>
      </c>
      <c r="I4">
        <f t="shared" si="8"/>
        <v>491.4227757636944</v>
      </c>
      <c r="J4">
        <f t="shared" si="9"/>
        <v>695.33914655955255</v>
      </c>
      <c r="K4">
        <f t="shared" si="10"/>
        <v>748.03725463121236</v>
      </c>
      <c r="L4">
        <f t="shared" si="11"/>
        <v>266.28268224961073</v>
      </c>
      <c r="M4">
        <f t="shared" si="12"/>
        <v>-4.3826822496107525</v>
      </c>
      <c r="N4">
        <f t="shared" si="13"/>
        <v>19.207903701053166</v>
      </c>
      <c r="P4">
        <v>0.39232179778285148</v>
      </c>
      <c r="Q4">
        <v>0.46031500534600572</v>
      </c>
      <c r="R4">
        <v>0.48013003988462716</v>
      </c>
      <c r="S4">
        <v>0.80140949648836846</v>
      </c>
      <c r="T4">
        <v>0.91166325522980207</v>
      </c>
      <c r="U4">
        <v>0.26598738182328846</v>
      </c>
      <c r="V4" t="s">
        <v>30</v>
      </c>
      <c r="W4">
        <f>MAX(N3:N251)</f>
        <v>130452.93461565218</v>
      </c>
    </row>
    <row r="5" spans="1:23" x14ac:dyDescent="0.45">
      <c r="A5" s="23">
        <v>42423</v>
      </c>
      <c r="B5">
        <v>264.81</v>
      </c>
      <c r="C5">
        <v>258.99</v>
      </c>
      <c r="G5">
        <f t="shared" si="6"/>
        <v>357.20818430099087</v>
      </c>
      <c r="H5">
        <f t="shared" si="7"/>
        <v>430.14289743328391</v>
      </c>
      <c r="I5">
        <f t="shared" si="8"/>
        <v>490.50971472835886</v>
      </c>
      <c r="J5">
        <f t="shared" si="9"/>
        <v>694.37036682934149</v>
      </c>
      <c r="K5">
        <f t="shared" si="10"/>
        <v>750.46353406329183</v>
      </c>
      <c r="L5">
        <f t="shared" si="11"/>
        <v>266.39467821836848</v>
      </c>
      <c r="M5">
        <f t="shared" si="12"/>
        <v>-10.04467821836846</v>
      </c>
      <c r="N5">
        <f t="shared" si="13"/>
        <v>100.89556051056579</v>
      </c>
      <c r="P5">
        <v>0.28163928274003841</v>
      </c>
      <c r="Q5">
        <v>0.3491754542851464</v>
      </c>
      <c r="R5">
        <v>0.23324581069290398</v>
      </c>
      <c r="S5">
        <v>0.43392673410091231</v>
      </c>
      <c r="T5">
        <v>0.61821069304357668</v>
      </c>
      <c r="U5">
        <v>3.772947315175995E-5</v>
      </c>
    </row>
    <row r="6" spans="1:23" x14ac:dyDescent="0.45">
      <c r="A6" s="23">
        <v>42422</v>
      </c>
      <c r="B6">
        <v>265.26</v>
      </c>
      <c r="C6">
        <v>265.83</v>
      </c>
      <c r="G6">
        <f t="shared" si="6"/>
        <v>354.52992030108885</v>
      </c>
      <c r="H6">
        <f t="shared" si="7"/>
        <v>426.41527526449681</v>
      </c>
      <c r="I6">
        <f t="shared" si="8"/>
        <v>486.56306073116832</v>
      </c>
      <c r="J6">
        <f t="shared" si="9"/>
        <v>689.57875890842433</v>
      </c>
      <c r="K6">
        <f t="shared" si="10"/>
        <v>745.51507725038243</v>
      </c>
      <c r="L6">
        <f t="shared" si="11"/>
        <v>264.48005192475034</v>
      </c>
      <c r="M6">
        <f t="shared" si="12"/>
        <v>0.32994807524966063</v>
      </c>
      <c r="N6">
        <f t="shared" si="13"/>
        <v>0.10886573236095572</v>
      </c>
      <c r="P6">
        <v>5.3008669507558545E-2</v>
      </c>
      <c r="Q6">
        <v>6.4127883457542362E-2</v>
      </c>
      <c r="R6">
        <v>0.25006247356707251</v>
      </c>
      <c r="S6">
        <v>0.22722178517168412</v>
      </c>
      <c r="T6">
        <v>0</v>
      </c>
      <c r="U6">
        <v>4.6878441714995112E-2</v>
      </c>
    </row>
    <row r="7" spans="1:23" x14ac:dyDescent="0.45">
      <c r="A7" s="23">
        <v>42419</v>
      </c>
      <c r="B7">
        <v>257.36</v>
      </c>
      <c r="C7">
        <v>261.39999999999998</v>
      </c>
      <c r="G7">
        <f t="shared" si="6"/>
        <v>350.19555894022022</v>
      </c>
      <c r="H7">
        <f t="shared" si="7"/>
        <v>421.82341436558283</v>
      </c>
      <c r="I7">
        <f t="shared" si="8"/>
        <v>482.05328603164958</v>
      </c>
      <c r="J7">
        <f t="shared" si="9"/>
        <v>682.28730495298339</v>
      </c>
      <c r="K7">
        <f t="shared" si="10"/>
        <v>736.73805962445329</v>
      </c>
      <c r="L7">
        <f t="shared" si="11"/>
        <v>261.98500642040131</v>
      </c>
      <c r="M7">
        <f t="shared" si="12"/>
        <v>3.2749935795986858</v>
      </c>
      <c r="N7">
        <f t="shared" si="13"/>
        <v>10.725582946412613</v>
      </c>
      <c r="O7" t="s">
        <v>28</v>
      </c>
      <c r="P7">
        <v>1E-8</v>
      </c>
      <c r="Q7">
        <v>0</v>
      </c>
      <c r="R7">
        <v>1E-8</v>
      </c>
      <c r="S7">
        <v>1E-8</v>
      </c>
      <c r="T7">
        <v>1E-8</v>
      </c>
      <c r="U7">
        <v>22.85270762095081</v>
      </c>
    </row>
    <row r="8" spans="1:23" x14ac:dyDescent="0.45">
      <c r="A8" s="23">
        <v>42418</v>
      </c>
      <c r="B8">
        <v>266.60000000000002</v>
      </c>
      <c r="C8">
        <v>259.05</v>
      </c>
      <c r="G8">
        <f t="shared" si="6"/>
        <v>345.26262094057142</v>
      </c>
      <c r="H8">
        <f t="shared" si="7"/>
        <v>415.31214440735909</v>
      </c>
      <c r="I8">
        <f t="shared" si="8"/>
        <v>475.58779242500367</v>
      </c>
      <c r="J8">
        <f t="shared" si="9"/>
        <v>671.28722978011001</v>
      </c>
      <c r="K8">
        <f t="shared" si="10"/>
        <v>724.40934538980582</v>
      </c>
      <c r="L8">
        <f t="shared" si="11"/>
        <v>258.55603199595379</v>
      </c>
      <c r="M8">
        <f t="shared" si="12"/>
        <v>-1.1960319959537742</v>
      </c>
      <c r="N8">
        <f t="shared" si="13"/>
        <v>1.430492535345169</v>
      </c>
    </row>
    <row r="9" spans="1:23" x14ac:dyDescent="0.45">
      <c r="A9" s="23">
        <v>42417</v>
      </c>
      <c r="B9">
        <v>256.29000000000002</v>
      </c>
      <c r="C9">
        <v>265.63</v>
      </c>
      <c r="G9">
        <f t="shared" si="6"/>
        <v>339.52935536379357</v>
      </c>
      <c r="H9">
        <f t="shared" si="7"/>
        <v>408.4778561787918</v>
      </c>
      <c r="I9">
        <f t="shared" si="8"/>
        <v>468.95651219392005</v>
      </c>
      <c r="J9">
        <f t="shared" si="9"/>
        <v>661.8066440360343</v>
      </c>
      <c r="K9">
        <f t="shared" si="10"/>
        <v>711.77783119442927</v>
      </c>
      <c r="L9">
        <f t="shared" si="11"/>
        <v>254.95670010521422</v>
      </c>
      <c r="M9">
        <f t="shared" si="12"/>
        <v>11.643299894785798</v>
      </c>
      <c r="N9">
        <f t="shared" si="13"/>
        <v>135.56643243991897</v>
      </c>
    </row>
    <row r="10" spans="1:23" x14ac:dyDescent="0.45">
      <c r="A10" s="23">
        <v>42416</v>
      </c>
      <c r="B10">
        <v>249</v>
      </c>
      <c r="C10">
        <v>256.52</v>
      </c>
      <c r="G10">
        <f t="shared" si="6"/>
        <v>338.36604296254291</v>
      </c>
      <c r="H10">
        <f t="shared" si="7"/>
        <v>407.40770400913107</v>
      </c>
      <c r="I10">
        <f t="shared" si="8"/>
        <v>464.95528027647129</v>
      </c>
      <c r="J10">
        <f t="shared" si="9"/>
        <v>658.28278125828433</v>
      </c>
      <c r="K10">
        <f t="shared" si="10"/>
        <v>710.65625169722546</v>
      </c>
      <c r="L10">
        <f t="shared" si="11"/>
        <v>253.61830066084008</v>
      </c>
      <c r="M10">
        <f t="shared" si="12"/>
        <v>2.6716993391599431</v>
      </c>
      <c r="N10">
        <f t="shared" si="13"/>
        <v>7.1379773588676763</v>
      </c>
    </row>
    <row r="11" spans="1:23" x14ac:dyDescent="0.45">
      <c r="A11" s="23">
        <v>42412</v>
      </c>
      <c r="B11">
        <v>248.78</v>
      </c>
      <c r="C11">
        <v>247.22</v>
      </c>
      <c r="G11">
        <f t="shared" si="6"/>
        <v>338.91972395309114</v>
      </c>
      <c r="H11">
        <f t="shared" si="7"/>
        <v>407.84772187233301</v>
      </c>
      <c r="I11">
        <f t="shared" si="8"/>
        <v>468.79582586615345</v>
      </c>
      <c r="J11">
        <f t="shared" si="9"/>
        <v>662.09121180357658</v>
      </c>
      <c r="K11">
        <f t="shared" si="10"/>
        <v>710.52669849894551</v>
      </c>
      <c r="L11">
        <f t="shared" si="11"/>
        <v>254.73254447120348</v>
      </c>
      <c r="M11">
        <f t="shared" si="12"/>
        <v>-5.7325444712034823</v>
      </c>
      <c r="N11">
        <f t="shared" si="13"/>
        <v>32.862066114325614</v>
      </c>
    </row>
    <row r="12" spans="1:23" x14ac:dyDescent="0.45">
      <c r="A12" s="23">
        <v>42411</v>
      </c>
      <c r="B12">
        <v>246.31</v>
      </c>
      <c r="C12">
        <v>245.11</v>
      </c>
      <c r="G12">
        <f t="shared" si="6"/>
        <v>342.92457140413967</v>
      </c>
      <c r="H12">
        <f t="shared" si="7"/>
        <v>413.2174649231381</v>
      </c>
      <c r="I12">
        <f t="shared" si="8"/>
        <v>474.38912390149318</v>
      </c>
      <c r="J12">
        <f t="shared" si="9"/>
        <v>669.67865451611658</v>
      </c>
      <c r="K12">
        <f t="shared" si="10"/>
        <v>718.29654989593246</v>
      </c>
      <c r="L12">
        <f t="shared" si="11"/>
        <v>257.51104642426407</v>
      </c>
      <c r="M12">
        <f t="shared" si="12"/>
        <v>-8.7310464242640649</v>
      </c>
      <c r="N12">
        <f t="shared" si="13"/>
        <v>76.231171662654319</v>
      </c>
    </row>
    <row r="13" spans="1:23" x14ac:dyDescent="0.45">
      <c r="A13" s="23">
        <v>42410</v>
      </c>
      <c r="B13">
        <v>253.35</v>
      </c>
      <c r="C13">
        <v>252.2</v>
      </c>
      <c r="G13">
        <f t="shared" si="6"/>
        <v>350.31179398703699</v>
      </c>
      <c r="H13">
        <f t="shared" si="7"/>
        <v>421.58667971938826</v>
      </c>
      <c r="I13">
        <f t="shared" si="8"/>
        <v>482.13842186515228</v>
      </c>
      <c r="J13">
        <f t="shared" si="9"/>
        <v>682.63072557282294</v>
      </c>
      <c r="K13">
        <f t="shared" si="10"/>
        <v>734.28632430514563</v>
      </c>
      <c r="L13">
        <f t="shared" si="11"/>
        <v>261.88141869060189</v>
      </c>
      <c r="M13">
        <f t="shared" si="12"/>
        <v>-15.571418690601888</v>
      </c>
      <c r="N13">
        <f t="shared" si="13"/>
        <v>242.46908003802582</v>
      </c>
    </row>
    <row r="14" spans="1:23" x14ac:dyDescent="0.45">
      <c r="A14" s="23">
        <v>42409</v>
      </c>
      <c r="B14">
        <v>246.54</v>
      </c>
      <c r="C14">
        <v>249.99</v>
      </c>
      <c r="G14">
        <f t="shared" si="6"/>
        <v>357.96665556756005</v>
      </c>
      <c r="H14">
        <f t="shared" si="7"/>
        <v>431.36505763956296</v>
      </c>
      <c r="I14">
        <f t="shared" si="8"/>
        <v>491.52950379887915</v>
      </c>
      <c r="J14">
        <f t="shared" si="9"/>
        <v>698.47742251169916</v>
      </c>
      <c r="K14">
        <f t="shared" si="10"/>
        <v>753.24257930438739</v>
      </c>
      <c r="L14">
        <f t="shared" si="11"/>
        <v>266.99174215540131</v>
      </c>
      <c r="M14">
        <f t="shared" si="12"/>
        <v>-13.641742155401317</v>
      </c>
      <c r="N14">
        <f t="shared" si="13"/>
        <v>186.09712903445339</v>
      </c>
    </row>
    <row r="15" spans="1:23" x14ac:dyDescent="0.45">
      <c r="A15" s="23">
        <v>42408</v>
      </c>
      <c r="B15">
        <v>260.45</v>
      </c>
      <c r="C15">
        <v>250.77</v>
      </c>
      <c r="G15">
        <f t="shared" si="6"/>
        <v>364.38506432611359</v>
      </c>
      <c r="H15">
        <f t="shared" si="7"/>
        <v>438.98647080285161</v>
      </c>
      <c r="I15">
        <f t="shared" si="8"/>
        <v>501.36371687700688</v>
      </c>
      <c r="J15">
        <f t="shared" si="9"/>
        <v>710.54995309198387</v>
      </c>
      <c r="K15">
        <f t="shared" si="10"/>
        <v>766.24279199106718</v>
      </c>
      <c r="L15">
        <f t="shared" si="11"/>
        <v>271.6060577512178</v>
      </c>
      <c r="M15">
        <f t="shared" si="12"/>
        <v>-25.066057751217812</v>
      </c>
      <c r="N15">
        <f t="shared" si="13"/>
        <v>628.30725118738656</v>
      </c>
    </row>
    <row r="16" spans="1:23" x14ac:dyDescent="0.45">
      <c r="A16" s="23">
        <v>42405</v>
      </c>
      <c r="B16">
        <v>271.10000000000002</v>
      </c>
      <c r="C16">
        <v>263.86</v>
      </c>
      <c r="G16">
        <f t="shared" si="6"/>
        <v>365.71064534434288</v>
      </c>
      <c r="H16">
        <f t="shared" si="7"/>
        <v>440.23400713861361</v>
      </c>
      <c r="I16">
        <f t="shared" si="8"/>
        <v>504.14698423066091</v>
      </c>
      <c r="J16">
        <f t="shared" si="9"/>
        <v>712.60398576995908</v>
      </c>
      <c r="K16">
        <f t="shared" si="10"/>
        <v>767.54937830309041</v>
      </c>
      <c r="L16">
        <f t="shared" si="11"/>
        <v>272.66273056396415</v>
      </c>
      <c r="M16">
        <f t="shared" si="12"/>
        <v>-12.212730563964158</v>
      </c>
      <c r="N16">
        <f t="shared" si="13"/>
        <v>149.15078782798429</v>
      </c>
    </row>
    <row r="17" spans="1:14" x14ac:dyDescent="0.45">
      <c r="A17" s="23">
        <v>42404</v>
      </c>
      <c r="B17">
        <v>270.16000000000003</v>
      </c>
      <c r="C17">
        <v>273.27</v>
      </c>
      <c r="G17">
        <f t="shared" si="6"/>
        <v>365.1620290728826</v>
      </c>
      <c r="H17">
        <f t="shared" si="7"/>
        <v>439.53960356523078</v>
      </c>
      <c r="I17">
        <f t="shared" si="8"/>
        <v>502.60029920215123</v>
      </c>
      <c r="J17">
        <f t="shared" si="9"/>
        <v>711.01386321009079</v>
      </c>
      <c r="K17">
        <f t="shared" si="10"/>
        <v>766.56644225433706</v>
      </c>
      <c r="L17">
        <f t="shared" si="11"/>
        <v>272.08231796706247</v>
      </c>
      <c r="M17">
        <f t="shared" si="12"/>
        <v>-0.98231796706244268</v>
      </c>
      <c r="N17">
        <f t="shared" si="13"/>
        <v>0.96494858841369024</v>
      </c>
    </row>
    <row r="18" spans="1:14" x14ac:dyDescent="0.45">
      <c r="A18" s="23">
        <v>42403</v>
      </c>
      <c r="B18">
        <v>267.58</v>
      </c>
      <c r="C18">
        <v>270.43</v>
      </c>
      <c r="G18">
        <f t="shared" si="6"/>
        <v>365.48215945420202</v>
      </c>
      <c r="H18">
        <f t="shared" si="7"/>
        <v>439.96682728116394</v>
      </c>
      <c r="I18">
        <f t="shared" si="8"/>
        <v>504.39395193867608</v>
      </c>
      <c r="J18">
        <f t="shared" si="9"/>
        <v>713.04239316015162</v>
      </c>
      <c r="K18">
        <f t="shared" si="10"/>
        <v>766.82584741938194</v>
      </c>
      <c r="L18">
        <f t="shared" si="11"/>
        <v>272.64548729895336</v>
      </c>
      <c r="M18">
        <f t="shared" si="12"/>
        <v>-2.4854872989533305</v>
      </c>
      <c r="N18">
        <f t="shared" si="13"/>
        <v>6.1776471132583231</v>
      </c>
    </row>
    <row r="19" spans="1:14" x14ac:dyDescent="0.45">
      <c r="A19" s="23">
        <v>42402</v>
      </c>
      <c r="B19">
        <v>267.74</v>
      </c>
      <c r="C19">
        <v>266.06</v>
      </c>
      <c r="G19">
        <f t="shared" si="6"/>
        <v>367.82554444896346</v>
      </c>
      <c r="H19">
        <f t="shared" si="7"/>
        <v>442.96912908588445</v>
      </c>
      <c r="I19">
        <f t="shared" si="8"/>
        <v>506.48532305716617</v>
      </c>
      <c r="J19">
        <f t="shared" si="9"/>
        <v>716.64761832891281</v>
      </c>
      <c r="K19">
        <f t="shared" si="10"/>
        <v>772.05031310025288</v>
      </c>
      <c r="L19">
        <f t="shared" si="11"/>
        <v>273.97519346019556</v>
      </c>
      <c r="M19">
        <f t="shared" si="12"/>
        <v>-6.3951934601955713</v>
      </c>
      <c r="N19">
        <f t="shared" si="13"/>
        <v>40.898499393328201</v>
      </c>
    </row>
    <row r="20" spans="1:14" x14ac:dyDescent="0.45">
      <c r="A20" s="23">
        <v>42401</v>
      </c>
      <c r="B20">
        <v>270.33999999999997</v>
      </c>
      <c r="C20">
        <v>273.45</v>
      </c>
      <c r="G20">
        <f t="shared" si="6"/>
        <v>369.71329839388301</v>
      </c>
      <c r="H20">
        <f t="shared" si="7"/>
        <v>444.99128581698682</v>
      </c>
      <c r="I20">
        <f t="shared" si="8"/>
        <v>506.66314204813091</v>
      </c>
      <c r="J20">
        <f t="shared" si="9"/>
        <v>718.94188635145974</v>
      </c>
      <c r="K20">
        <f t="shared" si="10"/>
        <v>777.63746068072396</v>
      </c>
      <c r="L20">
        <f t="shared" si="11"/>
        <v>274.67157163263835</v>
      </c>
      <c r="M20">
        <f t="shared" si="12"/>
        <v>-6.9315716326383381</v>
      </c>
      <c r="N20">
        <f t="shared" si="13"/>
        <v>48.046685298396518</v>
      </c>
    </row>
    <row r="21" spans="1:14" x14ac:dyDescent="0.45">
      <c r="A21" s="23">
        <v>42398</v>
      </c>
      <c r="B21">
        <v>268.42</v>
      </c>
      <c r="C21">
        <v>273.06</v>
      </c>
      <c r="G21">
        <f t="shared" si="6"/>
        <v>368.77193617525717</v>
      </c>
      <c r="H21">
        <f t="shared" si="7"/>
        <v>444.05968327299297</v>
      </c>
      <c r="I21">
        <f t="shared" si="8"/>
        <v>508.44982173702033</v>
      </c>
      <c r="J21">
        <f t="shared" si="9"/>
        <v>719.60565623280309</v>
      </c>
      <c r="K21">
        <f t="shared" si="10"/>
        <v>775.27215317419996</v>
      </c>
      <c r="L21">
        <f t="shared" si="11"/>
        <v>274.85039619899328</v>
      </c>
      <c r="M21">
        <f t="shared" si="12"/>
        <v>-4.5103961989933055</v>
      </c>
      <c r="N21">
        <f t="shared" si="13"/>
        <v>20.343673871893259</v>
      </c>
    </row>
    <row r="22" spans="1:14" x14ac:dyDescent="0.45">
      <c r="A22" s="23">
        <v>42397</v>
      </c>
      <c r="B22">
        <v>275.77</v>
      </c>
      <c r="C22">
        <v>265.95999999999998</v>
      </c>
      <c r="G22">
        <f t="shared" si="6"/>
        <v>367.13198726459228</v>
      </c>
      <c r="H22">
        <f t="shared" si="7"/>
        <v>442.03373100900978</v>
      </c>
      <c r="I22">
        <f t="shared" si="8"/>
        <v>505.59891294727373</v>
      </c>
      <c r="J22">
        <f t="shared" si="9"/>
        <v>714.29182403298842</v>
      </c>
      <c r="K22">
        <f t="shared" si="10"/>
        <v>770.60174428849962</v>
      </c>
      <c r="L22">
        <f t="shared" si="11"/>
        <v>273.51048787708766</v>
      </c>
      <c r="M22">
        <f t="shared" si="12"/>
        <v>-5.0904878770876394</v>
      </c>
      <c r="N22">
        <f t="shared" si="13"/>
        <v>25.913066826776223</v>
      </c>
    </row>
    <row r="23" spans="1:14" x14ac:dyDescent="0.45">
      <c r="A23" s="23">
        <v>42396</v>
      </c>
      <c r="B23">
        <v>275.05</v>
      </c>
      <c r="C23">
        <v>273.26</v>
      </c>
      <c r="G23">
        <f t="shared" si="6"/>
        <v>364.03849188178606</v>
      </c>
      <c r="H23">
        <f t="shared" si="7"/>
        <v>437.80062113825079</v>
      </c>
      <c r="I23">
        <f t="shared" si="8"/>
        <v>501.94285911416091</v>
      </c>
      <c r="J23">
        <f t="shared" si="9"/>
        <v>709.07010778920289</v>
      </c>
      <c r="K23">
        <f t="shared" si="10"/>
        <v>763.31728558061218</v>
      </c>
      <c r="L23">
        <f t="shared" si="11"/>
        <v>271.47258662265159</v>
      </c>
      <c r="M23">
        <f t="shared" si="12"/>
        <v>4.2974133773483914</v>
      </c>
      <c r="N23">
        <f t="shared" si="13"/>
        <v>18.467761735812907</v>
      </c>
    </row>
    <row r="24" spans="1:14" x14ac:dyDescent="0.45">
      <c r="A24" s="23">
        <v>42395</v>
      </c>
      <c r="B24">
        <v>262.76</v>
      </c>
      <c r="C24">
        <v>259.87</v>
      </c>
      <c r="G24">
        <f t="shared" si="6"/>
        <v>363.14509739773274</v>
      </c>
      <c r="H24">
        <f t="shared" si="7"/>
        <v>437.42693514421535</v>
      </c>
      <c r="I24">
        <f t="shared" si="8"/>
        <v>498.84224543491268</v>
      </c>
      <c r="J24">
        <f t="shared" si="9"/>
        <v>707.0069906951112</v>
      </c>
      <c r="K24">
        <f t="shared" si="10"/>
        <v>763.53651268982253</v>
      </c>
      <c r="L24">
        <f t="shared" si="11"/>
        <v>270.53162550217974</v>
      </c>
      <c r="M24">
        <f t="shared" si="12"/>
        <v>4.5183744978202753</v>
      </c>
      <c r="N24">
        <f t="shared" si="13"/>
        <v>20.415708102552625</v>
      </c>
    </row>
    <row r="25" spans="1:14" x14ac:dyDescent="0.45">
      <c r="A25" s="23">
        <v>42394</v>
      </c>
      <c r="B25">
        <v>269.45999999999998</v>
      </c>
      <c r="C25">
        <v>262.10000000000002</v>
      </c>
      <c r="G25">
        <f t="shared" si="6"/>
        <v>363.7282954304211</v>
      </c>
      <c r="H25">
        <f t="shared" si="7"/>
        <v>437.70245248071728</v>
      </c>
      <c r="I25">
        <f t="shared" si="8"/>
        <v>503.09401103251736</v>
      </c>
      <c r="J25">
        <f t="shared" si="9"/>
        <v>710.18844279721873</v>
      </c>
      <c r="K25">
        <f t="shared" si="10"/>
        <v>762.54308747575237</v>
      </c>
      <c r="L25">
        <f t="shared" si="11"/>
        <v>271.70169982305526</v>
      </c>
      <c r="M25">
        <f t="shared" si="12"/>
        <v>-8.9416998230552736</v>
      </c>
      <c r="N25">
        <f t="shared" si="13"/>
        <v>79.953995725626712</v>
      </c>
    </row>
    <row r="26" spans="1:14" x14ac:dyDescent="0.45">
      <c r="A26" s="23">
        <v>42391</v>
      </c>
      <c r="B26">
        <v>266.36</v>
      </c>
      <c r="C26">
        <v>268.92</v>
      </c>
      <c r="G26">
        <f t="shared" si="6"/>
        <v>365.33194050428875</v>
      </c>
      <c r="H26">
        <f t="shared" si="7"/>
        <v>440.06239304052889</v>
      </c>
      <c r="I26">
        <f t="shared" si="8"/>
        <v>502.41016761414875</v>
      </c>
      <c r="J26">
        <f t="shared" si="9"/>
        <v>711.03704867423392</v>
      </c>
      <c r="K26">
        <f t="shared" si="10"/>
        <v>766.90364326837926</v>
      </c>
      <c r="L26">
        <f t="shared" si="11"/>
        <v>272.11554822463472</v>
      </c>
      <c r="M26">
        <f t="shared" si="12"/>
        <v>-2.6555482246347424</v>
      </c>
      <c r="N26">
        <f t="shared" si="13"/>
        <v>7.0519363733607321</v>
      </c>
    </row>
    <row r="27" spans="1:14" x14ac:dyDescent="0.45">
      <c r="A27" s="23">
        <v>42390</v>
      </c>
      <c r="B27">
        <v>269.67</v>
      </c>
      <c r="C27">
        <v>262.08</v>
      </c>
      <c r="G27">
        <f t="shared" si="6"/>
        <v>367.1574745700417</v>
      </c>
      <c r="H27">
        <f t="shared" si="7"/>
        <v>441.70533535232659</v>
      </c>
      <c r="I27">
        <f t="shared" si="8"/>
        <v>504.68675840251092</v>
      </c>
      <c r="J27">
        <f t="shared" si="9"/>
        <v>715.12788514402143</v>
      </c>
      <c r="K27">
        <f t="shared" si="10"/>
        <v>771.26318211638852</v>
      </c>
      <c r="L27">
        <f t="shared" si="11"/>
        <v>273.2695250230496</v>
      </c>
      <c r="M27">
        <f t="shared" si="12"/>
        <v>-6.9095250230495822</v>
      </c>
      <c r="N27">
        <f t="shared" si="13"/>
        <v>47.741536044148326</v>
      </c>
    </row>
    <row r="28" spans="1:14" x14ac:dyDescent="0.45">
      <c r="A28" s="23">
        <v>42389</v>
      </c>
      <c r="B28">
        <v>263.25</v>
      </c>
      <c r="C28">
        <v>269.35000000000002</v>
      </c>
      <c r="G28">
        <f t="shared" si="6"/>
        <v>368.60281429184454</v>
      </c>
      <c r="H28">
        <f t="shared" si="7"/>
        <v>444.17756417009508</v>
      </c>
      <c r="I28">
        <f t="shared" si="8"/>
        <v>509.14908964183996</v>
      </c>
      <c r="J28">
        <f t="shared" si="9"/>
        <v>720.06755013147426</v>
      </c>
      <c r="K28">
        <f t="shared" si="10"/>
        <v>774.13823336938208</v>
      </c>
      <c r="L28">
        <f t="shared" si="11"/>
        <v>274.97766999998896</v>
      </c>
      <c r="M28">
        <f t="shared" si="12"/>
        <v>-5.3076699999889456</v>
      </c>
      <c r="N28">
        <f t="shared" si="13"/>
        <v>28.171360828782653</v>
      </c>
    </row>
    <row r="29" spans="1:14" x14ac:dyDescent="0.45">
      <c r="A29" s="23">
        <v>42388</v>
      </c>
      <c r="B29">
        <v>276.98</v>
      </c>
      <c r="C29">
        <v>269.85000000000002</v>
      </c>
      <c r="G29">
        <f t="shared" si="6"/>
        <v>371.69359386434149</v>
      </c>
      <c r="H29">
        <f t="shared" si="7"/>
        <v>447.38267748575043</v>
      </c>
      <c r="I29">
        <f t="shared" si="8"/>
        <v>512.64658567983918</v>
      </c>
      <c r="J29">
        <f t="shared" si="9"/>
        <v>723.9218756404548</v>
      </c>
      <c r="K29">
        <f t="shared" si="10"/>
        <v>778.8831021577422</v>
      </c>
      <c r="L29">
        <f t="shared" si="11"/>
        <v>276.75400497126248</v>
      </c>
      <c r="M29">
        <f t="shared" si="12"/>
        <v>-13.504004971262475</v>
      </c>
      <c r="N29">
        <f t="shared" si="13"/>
        <v>182.35815026388164</v>
      </c>
    </row>
    <row r="30" spans="1:14" x14ac:dyDescent="0.45">
      <c r="A30" s="23">
        <v>42384</v>
      </c>
      <c r="B30">
        <v>271.01</v>
      </c>
      <c r="C30">
        <v>273.33</v>
      </c>
      <c r="G30">
        <f t="shared" si="6"/>
        <v>374.03502540149356</v>
      </c>
      <c r="H30">
        <f t="shared" si="7"/>
        <v>450.20108564390284</v>
      </c>
      <c r="I30">
        <f t="shared" si="8"/>
        <v>514.62811332837146</v>
      </c>
      <c r="J30">
        <f t="shared" si="9"/>
        <v>728.96142815898042</v>
      </c>
      <c r="K30">
        <f t="shared" si="10"/>
        <v>785.16881894093524</v>
      </c>
      <c r="L30">
        <f t="shared" si="11"/>
        <v>278.08620996951385</v>
      </c>
      <c r="M30">
        <f t="shared" si="12"/>
        <v>-1.1062099695138272</v>
      </c>
      <c r="N30">
        <f t="shared" si="13"/>
        <v>1.2237004966517826</v>
      </c>
    </row>
    <row r="31" spans="1:14" x14ac:dyDescent="0.45">
      <c r="A31" s="23">
        <v>42383</v>
      </c>
      <c r="B31">
        <v>268.57</v>
      </c>
      <c r="C31">
        <v>280.57</v>
      </c>
      <c r="G31">
        <f t="shared" si="6"/>
        <v>378.48076030222893</v>
      </c>
      <c r="H31">
        <f t="shared" si="7"/>
        <v>455.97988447924263</v>
      </c>
      <c r="I31">
        <f t="shared" si="8"/>
        <v>521.39943973043285</v>
      </c>
      <c r="J31">
        <f t="shared" si="9"/>
        <v>738.65083646195353</v>
      </c>
      <c r="K31">
        <f t="shared" si="10"/>
        <v>795.26518045195473</v>
      </c>
      <c r="L31">
        <f t="shared" si="11"/>
        <v>281.37144660851874</v>
      </c>
      <c r="M31">
        <f t="shared" si="12"/>
        <v>-10.361446608518747</v>
      </c>
      <c r="N31">
        <f t="shared" si="13"/>
        <v>107.35957582118465</v>
      </c>
    </row>
    <row r="32" spans="1:14" x14ac:dyDescent="0.45">
      <c r="A32" s="23">
        <v>42382</v>
      </c>
      <c r="B32">
        <v>279.42</v>
      </c>
      <c r="C32">
        <v>267.25</v>
      </c>
      <c r="G32">
        <f t="shared" si="6"/>
        <v>382.7604993629738</v>
      </c>
      <c r="H32">
        <f t="shared" si="7"/>
        <v>460.88534440519561</v>
      </c>
      <c r="I32">
        <f t="shared" si="8"/>
        <v>527.41329917043777</v>
      </c>
      <c r="J32">
        <f t="shared" si="9"/>
        <v>746.03911590018981</v>
      </c>
      <c r="K32">
        <f t="shared" si="10"/>
        <v>803.33553935666487</v>
      </c>
      <c r="L32">
        <f t="shared" si="11"/>
        <v>284.25843901719821</v>
      </c>
      <c r="M32">
        <f t="shared" si="12"/>
        <v>-15.68843901719822</v>
      </c>
      <c r="N32">
        <f t="shared" si="13"/>
        <v>246.12711879634747</v>
      </c>
    </row>
    <row r="33" spans="1:14" x14ac:dyDescent="0.45">
      <c r="A33" s="23">
        <v>42381</v>
      </c>
      <c r="B33">
        <v>281.18</v>
      </c>
      <c r="C33">
        <v>278.67</v>
      </c>
      <c r="G33">
        <f t="shared" si="6"/>
        <v>385.38673897450929</v>
      </c>
      <c r="H33">
        <f t="shared" si="7"/>
        <v>463.94114587616275</v>
      </c>
      <c r="I33">
        <f t="shared" si="8"/>
        <v>531.63266097554481</v>
      </c>
      <c r="J33">
        <f t="shared" si="9"/>
        <v>751.71427813629964</v>
      </c>
      <c r="K33">
        <f t="shared" si="10"/>
        <v>808.38590783512859</v>
      </c>
      <c r="L33">
        <f t="shared" si="11"/>
        <v>286.17980549520485</v>
      </c>
      <c r="M33">
        <f t="shared" si="12"/>
        <v>-6.7598054952048301</v>
      </c>
      <c r="N33">
        <f t="shared" si="13"/>
        <v>45.694970333001422</v>
      </c>
    </row>
    <row r="34" spans="1:14" x14ac:dyDescent="0.45">
      <c r="A34" s="23">
        <v>42380</v>
      </c>
      <c r="B34">
        <v>280.58999999999997</v>
      </c>
      <c r="C34">
        <v>278.54000000000002</v>
      </c>
      <c r="G34">
        <f t="shared" si="6"/>
        <v>389.44356935391983</v>
      </c>
      <c r="H34">
        <f t="shared" si="7"/>
        <v>469.02374080225178</v>
      </c>
      <c r="I34">
        <f t="shared" si="8"/>
        <v>536.64971334609379</v>
      </c>
      <c r="J34">
        <f t="shared" si="9"/>
        <v>759.45891221143802</v>
      </c>
      <c r="K34">
        <f t="shared" si="10"/>
        <v>817.29741854497388</v>
      </c>
      <c r="L34">
        <f t="shared" si="11"/>
        <v>288.83586306503366</v>
      </c>
      <c r="M34">
        <f t="shared" si="12"/>
        <v>-7.6558630650336568</v>
      </c>
      <c r="N34">
        <f t="shared" si="13"/>
        <v>58.612239270546539</v>
      </c>
    </row>
    <row r="35" spans="1:14" x14ac:dyDescent="0.45">
      <c r="A35" s="23">
        <v>42377</v>
      </c>
      <c r="B35">
        <v>284.64999999999998</v>
      </c>
      <c r="C35">
        <v>280.58999999999997</v>
      </c>
      <c r="G35">
        <f t="shared" si="6"/>
        <v>394.57628710162044</v>
      </c>
      <c r="H35">
        <f t="shared" si="7"/>
        <v>475.09065018547267</v>
      </c>
      <c r="I35">
        <f t="shared" si="8"/>
        <v>543.94678384957592</v>
      </c>
      <c r="J35">
        <f t="shared" si="9"/>
        <v>769.74565536630814</v>
      </c>
      <c r="K35">
        <f t="shared" si="10"/>
        <v>827.94268282656719</v>
      </c>
      <c r="L35">
        <f t="shared" si="11"/>
        <v>292.3839934739056</v>
      </c>
      <c r="M35">
        <f t="shared" si="12"/>
        <v>-11.79399347390563</v>
      </c>
      <c r="N35">
        <f t="shared" si="13"/>
        <v>139.0982820625286</v>
      </c>
    </row>
    <row r="36" spans="1:14" x14ac:dyDescent="0.45">
      <c r="A36" s="23">
        <v>42376</v>
      </c>
      <c r="B36">
        <v>286.52</v>
      </c>
      <c r="C36">
        <v>284.01</v>
      </c>
      <c r="G36">
        <f t="shared" si="6"/>
        <v>400.21390955585844</v>
      </c>
      <c r="H36">
        <f t="shared" si="7"/>
        <v>482.04364222522008</v>
      </c>
      <c r="I36">
        <f t="shared" si="8"/>
        <v>551.87768970886009</v>
      </c>
      <c r="J36">
        <f t="shared" si="9"/>
        <v>780.97843898510598</v>
      </c>
      <c r="K36">
        <f t="shared" si="10"/>
        <v>839.84832165721207</v>
      </c>
      <c r="L36">
        <f t="shared" si="11"/>
        <v>296.29695276312202</v>
      </c>
      <c r="M36">
        <f t="shared" si="12"/>
        <v>-11.646952763122044</v>
      </c>
      <c r="N36">
        <f t="shared" si="13"/>
        <v>135.65150866639624</v>
      </c>
    </row>
    <row r="37" spans="1:14" x14ac:dyDescent="0.45">
      <c r="A37" s="23">
        <v>42375</v>
      </c>
      <c r="B37">
        <v>292.60000000000002</v>
      </c>
      <c r="C37">
        <v>293.68</v>
      </c>
      <c r="G37">
        <f t="shared" si="6"/>
        <v>406.52777798709951</v>
      </c>
      <c r="H37">
        <f t="shared" si="7"/>
        <v>489.5407179073452</v>
      </c>
      <c r="I37">
        <f t="shared" si="8"/>
        <v>560.28931513538157</v>
      </c>
      <c r="J37">
        <f t="shared" si="9"/>
        <v>792.93201668634617</v>
      </c>
      <c r="K37">
        <f t="shared" si="10"/>
        <v>852.97977132106826</v>
      </c>
      <c r="L37">
        <f t="shared" si="11"/>
        <v>300.5163881228255</v>
      </c>
      <c r="M37">
        <f t="shared" si="12"/>
        <v>-13.996388122825522</v>
      </c>
      <c r="N37">
        <f t="shared" si="13"/>
        <v>195.89888048477133</v>
      </c>
    </row>
    <row r="38" spans="1:14" x14ac:dyDescent="0.45">
      <c r="A38" s="23">
        <v>42374</v>
      </c>
      <c r="B38">
        <v>295.38</v>
      </c>
      <c r="C38">
        <v>296.7</v>
      </c>
      <c r="G38">
        <f t="shared" si="6"/>
        <v>412.23403458237306</v>
      </c>
      <c r="H38">
        <f t="shared" si="7"/>
        <v>496.45802062949559</v>
      </c>
      <c r="I38">
        <f t="shared" si="8"/>
        <v>566.42758977647145</v>
      </c>
      <c r="J38">
        <f t="shared" si="9"/>
        <v>803.11574438486048</v>
      </c>
      <c r="K38">
        <f t="shared" si="10"/>
        <v>866.29308244134779</v>
      </c>
      <c r="L38">
        <f t="shared" si="11"/>
        <v>304.02192810201086</v>
      </c>
      <c r="M38">
        <f t="shared" si="12"/>
        <v>-11.421928102010838</v>
      </c>
      <c r="N38">
        <f t="shared" si="13"/>
        <v>130.46044156750492</v>
      </c>
    </row>
    <row r="39" spans="1:14" x14ac:dyDescent="0.45">
      <c r="A39" s="23">
        <v>42373</v>
      </c>
      <c r="B39">
        <v>300.33999999999997</v>
      </c>
      <c r="C39">
        <v>294.62</v>
      </c>
      <c r="G39">
        <f t="shared" si="6"/>
        <v>415.64521788547285</v>
      </c>
      <c r="H39">
        <f t="shared" si="7"/>
        <v>500.50172337702281</v>
      </c>
      <c r="I39">
        <f t="shared" si="8"/>
        <v>571.32694358507865</v>
      </c>
      <c r="J39">
        <f t="shared" si="9"/>
        <v>809.89808597454135</v>
      </c>
      <c r="K39">
        <f t="shared" si="10"/>
        <v>874.04019769083811</v>
      </c>
      <c r="L39">
        <f t="shared" si="11"/>
        <v>306.42588355678993</v>
      </c>
      <c r="M39">
        <f t="shared" si="12"/>
        <v>-11.045883556789931</v>
      </c>
      <c r="N39">
        <f t="shared" si="13"/>
        <v>122.01154355016219</v>
      </c>
    </row>
    <row r="40" spans="1:14" x14ac:dyDescent="0.45">
      <c r="A40" s="23">
        <v>42369</v>
      </c>
      <c r="B40">
        <v>306.10000000000002</v>
      </c>
      <c r="C40">
        <v>306.35000000000002</v>
      </c>
      <c r="G40">
        <f t="shared" si="6"/>
        <v>415.66019835809584</v>
      </c>
      <c r="H40">
        <f t="shared" si="7"/>
        <v>500.49332390076779</v>
      </c>
      <c r="I40">
        <f t="shared" si="8"/>
        <v>572.00762299996063</v>
      </c>
      <c r="J40">
        <f t="shared" si="9"/>
        <v>809.55990639253048</v>
      </c>
      <c r="K40">
        <f t="shared" si="10"/>
        <v>873.57759710986841</v>
      </c>
      <c r="L40">
        <f t="shared" si="11"/>
        <v>306.58593021326146</v>
      </c>
      <c r="M40">
        <f t="shared" si="12"/>
        <v>-6.245930213261488</v>
      </c>
      <c r="N40">
        <f t="shared" si="13"/>
        <v>39.011644228932695</v>
      </c>
    </row>
    <row r="41" spans="1:14" x14ac:dyDescent="0.45">
      <c r="A41" s="23">
        <v>42368</v>
      </c>
      <c r="B41">
        <v>309.98</v>
      </c>
      <c r="C41">
        <v>308.33999999999997</v>
      </c>
      <c r="G41">
        <f t="shared" si="6"/>
        <v>413.14403305062785</v>
      </c>
      <c r="H41">
        <f t="shared" si="7"/>
        <v>497.18457504602338</v>
      </c>
      <c r="I41">
        <f t="shared" si="8"/>
        <v>569.73041153377039</v>
      </c>
      <c r="J41">
        <f t="shared" si="9"/>
        <v>804.81570401469958</v>
      </c>
      <c r="K41">
        <f t="shared" si="10"/>
        <v>866.87336420070915</v>
      </c>
      <c r="L41">
        <f t="shared" si="11"/>
        <v>305.09014501397127</v>
      </c>
      <c r="M41">
        <f t="shared" si="12"/>
        <v>1.0098549860287562</v>
      </c>
      <c r="N41">
        <f t="shared" si="13"/>
        <v>1.0198070928071394</v>
      </c>
    </row>
    <row r="42" spans="1:14" x14ac:dyDescent="0.45">
      <c r="A42" s="23">
        <v>42367</v>
      </c>
      <c r="B42">
        <v>304.99</v>
      </c>
      <c r="C42">
        <v>309.67</v>
      </c>
      <c r="G42">
        <f t="shared" si="6"/>
        <v>410.78762881174964</v>
      </c>
      <c r="H42">
        <f t="shared" si="7"/>
        <v>494.46432744505051</v>
      </c>
      <c r="I42">
        <f t="shared" si="8"/>
        <v>564.84252197495175</v>
      </c>
      <c r="J42">
        <f t="shared" si="9"/>
        <v>799.31487558891342</v>
      </c>
      <c r="K42">
        <f t="shared" si="10"/>
        <v>862.69022417999565</v>
      </c>
      <c r="L42">
        <f t="shared" si="11"/>
        <v>303.0914729631719</v>
      </c>
      <c r="M42">
        <f t="shared" si="12"/>
        <v>6.8885270368281226</v>
      </c>
      <c r="N42">
        <f t="shared" si="13"/>
        <v>47.451804737112035</v>
      </c>
    </row>
    <row r="43" spans="1:14" x14ac:dyDescent="0.45">
      <c r="A43" s="23">
        <v>42366</v>
      </c>
      <c r="B43">
        <v>302.02999999999997</v>
      </c>
      <c r="C43">
        <v>303.83999999999997</v>
      </c>
      <c r="G43">
        <f t="shared" si="6"/>
        <v>408.97328925890912</v>
      </c>
      <c r="H43">
        <f t="shared" si="7"/>
        <v>492.2159371027073</v>
      </c>
      <c r="I43">
        <f t="shared" si="8"/>
        <v>562.36167165708605</v>
      </c>
      <c r="J43">
        <f t="shared" si="9"/>
        <v>796.3455254874159</v>
      </c>
      <c r="K43">
        <f t="shared" si="10"/>
        <v>859.49209128792779</v>
      </c>
      <c r="L43">
        <f t="shared" si="11"/>
        <v>301.87987721093532</v>
      </c>
      <c r="M43">
        <f t="shared" si="12"/>
        <v>3.1101227890646896</v>
      </c>
      <c r="N43">
        <f t="shared" si="13"/>
        <v>9.6728637630595244</v>
      </c>
    </row>
    <row r="44" spans="1:14" x14ac:dyDescent="0.45">
      <c r="A44" s="23">
        <v>42362</v>
      </c>
      <c r="B44">
        <v>300.29000000000002</v>
      </c>
      <c r="C44">
        <v>302.29000000000002</v>
      </c>
      <c r="G44">
        <f t="shared" si="6"/>
        <v>406.77917107114899</v>
      </c>
      <c r="H44">
        <f t="shared" si="7"/>
        <v>489.78917004502529</v>
      </c>
      <c r="I44">
        <f t="shared" si="8"/>
        <v>560.11893435257787</v>
      </c>
      <c r="J44">
        <f t="shared" si="9"/>
        <v>792.40449880660753</v>
      </c>
      <c r="K44">
        <f t="shared" si="10"/>
        <v>854.72197405016618</v>
      </c>
      <c r="L44">
        <f t="shared" si="11"/>
        <v>300.6022406062832</v>
      </c>
      <c r="M44">
        <f t="shared" si="12"/>
        <v>1.4277593937167694</v>
      </c>
      <c r="N44">
        <f t="shared" si="13"/>
        <v>2.038496886346477</v>
      </c>
    </row>
    <row r="45" spans="1:14" x14ac:dyDescent="0.45">
      <c r="A45" s="23">
        <v>42361</v>
      </c>
      <c r="B45">
        <v>303.79000000000002</v>
      </c>
      <c r="C45">
        <v>300.19</v>
      </c>
      <c r="G45">
        <f t="shared" si="6"/>
        <v>404.29647950784471</v>
      </c>
      <c r="H45">
        <f t="shared" si="7"/>
        <v>486.52555272505668</v>
      </c>
      <c r="I45">
        <f t="shared" si="8"/>
        <v>557.75269094795897</v>
      </c>
      <c r="J45">
        <f t="shared" si="9"/>
        <v>787.62350789759455</v>
      </c>
      <c r="K45">
        <f t="shared" si="10"/>
        <v>848.00125138217982</v>
      </c>
      <c r="L45">
        <f t="shared" si="11"/>
        <v>299.08976563226588</v>
      </c>
      <c r="M45">
        <f t="shared" si="12"/>
        <v>1.2002343677341401</v>
      </c>
      <c r="N45">
        <f t="shared" si="13"/>
        <v>1.4405625374901709</v>
      </c>
    </row>
    <row r="46" spans="1:14" x14ac:dyDescent="0.45">
      <c r="A46" s="23">
        <v>42360</v>
      </c>
      <c r="B46">
        <v>298</v>
      </c>
      <c r="C46">
        <v>300.77</v>
      </c>
      <c r="G46">
        <f t="shared" si="6"/>
        <v>402.49262591674926</v>
      </c>
      <c r="H46">
        <f t="shared" si="7"/>
        <v>484.47667039031666</v>
      </c>
      <c r="I46">
        <f t="shared" si="8"/>
        <v>553.20017141756796</v>
      </c>
      <c r="J46">
        <f t="shared" si="9"/>
        <v>783.10051237623463</v>
      </c>
      <c r="K46">
        <f t="shared" si="10"/>
        <v>845.31189601431993</v>
      </c>
      <c r="L46">
        <f t="shared" si="11"/>
        <v>297.37139164489298</v>
      </c>
      <c r="M46">
        <f t="shared" si="12"/>
        <v>6.4186083551070396</v>
      </c>
      <c r="N46">
        <f t="shared" si="13"/>
        <v>41.198533216249899</v>
      </c>
    </row>
    <row r="47" spans="1:14" x14ac:dyDescent="0.45">
      <c r="A47" s="23">
        <v>42359</v>
      </c>
      <c r="B47">
        <v>294.83999999999997</v>
      </c>
      <c r="C47">
        <v>297.56</v>
      </c>
      <c r="G47">
        <f t="shared" si="6"/>
        <v>401.09005371294154</v>
      </c>
      <c r="H47">
        <f t="shared" si="7"/>
        <v>482.76845368762588</v>
      </c>
      <c r="I47">
        <f t="shared" si="8"/>
        <v>550.67836137522909</v>
      </c>
      <c r="J47">
        <f t="shared" si="9"/>
        <v>780.62377998068837</v>
      </c>
      <c r="K47">
        <f t="shared" si="10"/>
        <v>843.62105528744951</v>
      </c>
      <c r="L47">
        <f t="shared" si="11"/>
        <v>296.31365114113322</v>
      </c>
      <c r="M47">
        <f t="shared" si="12"/>
        <v>1.6863488588667792</v>
      </c>
      <c r="N47">
        <f t="shared" si="13"/>
        <v>2.8437724738012884</v>
      </c>
    </row>
    <row r="48" spans="1:14" x14ac:dyDescent="0.45">
      <c r="A48" s="23">
        <v>42356</v>
      </c>
      <c r="B48">
        <v>294.8</v>
      </c>
      <c r="C48">
        <v>293.37</v>
      </c>
      <c r="G48">
        <f t="shared" si="6"/>
        <v>397.98417714492587</v>
      </c>
      <c r="H48">
        <f t="shared" si="7"/>
        <v>479.18445480124944</v>
      </c>
      <c r="I48">
        <f t="shared" si="8"/>
        <v>547.71758658441684</v>
      </c>
      <c r="J48">
        <f t="shared" si="9"/>
        <v>775.08692208219054</v>
      </c>
      <c r="K48">
        <f t="shared" si="10"/>
        <v>836.78882442571808</v>
      </c>
      <c r="L48">
        <f t="shared" si="11"/>
        <v>294.5437772431689</v>
      </c>
      <c r="M48">
        <f t="shared" si="12"/>
        <v>0.29622275683107091</v>
      </c>
      <c r="N48">
        <f t="shared" si="13"/>
        <v>8.7747921664599771E-2</v>
      </c>
    </row>
    <row r="49" spans="1:14" x14ac:dyDescent="0.45">
      <c r="A49" s="23">
        <v>42355</v>
      </c>
      <c r="B49">
        <v>299.04000000000002</v>
      </c>
      <c r="C49">
        <v>297.17</v>
      </c>
      <c r="G49">
        <f t="shared" si="6"/>
        <v>393.21245899912049</v>
      </c>
      <c r="H49">
        <f t="shared" si="7"/>
        <v>473.14161866076097</v>
      </c>
      <c r="I49">
        <f t="shared" si="8"/>
        <v>542.21435345053033</v>
      </c>
      <c r="J49">
        <f t="shared" si="9"/>
        <v>765.45620327882864</v>
      </c>
      <c r="K49">
        <f t="shared" si="10"/>
        <v>825.00395971770627</v>
      </c>
      <c r="L49">
        <f t="shared" si="11"/>
        <v>291.45812831315902</v>
      </c>
      <c r="M49">
        <f t="shared" si="12"/>
        <v>3.3418716868409888</v>
      </c>
      <c r="N49">
        <f t="shared" si="13"/>
        <v>11.168106371309436</v>
      </c>
    </row>
    <row r="50" spans="1:14" x14ac:dyDescent="0.45">
      <c r="A50" s="23">
        <v>42354</v>
      </c>
      <c r="B50">
        <v>292.23</v>
      </c>
      <c r="C50">
        <v>299.29000000000002</v>
      </c>
      <c r="G50">
        <f t="shared" si="6"/>
        <v>388.74827747450763</v>
      </c>
      <c r="H50">
        <f t="shared" si="7"/>
        <v>467.77560018708272</v>
      </c>
      <c r="I50">
        <f t="shared" si="8"/>
        <v>535.57981194699892</v>
      </c>
      <c r="J50">
        <f t="shared" si="9"/>
        <v>756.7945516665884</v>
      </c>
      <c r="K50">
        <f t="shared" si="10"/>
        <v>815.57826372138186</v>
      </c>
      <c r="L50">
        <f t="shared" si="11"/>
        <v>288.27905298449014</v>
      </c>
      <c r="M50">
        <f t="shared" si="12"/>
        <v>10.760947015509885</v>
      </c>
      <c r="N50">
        <f t="shared" si="13"/>
        <v>115.7979806706111</v>
      </c>
    </row>
    <row r="51" spans="1:14" x14ac:dyDescent="0.45">
      <c r="A51" s="23">
        <v>42353</v>
      </c>
      <c r="B51">
        <v>285.01</v>
      </c>
      <c r="C51">
        <v>289.11</v>
      </c>
      <c r="G51">
        <f t="shared" si="6"/>
        <v>387.23479868523731</v>
      </c>
      <c r="H51">
        <f t="shared" si="7"/>
        <v>466.1250839866334</v>
      </c>
      <c r="I51">
        <f t="shared" si="8"/>
        <v>533.31356300131756</v>
      </c>
      <c r="J51">
        <f t="shared" si="9"/>
        <v>754.4976736752094</v>
      </c>
      <c r="K51">
        <f t="shared" si="10"/>
        <v>812.95998722546153</v>
      </c>
      <c r="L51">
        <f t="shared" si="11"/>
        <v>287.24024967511133</v>
      </c>
      <c r="M51">
        <f t="shared" si="12"/>
        <v>4.9897503248886892</v>
      </c>
      <c r="N51">
        <f t="shared" si="13"/>
        <v>24.897608304726781</v>
      </c>
    </row>
    <row r="52" spans="1:14" x14ac:dyDescent="0.45">
      <c r="A52" s="23">
        <v>42352</v>
      </c>
      <c r="B52">
        <v>283.77</v>
      </c>
      <c r="C52">
        <v>282.39</v>
      </c>
      <c r="G52">
        <f t="shared" si="6"/>
        <v>387.47345881645407</v>
      </c>
      <c r="H52">
        <f t="shared" si="7"/>
        <v>466.52262621389718</v>
      </c>
      <c r="I52">
        <f t="shared" si="8"/>
        <v>532.3643757847525</v>
      </c>
      <c r="J52">
        <f t="shared" si="9"/>
        <v>754.19567025243634</v>
      </c>
      <c r="K52">
        <f t="shared" si="10"/>
        <v>814.41716205541843</v>
      </c>
      <c r="L52">
        <f t="shared" si="11"/>
        <v>287.11881754282263</v>
      </c>
      <c r="M52">
        <f t="shared" si="12"/>
        <v>-2.108817542822635</v>
      </c>
      <c r="N52">
        <f t="shared" si="13"/>
        <v>4.4471114289164957</v>
      </c>
    </row>
    <row r="53" spans="1:14" x14ac:dyDescent="0.45">
      <c r="A53" s="23">
        <v>42349</v>
      </c>
      <c r="B53">
        <v>285.54000000000002</v>
      </c>
      <c r="C53">
        <v>283.45999999999998</v>
      </c>
      <c r="G53">
        <f t="shared" si="6"/>
        <v>386.55700853989038</v>
      </c>
      <c r="H53">
        <f t="shared" si="7"/>
        <v>465.28202220016624</v>
      </c>
      <c r="I53">
        <f t="shared" si="8"/>
        <v>532.69477984677724</v>
      </c>
      <c r="J53">
        <f t="shared" si="9"/>
        <v>753.4680443226946</v>
      </c>
      <c r="K53">
        <f t="shared" si="10"/>
        <v>811.85498403885958</v>
      </c>
      <c r="L53">
        <f t="shared" si="11"/>
        <v>286.87345857501577</v>
      </c>
      <c r="M53">
        <f t="shared" si="12"/>
        <v>-3.103458575015793</v>
      </c>
      <c r="N53">
        <f t="shared" si="13"/>
        <v>9.6314551268390574</v>
      </c>
    </row>
    <row r="54" spans="1:14" x14ac:dyDescent="0.45">
      <c r="A54" s="23">
        <v>42348</v>
      </c>
      <c r="B54">
        <v>285.36</v>
      </c>
      <c r="C54">
        <v>289.88</v>
      </c>
      <c r="G54">
        <f t="shared" si="6"/>
        <v>384.99924913251152</v>
      </c>
      <c r="H54">
        <f t="shared" si="7"/>
        <v>463.55017424875575</v>
      </c>
      <c r="I54">
        <f t="shared" si="8"/>
        <v>529.27971123918246</v>
      </c>
      <c r="J54">
        <f t="shared" si="9"/>
        <v>749.05416391525557</v>
      </c>
      <c r="K54">
        <f t="shared" si="10"/>
        <v>808.90600898494813</v>
      </c>
      <c r="L54">
        <f t="shared" si="11"/>
        <v>285.5011236365026</v>
      </c>
      <c r="M54">
        <f t="shared" si="12"/>
        <v>3.8876363497422517E-2</v>
      </c>
      <c r="N54">
        <f t="shared" si="13"/>
        <v>1.5113716387837259E-3</v>
      </c>
    </row>
    <row r="55" spans="1:14" x14ac:dyDescent="0.45">
      <c r="A55" s="23">
        <v>42347</v>
      </c>
      <c r="B55">
        <v>286.20999999999998</v>
      </c>
      <c r="C55">
        <v>284.61</v>
      </c>
      <c r="G55">
        <f t="shared" si="6"/>
        <v>382.65224695988326</v>
      </c>
      <c r="H55">
        <f t="shared" si="7"/>
        <v>460.37724940292134</v>
      </c>
      <c r="I55">
        <f t="shared" si="8"/>
        <v>528.10821530370549</v>
      </c>
      <c r="J55">
        <f t="shared" si="9"/>
        <v>746.0377709487276</v>
      </c>
      <c r="K55">
        <f t="shared" si="10"/>
        <v>802.7273265519043</v>
      </c>
      <c r="L55">
        <f t="shared" si="11"/>
        <v>284.35441794321997</v>
      </c>
      <c r="M55">
        <f t="shared" si="12"/>
        <v>1.0055820567800424</v>
      </c>
      <c r="N55">
        <f t="shared" si="13"/>
        <v>1.0111952729179805</v>
      </c>
    </row>
    <row r="56" spans="1:14" x14ac:dyDescent="0.45">
      <c r="A56" s="23">
        <v>42346</v>
      </c>
      <c r="B56">
        <v>279.89</v>
      </c>
      <c r="C56">
        <v>288.45999999999998</v>
      </c>
      <c r="G56">
        <f t="shared" si="6"/>
        <v>382.32251694495494</v>
      </c>
      <c r="H56">
        <f t="shared" si="7"/>
        <v>460.45528159027242</v>
      </c>
      <c r="I56">
        <f t="shared" si="8"/>
        <v>527.57853555156021</v>
      </c>
      <c r="J56">
        <f t="shared" si="9"/>
        <v>745.43985879540037</v>
      </c>
      <c r="K56">
        <f t="shared" si="10"/>
        <v>801.92888831975074</v>
      </c>
      <c r="L56">
        <f t="shared" si="11"/>
        <v>284.15042318449707</v>
      </c>
      <c r="M56">
        <f t="shared" si="12"/>
        <v>2.0595768155029077</v>
      </c>
      <c r="N56">
        <f t="shared" si="13"/>
        <v>4.2418566589570981</v>
      </c>
    </row>
    <row r="57" spans="1:14" x14ac:dyDescent="0.45">
      <c r="A57" s="23">
        <v>42345</v>
      </c>
      <c r="B57">
        <v>283.31</v>
      </c>
      <c r="C57">
        <v>281.63</v>
      </c>
      <c r="G57">
        <f t="shared" si="6"/>
        <v>384.86844372311191</v>
      </c>
      <c r="H57">
        <f t="shared" si="7"/>
        <v>463.15470294635873</v>
      </c>
      <c r="I57">
        <f t="shared" si="8"/>
        <v>530.01956001972644</v>
      </c>
      <c r="J57">
        <f t="shared" si="9"/>
        <v>749.76012672720333</v>
      </c>
      <c r="K57">
        <f t="shared" si="10"/>
        <v>807.23145598152712</v>
      </c>
      <c r="L57">
        <f t="shared" si="11"/>
        <v>285.56777563791019</v>
      </c>
      <c r="M57">
        <f t="shared" si="12"/>
        <v>-5.6777756379102016</v>
      </c>
      <c r="N57">
        <f t="shared" si="13"/>
        <v>32.237136194446599</v>
      </c>
    </row>
    <row r="58" spans="1:14" x14ac:dyDescent="0.45">
      <c r="A58" s="23">
        <v>42342</v>
      </c>
      <c r="B58">
        <v>277</v>
      </c>
      <c r="C58">
        <v>284.45</v>
      </c>
      <c r="G58">
        <f t="shared" si="6"/>
        <v>388.40301819679775</v>
      </c>
      <c r="H58">
        <f t="shared" si="7"/>
        <v>467.80856882087522</v>
      </c>
      <c r="I58">
        <f t="shared" si="8"/>
        <v>535.05055624688612</v>
      </c>
      <c r="J58">
        <f t="shared" si="9"/>
        <v>757.86508129692766</v>
      </c>
      <c r="K58">
        <f t="shared" si="10"/>
        <v>815.7666542345379</v>
      </c>
      <c r="L58">
        <f t="shared" si="11"/>
        <v>288.11554489905564</v>
      </c>
      <c r="M58">
        <f t="shared" si="12"/>
        <v>-4.8055448990556329</v>
      </c>
      <c r="N58">
        <f t="shared" si="13"/>
        <v>23.093261776839611</v>
      </c>
    </row>
    <row r="59" spans="1:14" x14ac:dyDescent="0.45">
      <c r="A59" s="23">
        <v>42341</v>
      </c>
      <c r="B59">
        <v>284.22000000000003</v>
      </c>
      <c r="C59">
        <v>275.44</v>
      </c>
      <c r="G59">
        <f t="shared" si="6"/>
        <v>393.19842642373902</v>
      </c>
      <c r="H59">
        <f t="shared" si="7"/>
        <v>473.55073374483516</v>
      </c>
      <c r="I59">
        <f t="shared" si="8"/>
        <v>541.27823687022749</v>
      </c>
      <c r="J59">
        <f t="shared" si="9"/>
        <v>766.36411810873938</v>
      </c>
      <c r="K59">
        <f t="shared" si="10"/>
        <v>825.76639715720682</v>
      </c>
      <c r="L59">
        <f t="shared" si="11"/>
        <v>291.28329743804221</v>
      </c>
      <c r="M59">
        <f t="shared" si="12"/>
        <v>-14.283297438042212</v>
      </c>
      <c r="N59">
        <f t="shared" si="13"/>
        <v>204.0125857035832</v>
      </c>
    </row>
    <row r="60" spans="1:14" x14ac:dyDescent="0.45">
      <c r="A60" s="23">
        <v>42340</v>
      </c>
      <c r="B60">
        <v>289.14</v>
      </c>
      <c r="C60">
        <v>284.95999999999998</v>
      </c>
      <c r="G60">
        <f t="shared" si="6"/>
        <v>395.73202473545518</v>
      </c>
      <c r="H60">
        <f t="shared" si="7"/>
        <v>476.39581373496731</v>
      </c>
      <c r="I60">
        <f t="shared" si="8"/>
        <v>544.20979532786032</v>
      </c>
      <c r="J60">
        <f t="shared" si="9"/>
        <v>770.76905283164194</v>
      </c>
      <c r="K60">
        <f t="shared" si="10"/>
        <v>831.35293839940709</v>
      </c>
      <c r="L60">
        <f t="shared" si="11"/>
        <v>292.85736933545979</v>
      </c>
      <c r="M60">
        <f t="shared" si="12"/>
        <v>-8.6373693354597663</v>
      </c>
      <c r="N60">
        <f t="shared" si="13"/>
        <v>74.604149037140687</v>
      </c>
    </row>
    <row r="61" spans="1:14" x14ac:dyDescent="0.45">
      <c r="A61" s="23">
        <v>42339</v>
      </c>
      <c r="B61">
        <v>289.3</v>
      </c>
      <c r="C61">
        <v>290.04000000000002</v>
      </c>
      <c r="G61">
        <f t="shared" si="6"/>
        <v>396.43427119093013</v>
      </c>
      <c r="H61">
        <f t="shared" si="7"/>
        <v>477.34101385799568</v>
      </c>
      <c r="I61">
        <f t="shared" si="8"/>
        <v>545.83348372275043</v>
      </c>
      <c r="J61">
        <f t="shared" si="9"/>
        <v>772.66021192134201</v>
      </c>
      <c r="K61">
        <f t="shared" si="10"/>
        <v>832.92061065204291</v>
      </c>
      <c r="L61">
        <f t="shared" si="11"/>
        <v>293.5255772702543</v>
      </c>
      <c r="M61">
        <f t="shared" si="12"/>
        <v>-4.3855772702543163</v>
      </c>
      <c r="N61">
        <f t="shared" si="13"/>
        <v>19.233287993371302</v>
      </c>
    </row>
    <row r="62" spans="1:14" x14ac:dyDescent="0.45">
      <c r="A62" s="23">
        <v>42338</v>
      </c>
      <c r="B62">
        <v>293.16000000000003</v>
      </c>
      <c r="C62">
        <v>286.86</v>
      </c>
      <c r="G62">
        <f t="shared" si="6"/>
        <v>396.35029758580907</v>
      </c>
      <c r="H62">
        <f t="shared" si="7"/>
        <v>477.15191368021095</v>
      </c>
      <c r="I62">
        <f t="shared" si="8"/>
        <v>545.78231269079174</v>
      </c>
      <c r="J62">
        <f t="shared" si="9"/>
        <v>771.94303597817702</v>
      </c>
      <c r="K62">
        <f t="shared" si="10"/>
        <v>832.23371469512347</v>
      </c>
      <c r="L62">
        <f t="shared" si="11"/>
        <v>293.45287409771618</v>
      </c>
      <c r="M62">
        <f t="shared" si="12"/>
        <v>-4.1528740977161647</v>
      </c>
      <c r="N62">
        <f t="shared" si="13"/>
        <v>17.246363271481847</v>
      </c>
    </row>
    <row r="63" spans="1:14" x14ac:dyDescent="0.45">
      <c r="A63" s="23">
        <v>42335</v>
      </c>
      <c r="B63">
        <v>292.97000000000003</v>
      </c>
      <c r="C63">
        <v>293.20999999999998</v>
      </c>
      <c r="G63">
        <f t="shared" si="6"/>
        <v>395.42807203795337</v>
      </c>
      <c r="H63">
        <f t="shared" si="7"/>
        <v>475.92922721027145</v>
      </c>
      <c r="I63">
        <f t="shared" si="8"/>
        <v>544.78322847106733</v>
      </c>
      <c r="J63">
        <f t="shared" si="9"/>
        <v>770.37640571705526</v>
      </c>
      <c r="K63">
        <f t="shared" si="10"/>
        <v>829.98275406244511</v>
      </c>
      <c r="L63">
        <f t="shared" si="11"/>
        <v>292.86960664867752</v>
      </c>
      <c r="M63">
        <f t="shared" si="12"/>
        <v>0.29039335132250699</v>
      </c>
      <c r="N63">
        <f t="shared" si="13"/>
        <v>8.4328298492316975E-2</v>
      </c>
    </row>
    <row r="64" spans="1:14" x14ac:dyDescent="0.45">
      <c r="A64" s="23">
        <v>42333</v>
      </c>
      <c r="B64">
        <v>290</v>
      </c>
      <c r="C64">
        <v>292.3</v>
      </c>
      <c r="G64">
        <f t="shared" si="6"/>
        <v>395.29936311289401</v>
      </c>
      <c r="H64">
        <f t="shared" si="7"/>
        <v>475.92610094576946</v>
      </c>
      <c r="I64">
        <f t="shared" si="8"/>
        <v>544.34159490149978</v>
      </c>
      <c r="J64">
        <f t="shared" si="9"/>
        <v>770.17716202340773</v>
      </c>
      <c r="K64">
        <f t="shared" si="10"/>
        <v>830.0106045791448</v>
      </c>
      <c r="L64">
        <f t="shared" si="11"/>
        <v>292.74015402055204</v>
      </c>
      <c r="M64">
        <f t="shared" si="12"/>
        <v>0.22984597944798679</v>
      </c>
      <c r="N64">
        <f t="shared" si="13"/>
        <v>5.2829174268404368E-2</v>
      </c>
    </row>
    <row r="65" spans="1:14" x14ac:dyDescent="0.45">
      <c r="A65" s="23">
        <v>42332</v>
      </c>
      <c r="B65">
        <v>290.95999999999998</v>
      </c>
      <c r="C65">
        <v>289.14999999999998</v>
      </c>
      <c r="G65">
        <f t="shared" si="6"/>
        <v>395.31537465195822</v>
      </c>
      <c r="H65">
        <f t="shared" si="7"/>
        <v>475.87524674286971</v>
      </c>
      <c r="I65">
        <f t="shared" si="8"/>
        <v>542.27536855789037</v>
      </c>
      <c r="J65">
        <f t="shared" si="9"/>
        <v>768.76170183180488</v>
      </c>
      <c r="K65">
        <f t="shared" si="10"/>
        <v>831.31387458764414</v>
      </c>
      <c r="L65">
        <f t="shared" si="11"/>
        <v>292.24827253521909</v>
      </c>
      <c r="M65">
        <f t="shared" si="12"/>
        <v>-2.2482725352190869</v>
      </c>
      <c r="N65">
        <f t="shared" si="13"/>
        <v>5.0547293926204606</v>
      </c>
    </row>
    <row r="66" spans="1:14" x14ac:dyDescent="0.45">
      <c r="A66" s="23">
        <v>42331</v>
      </c>
      <c r="B66">
        <v>290.39999999999998</v>
      </c>
      <c r="C66">
        <v>294.25</v>
      </c>
      <c r="G66">
        <f t="shared" ref="G66:K66" si="14">SUMPRODUCT($B66:$B70,P$2:P$6)</f>
        <v>392.80561277430593</v>
      </c>
      <c r="H66">
        <f t="shared" si="14"/>
        <v>472.80643486925328</v>
      </c>
      <c r="I66">
        <f t="shared" si="14"/>
        <v>541.17795121044787</v>
      </c>
      <c r="J66">
        <f t="shared" si="14"/>
        <v>765.68846448138197</v>
      </c>
      <c r="K66">
        <f t="shared" si="14"/>
        <v>825.52056634222401</v>
      </c>
      <c r="L66">
        <f t="shared" ref="L66:L129" si="15">(G66+$P$7)*$U$2+(H66+$Q$7)*$U$3+(I66+$R$7)*$U$4+(J66+$S$7)*$U$5+(K66+$T$7)*$U$6+$U$7</f>
        <v>291.1330527377857</v>
      </c>
      <c r="M66">
        <f t="shared" si="12"/>
        <v>-0.17305273778572428</v>
      </c>
      <c r="N66">
        <f t="shared" si="13"/>
        <v>2.9947250055134642E-2</v>
      </c>
    </row>
    <row r="67" spans="1:14" x14ac:dyDescent="0.45">
      <c r="A67" s="23">
        <v>42328</v>
      </c>
      <c r="B67">
        <v>291.85000000000002</v>
      </c>
      <c r="C67">
        <v>290.16000000000003</v>
      </c>
      <c r="G67">
        <f t="shared" ref="G67:K67" si="16">SUMPRODUCT($B67:$B71,P$2:P$6)</f>
        <v>389.84745530807095</v>
      </c>
      <c r="H67">
        <f t="shared" si="16"/>
        <v>469.37531892149565</v>
      </c>
      <c r="I67">
        <f t="shared" si="16"/>
        <v>537.59503929634047</v>
      </c>
      <c r="J67">
        <f t="shared" si="16"/>
        <v>759.21699202187779</v>
      </c>
      <c r="K67">
        <f t="shared" si="16"/>
        <v>818.10532151710208</v>
      </c>
      <c r="L67">
        <f t="shared" si="15"/>
        <v>289.20010061208831</v>
      </c>
      <c r="M67">
        <f t="shared" ref="M67:M130" si="17">B66-L67</f>
        <v>1.1998993879116711</v>
      </c>
      <c r="N67">
        <f t="shared" ref="N67:N130" si="18">M67^2</f>
        <v>1.4397585411108029</v>
      </c>
    </row>
    <row r="68" spans="1:14" x14ac:dyDescent="0.45">
      <c r="A68" s="23">
        <v>42327</v>
      </c>
      <c r="B68">
        <v>292</v>
      </c>
      <c r="C68">
        <v>289.44</v>
      </c>
      <c r="G68">
        <f t="shared" ref="G68:K68" si="19">SUMPRODUCT($B68:$B72,P$2:P$6)</f>
        <v>387.50588209483482</v>
      </c>
      <c r="H68">
        <f t="shared" si="19"/>
        <v>466.13808542310966</v>
      </c>
      <c r="I68">
        <f t="shared" si="19"/>
        <v>534.61636031961029</v>
      </c>
      <c r="J68">
        <f t="shared" si="19"/>
        <v>754.86671389596438</v>
      </c>
      <c r="K68">
        <f t="shared" si="19"/>
        <v>812.15064290947089</v>
      </c>
      <c r="L68">
        <f t="shared" si="15"/>
        <v>287.57744842136367</v>
      </c>
      <c r="M68">
        <f t="shared" si="17"/>
        <v>4.272551578636353</v>
      </c>
      <c r="N68">
        <f t="shared" si="18"/>
        <v>18.254696992107991</v>
      </c>
    </row>
    <row r="69" spans="1:14" x14ac:dyDescent="0.45">
      <c r="A69" s="23">
        <v>42326</v>
      </c>
      <c r="B69">
        <v>280.64999999999998</v>
      </c>
      <c r="C69">
        <v>291.98</v>
      </c>
      <c r="G69">
        <f t="shared" ref="G69:K69" si="20">SUMPRODUCT($B69:$B73,P$2:P$6)</f>
        <v>388.21438211445627</v>
      </c>
      <c r="H69">
        <f t="shared" si="20"/>
        <v>467.50823058612571</v>
      </c>
      <c r="I69">
        <f t="shared" si="20"/>
        <v>534.85752379394864</v>
      </c>
      <c r="J69">
        <f t="shared" si="20"/>
        <v>756.94959223257365</v>
      </c>
      <c r="K69">
        <f t="shared" si="20"/>
        <v>814.87906615836891</v>
      </c>
      <c r="L69">
        <f t="shared" si="15"/>
        <v>287.97431732975321</v>
      </c>
      <c r="M69">
        <f t="shared" si="17"/>
        <v>4.0256826702467947</v>
      </c>
      <c r="N69">
        <f t="shared" si="18"/>
        <v>16.206120961525365</v>
      </c>
    </row>
    <row r="70" spans="1:14" x14ac:dyDescent="0.45">
      <c r="A70" s="23">
        <v>42325</v>
      </c>
      <c r="B70">
        <v>284.2</v>
      </c>
      <c r="C70">
        <v>279.49</v>
      </c>
      <c r="G70">
        <f t="shared" ref="G70:K70" si="21">SUMPRODUCT($B70:$B74,P$2:P$6)</f>
        <v>392.34878232567524</v>
      </c>
      <c r="H70">
        <f t="shared" si="21"/>
        <v>472.40265667538102</v>
      </c>
      <c r="I70">
        <f t="shared" si="21"/>
        <v>541.02788792976366</v>
      </c>
      <c r="J70">
        <f t="shared" si="21"/>
        <v>765.36722330255964</v>
      </c>
      <c r="K70">
        <f t="shared" si="21"/>
        <v>823.23287284754656</v>
      </c>
      <c r="L70">
        <f t="shared" si="15"/>
        <v>290.90053658649845</v>
      </c>
      <c r="M70">
        <f t="shared" si="17"/>
        <v>-10.25053658649847</v>
      </c>
      <c r="N70">
        <f t="shared" si="18"/>
        <v>105.0735003111437</v>
      </c>
    </row>
    <row r="71" spans="1:14" x14ac:dyDescent="0.45">
      <c r="A71" s="23">
        <v>42324</v>
      </c>
      <c r="B71">
        <v>285.93</v>
      </c>
      <c r="C71">
        <v>283.52999999999997</v>
      </c>
      <c r="G71">
        <f t="shared" ref="G71:K71" si="22">SUMPRODUCT($B71:$B75,P$2:P$6)</f>
        <v>396.69009968098209</v>
      </c>
      <c r="H71">
        <f t="shared" si="22"/>
        <v>477.74429168282501</v>
      </c>
      <c r="I71">
        <f t="shared" si="22"/>
        <v>545.46348876284662</v>
      </c>
      <c r="J71">
        <f t="shared" si="22"/>
        <v>772.81571544055748</v>
      </c>
      <c r="K71">
        <f t="shared" si="22"/>
        <v>833.29347869522519</v>
      </c>
      <c r="L71">
        <f t="shared" si="15"/>
        <v>293.50967870665386</v>
      </c>
      <c r="M71">
        <f t="shared" si="17"/>
        <v>-9.3096787066538695</v>
      </c>
      <c r="N71">
        <f t="shared" si="18"/>
        <v>86.670117621124461</v>
      </c>
    </row>
    <row r="72" spans="1:14" x14ac:dyDescent="0.45">
      <c r="A72" s="23">
        <v>42321</v>
      </c>
      <c r="B72">
        <v>290.18</v>
      </c>
      <c r="C72">
        <v>284.83999999999997</v>
      </c>
      <c r="G72">
        <f t="shared" ref="G72:K72" si="23">SUMPRODUCT($B72:$B76,P$2:P$6)</f>
        <v>399.72128339696604</v>
      </c>
      <c r="H72">
        <f t="shared" si="23"/>
        <v>481.23210087891528</v>
      </c>
      <c r="I72">
        <f t="shared" si="23"/>
        <v>549.954114079801</v>
      </c>
      <c r="J72">
        <f t="shared" si="23"/>
        <v>779.05164500913895</v>
      </c>
      <c r="K72">
        <f t="shared" si="23"/>
        <v>839.91149087045494</v>
      </c>
      <c r="L72">
        <f t="shared" si="15"/>
        <v>295.65956811687545</v>
      </c>
      <c r="M72">
        <f t="shared" si="17"/>
        <v>-9.7295681168754413</v>
      </c>
      <c r="N72">
        <f t="shared" si="18"/>
        <v>94.664495740919122</v>
      </c>
    </row>
    <row r="73" spans="1:14" x14ac:dyDescent="0.45">
      <c r="A73" s="23">
        <v>42320</v>
      </c>
      <c r="B73">
        <v>292.5</v>
      </c>
      <c r="C73">
        <v>291.33</v>
      </c>
      <c r="G73">
        <f t="shared" ref="G73:K73" si="24">SUMPRODUCT($B73:$B77,P$2:P$6)</f>
        <v>400.86583470767113</v>
      </c>
      <c r="H73">
        <f t="shared" si="24"/>
        <v>482.7596259269086</v>
      </c>
      <c r="I73">
        <f t="shared" si="24"/>
        <v>551.7354049485258</v>
      </c>
      <c r="J73">
        <f t="shared" si="24"/>
        <v>781.03520930274635</v>
      </c>
      <c r="K73">
        <f t="shared" si="24"/>
        <v>842.33452996887627</v>
      </c>
      <c r="L73">
        <f t="shared" si="15"/>
        <v>296.51104998793426</v>
      </c>
      <c r="M73">
        <f t="shared" si="17"/>
        <v>-6.3310499879342501</v>
      </c>
      <c r="N73">
        <f t="shared" si="18"/>
        <v>40.082193949722267</v>
      </c>
    </row>
    <row r="74" spans="1:14" x14ac:dyDescent="0.45">
      <c r="A74" s="23">
        <v>42319</v>
      </c>
      <c r="B74">
        <v>297.94</v>
      </c>
      <c r="C74">
        <v>293.89</v>
      </c>
      <c r="G74">
        <f t="shared" ref="G74:K74" si="25">SUMPRODUCT($B74:$B78,P$2:P$6)</f>
        <v>400.40099495009849</v>
      </c>
      <c r="H74">
        <f t="shared" si="25"/>
        <v>481.89409606435265</v>
      </c>
      <c r="I74">
        <f t="shared" si="25"/>
        <v>551.62433833598539</v>
      </c>
      <c r="J74">
        <f t="shared" si="25"/>
        <v>779.91071418026092</v>
      </c>
      <c r="K74">
        <f t="shared" si="25"/>
        <v>840.44278277858939</v>
      </c>
      <c r="L74">
        <f t="shared" si="15"/>
        <v>296.26170580026582</v>
      </c>
      <c r="M74">
        <f t="shared" si="17"/>
        <v>-3.7617058002658155</v>
      </c>
      <c r="N74">
        <f t="shared" si="18"/>
        <v>14.150430527753478</v>
      </c>
    </row>
    <row r="75" spans="1:14" x14ac:dyDescent="0.45">
      <c r="A75" s="23">
        <v>42318</v>
      </c>
      <c r="B75">
        <v>294.36</v>
      </c>
      <c r="C75">
        <v>297.22000000000003</v>
      </c>
      <c r="G75">
        <f t="shared" ref="G75:K75" si="26">SUMPRODUCT($B75:$B79,P$2:P$6)</f>
        <v>399.65281050241322</v>
      </c>
      <c r="H75">
        <f t="shared" si="26"/>
        <v>481.12187994500408</v>
      </c>
      <c r="I75">
        <f t="shared" si="26"/>
        <v>551.36714175376869</v>
      </c>
      <c r="J75">
        <f t="shared" si="26"/>
        <v>779.23642748753298</v>
      </c>
      <c r="K75">
        <f t="shared" si="26"/>
        <v>838.45705568516576</v>
      </c>
      <c r="L75">
        <f t="shared" si="15"/>
        <v>295.94961344661067</v>
      </c>
      <c r="M75">
        <f t="shared" si="17"/>
        <v>1.9903865533893281</v>
      </c>
      <c r="N75">
        <f t="shared" si="18"/>
        <v>3.9616386319130488</v>
      </c>
    </row>
    <row r="76" spans="1:14" x14ac:dyDescent="0.45">
      <c r="A76" s="23">
        <v>42317</v>
      </c>
      <c r="B76">
        <v>294</v>
      </c>
      <c r="C76">
        <v>293.39999999999998</v>
      </c>
      <c r="G76">
        <f t="shared" ref="G76:K76" si="27">SUMPRODUCT($B76:$B80,P$2:P$6)</f>
        <v>401.34357514478688</v>
      </c>
      <c r="H76">
        <f t="shared" si="27"/>
        <v>483.18346671973302</v>
      </c>
      <c r="I76">
        <f t="shared" si="27"/>
        <v>553.12841992665994</v>
      </c>
      <c r="J76">
        <f t="shared" si="27"/>
        <v>782.19575175609975</v>
      </c>
      <c r="K76">
        <f t="shared" si="27"/>
        <v>841.96416835696425</v>
      </c>
      <c r="L76">
        <f t="shared" si="15"/>
        <v>296.95366202784692</v>
      </c>
      <c r="M76">
        <f t="shared" si="17"/>
        <v>-2.5936620278469036</v>
      </c>
      <c r="N76">
        <f t="shared" si="18"/>
        <v>6.7270827146949124</v>
      </c>
    </row>
    <row r="77" spans="1:14" x14ac:dyDescent="0.45">
      <c r="A77" s="23">
        <v>42314</v>
      </c>
      <c r="B77">
        <v>293.08999999999997</v>
      </c>
      <c r="C77">
        <v>295.35000000000002</v>
      </c>
      <c r="G77">
        <f t="shared" ref="G77:K77" si="28">SUMPRODUCT($B77:$B81,P$2:P$6)</f>
        <v>404.00192930220521</v>
      </c>
      <c r="H77">
        <f t="shared" si="28"/>
        <v>486.40181153489095</v>
      </c>
      <c r="I77">
        <f t="shared" si="28"/>
        <v>554.74340985811364</v>
      </c>
      <c r="J77">
        <f t="shared" si="28"/>
        <v>786.48232780711191</v>
      </c>
      <c r="K77">
        <f t="shared" si="28"/>
        <v>849.1046248831957</v>
      </c>
      <c r="L77">
        <f t="shared" si="15"/>
        <v>298.29927815622017</v>
      </c>
      <c r="M77">
        <f t="shared" si="17"/>
        <v>-4.2992781562201685</v>
      </c>
      <c r="N77">
        <f t="shared" si="18"/>
        <v>18.483792664551892</v>
      </c>
    </row>
    <row r="78" spans="1:14" x14ac:dyDescent="0.45">
      <c r="A78" s="23">
        <v>42313</v>
      </c>
      <c r="B78">
        <v>294.14999999999998</v>
      </c>
      <c r="C78">
        <v>293.02999999999997</v>
      </c>
      <c r="G78">
        <f t="shared" ref="G78:K78" si="29">SUMPRODUCT($B78:$B82,P$2:P$6)</f>
        <v>405.21921060549641</v>
      </c>
      <c r="H78">
        <f t="shared" si="29"/>
        <v>487.92496625443488</v>
      </c>
      <c r="I78">
        <f t="shared" si="29"/>
        <v>557.41115724797589</v>
      </c>
      <c r="J78">
        <f t="shared" si="29"/>
        <v>789.78358626730824</v>
      </c>
      <c r="K78">
        <f t="shared" si="29"/>
        <v>852.0786960418211</v>
      </c>
      <c r="L78">
        <f t="shared" si="15"/>
        <v>299.41933561360565</v>
      </c>
      <c r="M78">
        <f t="shared" si="17"/>
        <v>-6.3293356136056786</v>
      </c>
      <c r="N78">
        <f t="shared" si="18"/>
        <v>40.060489309657171</v>
      </c>
    </row>
    <row r="79" spans="1:14" x14ac:dyDescent="0.45">
      <c r="A79" s="23">
        <v>42312</v>
      </c>
      <c r="B79">
        <v>299.83999999999997</v>
      </c>
      <c r="C79">
        <v>296.57</v>
      </c>
      <c r="G79">
        <f t="shared" ref="G79:K79" si="30">SUMPRODUCT($B79:$B83,P$2:P$6)</f>
        <v>404.35690014666068</v>
      </c>
      <c r="H79">
        <f t="shared" si="30"/>
        <v>486.86116894447105</v>
      </c>
      <c r="I79">
        <f t="shared" si="30"/>
        <v>557.01347984258564</v>
      </c>
      <c r="J79">
        <f t="shared" si="30"/>
        <v>787.58456031456546</v>
      </c>
      <c r="K79">
        <f t="shared" si="30"/>
        <v>849.26103177386233</v>
      </c>
      <c r="L79">
        <f t="shared" si="15"/>
        <v>298.99094435314544</v>
      </c>
      <c r="M79">
        <f t="shared" si="17"/>
        <v>-4.8409443531454599</v>
      </c>
      <c r="N79">
        <f t="shared" si="18"/>
        <v>23.434742230250915</v>
      </c>
    </row>
    <row r="80" spans="1:14" x14ac:dyDescent="0.45">
      <c r="A80" s="23">
        <v>42311</v>
      </c>
      <c r="B80">
        <v>302.05</v>
      </c>
      <c r="C80">
        <v>299.14</v>
      </c>
      <c r="G80">
        <f t="shared" ref="G80:K80" si="31">SUMPRODUCT($B80:$B84,P$2:P$6)</f>
        <v>401.66321554839004</v>
      </c>
      <c r="H80">
        <f t="shared" si="31"/>
        <v>483.29586099651686</v>
      </c>
      <c r="I80">
        <f t="shared" si="31"/>
        <v>552.92899937395896</v>
      </c>
      <c r="J80">
        <f t="shared" si="31"/>
        <v>781.68489309597567</v>
      </c>
      <c r="K80">
        <f t="shared" si="31"/>
        <v>843.04003375119089</v>
      </c>
      <c r="L80">
        <f t="shared" si="15"/>
        <v>296.99419821759329</v>
      </c>
      <c r="M80">
        <f t="shared" si="17"/>
        <v>2.8458017824066815</v>
      </c>
      <c r="N80">
        <f t="shared" si="18"/>
        <v>8.0985877847490446</v>
      </c>
    </row>
    <row r="81" spans="1:14" x14ac:dyDescent="0.45">
      <c r="A81" s="23">
        <v>42310</v>
      </c>
      <c r="B81">
        <v>294.52</v>
      </c>
      <c r="C81">
        <v>303.08</v>
      </c>
      <c r="G81">
        <f t="shared" ref="G81:K81" si="32">SUMPRODUCT($B81:$B85,P$2:P$6)</f>
        <v>398.28213783545004</v>
      </c>
      <c r="H81">
        <f t="shared" si="32"/>
        <v>479.42230551964605</v>
      </c>
      <c r="I81">
        <f t="shared" si="32"/>
        <v>545.5312838040378</v>
      </c>
      <c r="J81">
        <f t="shared" si="32"/>
        <v>773.89769191154755</v>
      </c>
      <c r="K81">
        <f t="shared" si="32"/>
        <v>838.26642866466545</v>
      </c>
      <c r="L81">
        <f t="shared" si="15"/>
        <v>294.08465492550999</v>
      </c>
      <c r="M81">
        <f t="shared" si="17"/>
        <v>7.9653450744900169</v>
      </c>
      <c r="N81">
        <f t="shared" si="18"/>
        <v>63.446722155702375</v>
      </c>
    </row>
    <row r="82" spans="1:14" x14ac:dyDescent="0.45">
      <c r="A82" s="23">
        <v>42307</v>
      </c>
      <c r="B82">
        <v>294</v>
      </c>
      <c r="C82">
        <v>290.51</v>
      </c>
      <c r="G82">
        <f t="shared" ref="G82:K82" si="33">SUMPRODUCT($B82:$B86,P$2:P$6)</f>
        <v>393.06566521695817</v>
      </c>
      <c r="H82">
        <f t="shared" si="33"/>
        <v>473.03768877118682</v>
      </c>
      <c r="I82">
        <f t="shared" si="33"/>
        <v>541.61402030790919</v>
      </c>
      <c r="J82">
        <f t="shared" si="33"/>
        <v>765.99306471032219</v>
      </c>
      <c r="K82">
        <f t="shared" si="33"/>
        <v>826.32085502396399</v>
      </c>
      <c r="L82">
        <f t="shared" si="15"/>
        <v>291.33528905598104</v>
      </c>
      <c r="M82">
        <f t="shared" si="17"/>
        <v>3.1847109440189456</v>
      </c>
      <c r="N82">
        <f t="shared" si="18"/>
        <v>10.142383796954043</v>
      </c>
    </row>
    <row r="83" spans="1:14" x14ac:dyDescent="0.45">
      <c r="A83" s="23">
        <v>42306</v>
      </c>
      <c r="B83">
        <v>294.3</v>
      </c>
      <c r="C83">
        <v>293.72000000000003</v>
      </c>
      <c r="G83">
        <f t="shared" ref="G83:K83" si="34">SUMPRODUCT($B83:$B87,P$2:P$6)</f>
        <v>386.98360809622761</v>
      </c>
      <c r="H83">
        <f t="shared" si="34"/>
        <v>465.8547955897526</v>
      </c>
      <c r="I83">
        <f t="shared" si="34"/>
        <v>533.46584625625974</v>
      </c>
      <c r="J83">
        <f t="shared" si="34"/>
        <v>752.94288817713368</v>
      </c>
      <c r="K83">
        <f t="shared" si="34"/>
        <v>812.1284355226793</v>
      </c>
      <c r="L83">
        <f t="shared" si="15"/>
        <v>287.1900907676216</v>
      </c>
      <c r="M83">
        <f t="shared" si="17"/>
        <v>6.8099092323784021</v>
      </c>
      <c r="N83">
        <f t="shared" si="18"/>
        <v>46.374863753232596</v>
      </c>
    </row>
    <row r="84" spans="1:14" x14ac:dyDescent="0.45">
      <c r="A84" s="23">
        <v>42305</v>
      </c>
      <c r="B84">
        <v>291.95</v>
      </c>
      <c r="C84">
        <v>293.69</v>
      </c>
      <c r="G84">
        <f t="shared" ref="G84:K84" si="35">SUMPRODUCT($B84:$B88,P$2:P$6)</f>
        <v>381.25331367230103</v>
      </c>
      <c r="H84">
        <f t="shared" si="35"/>
        <v>458.43088455748602</v>
      </c>
      <c r="I84">
        <f t="shared" si="35"/>
        <v>524.8739925347852</v>
      </c>
      <c r="J84">
        <f t="shared" si="35"/>
        <v>741.50737073088055</v>
      </c>
      <c r="K84">
        <f t="shared" si="35"/>
        <v>799.62348052563857</v>
      </c>
      <c r="L84">
        <f t="shared" si="15"/>
        <v>283.0180649899574</v>
      </c>
      <c r="M84">
        <f t="shared" si="17"/>
        <v>11.281935010042616</v>
      </c>
      <c r="N84">
        <f t="shared" si="18"/>
        <v>127.28205757082529</v>
      </c>
    </row>
    <row r="85" spans="1:14" x14ac:dyDescent="0.45">
      <c r="A85" s="23">
        <v>42304</v>
      </c>
      <c r="B85">
        <v>276</v>
      </c>
      <c r="C85">
        <v>290.63</v>
      </c>
      <c r="G85">
        <f t="shared" ref="G85:K85" si="36">SUMPRODUCT($B85:$B89,P$2:P$6)</f>
        <v>378.36459152065947</v>
      </c>
      <c r="H85">
        <f t="shared" si="36"/>
        <v>455.59315623172813</v>
      </c>
      <c r="I85">
        <f t="shared" si="36"/>
        <v>522.35005818080288</v>
      </c>
      <c r="J85">
        <f t="shared" si="36"/>
        <v>738.3841476793192</v>
      </c>
      <c r="K85">
        <f t="shared" si="36"/>
        <v>794.08789407904419</v>
      </c>
      <c r="L85">
        <f t="shared" si="15"/>
        <v>281.51976148320381</v>
      </c>
      <c r="M85">
        <f t="shared" si="17"/>
        <v>10.43023851679618</v>
      </c>
      <c r="N85">
        <f t="shared" si="18"/>
        <v>108.78987551725858</v>
      </c>
    </row>
    <row r="86" spans="1:14" x14ac:dyDescent="0.45">
      <c r="A86" s="23">
        <v>42303</v>
      </c>
      <c r="B86">
        <v>279.82</v>
      </c>
      <c r="C86">
        <v>274.60000000000002</v>
      </c>
      <c r="G86">
        <f t="shared" ref="G86:K86" si="37">SUMPRODUCT($B86:$B90,P$2:P$6)</f>
        <v>379.70822310877412</v>
      </c>
      <c r="H86">
        <f t="shared" si="37"/>
        <v>457.17325360299509</v>
      </c>
      <c r="I86">
        <f t="shared" si="37"/>
        <v>521.03674463913649</v>
      </c>
      <c r="J86">
        <f t="shared" si="37"/>
        <v>738.15345111864679</v>
      </c>
      <c r="K86">
        <f t="shared" si="37"/>
        <v>797.85133880450428</v>
      </c>
      <c r="L86">
        <f t="shared" si="15"/>
        <v>281.63605806607552</v>
      </c>
      <c r="M86">
        <f t="shared" si="17"/>
        <v>-5.6360580660755204</v>
      </c>
      <c r="N86">
        <f t="shared" si="18"/>
        <v>31.765150524174935</v>
      </c>
    </row>
    <row r="87" spans="1:14" x14ac:dyDescent="0.45">
      <c r="A87" s="23">
        <v>42300</v>
      </c>
      <c r="B87">
        <v>279</v>
      </c>
      <c r="C87">
        <v>276.99</v>
      </c>
      <c r="G87">
        <f t="shared" ref="G87:K87" si="38">SUMPRODUCT($B87:$B91,P$2:P$6)</f>
        <v>378.38183772141218</v>
      </c>
      <c r="H87">
        <f t="shared" si="38"/>
        <v>455.2862552318976</v>
      </c>
      <c r="I87">
        <f t="shared" si="38"/>
        <v>520.11122471351064</v>
      </c>
      <c r="J87">
        <f t="shared" si="38"/>
        <v>736.98891783752299</v>
      </c>
      <c r="K87">
        <f t="shared" si="38"/>
        <v>795.60576201975539</v>
      </c>
      <c r="L87">
        <f t="shared" si="15"/>
        <v>280.96724298723933</v>
      </c>
      <c r="M87">
        <f t="shared" si="17"/>
        <v>-1.1472429872393377</v>
      </c>
      <c r="N87">
        <f t="shared" si="18"/>
        <v>1.3161664717698391</v>
      </c>
    </row>
    <row r="88" spans="1:14" x14ac:dyDescent="0.45">
      <c r="A88" s="23">
        <v>42299</v>
      </c>
      <c r="B88">
        <v>276.33</v>
      </c>
      <c r="C88">
        <v>276.83</v>
      </c>
      <c r="G88">
        <f t="shared" ref="G88:K88" si="39">SUMPRODUCT($B88:$B92,P$2:P$6)</f>
        <v>375.83485520501472</v>
      </c>
      <c r="H88">
        <f t="shared" si="39"/>
        <v>452.72602215416794</v>
      </c>
      <c r="I88">
        <f t="shared" si="39"/>
        <v>517.46913782865056</v>
      </c>
      <c r="J88">
        <f t="shared" si="39"/>
        <v>732.11158772151111</v>
      </c>
      <c r="K88">
        <f t="shared" si="39"/>
        <v>790.14516038417548</v>
      </c>
      <c r="L88">
        <f t="shared" si="15"/>
        <v>279.50241633519931</v>
      </c>
      <c r="M88">
        <f t="shared" si="17"/>
        <v>-0.50241633519931383</v>
      </c>
      <c r="N88">
        <f t="shared" si="18"/>
        <v>0.25242217387510929</v>
      </c>
    </row>
    <row r="89" spans="1:14" x14ac:dyDescent="0.45">
      <c r="A89" s="23">
        <v>42298</v>
      </c>
      <c r="B89">
        <v>285</v>
      </c>
      <c r="C89">
        <v>276.33999999999997</v>
      </c>
      <c r="G89">
        <f t="shared" ref="G89:K89" si="40">SUMPRODUCT($B89:$B93,P$2:P$6)</f>
        <v>371.3871579791363</v>
      </c>
      <c r="H89">
        <f t="shared" si="40"/>
        <v>446.69220007320246</v>
      </c>
      <c r="I89">
        <f t="shared" si="40"/>
        <v>509.39508751743335</v>
      </c>
      <c r="J89">
        <f t="shared" si="40"/>
        <v>720.89107163706706</v>
      </c>
      <c r="K89">
        <f t="shared" si="40"/>
        <v>780.45661401737493</v>
      </c>
      <c r="L89">
        <f t="shared" si="15"/>
        <v>275.86472230442962</v>
      </c>
      <c r="M89">
        <f t="shared" si="17"/>
        <v>0.46527769557036436</v>
      </c>
      <c r="N89">
        <f t="shared" si="18"/>
        <v>0.21648333399526865</v>
      </c>
    </row>
    <row r="90" spans="1:14" x14ac:dyDescent="0.45">
      <c r="A90" s="23">
        <v>42297</v>
      </c>
      <c r="B90">
        <v>273.06</v>
      </c>
      <c r="C90">
        <v>265.81</v>
      </c>
      <c r="G90">
        <f t="shared" ref="G90:K90" si="41">SUMPRODUCT($B90:$B94,P$2:P$6)</f>
        <v>363.7320576077534</v>
      </c>
      <c r="H90">
        <f t="shared" si="41"/>
        <v>437.6622005025921</v>
      </c>
      <c r="I90">
        <f t="shared" si="41"/>
        <v>501.3500042429701</v>
      </c>
      <c r="J90">
        <f t="shared" si="41"/>
        <v>708.81331907654464</v>
      </c>
      <c r="K90">
        <f t="shared" si="41"/>
        <v>764.31176445398569</v>
      </c>
      <c r="L90">
        <f t="shared" si="15"/>
        <v>271.31714015582719</v>
      </c>
      <c r="M90">
        <f t="shared" si="17"/>
        <v>13.68285984417281</v>
      </c>
      <c r="N90">
        <f t="shared" si="18"/>
        <v>187.22065351527678</v>
      </c>
    </row>
    <row r="91" spans="1:14" x14ac:dyDescent="0.45">
      <c r="A91" s="23">
        <v>42296</v>
      </c>
      <c r="B91">
        <v>270.87</v>
      </c>
      <c r="C91">
        <v>273.02</v>
      </c>
      <c r="G91">
        <f t="shared" ref="G91:K91" si="42">SUMPRODUCT($B91:$B95,P$2:P$6)</f>
        <v>358.74446349879742</v>
      </c>
      <c r="H91">
        <f t="shared" si="42"/>
        <v>431.91451375683158</v>
      </c>
      <c r="I91">
        <f t="shared" si="42"/>
        <v>494.87552587289514</v>
      </c>
      <c r="J91">
        <f t="shared" si="42"/>
        <v>698.43441378307966</v>
      </c>
      <c r="K91">
        <f t="shared" si="42"/>
        <v>752.68484455392183</v>
      </c>
      <c r="L91">
        <f t="shared" si="15"/>
        <v>267.98747695954467</v>
      </c>
      <c r="M91">
        <f t="shared" si="17"/>
        <v>5.0725230404553372</v>
      </c>
      <c r="N91">
        <f t="shared" si="18"/>
        <v>25.730489995950258</v>
      </c>
    </row>
    <row r="92" spans="1:14" x14ac:dyDescent="0.45">
      <c r="A92" s="23">
        <v>42293</v>
      </c>
      <c r="B92">
        <v>270.18</v>
      </c>
      <c r="C92">
        <v>272.37</v>
      </c>
      <c r="G92">
        <f t="shared" ref="G92:K92" si="43">SUMPRODUCT($B92:$B96,P$2:P$6)</f>
        <v>355.63565050026114</v>
      </c>
      <c r="H92">
        <f t="shared" si="43"/>
        <v>427.68745635796847</v>
      </c>
      <c r="I92">
        <f t="shared" si="43"/>
        <v>491.62256605601925</v>
      </c>
      <c r="J92">
        <f t="shared" si="43"/>
        <v>693.21292096880291</v>
      </c>
      <c r="K92">
        <f t="shared" si="43"/>
        <v>744.51370701347332</v>
      </c>
      <c r="L92">
        <f t="shared" si="15"/>
        <v>266.01427190341468</v>
      </c>
      <c r="M92">
        <f t="shared" si="17"/>
        <v>4.8557280965853238</v>
      </c>
      <c r="N92">
        <f t="shared" si="18"/>
        <v>23.57809534796813</v>
      </c>
    </row>
    <row r="93" spans="1:14" x14ac:dyDescent="0.45">
      <c r="A93" s="23">
        <v>42292</v>
      </c>
      <c r="B93">
        <v>256.31</v>
      </c>
      <c r="C93">
        <v>268.41000000000003</v>
      </c>
      <c r="G93">
        <f t="shared" ref="G93:K93" si="44">SUMPRODUCT($B93:$B97,P$2:P$6)</f>
        <v>357.56276491422727</v>
      </c>
      <c r="H93">
        <f t="shared" si="44"/>
        <v>430.67852390013093</v>
      </c>
      <c r="I93">
        <f t="shared" si="44"/>
        <v>493.87569391772763</v>
      </c>
      <c r="J93">
        <f t="shared" si="44"/>
        <v>698.10151839215121</v>
      </c>
      <c r="K93">
        <f t="shared" si="44"/>
        <v>749.45709599540851</v>
      </c>
      <c r="L93">
        <f t="shared" si="15"/>
        <v>267.33081018428032</v>
      </c>
      <c r="M93">
        <f t="shared" si="17"/>
        <v>2.8491898157196829</v>
      </c>
      <c r="N93">
        <f t="shared" si="18"/>
        <v>8.1178826060007605</v>
      </c>
    </row>
    <row r="94" spans="1:14" x14ac:dyDescent="0.45">
      <c r="A94" s="23">
        <v>42291</v>
      </c>
      <c r="B94">
        <v>260.44</v>
      </c>
      <c r="C94">
        <v>256.79000000000002</v>
      </c>
      <c r="G94">
        <f t="shared" ref="G94:K94" si="45">SUMPRODUCT($B94:$B98,P$2:P$6)</f>
        <v>365.04213956962064</v>
      </c>
      <c r="H94">
        <f t="shared" si="45"/>
        <v>439.58156146943935</v>
      </c>
      <c r="I94">
        <f t="shared" si="45"/>
        <v>502.20994615053166</v>
      </c>
      <c r="J94">
        <f t="shared" si="45"/>
        <v>711.59765664379745</v>
      </c>
      <c r="K94">
        <f t="shared" si="45"/>
        <v>766.10454666752071</v>
      </c>
      <c r="L94">
        <f t="shared" si="15"/>
        <v>271.94885184091549</v>
      </c>
      <c r="M94">
        <f t="shared" si="17"/>
        <v>-15.638851840915493</v>
      </c>
      <c r="N94">
        <f t="shared" si="18"/>
        <v>244.57368690210589</v>
      </c>
    </row>
    <row r="95" spans="1:14" x14ac:dyDescent="0.45">
      <c r="A95" s="23">
        <v>42290</v>
      </c>
      <c r="B95">
        <v>262</v>
      </c>
      <c r="C95">
        <v>256.04000000000002</v>
      </c>
      <c r="G95">
        <f t="shared" ref="G95:K95" si="46">SUMPRODUCT($B95:$B99,P$2:P$6)</f>
        <v>372.06700321891554</v>
      </c>
      <c r="H95">
        <f t="shared" si="46"/>
        <v>448.1765158819922</v>
      </c>
      <c r="I95">
        <f t="shared" si="46"/>
        <v>511.91039596526196</v>
      </c>
      <c r="J95">
        <f t="shared" si="46"/>
        <v>726.02758388224754</v>
      </c>
      <c r="K95">
        <f t="shared" si="46"/>
        <v>782.0008123124627</v>
      </c>
      <c r="L95">
        <f t="shared" si="15"/>
        <v>276.81930417835906</v>
      </c>
      <c r="M95">
        <f t="shared" si="17"/>
        <v>-16.379304178359064</v>
      </c>
      <c r="N95">
        <f t="shared" si="18"/>
        <v>268.28160536721066</v>
      </c>
    </row>
    <row r="96" spans="1:14" x14ac:dyDescent="0.45">
      <c r="A96" s="23">
        <v>42289</v>
      </c>
      <c r="B96">
        <v>270.92</v>
      </c>
      <c r="C96">
        <v>264.67</v>
      </c>
      <c r="G96">
        <f t="shared" ref="G96:K96" si="47">SUMPRODUCT($B96:$B100,P$2:P$6)</f>
        <v>377.67864788534172</v>
      </c>
      <c r="H96">
        <f t="shared" si="47"/>
        <v>454.97044385844623</v>
      </c>
      <c r="I96">
        <f t="shared" si="47"/>
        <v>520.26459610880283</v>
      </c>
      <c r="J96">
        <f t="shared" si="47"/>
        <v>736.63479471956771</v>
      </c>
      <c r="K96">
        <f t="shared" si="47"/>
        <v>793.3807735253672</v>
      </c>
      <c r="L96">
        <f t="shared" si="15"/>
        <v>280.80209309411185</v>
      </c>
      <c r="M96">
        <f t="shared" si="17"/>
        <v>-18.802093094111854</v>
      </c>
      <c r="N96">
        <f t="shared" si="18"/>
        <v>353.51870471964867</v>
      </c>
    </row>
    <row r="97" spans="1:14" x14ac:dyDescent="0.45">
      <c r="A97" s="23">
        <v>42286</v>
      </c>
      <c r="B97">
        <v>279.63</v>
      </c>
      <c r="C97">
        <v>269.16000000000003</v>
      </c>
      <c r="G97">
        <f t="shared" ref="G97:K97" si="48">SUMPRODUCT($B97:$B101,P$2:P$6)</f>
        <v>381.0277748288209</v>
      </c>
      <c r="H97">
        <f t="shared" si="48"/>
        <v>458.68226349291109</v>
      </c>
      <c r="I97">
        <f t="shared" si="48"/>
        <v>526.28628448195047</v>
      </c>
      <c r="J97">
        <f t="shared" si="48"/>
        <v>743.42805318119599</v>
      </c>
      <c r="K97">
        <f t="shared" si="48"/>
        <v>798.78022315198496</v>
      </c>
      <c r="L97">
        <f t="shared" si="15"/>
        <v>283.35597468022672</v>
      </c>
      <c r="M97">
        <f t="shared" si="17"/>
        <v>-12.435974680226707</v>
      </c>
      <c r="N97">
        <f t="shared" si="18"/>
        <v>154.65346624723975</v>
      </c>
    </row>
    <row r="98" spans="1:14" x14ac:dyDescent="0.45">
      <c r="A98" s="23">
        <v>42285</v>
      </c>
      <c r="B98">
        <v>278.33</v>
      </c>
      <c r="C98">
        <v>279.88</v>
      </c>
      <c r="G98">
        <f t="shared" ref="G98:K98" si="49">SUMPRODUCT($B98:$B102,P$2:P$6)</f>
        <v>384.43774736503354</v>
      </c>
      <c r="H98">
        <f t="shared" si="49"/>
        <v>462.94077861307773</v>
      </c>
      <c r="I98">
        <f t="shared" si="49"/>
        <v>527.9680039703278</v>
      </c>
      <c r="J98">
        <f t="shared" si="49"/>
        <v>748.25260577636664</v>
      </c>
      <c r="K98">
        <f t="shared" si="49"/>
        <v>807.53386978341018</v>
      </c>
      <c r="L98">
        <f t="shared" si="15"/>
        <v>284.97196792123691</v>
      </c>
      <c r="M98">
        <f t="shared" si="17"/>
        <v>-5.3419679212369147</v>
      </c>
      <c r="N98">
        <f t="shared" si="18"/>
        <v>28.536621271524243</v>
      </c>
    </row>
    <row r="99" spans="1:14" x14ac:dyDescent="0.45">
      <c r="A99" s="23">
        <v>42284</v>
      </c>
      <c r="B99">
        <v>279.86</v>
      </c>
      <c r="C99">
        <v>279.24</v>
      </c>
      <c r="G99">
        <f t="shared" ref="G99:K99" si="50">SUMPRODUCT($B99:$B103,P$2:P$6)</f>
        <v>387.53566838533089</v>
      </c>
      <c r="H99">
        <f t="shared" si="50"/>
        <v>466.52070957340487</v>
      </c>
      <c r="I99">
        <f t="shared" si="50"/>
        <v>534.52080608314157</v>
      </c>
      <c r="J99">
        <f t="shared" si="50"/>
        <v>756.56409029698193</v>
      </c>
      <c r="K99">
        <f t="shared" si="50"/>
        <v>813.73391101532036</v>
      </c>
      <c r="L99">
        <f t="shared" si="15"/>
        <v>287.66654646171287</v>
      </c>
      <c r="M99">
        <f t="shared" si="17"/>
        <v>-9.336546461712885</v>
      </c>
      <c r="N99">
        <f t="shared" si="18"/>
        <v>87.171099831723396</v>
      </c>
    </row>
    <row r="100" spans="1:14" x14ac:dyDescent="0.45">
      <c r="A100" s="23">
        <v>42283</v>
      </c>
      <c r="B100">
        <v>282.41000000000003</v>
      </c>
      <c r="C100">
        <v>275.99</v>
      </c>
      <c r="G100">
        <f t="shared" ref="G100:K100" si="51">SUMPRODUCT($B100:$B104,P$2:P$6)</f>
        <v>390.54487614275479</v>
      </c>
      <c r="H100">
        <f t="shared" si="51"/>
        <v>470.55052745874411</v>
      </c>
      <c r="I100">
        <f t="shared" si="51"/>
        <v>536.51253330285226</v>
      </c>
      <c r="J100">
        <f t="shared" si="51"/>
        <v>760.16478521091665</v>
      </c>
      <c r="K100">
        <f t="shared" si="51"/>
        <v>820.97849748990984</v>
      </c>
      <c r="L100">
        <f t="shared" si="15"/>
        <v>289.23155048358899</v>
      </c>
      <c r="M100">
        <f t="shared" si="17"/>
        <v>-9.371550483588976</v>
      </c>
      <c r="N100">
        <f t="shared" si="18"/>
        <v>87.825958466456768</v>
      </c>
    </row>
    <row r="101" spans="1:14" x14ac:dyDescent="0.45">
      <c r="A101" s="23">
        <v>42282</v>
      </c>
      <c r="B101">
        <v>291.43</v>
      </c>
      <c r="C101">
        <v>286.55</v>
      </c>
      <c r="G101">
        <f t="shared" ref="G101:K101" si="52">SUMPRODUCT($B101:$B105,P$2:P$6)</f>
        <v>389.91791165971722</v>
      </c>
      <c r="H101">
        <f t="shared" si="52"/>
        <v>469.03502865604162</v>
      </c>
      <c r="I101">
        <f t="shared" si="52"/>
        <v>534.29170426742951</v>
      </c>
      <c r="J101">
        <f t="shared" si="52"/>
        <v>757.74726320472041</v>
      </c>
      <c r="K101">
        <f t="shared" si="52"/>
        <v>820.29363058991282</v>
      </c>
      <c r="L101">
        <f t="shared" si="15"/>
        <v>288.39798121753245</v>
      </c>
      <c r="M101">
        <f t="shared" si="17"/>
        <v>-5.9879812175324219</v>
      </c>
      <c r="N101">
        <f t="shared" si="18"/>
        <v>35.855919061521064</v>
      </c>
    </row>
    <row r="102" spans="1:14" x14ac:dyDescent="0.45">
      <c r="A102" s="23">
        <v>42279</v>
      </c>
      <c r="B102">
        <v>283.38</v>
      </c>
      <c r="C102">
        <v>290.35000000000002</v>
      </c>
      <c r="G102">
        <f t="shared" ref="G102:K102" si="53">SUMPRODUCT($B102:$B106,P$2:P$6)</f>
        <v>385.13090971174006</v>
      </c>
      <c r="H102">
        <f t="shared" si="53"/>
        <v>463.79614250235727</v>
      </c>
      <c r="I102">
        <f t="shared" si="53"/>
        <v>532.10797786511091</v>
      </c>
      <c r="J102">
        <f t="shared" si="53"/>
        <v>751.86229350618748</v>
      </c>
      <c r="K102">
        <f t="shared" si="53"/>
        <v>809.21337486663128</v>
      </c>
      <c r="L102">
        <f t="shared" si="15"/>
        <v>286.30512726791085</v>
      </c>
      <c r="M102">
        <f t="shared" si="17"/>
        <v>5.1248727320891589</v>
      </c>
      <c r="N102">
        <f t="shared" si="18"/>
        <v>26.264320520110999</v>
      </c>
    </row>
    <row r="103" spans="1:14" x14ac:dyDescent="0.45">
      <c r="A103" s="23">
        <v>42278</v>
      </c>
      <c r="B103">
        <v>291.99</v>
      </c>
      <c r="C103">
        <v>287.3</v>
      </c>
      <c r="G103">
        <f t="shared" ref="G103:K103" si="54">SUMPRODUCT($B103:$B107,P$2:P$6)</f>
        <v>382.98415684976288</v>
      </c>
      <c r="H103">
        <f t="shared" si="54"/>
        <v>460.94060037592595</v>
      </c>
      <c r="I103">
        <f t="shared" si="54"/>
        <v>531.26290606399243</v>
      </c>
      <c r="J103">
        <f t="shared" si="54"/>
        <v>747.07867916180476</v>
      </c>
      <c r="K103">
        <f t="shared" si="54"/>
        <v>800.68076094250637</v>
      </c>
      <c r="L103">
        <f t="shared" si="15"/>
        <v>285.18590026360118</v>
      </c>
      <c r="M103">
        <f t="shared" si="17"/>
        <v>-1.8059002636011883</v>
      </c>
      <c r="N103">
        <f t="shared" si="18"/>
        <v>3.2612757620748414</v>
      </c>
    </row>
    <row r="104" spans="1:14" x14ac:dyDescent="0.45">
      <c r="A104" s="23">
        <v>42277</v>
      </c>
      <c r="B104">
        <v>283.98</v>
      </c>
      <c r="C104">
        <v>291.81</v>
      </c>
      <c r="G104">
        <f t="shared" ref="G104:K104" si="55">SUMPRODUCT($B104:$B108,P$2:P$6)</f>
        <v>384.88862971645324</v>
      </c>
      <c r="H104">
        <f t="shared" si="55"/>
        <v>463.05696426782265</v>
      </c>
      <c r="I104">
        <f t="shared" si="55"/>
        <v>529.77584514818705</v>
      </c>
      <c r="J104">
        <f t="shared" si="55"/>
        <v>749.2297966070787</v>
      </c>
      <c r="K104">
        <f t="shared" si="55"/>
        <v>806.11637745299709</v>
      </c>
      <c r="L104">
        <f t="shared" si="15"/>
        <v>285.44318367594576</v>
      </c>
      <c r="M104">
        <f t="shared" si="17"/>
        <v>6.5468163240542481</v>
      </c>
      <c r="N104">
        <f t="shared" si="18"/>
        <v>42.860803980903178</v>
      </c>
    </row>
    <row r="105" spans="1:14" x14ac:dyDescent="0.45">
      <c r="A105" s="23">
        <v>42276</v>
      </c>
      <c r="B105">
        <v>270.60000000000002</v>
      </c>
      <c r="C105">
        <v>278.23</v>
      </c>
      <c r="G105">
        <f t="shared" ref="G105:K105" si="56">SUMPRODUCT($B105:$B109,P$2:P$6)</f>
        <v>392.09605878320389</v>
      </c>
      <c r="H105">
        <f t="shared" si="56"/>
        <v>472.35667005334625</v>
      </c>
      <c r="I105">
        <f t="shared" si="56"/>
        <v>539.44083553025916</v>
      </c>
      <c r="J105">
        <f t="shared" si="56"/>
        <v>765.84960051769099</v>
      </c>
      <c r="K105">
        <f t="shared" si="56"/>
        <v>824.25654122933167</v>
      </c>
      <c r="L105">
        <f t="shared" si="15"/>
        <v>290.49645093272972</v>
      </c>
      <c r="M105">
        <f t="shared" si="17"/>
        <v>-6.5164509327296969</v>
      </c>
      <c r="N105">
        <f t="shared" si="18"/>
        <v>42.464132758673735</v>
      </c>
    </row>
    <row r="106" spans="1:14" x14ac:dyDescent="0.45">
      <c r="A106" s="23">
        <v>42275</v>
      </c>
      <c r="B106">
        <v>282.54000000000002</v>
      </c>
      <c r="C106">
        <v>272.27999999999997</v>
      </c>
      <c r="G106">
        <f t="shared" ref="G106:K106" si="57">SUMPRODUCT($B106:$B110,P$2:P$6)</f>
        <v>400.76777623320038</v>
      </c>
      <c r="H106">
        <f t="shared" si="57"/>
        <v>483.03568045735676</v>
      </c>
      <c r="I106">
        <f t="shared" si="57"/>
        <v>550.26798140812934</v>
      </c>
      <c r="J106">
        <f t="shared" si="57"/>
        <v>780.90210298856039</v>
      </c>
      <c r="K106">
        <f t="shared" si="57"/>
        <v>843.3400383100884</v>
      </c>
      <c r="L106">
        <f t="shared" si="15"/>
        <v>296.18483588009536</v>
      </c>
      <c r="M106">
        <f t="shared" si="17"/>
        <v>-25.584835880095341</v>
      </c>
      <c r="N106">
        <f t="shared" si="18"/>
        <v>654.58382701141397</v>
      </c>
    </row>
    <row r="107" spans="1:14" x14ac:dyDescent="0.45">
      <c r="A107" s="23">
        <v>42272</v>
      </c>
      <c r="B107">
        <v>298.77999999999997</v>
      </c>
      <c r="C107">
        <v>284.79000000000002</v>
      </c>
      <c r="G107">
        <f t="shared" ref="G107:K107" si="58">SUMPRODUCT($B107:$B111,P$2:P$6)</f>
        <v>404.10965329338921</v>
      </c>
      <c r="H107">
        <f t="shared" si="58"/>
        <v>486.31081361054697</v>
      </c>
      <c r="I107">
        <f t="shared" si="58"/>
        <v>560.27834334627369</v>
      </c>
      <c r="J107">
        <f t="shared" si="58"/>
        <v>789.98616067266653</v>
      </c>
      <c r="K107">
        <f t="shared" si="58"/>
        <v>846.35265255581135</v>
      </c>
      <c r="L107">
        <f t="shared" si="15"/>
        <v>299.64463309548887</v>
      </c>
      <c r="M107">
        <f t="shared" si="17"/>
        <v>-17.10463309548885</v>
      </c>
      <c r="N107">
        <f t="shared" si="18"/>
        <v>292.56847333129247</v>
      </c>
    </row>
    <row r="108" spans="1:14" x14ac:dyDescent="0.45">
      <c r="A108" s="23">
        <v>42271</v>
      </c>
      <c r="B108">
        <v>295.58</v>
      </c>
      <c r="C108">
        <v>293.01</v>
      </c>
      <c r="G108">
        <f t="shared" ref="G108:K108" si="59">SUMPRODUCT($B108:$B112,P$2:P$6)</f>
        <v>408.87852578537587</v>
      </c>
      <c r="H108">
        <f t="shared" si="59"/>
        <v>492.59669550194548</v>
      </c>
      <c r="I108">
        <f t="shared" si="59"/>
        <v>564.65189668331823</v>
      </c>
      <c r="J108">
        <f t="shared" si="59"/>
        <v>797.42145146762664</v>
      </c>
      <c r="K108">
        <f t="shared" si="59"/>
        <v>856.30513969837023</v>
      </c>
      <c r="L108">
        <f t="shared" si="15"/>
        <v>302.36717877537768</v>
      </c>
      <c r="M108">
        <f t="shared" si="17"/>
        <v>-3.5871787753777085</v>
      </c>
      <c r="N108">
        <f t="shared" si="18"/>
        <v>12.867851566520317</v>
      </c>
    </row>
    <row r="109" spans="1:14" x14ac:dyDescent="0.45">
      <c r="A109" s="23">
        <v>42270</v>
      </c>
      <c r="B109">
        <v>299.27</v>
      </c>
      <c r="C109">
        <v>298.33999999999997</v>
      </c>
      <c r="G109">
        <f t="shared" ref="G109:K109" si="60">SUMPRODUCT($B109:$B113,P$2:P$6)</f>
        <v>417.65313433678813</v>
      </c>
      <c r="H109">
        <f t="shared" si="60"/>
        <v>502.59283312013196</v>
      </c>
      <c r="I109">
        <f t="shared" si="60"/>
        <v>574.60677003835428</v>
      </c>
      <c r="J109">
        <f t="shared" si="60"/>
        <v>814.32447926818702</v>
      </c>
      <c r="K109">
        <f t="shared" si="60"/>
        <v>876.02129403210051</v>
      </c>
      <c r="L109">
        <f t="shared" si="15"/>
        <v>307.79721529797143</v>
      </c>
      <c r="M109">
        <f t="shared" si="17"/>
        <v>-12.21721529797145</v>
      </c>
      <c r="N109">
        <f t="shared" si="18"/>
        <v>149.26034963698763</v>
      </c>
    </row>
    <row r="110" spans="1:14" x14ac:dyDescent="0.45">
      <c r="A110" s="23">
        <v>42269</v>
      </c>
      <c r="B110">
        <v>292.52</v>
      </c>
      <c r="C110">
        <v>299.06</v>
      </c>
      <c r="G110">
        <f t="shared" ref="G110:K110" si="61">SUMPRODUCT($B110:$B114,P$2:P$6)</f>
        <v>427.23142519077254</v>
      </c>
      <c r="H110">
        <f t="shared" si="61"/>
        <v>515.05842769360083</v>
      </c>
      <c r="I110">
        <f t="shared" si="61"/>
        <v>586.87875026900315</v>
      </c>
      <c r="J110">
        <f t="shared" si="61"/>
        <v>833.85108694574842</v>
      </c>
      <c r="K110">
        <f t="shared" si="61"/>
        <v>899.27311351478886</v>
      </c>
      <c r="L110">
        <f t="shared" si="15"/>
        <v>314.33070802788711</v>
      </c>
      <c r="M110">
        <f t="shared" si="17"/>
        <v>-15.060708027887131</v>
      </c>
      <c r="N110">
        <f t="shared" si="18"/>
        <v>226.82492630126387</v>
      </c>
    </row>
    <row r="111" spans="1:14" x14ac:dyDescent="0.45">
      <c r="A111" s="23">
        <v>42268</v>
      </c>
      <c r="B111">
        <v>315.29000000000002</v>
      </c>
      <c r="C111">
        <v>297.16000000000003</v>
      </c>
      <c r="G111">
        <f t="shared" ref="G111:K111" si="62">SUMPRODUCT($B111:$B115,P$2:P$6)</f>
        <v>434.21941320494932</v>
      </c>
      <c r="H111">
        <f t="shared" si="62"/>
        <v>522.89810174219929</v>
      </c>
      <c r="I111">
        <f t="shared" si="62"/>
        <v>597.16336881563439</v>
      </c>
      <c r="J111">
        <f t="shared" si="62"/>
        <v>845.97651489872942</v>
      </c>
      <c r="K111">
        <f t="shared" si="62"/>
        <v>912.75517337566203</v>
      </c>
      <c r="L111">
        <f t="shared" si="15"/>
        <v>319.16608086311737</v>
      </c>
      <c r="M111">
        <f t="shared" si="17"/>
        <v>-26.64608086311739</v>
      </c>
      <c r="N111">
        <f t="shared" si="18"/>
        <v>710.01362536379077</v>
      </c>
    </row>
    <row r="112" spans="1:14" x14ac:dyDescent="0.45">
      <c r="A112" s="23">
        <v>42265</v>
      </c>
      <c r="B112">
        <v>321.06</v>
      </c>
      <c r="C112">
        <v>314.67</v>
      </c>
      <c r="G112">
        <f t="shared" ref="G112:K112" si="63">SUMPRODUCT($B112:$B116,P$2:P$6)</f>
        <v>434.0817116079873</v>
      </c>
      <c r="H112">
        <f t="shared" si="63"/>
        <v>522.54659299232253</v>
      </c>
      <c r="I112">
        <f t="shared" si="63"/>
        <v>597.79615450982385</v>
      </c>
      <c r="J112">
        <f t="shared" si="63"/>
        <v>845.60564034254742</v>
      </c>
      <c r="K112">
        <f t="shared" si="63"/>
        <v>911.68218010948362</v>
      </c>
      <c r="L112">
        <f t="shared" si="15"/>
        <v>319.2359967996851</v>
      </c>
      <c r="M112">
        <f t="shared" si="17"/>
        <v>-3.9459967996850764</v>
      </c>
      <c r="N112">
        <f t="shared" si="18"/>
        <v>15.570890743124865</v>
      </c>
    </row>
    <row r="113" spans="1:14" x14ac:dyDescent="0.45">
      <c r="A113" s="23">
        <v>42264</v>
      </c>
      <c r="B113">
        <v>321.19</v>
      </c>
      <c r="C113">
        <v>325.3</v>
      </c>
      <c r="G113">
        <f t="shared" ref="G113:K113" si="64">SUMPRODUCT($B113:$B117,P$2:P$6)</f>
        <v>432.03714719122132</v>
      </c>
      <c r="H113">
        <f t="shared" si="64"/>
        <v>520.04204087122582</v>
      </c>
      <c r="I113">
        <f t="shared" si="64"/>
        <v>593.9624853265891</v>
      </c>
      <c r="J113">
        <f t="shared" si="64"/>
        <v>840.64477948131707</v>
      </c>
      <c r="K113">
        <f t="shared" si="64"/>
        <v>907.67969952274382</v>
      </c>
      <c r="L113">
        <f t="shared" si="15"/>
        <v>317.57865111191495</v>
      </c>
      <c r="M113">
        <f t="shared" si="17"/>
        <v>3.4813488880850514</v>
      </c>
      <c r="N113">
        <f t="shared" si="18"/>
        <v>12.119790080571024</v>
      </c>
    </row>
    <row r="114" spans="1:14" x14ac:dyDescent="0.45">
      <c r="A114" s="23">
        <v>42263</v>
      </c>
      <c r="B114">
        <v>319.05</v>
      </c>
      <c r="C114">
        <v>319.56</v>
      </c>
      <c r="G114">
        <f t="shared" ref="G114:K114" si="65">SUMPRODUCT($B114:$B118,P$2:P$6)</f>
        <v>428.51211623607981</v>
      </c>
      <c r="H114">
        <f t="shared" si="65"/>
        <v>515.70682390662637</v>
      </c>
      <c r="I114">
        <f t="shared" si="65"/>
        <v>588.5854431177919</v>
      </c>
      <c r="J114">
        <f t="shared" si="65"/>
        <v>833.63573745889221</v>
      </c>
      <c r="K114">
        <f t="shared" si="65"/>
        <v>900.9838779726482</v>
      </c>
      <c r="L114">
        <f t="shared" si="15"/>
        <v>315.0570702754282</v>
      </c>
      <c r="M114">
        <f t="shared" si="17"/>
        <v>6.1329297245717953</v>
      </c>
      <c r="N114">
        <f t="shared" si="18"/>
        <v>37.612827006536278</v>
      </c>
    </row>
    <row r="115" spans="1:14" x14ac:dyDescent="0.45">
      <c r="A115" s="23">
        <v>42262</v>
      </c>
      <c r="B115">
        <v>316.41000000000003</v>
      </c>
      <c r="C115">
        <v>319.86</v>
      </c>
      <c r="G115">
        <f t="shared" ref="G115:K115" si="66">SUMPRODUCT($B115:$B119,P$2:P$6)</f>
        <v>424.01373835381145</v>
      </c>
      <c r="H115">
        <f t="shared" si="66"/>
        <v>510.39382682105952</v>
      </c>
      <c r="I115">
        <f t="shared" si="66"/>
        <v>585.75812223838307</v>
      </c>
      <c r="J115">
        <f t="shared" si="66"/>
        <v>827.03849990986259</v>
      </c>
      <c r="K115">
        <f t="shared" si="66"/>
        <v>889.85822963946168</v>
      </c>
      <c r="L115">
        <f t="shared" si="15"/>
        <v>312.81276486845991</v>
      </c>
      <c r="M115">
        <f t="shared" si="17"/>
        <v>6.2372351315401033</v>
      </c>
      <c r="N115">
        <f t="shared" si="18"/>
        <v>38.903102086118089</v>
      </c>
    </row>
    <row r="116" spans="1:14" x14ac:dyDescent="0.45">
      <c r="A116" s="23">
        <v>42261</v>
      </c>
      <c r="B116">
        <v>316.89</v>
      </c>
      <c r="C116">
        <v>316.23</v>
      </c>
      <c r="G116">
        <f t="shared" ref="G116:K116" si="67">SUMPRODUCT($B116:$B120,P$2:P$6)</f>
        <v>421.27139500229089</v>
      </c>
      <c r="H116">
        <f t="shared" si="67"/>
        <v>507.06175306603143</v>
      </c>
      <c r="I116">
        <f t="shared" si="67"/>
        <v>579.62738368124826</v>
      </c>
      <c r="J116">
        <f t="shared" si="67"/>
        <v>819.20108229773575</v>
      </c>
      <c r="K116">
        <f t="shared" si="67"/>
        <v>883.90339857365086</v>
      </c>
      <c r="L116">
        <f t="shared" si="15"/>
        <v>310.30192958194425</v>
      </c>
      <c r="M116">
        <f t="shared" si="17"/>
        <v>6.1080704180557746</v>
      </c>
      <c r="N116">
        <f t="shared" si="18"/>
        <v>37.308524231928047</v>
      </c>
    </row>
    <row r="117" spans="1:14" x14ac:dyDescent="0.45">
      <c r="A117" s="23">
        <v>42258</v>
      </c>
      <c r="B117">
        <v>310.67</v>
      </c>
      <c r="C117">
        <v>315.37</v>
      </c>
      <c r="G117">
        <f t="shared" ref="G117:K117" si="68">SUMPRODUCT($B117:$B121,P$2:P$6)</f>
        <v>418.54848609896601</v>
      </c>
      <c r="H117">
        <f t="shared" si="68"/>
        <v>503.5237630822823</v>
      </c>
      <c r="I117">
        <f t="shared" si="68"/>
        <v>574.40016883961084</v>
      </c>
      <c r="J117">
        <f t="shared" si="68"/>
        <v>814.16969609304601</v>
      </c>
      <c r="K117">
        <f t="shared" si="68"/>
        <v>879.8625525322127</v>
      </c>
      <c r="L117">
        <f t="shared" si="15"/>
        <v>308.10317653656091</v>
      </c>
      <c r="M117">
        <f t="shared" si="17"/>
        <v>8.7868234634390774</v>
      </c>
      <c r="N117">
        <f t="shared" si="18"/>
        <v>77.208266577643499</v>
      </c>
    </row>
    <row r="118" spans="1:14" x14ac:dyDescent="0.45">
      <c r="A118" s="23">
        <v>42257</v>
      </c>
      <c r="B118">
        <v>302.91000000000003</v>
      </c>
      <c r="C118">
        <v>312.62</v>
      </c>
      <c r="G118">
        <f t="shared" ref="G118:K118" si="69">SUMPRODUCT($B118:$B122,P$2:P$6)</f>
        <v>416.18042335761498</v>
      </c>
      <c r="H118">
        <f t="shared" si="69"/>
        <v>501.28211316108923</v>
      </c>
      <c r="I118">
        <f t="shared" si="69"/>
        <v>574.26815730823023</v>
      </c>
      <c r="J118">
        <f t="shared" si="69"/>
        <v>812.19494395284369</v>
      </c>
      <c r="K118">
        <f t="shared" si="69"/>
        <v>874.58806497525381</v>
      </c>
      <c r="L118">
        <f t="shared" si="15"/>
        <v>307.36386796789918</v>
      </c>
      <c r="M118">
        <f t="shared" si="17"/>
        <v>3.3061320321008338</v>
      </c>
      <c r="N118">
        <f t="shared" si="18"/>
        <v>10.930509013683189</v>
      </c>
    </row>
    <row r="119" spans="1:14" x14ac:dyDescent="0.45">
      <c r="A119" s="23">
        <v>42256</v>
      </c>
      <c r="B119">
        <v>313.55</v>
      </c>
      <c r="C119">
        <v>303.48</v>
      </c>
      <c r="G119">
        <f t="shared" ref="G119:K119" si="70">SUMPRODUCT($B119:$B123,P$2:P$6)</f>
        <v>414.51722305379872</v>
      </c>
      <c r="H119">
        <f t="shared" si="70"/>
        <v>498.89905824046235</v>
      </c>
      <c r="I119">
        <f t="shared" si="70"/>
        <v>570.11409581594376</v>
      </c>
      <c r="J119">
        <f t="shared" si="70"/>
        <v>805.7636618407937</v>
      </c>
      <c r="K119">
        <f t="shared" si="70"/>
        <v>869.99072121463814</v>
      </c>
      <c r="L119">
        <f t="shared" si="15"/>
        <v>305.64363332011885</v>
      </c>
      <c r="M119">
        <f t="shared" si="17"/>
        <v>-2.7336333201188268</v>
      </c>
      <c r="N119">
        <f t="shared" si="18"/>
        <v>7.4727511288638802</v>
      </c>
    </row>
    <row r="120" spans="1:14" x14ac:dyDescent="0.45">
      <c r="A120" s="23">
        <v>42255</v>
      </c>
      <c r="B120">
        <v>306.91000000000003</v>
      </c>
      <c r="C120">
        <v>308.74</v>
      </c>
      <c r="G120">
        <f t="shared" ref="G120:K120" si="71">SUMPRODUCT($B120:$B124,P$2:P$6)</f>
        <v>410.16356167322004</v>
      </c>
      <c r="H120">
        <f t="shared" si="71"/>
        <v>493.37245797031284</v>
      </c>
      <c r="I120">
        <f t="shared" si="71"/>
        <v>563.46387059004928</v>
      </c>
      <c r="J120">
        <f t="shared" si="71"/>
        <v>798.00150955525703</v>
      </c>
      <c r="K120">
        <f t="shared" si="71"/>
        <v>861.91756916169606</v>
      </c>
      <c r="L120">
        <f t="shared" si="15"/>
        <v>302.51934592995582</v>
      </c>
      <c r="M120">
        <f t="shared" si="17"/>
        <v>11.030654070044193</v>
      </c>
      <c r="N120">
        <f t="shared" si="18"/>
        <v>121.67532921298252</v>
      </c>
    </row>
    <row r="121" spans="1:14" x14ac:dyDescent="0.45">
      <c r="A121" s="23">
        <v>42251</v>
      </c>
      <c r="B121">
        <v>297.72000000000003</v>
      </c>
      <c r="C121">
        <v>302.26</v>
      </c>
      <c r="G121">
        <f t="shared" ref="G121:K121" si="72">SUMPRODUCT($B121:$B125,P$2:P$6)</f>
        <v>407.0685489385537</v>
      </c>
      <c r="H121">
        <f t="shared" si="72"/>
        <v>490.28389026405858</v>
      </c>
      <c r="I121">
        <f t="shared" si="72"/>
        <v>562.11492162657464</v>
      </c>
      <c r="J121">
        <f t="shared" si="72"/>
        <v>794.42828552496167</v>
      </c>
      <c r="K121">
        <f t="shared" si="72"/>
        <v>854.91197786168254</v>
      </c>
      <c r="L121">
        <f t="shared" si="15"/>
        <v>301.21944080167214</v>
      </c>
      <c r="M121">
        <f t="shared" si="17"/>
        <v>5.6905591983278896</v>
      </c>
      <c r="N121">
        <f t="shared" si="18"/>
        <v>32.38246398967415</v>
      </c>
    </row>
    <row r="122" spans="1:14" x14ac:dyDescent="0.45">
      <c r="A122" s="23">
        <v>42250</v>
      </c>
      <c r="B122">
        <v>306.47000000000003</v>
      </c>
      <c r="C122">
        <v>301.63</v>
      </c>
      <c r="G122">
        <f t="shared" ref="G122:K122" si="73">SUMPRODUCT($B122:$B126,P$2:P$6)</f>
        <v>406.27060357315952</v>
      </c>
      <c r="H122">
        <f t="shared" si="73"/>
        <v>488.9371945434599</v>
      </c>
      <c r="I122">
        <f t="shared" si="73"/>
        <v>559.9323165403714</v>
      </c>
      <c r="J122">
        <f t="shared" si="73"/>
        <v>790.60027146062509</v>
      </c>
      <c r="K122">
        <f t="shared" si="73"/>
        <v>851.71020829510837</v>
      </c>
      <c r="L122">
        <f t="shared" si="15"/>
        <v>300.27718007233153</v>
      </c>
      <c r="M122">
        <f t="shared" si="17"/>
        <v>-2.557180072331505</v>
      </c>
      <c r="N122">
        <f t="shared" si="18"/>
        <v>6.5391699223293616</v>
      </c>
    </row>
    <row r="123" spans="1:14" x14ac:dyDescent="0.45">
      <c r="A123" s="23">
        <v>42249</v>
      </c>
      <c r="B123">
        <v>298.48</v>
      </c>
      <c r="C123">
        <v>304.20999999999998</v>
      </c>
      <c r="G123">
        <f t="shared" ref="G123:K123" si="74">SUMPRODUCT($B123:$B127,P$2:P$6)</f>
        <v>405.49577193164754</v>
      </c>
      <c r="H123">
        <f t="shared" si="74"/>
        <v>487.92082372552363</v>
      </c>
      <c r="I123">
        <f t="shared" si="74"/>
        <v>558.2180801685854</v>
      </c>
      <c r="J123">
        <f t="shared" si="74"/>
        <v>790.04487289430244</v>
      </c>
      <c r="K123">
        <f t="shared" si="74"/>
        <v>851.04952595889949</v>
      </c>
      <c r="L123">
        <f t="shared" si="15"/>
        <v>299.61321325701084</v>
      </c>
      <c r="M123">
        <f t="shared" si="17"/>
        <v>6.8567867429891862</v>
      </c>
      <c r="N123">
        <f t="shared" si="18"/>
        <v>47.015524438832252</v>
      </c>
    </row>
    <row r="124" spans="1:14" x14ac:dyDescent="0.45">
      <c r="A124" s="23">
        <v>42248</v>
      </c>
      <c r="B124">
        <v>292.22000000000003</v>
      </c>
      <c r="C124">
        <v>292.5</v>
      </c>
      <c r="G124">
        <f t="shared" ref="G124:K124" si="75">SUMPRODUCT($B124:$B128,P$2:P$6)</f>
        <v>406.98821315908816</v>
      </c>
      <c r="H124">
        <f t="shared" si="75"/>
        <v>490.27825582138712</v>
      </c>
      <c r="I124">
        <f t="shared" si="75"/>
        <v>558.10017246643179</v>
      </c>
      <c r="J124">
        <f t="shared" si="75"/>
        <v>792.10010667152414</v>
      </c>
      <c r="K124">
        <f t="shared" si="75"/>
        <v>856.666188056735</v>
      </c>
      <c r="L124">
        <f t="shared" si="15"/>
        <v>300.22506663198601</v>
      </c>
      <c r="M124">
        <f t="shared" si="17"/>
        <v>-1.745066631985992</v>
      </c>
      <c r="N124">
        <f t="shared" si="18"/>
        <v>3.0452575500709336</v>
      </c>
    </row>
    <row r="125" spans="1:14" x14ac:dyDescent="0.45">
      <c r="A125" s="23">
        <v>42247</v>
      </c>
      <c r="B125">
        <v>302.16000000000003</v>
      </c>
      <c r="C125">
        <v>297.3</v>
      </c>
      <c r="G125">
        <f t="shared" ref="G125:K125" si="76">SUMPRODUCT($B125:$B129,P$2:P$6)</f>
        <v>405.99353426274035</v>
      </c>
      <c r="H125">
        <f t="shared" si="76"/>
        <v>488.59720031242369</v>
      </c>
      <c r="I125">
        <f t="shared" si="76"/>
        <v>559.24202021906876</v>
      </c>
      <c r="J125">
        <f t="shared" si="76"/>
        <v>791.09070133004843</v>
      </c>
      <c r="K125">
        <f t="shared" si="76"/>
        <v>853.10163129012278</v>
      </c>
      <c r="L125">
        <f t="shared" si="15"/>
        <v>300.09780133265673</v>
      </c>
      <c r="M125">
        <f t="shared" si="17"/>
        <v>-7.877801332656702</v>
      </c>
      <c r="N125">
        <f t="shared" si="18"/>
        <v>62.059753836807708</v>
      </c>
    </row>
    <row r="126" spans="1:14" x14ac:dyDescent="0.45">
      <c r="A126" s="23">
        <v>42244</v>
      </c>
      <c r="B126">
        <v>301</v>
      </c>
      <c r="C126">
        <v>303.69</v>
      </c>
      <c r="G126">
        <f t="shared" ref="G126:K126" si="77">SUMPRODUCT($B126:$B130,P$2:P$6)</f>
        <v>400.90793453721363</v>
      </c>
      <c r="H126">
        <f t="shared" si="77"/>
        <v>482.67900978814077</v>
      </c>
      <c r="I126">
        <f t="shared" si="77"/>
        <v>548.30750021370579</v>
      </c>
      <c r="J126">
        <f t="shared" si="77"/>
        <v>777.6353242188278</v>
      </c>
      <c r="K126">
        <f t="shared" si="77"/>
        <v>844.25310590414529</v>
      </c>
      <c r="L126">
        <f t="shared" si="15"/>
        <v>295.68548384065838</v>
      </c>
      <c r="M126">
        <f t="shared" si="17"/>
        <v>6.4745161593416469</v>
      </c>
      <c r="N126">
        <f t="shared" si="18"/>
        <v>41.91935949757611</v>
      </c>
    </row>
    <row r="127" spans="1:14" x14ac:dyDescent="0.45">
      <c r="A127" s="23">
        <v>42243</v>
      </c>
      <c r="B127">
        <v>301.37</v>
      </c>
      <c r="C127">
        <v>304.49</v>
      </c>
      <c r="G127">
        <f t="shared" ref="G127:K127" si="78">SUMPRODUCT($B127:$B131,P$2:P$6)</f>
        <v>392.84079748888519</v>
      </c>
      <c r="H127">
        <f t="shared" si="78"/>
        <v>472.3105057153565</v>
      </c>
      <c r="I127">
        <f t="shared" si="78"/>
        <v>547.16585214014935</v>
      </c>
      <c r="J127">
        <f t="shared" si="78"/>
        <v>769.00293858048917</v>
      </c>
      <c r="K127">
        <f t="shared" si="78"/>
        <v>821.88850770006957</v>
      </c>
      <c r="L127">
        <f t="shared" si="15"/>
        <v>292.51091699319295</v>
      </c>
      <c r="M127">
        <f t="shared" si="17"/>
        <v>8.48908300680705</v>
      </c>
      <c r="N127">
        <f t="shared" si="18"/>
        <v>72.064530296460219</v>
      </c>
    </row>
    <row r="128" spans="1:14" x14ac:dyDescent="0.45">
      <c r="A128" s="23">
        <v>42242</v>
      </c>
      <c r="B128">
        <v>290.10000000000002</v>
      </c>
      <c r="C128">
        <v>298.25</v>
      </c>
      <c r="G128">
        <f t="shared" ref="G128:K128" si="79">SUMPRODUCT($B128:$B132,P$2:P$6)</f>
        <v>392.72154687159917</v>
      </c>
      <c r="H128">
        <f t="shared" si="79"/>
        <v>473.2804673084695</v>
      </c>
      <c r="I128">
        <f t="shared" si="79"/>
        <v>543.97440840950935</v>
      </c>
      <c r="J128">
        <f t="shared" si="79"/>
        <v>765.62473331776334</v>
      </c>
      <c r="K128">
        <f t="shared" si="79"/>
        <v>820.68439808716312</v>
      </c>
      <c r="L128">
        <f t="shared" si="15"/>
        <v>291.68780328479716</v>
      </c>
      <c r="M128">
        <f t="shared" si="17"/>
        <v>9.6821967152028492</v>
      </c>
      <c r="N128">
        <f t="shared" si="18"/>
        <v>93.744933231884843</v>
      </c>
    </row>
    <row r="129" spans="1:14" x14ac:dyDescent="0.45">
      <c r="A129" s="23">
        <v>42241</v>
      </c>
      <c r="B129">
        <v>292.64</v>
      </c>
      <c r="C129">
        <v>281.74</v>
      </c>
      <c r="G129">
        <f t="shared" ref="G129:K129" si="80">SUMPRODUCT($B129:$B133,P$2:P$6)</f>
        <v>400.79679141454193</v>
      </c>
      <c r="H129">
        <f t="shared" si="80"/>
        <v>481.7602359974054</v>
      </c>
      <c r="I129">
        <f t="shared" si="80"/>
        <v>551.0179546013768</v>
      </c>
      <c r="J129">
        <f t="shared" si="80"/>
        <v>780.66370445783434</v>
      </c>
      <c r="K129">
        <f t="shared" si="80"/>
        <v>839.31105379623159</v>
      </c>
      <c r="L129">
        <f t="shared" si="15"/>
        <v>296.07427450577421</v>
      </c>
      <c r="M129">
        <f t="shared" si="17"/>
        <v>-5.9742745057741899</v>
      </c>
      <c r="N129">
        <f t="shared" si="18"/>
        <v>35.691955870343442</v>
      </c>
    </row>
    <row r="130" spans="1:14" x14ac:dyDescent="0.45">
      <c r="A130" s="23">
        <v>42240</v>
      </c>
      <c r="B130">
        <v>269.05</v>
      </c>
      <c r="C130">
        <v>278.35000000000002</v>
      </c>
      <c r="G130">
        <f t="shared" ref="G130:K130" si="81">SUMPRODUCT($B130:$B134,P$2:P$6)</f>
        <v>412.706949818461</v>
      </c>
      <c r="H130">
        <f t="shared" si="81"/>
        <v>497.99543935331531</v>
      </c>
      <c r="I130">
        <f t="shared" si="81"/>
        <v>567.43812940044563</v>
      </c>
      <c r="J130">
        <f t="shared" si="81"/>
        <v>807.47742759626237</v>
      </c>
      <c r="K130">
        <f t="shared" si="81"/>
        <v>869.41847270431731</v>
      </c>
      <c r="L130">
        <f t="shared" ref="L130:L193" si="82">(G130+$P$7)*$U$2+(H130+$Q$7)*$U$3+(I130+$R$7)*$U$4+(J130+$S$7)*$U$5+(K130+$T$7)*$U$6+$U$7</f>
        <v>304.63465691988461</v>
      </c>
      <c r="M130">
        <f t="shared" si="17"/>
        <v>-11.994656919884619</v>
      </c>
      <c r="N130">
        <f t="shared" si="18"/>
        <v>143.87179462573599</v>
      </c>
    </row>
    <row r="131" spans="1:14" x14ac:dyDescent="0.45">
      <c r="A131" s="23">
        <v>42237</v>
      </c>
      <c r="B131">
        <v>305.70999999999998</v>
      </c>
      <c r="C131">
        <v>295.64</v>
      </c>
      <c r="G131">
        <f t="shared" ref="G131:K131" si="83">SUMPRODUCT($B131:$B135,P$2:P$6)</f>
        <v>425.06911981315511</v>
      </c>
      <c r="H131">
        <f t="shared" si="83"/>
        <v>512.06766021118631</v>
      </c>
      <c r="I131">
        <f t="shared" si="83"/>
        <v>584.5970333895666</v>
      </c>
      <c r="J131">
        <f t="shared" si="83"/>
        <v>828.21808778081572</v>
      </c>
      <c r="K131">
        <f t="shared" si="83"/>
        <v>893.29412237639269</v>
      </c>
      <c r="L131">
        <f t="shared" si="82"/>
        <v>312.93430506188378</v>
      </c>
      <c r="M131">
        <f t="shared" ref="M131:M194" si="84">B130-L131</f>
        <v>-43.884305061883765</v>
      </c>
      <c r="N131">
        <f t="shared" ref="N131:N194" si="85">M131^2</f>
        <v>1925.8322307644771</v>
      </c>
    </row>
    <row r="132" spans="1:14" x14ac:dyDescent="0.45">
      <c r="A132" s="23">
        <v>42236</v>
      </c>
      <c r="B132">
        <v>314.77999999999997</v>
      </c>
      <c r="C132">
        <v>309.89999999999998</v>
      </c>
      <c r="G132">
        <f t="shared" ref="G132:K132" si="86">SUMPRODUCT($B132:$B136,P$2:P$6)</f>
        <v>427.11216335910228</v>
      </c>
      <c r="H132">
        <f t="shared" si="86"/>
        <v>514.04295673438116</v>
      </c>
      <c r="I132">
        <f t="shared" si="86"/>
        <v>588.06939706313494</v>
      </c>
      <c r="J132">
        <f t="shared" si="86"/>
        <v>832.1779359731446</v>
      </c>
      <c r="K132">
        <f t="shared" si="86"/>
        <v>896.85519443646899</v>
      </c>
      <c r="L132">
        <f t="shared" si="82"/>
        <v>314.42317275431003</v>
      </c>
      <c r="M132">
        <f t="shared" si="84"/>
        <v>-8.713172754310051</v>
      </c>
      <c r="N132">
        <f t="shared" si="85"/>
        <v>75.919379446451003</v>
      </c>
    </row>
    <row r="133" spans="1:14" x14ac:dyDescent="0.45">
      <c r="A133" s="23">
        <v>42235</v>
      </c>
      <c r="B133">
        <v>311.99</v>
      </c>
      <c r="C133">
        <v>315.82</v>
      </c>
      <c r="G133">
        <f t="shared" ref="G133:K133" si="87">SUMPRODUCT($B133:$B137,P$2:P$6)</f>
        <v>427.40277430741537</v>
      </c>
      <c r="H133">
        <f t="shared" si="87"/>
        <v>514.69739588304947</v>
      </c>
      <c r="I133">
        <f t="shared" si="87"/>
        <v>588.95898562701416</v>
      </c>
      <c r="J133">
        <f t="shared" si="87"/>
        <v>833.16721371253936</v>
      </c>
      <c r="K133">
        <f t="shared" si="87"/>
        <v>897.50702887908255</v>
      </c>
      <c r="L133">
        <f t="shared" si="82"/>
        <v>314.78335921362094</v>
      </c>
      <c r="M133">
        <f t="shared" si="84"/>
        <v>-3.3592136209676937E-3</v>
      </c>
      <c r="N133">
        <f t="shared" si="85"/>
        <v>1.1284316151294884E-5</v>
      </c>
    </row>
    <row r="134" spans="1:14" x14ac:dyDescent="0.45">
      <c r="A134" s="23">
        <v>42234</v>
      </c>
      <c r="B134">
        <v>316.8</v>
      </c>
      <c r="C134">
        <v>312.13</v>
      </c>
      <c r="G134">
        <f t="shared" ref="G134:K134" si="88">SUMPRODUCT($B134:$B138,P$2:P$6)</f>
        <v>428.04982330254262</v>
      </c>
      <c r="H134">
        <f t="shared" si="88"/>
        <v>515.22254726370363</v>
      </c>
      <c r="I134">
        <f t="shared" si="88"/>
        <v>588.71201162669388</v>
      </c>
      <c r="J134">
        <f t="shared" si="88"/>
        <v>833.16713766295709</v>
      </c>
      <c r="K134">
        <f t="shared" si="88"/>
        <v>898.85605876542149</v>
      </c>
      <c r="L134">
        <f t="shared" si="82"/>
        <v>314.89724126295357</v>
      </c>
      <c r="M134">
        <f t="shared" si="84"/>
        <v>-2.907241262953562</v>
      </c>
      <c r="N134">
        <f t="shared" si="85"/>
        <v>8.4520517610198223</v>
      </c>
    </row>
    <row r="135" spans="1:14" x14ac:dyDescent="0.45">
      <c r="A135" s="23">
        <v>42233</v>
      </c>
      <c r="B135">
        <v>313.49</v>
      </c>
      <c r="C135">
        <v>316.08</v>
      </c>
      <c r="G135">
        <f t="shared" ref="G135:K135" si="89">SUMPRODUCT($B135:$B139,P$2:P$6)</f>
        <v>427.33041893685515</v>
      </c>
      <c r="H135">
        <f t="shared" si="89"/>
        <v>514.40998382247039</v>
      </c>
      <c r="I135">
        <f t="shared" si="89"/>
        <v>588.21108225183207</v>
      </c>
      <c r="J135">
        <f t="shared" si="89"/>
        <v>832.67390747617162</v>
      </c>
      <c r="K135">
        <f t="shared" si="89"/>
        <v>897.7679429769895</v>
      </c>
      <c r="L135">
        <f t="shared" si="82"/>
        <v>314.56138096010289</v>
      </c>
      <c r="M135">
        <f t="shared" si="84"/>
        <v>2.2386190398971166</v>
      </c>
      <c r="N135">
        <f t="shared" si="85"/>
        <v>5.0114152057898886</v>
      </c>
    </row>
    <row r="136" spans="1:14" x14ac:dyDescent="0.45">
      <c r="A136" s="23">
        <v>42230</v>
      </c>
      <c r="B136">
        <v>314.22000000000003</v>
      </c>
      <c r="C136">
        <v>312.61</v>
      </c>
      <c r="G136">
        <f t="shared" ref="G136:K136" si="90">SUMPRODUCT($B136:$B140,P$2:P$6)</f>
        <v>426.81161924629151</v>
      </c>
      <c r="H136">
        <f t="shared" si="90"/>
        <v>513.91438131572181</v>
      </c>
      <c r="I136">
        <f t="shared" si="90"/>
        <v>587.7063570801165</v>
      </c>
      <c r="J136">
        <f t="shared" si="90"/>
        <v>831.42409947142789</v>
      </c>
      <c r="K136">
        <f t="shared" si="90"/>
        <v>896.47492424421011</v>
      </c>
      <c r="L136">
        <f t="shared" si="82"/>
        <v>314.26594104710989</v>
      </c>
      <c r="M136">
        <f t="shared" si="84"/>
        <v>-0.77594104710988177</v>
      </c>
      <c r="N136">
        <f t="shared" si="85"/>
        <v>0.60208450858997975</v>
      </c>
    </row>
    <row r="137" spans="1:14" x14ac:dyDescent="0.45">
      <c r="A137" s="23">
        <v>42229</v>
      </c>
      <c r="B137">
        <v>316.97000000000003</v>
      </c>
      <c r="C137">
        <v>313.91000000000003</v>
      </c>
      <c r="G137">
        <f t="shared" ref="G137:K137" si="91">SUMPRODUCT($B137:$B141,P$2:P$6)</f>
        <v>425.82164210094425</v>
      </c>
      <c r="H137">
        <f t="shared" si="91"/>
        <v>512.46647185490394</v>
      </c>
      <c r="I137">
        <f t="shared" si="91"/>
        <v>587.13864879013988</v>
      </c>
      <c r="J137">
        <f t="shared" si="91"/>
        <v>829.73424116319052</v>
      </c>
      <c r="K137">
        <f t="shared" si="91"/>
        <v>893.3820031151663</v>
      </c>
      <c r="L137">
        <f t="shared" si="82"/>
        <v>313.72919628938911</v>
      </c>
      <c r="M137">
        <f t="shared" si="84"/>
        <v>0.4908037106109191</v>
      </c>
      <c r="N137">
        <f t="shared" si="85"/>
        <v>0.24088828234944681</v>
      </c>
    </row>
    <row r="138" spans="1:14" x14ac:dyDescent="0.45">
      <c r="A138" s="23">
        <v>42228</v>
      </c>
      <c r="B138">
        <v>312.3</v>
      </c>
      <c r="C138">
        <v>316.73</v>
      </c>
      <c r="G138">
        <f t="shared" ref="G138:K138" si="92">SUMPRODUCT($B138:$B142,P$2:P$6)</f>
        <v>426.84130906950685</v>
      </c>
      <c r="H138">
        <f t="shared" si="92"/>
        <v>513.9053705646362</v>
      </c>
      <c r="I138">
        <f t="shared" si="92"/>
        <v>591.47556571508017</v>
      </c>
      <c r="J138">
        <f t="shared" si="92"/>
        <v>834.15319852793061</v>
      </c>
      <c r="K138">
        <f t="shared" si="92"/>
        <v>893.70364289485315</v>
      </c>
      <c r="L138">
        <f t="shared" si="82"/>
        <v>315.14080953158896</v>
      </c>
      <c r="M138">
        <f t="shared" si="84"/>
        <v>1.8291904684110705</v>
      </c>
      <c r="N138">
        <f t="shared" si="85"/>
        <v>3.3459377697259112</v>
      </c>
    </row>
    <row r="139" spans="1:14" x14ac:dyDescent="0.45">
      <c r="A139" s="23">
        <v>42227</v>
      </c>
      <c r="B139">
        <v>312.56</v>
      </c>
      <c r="C139">
        <v>314.85000000000002</v>
      </c>
      <c r="G139">
        <f t="shared" ref="G139:K139" si="93">SUMPRODUCT($B139:$B143,P$2:P$6)</f>
        <v>433.87857093670868</v>
      </c>
      <c r="H139">
        <f t="shared" si="93"/>
        <v>522.51887161131822</v>
      </c>
      <c r="I139">
        <f t="shared" si="93"/>
        <v>597.10070374475038</v>
      </c>
      <c r="J139">
        <f t="shared" si="93"/>
        <v>845.15202047285948</v>
      </c>
      <c r="K139">
        <f t="shared" si="93"/>
        <v>909.72673659296595</v>
      </c>
      <c r="L139">
        <f t="shared" si="82"/>
        <v>318.93615091864223</v>
      </c>
      <c r="M139">
        <f t="shared" si="84"/>
        <v>-6.6361509186422154</v>
      </c>
      <c r="N139">
        <f t="shared" si="85"/>
        <v>44.038499014995921</v>
      </c>
    </row>
    <row r="140" spans="1:14" x14ac:dyDescent="0.45">
      <c r="A140" s="23">
        <v>42226</v>
      </c>
      <c r="B140">
        <v>312.2</v>
      </c>
      <c r="C140">
        <v>314.94</v>
      </c>
      <c r="G140">
        <f t="shared" ref="G140:K140" si="94">SUMPRODUCT($B140:$B144,P$2:P$6)</f>
        <v>441.99215599954772</v>
      </c>
      <c r="H140">
        <f t="shared" si="94"/>
        <v>532.14165320950804</v>
      </c>
      <c r="I140">
        <f t="shared" si="94"/>
        <v>606.33543515595056</v>
      </c>
      <c r="J140">
        <f t="shared" si="94"/>
        <v>861.36817114379767</v>
      </c>
      <c r="K140">
        <f t="shared" si="94"/>
        <v>929.60883428700504</v>
      </c>
      <c r="L140">
        <f t="shared" si="82"/>
        <v>324.07941765877274</v>
      </c>
      <c r="M140">
        <f t="shared" si="84"/>
        <v>-11.519417658772738</v>
      </c>
      <c r="N140">
        <f t="shared" si="85"/>
        <v>132.6969831972452</v>
      </c>
    </row>
    <row r="141" spans="1:14" x14ac:dyDescent="0.45">
      <c r="A141" s="23">
        <v>42223</v>
      </c>
      <c r="B141">
        <v>316</v>
      </c>
      <c r="C141">
        <v>309</v>
      </c>
      <c r="G141">
        <f t="shared" ref="G141:K141" si="95">SUMPRODUCT($B141:$B145,P$2:P$6)</f>
        <v>447.3173368188377</v>
      </c>
      <c r="H141">
        <f t="shared" si="95"/>
        <v>539.10761772952026</v>
      </c>
      <c r="I141">
        <f t="shared" si="95"/>
        <v>614.19560281020165</v>
      </c>
      <c r="J141">
        <f t="shared" si="95"/>
        <v>871.91381597830639</v>
      </c>
      <c r="K141">
        <f t="shared" si="95"/>
        <v>942.23582242813154</v>
      </c>
      <c r="L141">
        <f t="shared" si="82"/>
        <v>327.97711022212508</v>
      </c>
      <c r="M141">
        <f t="shared" si="84"/>
        <v>-15.777110222125089</v>
      </c>
      <c r="N141">
        <f t="shared" si="85"/>
        <v>248.91720696108396</v>
      </c>
    </row>
    <row r="142" spans="1:14" x14ac:dyDescent="0.45">
      <c r="A142" s="23">
        <v>42222</v>
      </c>
      <c r="B142">
        <v>336.67</v>
      </c>
      <c r="C142">
        <v>316.60000000000002</v>
      </c>
      <c r="G142">
        <f t="shared" ref="G142:K142" si="96">SUMPRODUCT($B142:$B146,P$2:P$6)</f>
        <v>446.37404285965067</v>
      </c>
      <c r="H142">
        <f t="shared" si="96"/>
        <v>537.19689481531236</v>
      </c>
      <c r="I142">
        <f t="shared" si="96"/>
        <v>614.75554268753933</v>
      </c>
      <c r="J142">
        <f t="shared" si="96"/>
        <v>868.88622279516858</v>
      </c>
      <c r="K142">
        <f t="shared" si="96"/>
        <v>937.54409193501272</v>
      </c>
      <c r="L142">
        <f t="shared" si="82"/>
        <v>327.62498507233778</v>
      </c>
      <c r="M142">
        <f t="shared" si="84"/>
        <v>-11.624985072337779</v>
      </c>
      <c r="N142">
        <f t="shared" si="85"/>
        <v>135.1402779320762</v>
      </c>
    </row>
    <row r="143" spans="1:14" x14ac:dyDescent="0.45">
      <c r="A143" s="23">
        <v>42221</v>
      </c>
      <c r="B143">
        <v>333</v>
      </c>
      <c r="C143">
        <v>335.41</v>
      </c>
      <c r="G143">
        <f t="shared" ref="G143:K143" si="97">SUMPRODUCT($B143:$B147,P$2:P$6)</f>
        <v>439.92757984885816</v>
      </c>
      <c r="H143">
        <f t="shared" si="97"/>
        <v>529.36882418830351</v>
      </c>
      <c r="I143">
        <f t="shared" si="97"/>
        <v>604.93787487349016</v>
      </c>
      <c r="J143">
        <f t="shared" si="97"/>
        <v>855.43484624192615</v>
      </c>
      <c r="K143">
        <f t="shared" si="97"/>
        <v>924.01761155911049</v>
      </c>
      <c r="L143">
        <f t="shared" si="82"/>
        <v>322.96741315254508</v>
      </c>
      <c r="M143">
        <f t="shared" si="84"/>
        <v>13.702586847454938</v>
      </c>
      <c r="N143">
        <f t="shared" si="85"/>
        <v>187.76088631204507</v>
      </c>
    </row>
    <row r="144" spans="1:14" x14ac:dyDescent="0.45">
      <c r="A144" s="23">
        <v>42220</v>
      </c>
      <c r="B144">
        <v>325.88</v>
      </c>
      <c r="C144">
        <v>330.38</v>
      </c>
      <c r="G144">
        <f t="shared" ref="G144:K144" si="98">SUMPRODUCT($B144:$B148,P$2:P$6)</f>
        <v>434.26604731091373</v>
      </c>
      <c r="H144">
        <f t="shared" si="98"/>
        <v>522.5370391930079</v>
      </c>
      <c r="I144">
        <f t="shared" si="98"/>
        <v>599.67259336393136</v>
      </c>
      <c r="J144">
        <f t="shared" si="98"/>
        <v>846.70911898816257</v>
      </c>
      <c r="K144">
        <f t="shared" si="98"/>
        <v>910.97961351849676</v>
      </c>
      <c r="L144">
        <f t="shared" si="82"/>
        <v>319.71986914501957</v>
      </c>
      <c r="M144">
        <f t="shared" si="84"/>
        <v>13.280130854980428</v>
      </c>
      <c r="N144">
        <f t="shared" si="85"/>
        <v>176.36187552540318</v>
      </c>
    </row>
    <row r="145" spans="1:14" x14ac:dyDescent="0.45">
      <c r="A145" s="23">
        <v>42219</v>
      </c>
      <c r="B145">
        <v>320.33</v>
      </c>
      <c r="C145">
        <v>324.38</v>
      </c>
      <c r="G145">
        <f t="shared" ref="G145:K145" si="99">SUMPRODUCT($B145:$B149,P$2:P$6)</f>
        <v>432.0349483726514</v>
      </c>
      <c r="H145">
        <f t="shared" si="99"/>
        <v>520.18333042770485</v>
      </c>
      <c r="I145">
        <f t="shared" si="99"/>
        <v>593.71368807090937</v>
      </c>
      <c r="J145">
        <f t="shared" si="99"/>
        <v>840.21782495305206</v>
      </c>
      <c r="K145">
        <f t="shared" si="99"/>
        <v>907.37760851149847</v>
      </c>
      <c r="L145">
        <f t="shared" si="82"/>
        <v>317.51182096705719</v>
      </c>
      <c r="M145">
        <f t="shared" si="84"/>
        <v>8.3681790329428054</v>
      </c>
      <c r="N145">
        <f t="shared" si="85"/>
        <v>70.02642032738359</v>
      </c>
    </row>
    <row r="146" spans="1:14" x14ac:dyDescent="0.45">
      <c r="A146" s="23">
        <v>42216</v>
      </c>
      <c r="B146">
        <v>319.57</v>
      </c>
      <c r="C146">
        <v>318.77999999999997</v>
      </c>
      <c r="G146">
        <f t="shared" ref="G146:K146" si="100">SUMPRODUCT($B146:$B150,P$2:P$6)</f>
        <v>429.73349393690251</v>
      </c>
      <c r="H146">
        <f t="shared" si="100"/>
        <v>516.98648183323462</v>
      </c>
      <c r="I146">
        <f t="shared" si="100"/>
        <v>590.12731173013526</v>
      </c>
      <c r="J146">
        <f t="shared" si="100"/>
        <v>836.18186538925022</v>
      </c>
      <c r="K146">
        <f t="shared" si="100"/>
        <v>903.40904180357506</v>
      </c>
      <c r="L146">
        <f t="shared" si="82"/>
        <v>315.82862084410385</v>
      </c>
      <c r="M146">
        <f t="shared" si="84"/>
        <v>4.5013791558961316</v>
      </c>
      <c r="N146">
        <f t="shared" si="85"/>
        <v>20.262414305136168</v>
      </c>
    </row>
    <row r="147" spans="1:14" x14ac:dyDescent="0.45">
      <c r="A147" s="23">
        <v>42215</v>
      </c>
      <c r="B147">
        <v>312.54000000000002</v>
      </c>
      <c r="C147">
        <v>317</v>
      </c>
      <c r="G147">
        <f t="shared" ref="G147:K147" si="101">SUMPRODUCT($B147:$B151,P$2:P$6)</f>
        <v>427.22232188339683</v>
      </c>
      <c r="H147">
        <f t="shared" si="101"/>
        <v>514.56339345099241</v>
      </c>
      <c r="I147">
        <f t="shared" si="101"/>
        <v>591.94135906162182</v>
      </c>
      <c r="J147">
        <f t="shared" si="101"/>
        <v>835.10555532861508</v>
      </c>
      <c r="K147">
        <f t="shared" si="101"/>
        <v>896.0546993963444</v>
      </c>
      <c r="L147">
        <f t="shared" si="82"/>
        <v>315.47739108966209</v>
      </c>
      <c r="M147">
        <f t="shared" si="84"/>
        <v>4.0926089103379013</v>
      </c>
      <c r="N147">
        <f t="shared" si="85"/>
        <v>16.749447692977185</v>
      </c>
    </row>
    <row r="148" spans="1:14" x14ac:dyDescent="0.45">
      <c r="A148" s="23">
        <v>42214</v>
      </c>
      <c r="B148">
        <v>321.92</v>
      </c>
      <c r="C148">
        <v>313.33999999999997</v>
      </c>
      <c r="G148">
        <f t="shared" ref="G148:K148" si="102">SUMPRODUCT($B148:$B152,P$2:P$6)</f>
        <v>432.58556191633295</v>
      </c>
      <c r="H148">
        <f t="shared" si="102"/>
        <v>520.71452550448498</v>
      </c>
      <c r="I148">
        <f t="shared" si="102"/>
        <v>608.60923278296218</v>
      </c>
      <c r="J148">
        <f t="shared" si="102"/>
        <v>850.30824726573667</v>
      </c>
      <c r="K148">
        <f t="shared" si="102"/>
        <v>898.25599900707937</v>
      </c>
      <c r="L148">
        <f t="shared" si="82"/>
        <v>321.15381988317142</v>
      </c>
      <c r="M148">
        <f t="shared" si="84"/>
        <v>-8.6138198831714021</v>
      </c>
      <c r="N148">
        <f t="shared" si="85"/>
        <v>74.197892979718986</v>
      </c>
    </row>
    <row r="149" spans="1:14" x14ac:dyDescent="0.45">
      <c r="A149" s="23">
        <v>42213</v>
      </c>
      <c r="B149">
        <v>312.52</v>
      </c>
      <c r="C149">
        <v>319.93</v>
      </c>
      <c r="G149">
        <f t="shared" ref="G149:K149" si="103">SUMPRODUCT($B149:$B153,P$2:P$6)</f>
        <v>436.10883162433294</v>
      </c>
      <c r="H149">
        <f t="shared" si="103"/>
        <v>525.32978714543412</v>
      </c>
      <c r="I149">
        <f t="shared" si="103"/>
        <v>538.54423941649588</v>
      </c>
      <c r="J149">
        <f t="shared" si="103"/>
        <v>806.72468891345227</v>
      </c>
      <c r="K149">
        <f t="shared" si="103"/>
        <v>949.10100137939344</v>
      </c>
      <c r="L149">
        <f t="shared" si="82"/>
        <v>305.70357531361452</v>
      </c>
      <c r="M149">
        <f t="shared" si="84"/>
        <v>16.216424686385494</v>
      </c>
      <c r="N149">
        <f t="shared" si="85"/>
        <v>262.9724296092129</v>
      </c>
    </row>
    <row r="150" spans="1:14" x14ac:dyDescent="0.45">
      <c r="A150" s="23">
        <v>42212</v>
      </c>
      <c r="B150">
        <v>305.39999999999998</v>
      </c>
      <c r="C150">
        <v>309.43</v>
      </c>
      <c r="G150">
        <f t="shared" ref="G150:K150" si="104">SUMPRODUCT($B150:$B154,P$2:P$6)</f>
        <v>388.95762566608738</v>
      </c>
      <c r="H150">
        <f t="shared" si="104"/>
        <v>465.25786180219467</v>
      </c>
      <c r="I150">
        <f t="shared" si="104"/>
        <v>590.04661156095756</v>
      </c>
      <c r="J150">
        <f t="shared" si="104"/>
        <v>805.07791426547703</v>
      </c>
      <c r="K150">
        <f t="shared" si="104"/>
        <v>807.46120236764295</v>
      </c>
      <c r="L150">
        <f t="shared" si="82"/>
        <v>302.16399684430593</v>
      </c>
      <c r="M150">
        <f t="shared" si="84"/>
        <v>10.356003155694054</v>
      </c>
      <c r="N150">
        <f t="shared" si="85"/>
        <v>107.24680136074521</v>
      </c>
    </row>
    <row r="151" spans="1:14" x14ac:dyDescent="0.45">
      <c r="A151" s="23">
        <v>42209</v>
      </c>
      <c r="B151">
        <v>327</v>
      </c>
      <c r="C151">
        <v>300.02999999999997</v>
      </c>
      <c r="G151">
        <f t="shared" ref="G151:K151" si="105">SUMPRODUCT($B151:$B155,P$2:P$6)</f>
        <v>385.70457248269986</v>
      </c>
      <c r="H151">
        <f t="shared" si="105"/>
        <v>470.95372992104677</v>
      </c>
      <c r="I151">
        <f t="shared" si="105"/>
        <v>549.94790878989727</v>
      </c>
      <c r="J151">
        <f t="shared" si="105"/>
        <v>742.55677056862191</v>
      </c>
      <c r="K151">
        <f t="shared" si="105"/>
        <v>783.28280827839217</v>
      </c>
      <c r="L151">
        <f t="shared" si="82"/>
        <v>290.58859640119766</v>
      </c>
      <c r="M151">
        <f t="shared" si="84"/>
        <v>14.811403598802315</v>
      </c>
      <c r="N151">
        <f t="shared" si="85"/>
        <v>219.37767656661416</v>
      </c>
    </row>
    <row r="152" spans="1:14" x14ac:dyDescent="0.45">
      <c r="A152" s="23">
        <v>42208</v>
      </c>
      <c r="B152">
        <v>394.17</v>
      </c>
      <c r="C152">
        <v>385.05</v>
      </c>
      <c r="G152">
        <f t="shared" ref="G152:K152" si="106">SUMPRODUCT($B152:$B156,P$2:P$6)</f>
        <v>406.20378937851916</v>
      </c>
      <c r="H152">
        <f t="shared" si="106"/>
        <v>476.75477867857495</v>
      </c>
      <c r="I152">
        <f t="shared" si="106"/>
        <v>557.44083730046987</v>
      </c>
      <c r="J152">
        <f t="shared" si="106"/>
        <v>784.46892131428854</v>
      </c>
      <c r="K152">
        <f t="shared" si="106"/>
        <v>824.90395302533966</v>
      </c>
      <c r="L152">
        <f t="shared" si="82"/>
        <v>297.16563907079359</v>
      </c>
      <c r="M152">
        <f t="shared" si="84"/>
        <v>29.834360929206412</v>
      </c>
      <c r="N152">
        <f t="shared" si="85"/>
        <v>890.08909205415807</v>
      </c>
    </row>
    <row r="153" spans="1:14" x14ac:dyDescent="0.45">
      <c r="A153" s="23">
        <v>42207</v>
      </c>
      <c r="B153">
        <v>39</v>
      </c>
      <c r="C153">
        <v>391.74</v>
      </c>
      <c r="G153">
        <f t="shared" ref="G153:K153" si="107">SUMPRODUCT($B153:$B157,P$2:P$6)</f>
        <v>466.98903237659908</v>
      </c>
      <c r="H153">
        <f t="shared" si="107"/>
        <v>574.35302460079436</v>
      </c>
      <c r="I153">
        <f t="shared" si="107"/>
        <v>629.53595249106422</v>
      </c>
      <c r="J153">
        <f t="shared" si="107"/>
        <v>934.17150590666279</v>
      </c>
      <c r="K153">
        <f t="shared" si="107"/>
        <v>1012.1300779429503</v>
      </c>
      <c r="L153">
        <f t="shared" si="82"/>
        <v>340.74885799301217</v>
      </c>
      <c r="M153">
        <f t="shared" si="84"/>
        <v>53.42114200698785</v>
      </c>
      <c r="N153">
        <f t="shared" si="85"/>
        <v>2853.8184133307618</v>
      </c>
    </row>
    <row r="154" spans="1:14" x14ac:dyDescent="0.45">
      <c r="A154" s="23">
        <v>42206</v>
      </c>
      <c r="B154">
        <v>410.35</v>
      </c>
      <c r="C154">
        <v>409.5</v>
      </c>
      <c r="G154">
        <f t="shared" ref="G154:K154" si="108">SUMPRODUCT($B154:$B158,P$2:P$6)</f>
        <v>552.57342895146257</v>
      </c>
      <c r="H154">
        <f t="shared" si="108"/>
        <v>665.08369988140839</v>
      </c>
      <c r="I154">
        <f t="shared" si="108"/>
        <v>761.23859650609847</v>
      </c>
      <c r="J154">
        <f t="shared" si="108"/>
        <v>1076.4563185835405</v>
      </c>
      <c r="K154">
        <f t="shared" si="108"/>
        <v>1160.1850824719299</v>
      </c>
      <c r="L154">
        <f t="shared" si="82"/>
        <v>400.18268869874174</v>
      </c>
      <c r="M154">
        <f t="shared" si="84"/>
        <v>-361.18268869874174</v>
      </c>
      <c r="N154">
        <f t="shared" si="85"/>
        <v>130452.93461565218</v>
      </c>
    </row>
    <row r="155" spans="1:14" x14ac:dyDescent="0.45">
      <c r="A155" s="23">
        <v>42205</v>
      </c>
      <c r="B155">
        <v>407.53</v>
      </c>
      <c r="C155">
        <v>408.93</v>
      </c>
      <c r="G155">
        <f t="shared" ref="G155:K155" si="109">SUMPRODUCT($B155:$B159,P$2:P$6)</f>
        <v>550.13613124821859</v>
      </c>
      <c r="H155">
        <f t="shared" si="109"/>
        <v>662.26249871819778</v>
      </c>
      <c r="I155">
        <f t="shared" si="109"/>
        <v>756.35880075406703</v>
      </c>
      <c r="J155">
        <f t="shared" si="109"/>
        <v>1070.5765093136317</v>
      </c>
      <c r="K155">
        <f t="shared" si="109"/>
        <v>1155.7895916878299</v>
      </c>
      <c r="L155">
        <f t="shared" si="82"/>
        <v>398.15822228408643</v>
      </c>
      <c r="M155">
        <f t="shared" si="84"/>
        <v>12.191777715913588</v>
      </c>
      <c r="N155">
        <f t="shared" si="85"/>
        <v>148.63944387424715</v>
      </c>
    </row>
    <row r="156" spans="1:14" x14ac:dyDescent="0.45">
      <c r="A156" s="23">
        <v>42202</v>
      </c>
      <c r="B156">
        <v>406.37</v>
      </c>
      <c r="C156">
        <v>404.66</v>
      </c>
      <c r="G156">
        <f t="shared" ref="G156:K156" si="110">SUMPRODUCT($B156:$B160,P$2:P$6)</f>
        <v>546.69715165012735</v>
      </c>
      <c r="H156">
        <f t="shared" si="110"/>
        <v>657.93365173992629</v>
      </c>
      <c r="I156">
        <f t="shared" si="110"/>
        <v>751.62513199136458</v>
      </c>
      <c r="J156">
        <f t="shared" si="110"/>
        <v>1064.1128346102093</v>
      </c>
      <c r="K156">
        <f t="shared" si="110"/>
        <v>1148.9707673826456</v>
      </c>
      <c r="L156">
        <f t="shared" si="82"/>
        <v>395.81132127356682</v>
      </c>
      <c r="M156">
        <f t="shared" si="84"/>
        <v>11.718678726433154</v>
      </c>
      <c r="N156">
        <f t="shared" si="85"/>
        <v>137.32743109335698</v>
      </c>
    </row>
    <row r="157" spans="1:14" x14ac:dyDescent="0.45">
      <c r="A157" s="23">
        <v>42201</v>
      </c>
      <c r="B157">
        <v>402.72</v>
      </c>
      <c r="C157">
        <v>403.73</v>
      </c>
      <c r="G157">
        <f t="shared" ref="G157:K157" si="111">SUMPRODUCT($B157:$B161,P$2:P$6)</f>
        <v>542.47491277434494</v>
      </c>
      <c r="H157">
        <f t="shared" si="111"/>
        <v>653.0711400710718</v>
      </c>
      <c r="I157">
        <f t="shared" si="111"/>
        <v>748.7694124446125</v>
      </c>
      <c r="J157">
        <f t="shared" si="111"/>
        <v>1057.7608963382079</v>
      </c>
      <c r="K157">
        <f t="shared" si="111"/>
        <v>1138.6448706166091</v>
      </c>
      <c r="L157">
        <f t="shared" si="82"/>
        <v>393.66863337501377</v>
      </c>
      <c r="M157">
        <f t="shared" si="84"/>
        <v>12.701366624986235</v>
      </c>
      <c r="N157">
        <f t="shared" si="85"/>
        <v>161.32471414231424</v>
      </c>
    </row>
    <row r="158" spans="1:14" x14ac:dyDescent="0.45">
      <c r="A158" s="23">
        <v>42200</v>
      </c>
      <c r="B158">
        <v>404.59</v>
      </c>
      <c r="C158">
        <v>400.55</v>
      </c>
      <c r="G158">
        <f t="shared" ref="G158:K158" si="112">SUMPRODUCT($B158:$B162,P$2:P$6)</f>
        <v>540.54224981600987</v>
      </c>
      <c r="H158">
        <f t="shared" si="112"/>
        <v>650.58952293782693</v>
      </c>
      <c r="I158">
        <f t="shared" si="112"/>
        <v>745.43698287214784</v>
      </c>
      <c r="J158">
        <f t="shared" si="112"/>
        <v>1052.6903268704161</v>
      </c>
      <c r="K158">
        <f t="shared" si="112"/>
        <v>1133.2908270203372</v>
      </c>
      <c r="L158">
        <f t="shared" si="82"/>
        <v>392.09476205925216</v>
      </c>
      <c r="M158">
        <f t="shared" si="84"/>
        <v>10.625237940747866</v>
      </c>
      <c r="N158">
        <f t="shared" si="85"/>
        <v>112.89568129750795</v>
      </c>
    </row>
    <row r="159" spans="1:14" x14ac:dyDescent="0.45">
      <c r="A159" s="23">
        <v>42199</v>
      </c>
      <c r="B159">
        <v>396.95</v>
      </c>
      <c r="C159">
        <v>400.2</v>
      </c>
      <c r="G159">
        <f t="shared" ref="G159:K159" si="113">SUMPRODUCT($B159:$B163,P$2:P$6)</f>
        <v>541.10136711843438</v>
      </c>
      <c r="H159">
        <f t="shared" si="113"/>
        <v>651.22519504371121</v>
      </c>
      <c r="I159">
        <f t="shared" si="113"/>
        <v>745.19665709541437</v>
      </c>
      <c r="J159">
        <f t="shared" si="113"/>
        <v>1054.4212262086717</v>
      </c>
      <c r="K159">
        <f t="shared" si="113"/>
        <v>1135.4111599625421</v>
      </c>
      <c r="L159">
        <f t="shared" si="82"/>
        <v>392.24852182059425</v>
      </c>
      <c r="M159">
        <f t="shared" si="84"/>
        <v>12.341478179405726</v>
      </c>
      <c r="N159">
        <f t="shared" si="85"/>
        <v>152.31208365274767</v>
      </c>
    </row>
    <row r="160" spans="1:14" x14ac:dyDescent="0.45">
      <c r="A160" s="23">
        <v>42198</v>
      </c>
      <c r="B160">
        <v>391.21</v>
      </c>
      <c r="C160">
        <v>391.23</v>
      </c>
      <c r="G160">
        <f t="shared" ref="G160:K160" si="114">SUMPRODUCT($B160:$B164,P$2:P$6)</f>
        <v>545.02936128845761</v>
      </c>
      <c r="H160">
        <f t="shared" si="114"/>
        <v>656.4623317991518</v>
      </c>
      <c r="I160">
        <f t="shared" si="114"/>
        <v>750.10103792998234</v>
      </c>
      <c r="J160">
        <f t="shared" si="114"/>
        <v>1062.6263285294731</v>
      </c>
      <c r="K160">
        <f t="shared" si="114"/>
        <v>1145.1598234735447</v>
      </c>
      <c r="L160">
        <f t="shared" si="82"/>
        <v>394.91591703273912</v>
      </c>
      <c r="M160">
        <f t="shared" si="84"/>
        <v>2.034082967260872</v>
      </c>
      <c r="N160">
        <f t="shared" si="85"/>
        <v>4.1374935177007934</v>
      </c>
    </row>
    <row r="161" spans="1:14" x14ac:dyDescent="0.45">
      <c r="A161" s="23">
        <v>42195</v>
      </c>
      <c r="B161">
        <v>401</v>
      </c>
      <c r="C161">
        <v>388.23</v>
      </c>
      <c r="G161">
        <f t="shared" ref="G161:K161" si="115">SUMPRODUCT($B161:$B165,P$2:P$6)</f>
        <v>548.71214053593985</v>
      </c>
      <c r="H161">
        <f t="shared" si="115"/>
        <v>660.64621020837149</v>
      </c>
      <c r="I161">
        <f t="shared" si="115"/>
        <v>754.43967759483655</v>
      </c>
      <c r="J161">
        <f t="shared" si="115"/>
        <v>1068.5524184681858</v>
      </c>
      <c r="K161">
        <f t="shared" si="115"/>
        <v>1153.0136756435234</v>
      </c>
      <c r="L161">
        <f t="shared" si="82"/>
        <v>397.21672347358475</v>
      </c>
      <c r="M161">
        <f t="shared" si="84"/>
        <v>-6.0067234735847705</v>
      </c>
      <c r="N161">
        <f t="shared" si="85"/>
        <v>36.080726888114292</v>
      </c>
    </row>
    <row r="162" spans="1:14" x14ac:dyDescent="0.45">
      <c r="A162" s="23">
        <v>42194</v>
      </c>
      <c r="B162">
        <v>403.56</v>
      </c>
      <c r="C162">
        <v>399.29</v>
      </c>
      <c r="G162">
        <f t="shared" ref="G162:K162" si="116">SUMPRODUCT($B162:$B166,P$2:P$6)</f>
        <v>548.86195102010208</v>
      </c>
      <c r="H162">
        <f t="shared" si="116"/>
        <v>660.7367976435105</v>
      </c>
      <c r="I162">
        <f t="shared" si="116"/>
        <v>756.87258461333886</v>
      </c>
      <c r="J162">
        <f t="shared" si="116"/>
        <v>1070.2509616478967</v>
      </c>
      <c r="K162">
        <f t="shared" si="116"/>
        <v>1152.280291830479</v>
      </c>
      <c r="L162">
        <f t="shared" si="82"/>
        <v>397.85344878280449</v>
      </c>
      <c r="M162">
        <f t="shared" si="84"/>
        <v>3.1465512171955083</v>
      </c>
      <c r="N162">
        <f t="shared" si="85"/>
        <v>9.9007845624345343</v>
      </c>
    </row>
    <row r="163" spans="1:14" x14ac:dyDescent="0.45">
      <c r="A163" s="23">
        <v>42193</v>
      </c>
      <c r="B163">
        <v>405</v>
      </c>
      <c r="C163">
        <v>397.68</v>
      </c>
      <c r="G163">
        <f t="shared" ref="G163:K163" si="117">SUMPRODUCT($B163:$B167,P$2:P$6)</f>
        <v>549.33480654109781</v>
      </c>
      <c r="H163">
        <f t="shared" si="117"/>
        <v>661.4075198452482</v>
      </c>
      <c r="I163">
        <f t="shared" si="117"/>
        <v>756.93224179216952</v>
      </c>
      <c r="J163">
        <f t="shared" si="117"/>
        <v>1070.1555610810167</v>
      </c>
      <c r="K163">
        <f t="shared" si="117"/>
        <v>1152.7840217312264</v>
      </c>
      <c r="L163">
        <f t="shared" si="82"/>
        <v>398.00585985022633</v>
      </c>
      <c r="M163">
        <f t="shared" si="84"/>
        <v>5.5541401497736729</v>
      </c>
      <c r="N163">
        <f t="shared" si="85"/>
        <v>30.848472803327919</v>
      </c>
    </row>
    <row r="164" spans="1:14" x14ac:dyDescent="0.45">
      <c r="A164" s="23">
        <v>42192</v>
      </c>
      <c r="B164">
        <v>405.25</v>
      </c>
      <c r="C164">
        <v>408.06</v>
      </c>
      <c r="G164">
        <f t="shared" ref="G164:K164" si="118">SUMPRODUCT($B164:$B168,P$2:P$6)</f>
        <v>550.21763847540046</v>
      </c>
      <c r="H164">
        <f t="shared" si="118"/>
        <v>662.19695119971482</v>
      </c>
      <c r="I164">
        <f t="shared" si="118"/>
        <v>756.69135126956553</v>
      </c>
      <c r="J164">
        <f t="shared" si="118"/>
        <v>1071.3116433656096</v>
      </c>
      <c r="K164">
        <f t="shared" si="118"/>
        <v>1155.395890765257</v>
      </c>
      <c r="L164">
        <f t="shared" si="82"/>
        <v>398.23008930228923</v>
      </c>
      <c r="M164">
        <f t="shared" si="84"/>
        <v>6.7699106977107704</v>
      </c>
      <c r="N164">
        <f t="shared" si="85"/>
        <v>45.831690854978731</v>
      </c>
    </row>
    <row r="165" spans="1:14" x14ac:dyDescent="0.45">
      <c r="A165" s="23">
        <v>42191</v>
      </c>
      <c r="B165">
        <v>399.86</v>
      </c>
      <c r="C165">
        <v>404.63</v>
      </c>
      <c r="G165">
        <f t="shared" ref="G165:K165" si="119">SUMPRODUCT($B165:$B169,P$2:P$6)</f>
        <v>550.98449746045628</v>
      </c>
      <c r="H165">
        <f t="shared" si="119"/>
        <v>663.49172127235715</v>
      </c>
      <c r="I165">
        <f t="shared" si="119"/>
        <v>758.42427410152686</v>
      </c>
      <c r="J165">
        <f t="shared" si="119"/>
        <v>1074.0278212954784</v>
      </c>
      <c r="K165">
        <f t="shared" si="119"/>
        <v>1157.9092969549865</v>
      </c>
      <c r="L165">
        <f t="shared" si="82"/>
        <v>399.01224258666048</v>
      </c>
      <c r="M165">
        <f t="shared" si="84"/>
        <v>6.2377574133395228</v>
      </c>
      <c r="N165">
        <f t="shared" si="85"/>
        <v>38.909617547672177</v>
      </c>
    </row>
    <row r="166" spans="1:14" x14ac:dyDescent="0.45">
      <c r="A166" s="23">
        <v>42187</v>
      </c>
      <c r="B166">
        <v>407.29</v>
      </c>
      <c r="C166">
        <v>404.28</v>
      </c>
      <c r="G166">
        <f t="shared" ref="G166:K166" si="120">SUMPRODUCT($B166:$B170,P$2:P$6)</f>
        <v>551.96009374519258</v>
      </c>
      <c r="H166">
        <f t="shared" si="120"/>
        <v>664.52704093810996</v>
      </c>
      <c r="I166">
        <f t="shared" si="120"/>
        <v>761.53887016104522</v>
      </c>
      <c r="J166">
        <f t="shared" si="120"/>
        <v>1076.123352588447</v>
      </c>
      <c r="K166">
        <f t="shared" si="120"/>
        <v>1158.1646622080013</v>
      </c>
      <c r="L166">
        <f t="shared" si="82"/>
        <v>400.05183131914953</v>
      </c>
      <c r="M166">
        <f t="shared" si="84"/>
        <v>-0.19183131914951446</v>
      </c>
      <c r="N166">
        <f t="shared" si="85"/>
        <v>3.679925500664287E-2</v>
      </c>
    </row>
    <row r="167" spans="1:14" x14ac:dyDescent="0.45">
      <c r="A167" s="23">
        <v>42186</v>
      </c>
      <c r="B167">
        <v>408.32</v>
      </c>
      <c r="C167">
        <v>405.41</v>
      </c>
      <c r="G167">
        <f t="shared" ref="G167:K167" si="121">SUMPRODUCT($B167:$B171,P$2:P$6)</f>
        <v>552.9092432125924</v>
      </c>
      <c r="H167">
        <f t="shared" si="121"/>
        <v>665.53929313171886</v>
      </c>
      <c r="I167">
        <f t="shared" si="121"/>
        <v>761.73538058272709</v>
      </c>
      <c r="J167">
        <f t="shared" si="121"/>
        <v>1077.0342778773636</v>
      </c>
      <c r="K167">
        <f t="shared" si="121"/>
        <v>1159.9043632274925</v>
      </c>
      <c r="L167">
        <f t="shared" si="82"/>
        <v>400.37987389138868</v>
      </c>
      <c r="M167">
        <f t="shared" si="84"/>
        <v>6.9101261086113368</v>
      </c>
      <c r="N167">
        <f t="shared" si="85"/>
        <v>47.749842836912059</v>
      </c>
    </row>
    <row r="168" spans="1:14" x14ac:dyDescent="0.45">
      <c r="A168" s="23">
        <v>42185</v>
      </c>
      <c r="B168">
        <v>403.55</v>
      </c>
      <c r="C168">
        <v>403.94</v>
      </c>
      <c r="G168">
        <f t="shared" ref="G168:K168" si="122">SUMPRODUCT($B168:$B172,P$2:P$6)</f>
        <v>555.51414472083343</v>
      </c>
      <c r="H168">
        <f t="shared" si="122"/>
        <v>668.77921988334151</v>
      </c>
      <c r="I168">
        <f t="shared" si="122"/>
        <v>765.03349163768144</v>
      </c>
      <c r="J168">
        <f t="shared" si="122"/>
        <v>1082.970341517655</v>
      </c>
      <c r="K168">
        <f t="shared" si="122"/>
        <v>1166.2677569702194</v>
      </c>
      <c r="L168">
        <f t="shared" si="82"/>
        <v>402.13352388882112</v>
      </c>
      <c r="M168">
        <f t="shared" si="84"/>
        <v>6.1864761111788766</v>
      </c>
      <c r="N168">
        <f t="shared" si="85"/>
        <v>38.272486674186915</v>
      </c>
    </row>
    <row r="169" spans="1:14" x14ac:dyDescent="0.45">
      <c r="A169" s="23">
        <v>42184</v>
      </c>
      <c r="B169">
        <v>404.5</v>
      </c>
      <c r="C169">
        <v>396.21</v>
      </c>
      <c r="G169">
        <f t="shared" ref="G169:K169" si="123">SUMPRODUCT($B169:$B173,P$2:P$6)</f>
        <v>559.99360145145863</v>
      </c>
      <c r="H169">
        <f t="shared" si="123"/>
        <v>674.42500532936458</v>
      </c>
      <c r="I169">
        <f t="shared" si="123"/>
        <v>771.57445454626577</v>
      </c>
      <c r="J169">
        <f t="shared" si="123"/>
        <v>1092.055965107128</v>
      </c>
      <c r="K169">
        <f t="shared" si="123"/>
        <v>1175.8726853925925</v>
      </c>
      <c r="L169">
        <f t="shared" si="82"/>
        <v>405.32488552311247</v>
      </c>
      <c r="M169">
        <f t="shared" si="84"/>
        <v>-1.7748855231124594</v>
      </c>
      <c r="N169">
        <f t="shared" si="85"/>
        <v>3.1502186201541886</v>
      </c>
    </row>
    <row r="170" spans="1:14" x14ac:dyDescent="0.45">
      <c r="A170" s="23">
        <v>42181</v>
      </c>
      <c r="B170">
        <v>412.24</v>
      </c>
      <c r="C170">
        <v>408.73</v>
      </c>
      <c r="G170">
        <f t="shared" ref="G170:K170" si="124">SUMPRODUCT($B170:$B174,P$2:P$6)</f>
        <v>564.02478931493795</v>
      </c>
      <c r="H170">
        <f t="shared" si="124"/>
        <v>679.05860914143886</v>
      </c>
      <c r="I170">
        <f t="shared" si="124"/>
        <v>775.76955218796456</v>
      </c>
      <c r="J170">
        <f t="shared" si="124"/>
        <v>1098.435167212024</v>
      </c>
      <c r="K170">
        <f t="shared" si="124"/>
        <v>1184.5966876004914</v>
      </c>
      <c r="L170">
        <f t="shared" si="82"/>
        <v>407.70720373081701</v>
      </c>
      <c r="M170">
        <f t="shared" si="84"/>
        <v>-3.2072037308170138</v>
      </c>
      <c r="N170">
        <f t="shared" si="85"/>
        <v>10.286155770966573</v>
      </c>
    </row>
    <row r="171" spans="1:14" x14ac:dyDescent="0.45">
      <c r="A171" s="23">
        <v>42180</v>
      </c>
      <c r="B171">
        <v>412.92</v>
      </c>
      <c r="C171">
        <v>411.29</v>
      </c>
      <c r="G171">
        <f t="shared" ref="G171:K171" si="125">SUMPRODUCT($B171:$B175,P$2:P$6)</f>
        <v>565.0785798088757</v>
      </c>
      <c r="H171">
        <f t="shared" si="125"/>
        <v>680.29082680014403</v>
      </c>
      <c r="I171">
        <f t="shared" si="125"/>
        <v>776.23069940800565</v>
      </c>
      <c r="J171">
        <f t="shared" si="125"/>
        <v>1100.1452866141444</v>
      </c>
      <c r="K171">
        <f t="shared" si="125"/>
        <v>1188.1339357042216</v>
      </c>
      <c r="L171">
        <f t="shared" si="82"/>
        <v>408.22188414338774</v>
      </c>
      <c r="M171">
        <f t="shared" si="84"/>
        <v>4.018115856612269</v>
      </c>
      <c r="N171">
        <f t="shared" si="85"/>
        <v>16.145255037158947</v>
      </c>
    </row>
    <row r="172" spans="1:14" x14ac:dyDescent="0.45">
      <c r="A172" s="23">
        <v>42179</v>
      </c>
      <c r="B172">
        <v>415.43</v>
      </c>
      <c r="C172">
        <v>410.65</v>
      </c>
      <c r="G172">
        <f t="shared" ref="G172:K172" si="126">SUMPRODUCT($B172:$B176,P$2:P$6)</f>
        <v>562.45674369467667</v>
      </c>
      <c r="H172">
        <f t="shared" si="126"/>
        <v>677.16375494668341</v>
      </c>
      <c r="I172">
        <f t="shared" si="126"/>
        <v>771.96885723293906</v>
      </c>
      <c r="J172">
        <f t="shared" si="126"/>
        <v>1094.1187258680961</v>
      </c>
      <c r="K172">
        <f t="shared" si="126"/>
        <v>1183.5864392642643</v>
      </c>
      <c r="L172">
        <f t="shared" si="82"/>
        <v>406.3062890795436</v>
      </c>
      <c r="M172">
        <f t="shared" si="84"/>
        <v>6.6137109204564126</v>
      </c>
      <c r="N172">
        <f t="shared" si="85"/>
        <v>43.741172139364409</v>
      </c>
    </row>
    <row r="173" spans="1:14" x14ac:dyDescent="0.45">
      <c r="A173" s="23">
        <v>42178</v>
      </c>
      <c r="B173">
        <v>419.65</v>
      </c>
      <c r="C173">
        <v>416.26</v>
      </c>
      <c r="G173">
        <f t="shared" ref="G173:K173" si="127">SUMPRODUCT($B173:$B177,P$2:P$6)</f>
        <v>554.41057820683613</v>
      </c>
      <c r="H173">
        <f t="shared" si="127"/>
        <v>667.14549570646147</v>
      </c>
      <c r="I173">
        <f t="shared" si="127"/>
        <v>762.82875332432388</v>
      </c>
      <c r="J173">
        <f t="shared" si="127"/>
        <v>1078.7476323601995</v>
      </c>
      <c r="K173">
        <f t="shared" si="127"/>
        <v>1165.3344396489049</v>
      </c>
      <c r="L173">
        <f t="shared" si="82"/>
        <v>401.23296196463031</v>
      </c>
      <c r="M173">
        <f t="shared" si="84"/>
        <v>14.197038035369701</v>
      </c>
      <c r="N173">
        <f t="shared" si="85"/>
        <v>201.55588897773399</v>
      </c>
    </row>
    <row r="174" spans="1:14" x14ac:dyDescent="0.45">
      <c r="A174" s="23">
        <v>42177</v>
      </c>
      <c r="B174">
        <v>415</v>
      </c>
      <c r="C174">
        <v>417.57</v>
      </c>
      <c r="G174">
        <f t="shared" ref="G174:K174" si="128">SUMPRODUCT($B174:$B178,P$2:P$6)</f>
        <v>543.53242468202382</v>
      </c>
      <c r="H174">
        <f t="shared" si="128"/>
        <v>654.02913397940688</v>
      </c>
      <c r="I174">
        <f t="shared" si="128"/>
        <v>748.60269349147222</v>
      </c>
      <c r="J174">
        <f t="shared" si="128"/>
        <v>1057.3351239934459</v>
      </c>
      <c r="K174">
        <f t="shared" si="128"/>
        <v>1141.2499545085268</v>
      </c>
      <c r="L174">
        <f t="shared" si="82"/>
        <v>393.9462261313555</v>
      </c>
      <c r="M174">
        <f t="shared" si="84"/>
        <v>25.703773868644475</v>
      </c>
      <c r="N174">
        <f t="shared" si="85"/>
        <v>660.68399109041059</v>
      </c>
    </row>
    <row r="175" spans="1:14" x14ac:dyDescent="0.45">
      <c r="A175" s="23">
        <v>42174</v>
      </c>
      <c r="B175">
        <v>406.61</v>
      </c>
      <c r="C175">
        <v>411.05</v>
      </c>
      <c r="G175">
        <f t="shared" ref="G175:K175" si="129">SUMPRODUCT($B175:$B179,P$2:P$6)</f>
        <v>533.96198990762821</v>
      </c>
      <c r="H175">
        <f t="shared" si="129"/>
        <v>642.35322248220757</v>
      </c>
      <c r="I175">
        <f t="shared" si="129"/>
        <v>735.77964441680695</v>
      </c>
      <c r="J175">
        <f t="shared" si="129"/>
        <v>1039.1491433720932</v>
      </c>
      <c r="K175">
        <f t="shared" si="129"/>
        <v>1120.3590153149134</v>
      </c>
      <c r="L175">
        <f t="shared" si="82"/>
        <v>387.45450192500789</v>
      </c>
      <c r="M175">
        <f t="shared" si="84"/>
        <v>27.545498074992111</v>
      </c>
      <c r="N175">
        <f t="shared" si="85"/>
        <v>758.75446419939408</v>
      </c>
    </row>
    <row r="176" spans="1:14" x14ac:dyDescent="0.45">
      <c r="A176" s="23">
        <v>42173</v>
      </c>
      <c r="B176">
        <v>393.47</v>
      </c>
      <c r="C176">
        <v>401.55</v>
      </c>
      <c r="G176">
        <f t="shared" ref="G176:K176" si="130">SUMPRODUCT($B176:$B180,P$2:P$6)</f>
        <v>528.3943350809476</v>
      </c>
      <c r="H176">
        <f t="shared" si="130"/>
        <v>635.97516756989955</v>
      </c>
      <c r="I176">
        <f t="shared" si="130"/>
        <v>728.62150367627009</v>
      </c>
      <c r="J176">
        <f t="shared" si="130"/>
        <v>1029.564888029535</v>
      </c>
      <c r="K176">
        <f t="shared" si="130"/>
        <v>1108.6797608880581</v>
      </c>
      <c r="L176">
        <f t="shared" si="82"/>
        <v>383.8207539312242</v>
      </c>
      <c r="M176">
        <f t="shared" si="84"/>
        <v>22.78924606877581</v>
      </c>
      <c r="N176">
        <f t="shared" si="85"/>
        <v>519.34973638321367</v>
      </c>
    </row>
    <row r="177" spans="1:14" x14ac:dyDescent="0.45">
      <c r="A177" s="23">
        <v>42172</v>
      </c>
      <c r="B177">
        <v>389.35</v>
      </c>
      <c r="C177">
        <v>390.86</v>
      </c>
      <c r="G177">
        <f t="shared" ref="G177:K177" si="131">SUMPRODUCT($B177:$B181,P$2:P$6)</f>
        <v>527.61290155522477</v>
      </c>
      <c r="H177">
        <f t="shared" si="131"/>
        <v>635.12077814949475</v>
      </c>
      <c r="I177">
        <f t="shared" si="131"/>
        <v>726.56078590169591</v>
      </c>
      <c r="J177">
        <f t="shared" si="131"/>
        <v>1027.6517658387661</v>
      </c>
      <c r="K177">
        <f t="shared" si="131"/>
        <v>1107.3634295991524</v>
      </c>
      <c r="L177">
        <f t="shared" si="82"/>
        <v>383.04893402421595</v>
      </c>
      <c r="M177">
        <f t="shared" si="84"/>
        <v>10.421065975784074</v>
      </c>
      <c r="N177">
        <f t="shared" si="85"/>
        <v>108.59861607164449</v>
      </c>
    </row>
    <row r="178" spans="1:14" x14ac:dyDescent="0.45">
      <c r="A178" s="23">
        <v>42171</v>
      </c>
      <c r="B178">
        <v>386.59</v>
      </c>
      <c r="C178">
        <v>388.28</v>
      </c>
      <c r="G178">
        <f t="shared" ref="G178:K178" si="132">SUMPRODUCT($B178:$B182,P$2:P$6)</f>
        <v>528.20018071977961</v>
      </c>
      <c r="H178">
        <f t="shared" si="132"/>
        <v>635.85559488733372</v>
      </c>
      <c r="I178">
        <f t="shared" si="132"/>
        <v>725.74709025726781</v>
      </c>
      <c r="J178">
        <f t="shared" si="132"/>
        <v>1028.2841050722639</v>
      </c>
      <c r="K178">
        <f t="shared" si="132"/>
        <v>1110.0686811200792</v>
      </c>
      <c r="L178">
        <f t="shared" si="82"/>
        <v>383.09004863738971</v>
      </c>
      <c r="M178">
        <f t="shared" si="84"/>
        <v>6.2599513626103089</v>
      </c>
      <c r="N178">
        <f t="shared" si="85"/>
        <v>39.186991062246662</v>
      </c>
    </row>
    <row r="179" spans="1:14" x14ac:dyDescent="0.45">
      <c r="A179" s="23">
        <v>42170</v>
      </c>
      <c r="B179">
        <v>386.64</v>
      </c>
      <c r="C179">
        <v>388.28</v>
      </c>
      <c r="G179">
        <f t="shared" ref="G179:K179" si="133">SUMPRODUCT($B179:$B183,P$2:P$6)</f>
        <v>527.69767272286219</v>
      </c>
      <c r="H179">
        <f t="shared" si="133"/>
        <v>635.33871549796584</v>
      </c>
      <c r="I179">
        <f t="shared" si="133"/>
        <v>726.51886235321035</v>
      </c>
      <c r="J179">
        <f t="shared" si="133"/>
        <v>1028.4110261324217</v>
      </c>
      <c r="K179">
        <f t="shared" si="133"/>
        <v>1108.9726281617809</v>
      </c>
      <c r="L179">
        <f t="shared" si="82"/>
        <v>383.14299891473087</v>
      </c>
      <c r="M179">
        <f t="shared" si="84"/>
        <v>3.4470010852691075</v>
      </c>
      <c r="N179">
        <f t="shared" si="85"/>
        <v>11.881816481846405</v>
      </c>
    </row>
    <row r="180" spans="1:14" x14ac:dyDescent="0.45">
      <c r="A180" s="23">
        <v>42167</v>
      </c>
      <c r="B180">
        <v>391.26</v>
      </c>
      <c r="C180">
        <v>388.77</v>
      </c>
      <c r="G180">
        <f t="shared" ref="G180:K180" si="134">SUMPRODUCT($B180:$B184,P$2:P$6)</f>
        <v>526.08527315236086</v>
      </c>
      <c r="H180">
        <f t="shared" si="134"/>
        <v>633.32906666758743</v>
      </c>
      <c r="I180">
        <f t="shared" si="134"/>
        <v>725.31506613706551</v>
      </c>
      <c r="J180">
        <f t="shared" si="134"/>
        <v>1024.9328957538748</v>
      </c>
      <c r="K180">
        <f t="shared" si="134"/>
        <v>1104.1351493340489</v>
      </c>
      <c r="L180">
        <f t="shared" si="82"/>
        <v>382.23780297844007</v>
      </c>
      <c r="M180">
        <f t="shared" si="84"/>
        <v>4.402197021559914</v>
      </c>
      <c r="N180">
        <f t="shared" si="85"/>
        <v>19.379338616630978</v>
      </c>
    </row>
    <row r="181" spans="1:14" x14ac:dyDescent="0.45">
      <c r="A181" s="23">
        <v>42166</v>
      </c>
      <c r="B181">
        <v>390.6</v>
      </c>
      <c r="C181">
        <v>393.54</v>
      </c>
      <c r="G181">
        <f t="shared" ref="G181:K181" si="135">SUMPRODUCT($B181:$B185,P$2:P$6)</f>
        <v>524.12682872420817</v>
      </c>
      <c r="H181">
        <f t="shared" si="135"/>
        <v>630.74829908676384</v>
      </c>
      <c r="I181">
        <f t="shared" si="135"/>
        <v>721.12578864737009</v>
      </c>
      <c r="J181">
        <f t="shared" si="135"/>
        <v>1020.0684157524232</v>
      </c>
      <c r="K181">
        <f t="shared" si="135"/>
        <v>1100.2030138650953</v>
      </c>
      <c r="L181">
        <f t="shared" si="82"/>
        <v>380.49043960978366</v>
      </c>
      <c r="M181">
        <f t="shared" si="84"/>
        <v>10.769560390216327</v>
      </c>
      <c r="N181">
        <f t="shared" si="85"/>
        <v>115.98343099851644</v>
      </c>
    </row>
    <row r="182" spans="1:14" x14ac:dyDescent="0.45">
      <c r="A182" s="23">
        <v>42165</v>
      </c>
      <c r="B182">
        <v>382.97</v>
      </c>
      <c r="C182">
        <v>388.5</v>
      </c>
      <c r="G182">
        <f t="shared" ref="G182:K182" si="136">SUMPRODUCT($B182:$B186,P$2:P$6)</f>
        <v>522.95305999883135</v>
      </c>
      <c r="H182">
        <f t="shared" si="136"/>
        <v>629.54198090378304</v>
      </c>
      <c r="I182">
        <f t="shared" si="136"/>
        <v>720.24717937869184</v>
      </c>
      <c r="J182">
        <f t="shared" si="136"/>
        <v>1019.3216614466259</v>
      </c>
      <c r="K182">
        <f t="shared" si="136"/>
        <v>1098.3580243749514</v>
      </c>
      <c r="L182">
        <f t="shared" si="82"/>
        <v>379.93450885152754</v>
      </c>
      <c r="M182">
        <f t="shared" si="84"/>
        <v>10.665491148472483</v>
      </c>
      <c r="N182">
        <f t="shared" si="85"/>
        <v>113.7527014381449</v>
      </c>
    </row>
    <row r="183" spans="1:14" x14ac:dyDescent="0.45">
      <c r="A183" s="23">
        <v>42164</v>
      </c>
      <c r="B183">
        <v>384.27</v>
      </c>
      <c r="C183">
        <v>382</v>
      </c>
      <c r="G183">
        <f t="shared" ref="G183:K183" si="137">SUMPRODUCT($B183:$B187,P$2:P$6)</f>
        <v>523.6361488005823</v>
      </c>
      <c r="H183">
        <f t="shared" si="137"/>
        <v>630.52289883388607</v>
      </c>
      <c r="I183">
        <f t="shared" si="137"/>
        <v>721.70360002318421</v>
      </c>
      <c r="J183">
        <f t="shared" si="137"/>
        <v>1020.5634535206453</v>
      </c>
      <c r="K183">
        <f t="shared" si="137"/>
        <v>1099.2420557408673</v>
      </c>
      <c r="L183">
        <f t="shared" si="82"/>
        <v>380.52769651862315</v>
      </c>
      <c r="M183">
        <f t="shared" si="84"/>
        <v>2.4423034813768822</v>
      </c>
      <c r="N183">
        <f t="shared" si="85"/>
        <v>5.9648462951456391</v>
      </c>
    </row>
    <row r="184" spans="1:14" x14ac:dyDescent="0.45">
      <c r="A184" s="23">
        <v>42163</v>
      </c>
      <c r="B184">
        <v>387.66</v>
      </c>
      <c r="C184">
        <v>386.37</v>
      </c>
      <c r="G184">
        <f t="shared" ref="G184:K184" si="138">SUMPRODUCT($B184:$B188,P$2:P$6)</f>
        <v>524.63862351556986</v>
      </c>
      <c r="H184">
        <f t="shared" si="138"/>
        <v>631.45692696970298</v>
      </c>
      <c r="I184">
        <f t="shared" si="138"/>
        <v>722.98424153195811</v>
      </c>
      <c r="J184">
        <f t="shared" si="138"/>
        <v>1022.2308552385242</v>
      </c>
      <c r="K184">
        <f t="shared" si="138"/>
        <v>1100.7100161395053</v>
      </c>
      <c r="L184">
        <f t="shared" si="82"/>
        <v>381.12916030318115</v>
      </c>
      <c r="M184">
        <f t="shared" si="84"/>
        <v>3.1408396968188299</v>
      </c>
      <c r="N184">
        <f t="shared" si="85"/>
        <v>9.8648740011129998</v>
      </c>
    </row>
    <row r="185" spans="1:14" x14ac:dyDescent="0.45">
      <c r="A185" s="23">
        <v>42160</v>
      </c>
      <c r="B185">
        <v>382.88</v>
      </c>
      <c r="C185">
        <v>387.86</v>
      </c>
      <c r="G185">
        <f t="shared" ref="G185:K185" si="139">SUMPRODUCT($B185:$B189,P$2:P$6)</f>
        <v>526.94997653566031</v>
      </c>
      <c r="H185">
        <f t="shared" si="139"/>
        <v>634.47559731362628</v>
      </c>
      <c r="I185">
        <f t="shared" si="139"/>
        <v>726.74114949033401</v>
      </c>
      <c r="J185">
        <f t="shared" si="139"/>
        <v>1027.8655247867225</v>
      </c>
      <c r="K185">
        <f t="shared" si="139"/>
        <v>1105.6937686821159</v>
      </c>
      <c r="L185">
        <f t="shared" si="82"/>
        <v>382.8890333163996</v>
      </c>
      <c r="M185">
        <f t="shared" si="84"/>
        <v>4.7709666836004203</v>
      </c>
      <c r="N185">
        <f t="shared" si="85"/>
        <v>22.762123096025192</v>
      </c>
    </row>
    <row r="186" spans="1:14" x14ac:dyDescent="0.45">
      <c r="A186" s="23">
        <v>42159</v>
      </c>
      <c r="B186">
        <v>385.5</v>
      </c>
      <c r="C186">
        <v>384.34</v>
      </c>
      <c r="G186">
        <f t="shared" ref="G186:K186" si="140">SUMPRODUCT($B186:$B190,P$2:P$6)</f>
        <v>532.05873036040089</v>
      </c>
      <c r="H186">
        <f t="shared" si="140"/>
        <v>640.69749340207534</v>
      </c>
      <c r="I186">
        <f t="shared" si="140"/>
        <v>732.77545606543754</v>
      </c>
      <c r="J186">
        <f t="shared" si="140"/>
        <v>1037.0960676900934</v>
      </c>
      <c r="K186">
        <f t="shared" si="140"/>
        <v>1116.7578418621092</v>
      </c>
      <c r="L186">
        <f t="shared" si="82"/>
        <v>386.13354021517358</v>
      </c>
      <c r="M186">
        <f t="shared" si="84"/>
        <v>-3.2535402151735866</v>
      </c>
      <c r="N186">
        <f t="shared" si="85"/>
        <v>10.585523931751789</v>
      </c>
    </row>
    <row r="187" spans="1:14" x14ac:dyDescent="0.45">
      <c r="A187" s="23">
        <v>42158</v>
      </c>
      <c r="B187">
        <v>388.77</v>
      </c>
      <c r="C187">
        <v>387.48</v>
      </c>
      <c r="G187">
        <f t="shared" ref="G187:K187" si="141">SUMPRODUCT($B187:$B191,P$2:P$6)</f>
        <v>537.26430098463106</v>
      </c>
      <c r="H187">
        <f t="shared" si="141"/>
        <v>646.86895333638552</v>
      </c>
      <c r="I187">
        <f t="shared" si="141"/>
        <v>739.81565019236916</v>
      </c>
      <c r="J187">
        <f t="shared" si="141"/>
        <v>1047.4842412608584</v>
      </c>
      <c r="K187">
        <f t="shared" si="141"/>
        <v>1128.069737619918</v>
      </c>
      <c r="L187">
        <f t="shared" si="82"/>
        <v>389.662116692989</v>
      </c>
      <c r="M187">
        <f t="shared" si="84"/>
        <v>-4.1621166929890023</v>
      </c>
      <c r="N187">
        <f t="shared" si="85"/>
        <v>17.32321536605771</v>
      </c>
    </row>
    <row r="188" spans="1:14" x14ac:dyDescent="0.45">
      <c r="A188" s="23">
        <v>42157</v>
      </c>
      <c r="B188">
        <v>391.36</v>
      </c>
      <c r="C188">
        <v>387.62</v>
      </c>
      <c r="G188">
        <f t="shared" ref="G188:K188" si="142">SUMPRODUCT($B188:$B192,P$2:P$6)</f>
        <v>541.49554475472701</v>
      </c>
      <c r="H188">
        <f t="shared" si="142"/>
        <v>652.14074531433414</v>
      </c>
      <c r="I188">
        <f t="shared" si="142"/>
        <v>743.83450562751079</v>
      </c>
      <c r="J188">
        <f t="shared" si="142"/>
        <v>1054.4501125548711</v>
      </c>
      <c r="K188">
        <f t="shared" si="142"/>
        <v>1138.452137825109</v>
      </c>
      <c r="L188">
        <f t="shared" si="82"/>
        <v>392.1575831255247</v>
      </c>
      <c r="M188">
        <f t="shared" si="84"/>
        <v>-3.3875831255247135</v>
      </c>
      <c r="N188">
        <f t="shared" si="85"/>
        <v>11.475719432339787</v>
      </c>
    </row>
    <row r="189" spans="1:14" x14ac:dyDescent="0.45">
      <c r="A189" s="23">
        <v>42156</v>
      </c>
      <c r="B189">
        <v>398.87</v>
      </c>
      <c r="C189">
        <v>393.35</v>
      </c>
      <c r="G189">
        <f t="shared" ref="G189:K189" si="143">SUMPRODUCT($B189:$B193,P$2:P$6)</f>
        <v>542.41270598108417</v>
      </c>
      <c r="H189">
        <f t="shared" si="143"/>
        <v>652.92904302869056</v>
      </c>
      <c r="I189">
        <f t="shared" si="143"/>
        <v>747.13605189836585</v>
      </c>
      <c r="J189">
        <f t="shared" si="143"/>
        <v>1057.2297383024206</v>
      </c>
      <c r="K189">
        <f t="shared" si="143"/>
        <v>1139.4409696586795</v>
      </c>
      <c r="L189">
        <f t="shared" si="82"/>
        <v>393.25138296021447</v>
      </c>
      <c r="M189">
        <f t="shared" si="84"/>
        <v>-1.8913829602144574</v>
      </c>
      <c r="N189">
        <f t="shared" si="85"/>
        <v>3.5773295021896039</v>
      </c>
    </row>
    <row r="190" spans="1:14" x14ac:dyDescent="0.45">
      <c r="A190" s="23">
        <v>42153</v>
      </c>
      <c r="B190">
        <v>400.09</v>
      </c>
      <c r="C190">
        <v>396.99</v>
      </c>
      <c r="G190">
        <f t="shared" ref="G190:K190" si="144">SUMPRODUCT($B190:$B194,P$2:P$6)</f>
        <v>541.29744416364179</v>
      </c>
      <c r="H190">
        <f t="shared" si="144"/>
        <v>651.75867502482424</v>
      </c>
      <c r="I190">
        <f t="shared" si="144"/>
        <v>745.99734833275238</v>
      </c>
      <c r="J190">
        <f t="shared" si="144"/>
        <v>1054.5711412612307</v>
      </c>
      <c r="K190">
        <f t="shared" si="144"/>
        <v>1136.2938403722551</v>
      </c>
      <c r="L190">
        <f t="shared" si="82"/>
        <v>392.57455279073531</v>
      </c>
      <c r="M190">
        <f t="shared" si="84"/>
        <v>6.2954472092646938</v>
      </c>
      <c r="N190">
        <f t="shared" si="85"/>
        <v>39.632655564638618</v>
      </c>
    </row>
    <row r="191" spans="1:14" x14ac:dyDescent="0.45">
      <c r="A191" s="23">
        <v>42152</v>
      </c>
      <c r="B191">
        <v>402.3</v>
      </c>
      <c r="C191">
        <v>400.1</v>
      </c>
      <c r="G191">
        <f t="shared" ref="G191:K191" si="145">SUMPRODUCT($B191:$B195,P$2:P$6)</f>
        <v>540.41148759586167</v>
      </c>
      <c r="H191">
        <f t="shared" si="145"/>
        <v>650.30862744230183</v>
      </c>
      <c r="I191">
        <f t="shared" si="145"/>
        <v>744.50245591432508</v>
      </c>
      <c r="J191">
        <f t="shared" si="145"/>
        <v>1052.5410800545126</v>
      </c>
      <c r="K191">
        <f t="shared" si="145"/>
        <v>1133.8003031300614</v>
      </c>
      <c r="L191">
        <f t="shared" si="82"/>
        <v>391.82955436794083</v>
      </c>
      <c r="M191">
        <f t="shared" si="84"/>
        <v>8.2604456320591453</v>
      </c>
      <c r="N191">
        <f t="shared" si="85"/>
        <v>68.234962040205019</v>
      </c>
    </row>
    <row r="192" spans="1:14" x14ac:dyDescent="0.45">
      <c r="A192" s="23">
        <v>42151</v>
      </c>
      <c r="B192">
        <v>393.81</v>
      </c>
      <c r="C192">
        <v>402.92</v>
      </c>
      <c r="G192">
        <f t="shared" ref="G192:K192" si="146">SUMPRODUCT($B192:$B196,P$2:P$6)</f>
        <v>540.50860450357959</v>
      </c>
      <c r="H192">
        <f t="shared" si="146"/>
        <v>650.80402558402568</v>
      </c>
      <c r="I192">
        <f t="shared" si="146"/>
        <v>743.05055831641744</v>
      </c>
      <c r="J192">
        <f t="shared" si="146"/>
        <v>1052.6152968864956</v>
      </c>
      <c r="K192">
        <f t="shared" si="146"/>
        <v>1135.8275713674811</v>
      </c>
      <c r="L192">
        <f t="shared" si="82"/>
        <v>391.59639571448872</v>
      </c>
      <c r="M192">
        <f t="shared" si="84"/>
        <v>10.70360428551129</v>
      </c>
      <c r="N192">
        <f t="shared" si="85"/>
        <v>114.56714470081565</v>
      </c>
    </row>
    <row r="193" spans="1:14" x14ac:dyDescent="0.45">
      <c r="A193" s="23">
        <v>42150</v>
      </c>
      <c r="B193">
        <v>397.17</v>
      </c>
      <c r="C193">
        <v>392.88</v>
      </c>
      <c r="G193">
        <f t="shared" ref="G193:K193" si="147">SUMPRODUCT($B193:$B197,P$2:P$6)</f>
        <v>540.9787001167058</v>
      </c>
      <c r="H193">
        <f t="shared" si="147"/>
        <v>651.25887848161221</v>
      </c>
      <c r="I193">
        <f t="shared" si="147"/>
        <v>744.91165109065969</v>
      </c>
      <c r="J193">
        <f t="shared" si="147"/>
        <v>1054.2321899495441</v>
      </c>
      <c r="K193">
        <f t="shared" si="147"/>
        <v>1136.4662712473432</v>
      </c>
      <c r="L193">
        <f t="shared" si="82"/>
        <v>392.21307735877986</v>
      </c>
      <c r="M193">
        <f t="shared" si="84"/>
        <v>1.5969226412201465</v>
      </c>
      <c r="N193">
        <f t="shared" si="85"/>
        <v>2.5501619220415286</v>
      </c>
    </row>
    <row r="194" spans="1:14" x14ac:dyDescent="0.45">
      <c r="A194" s="23">
        <v>42146</v>
      </c>
      <c r="B194">
        <v>399.19</v>
      </c>
      <c r="C194">
        <v>398.68</v>
      </c>
      <c r="G194">
        <f t="shared" ref="G194:K194" si="148">SUMPRODUCT($B194:$B198,P$2:P$6)</f>
        <v>539.69440596461186</v>
      </c>
      <c r="H194">
        <f t="shared" si="148"/>
        <v>649.76455947405987</v>
      </c>
      <c r="I194">
        <f t="shared" si="148"/>
        <v>742.15380761698952</v>
      </c>
      <c r="J194">
        <f t="shared" si="148"/>
        <v>1050.4082135029564</v>
      </c>
      <c r="K194">
        <f t="shared" si="148"/>
        <v>1133.9591319486067</v>
      </c>
      <c r="L194">
        <f t="shared" ref="L194:L246" si="149">(G194+$P$7)*$U$2+(H194+$Q$7)*$U$3+(I194+$R$7)*$U$4+(J194+$S$7)*$U$5+(K194+$T$7)*$U$6+$U$7</f>
        <v>391.08697340618869</v>
      </c>
      <c r="M194">
        <f t="shared" si="84"/>
        <v>6.0830265938113257</v>
      </c>
      <c r="N194">
        <f t="shared" si="85"/>
        <v>37.00321254101582</v>
      </c>
    </row>
    <row r="195" spans="1:14" x14ac:dyDescent="0.45">
      <c r="A195" s="23">
        <v>42145</v>
      </c>
      <c r="B195">
        <v>400.24</v>
      </c>
      <c r="C195">
        <v>401.15</v>
      </c>
      <c r="G195">
        <f t="shared" ref="G195:K195" si="150">SUMPRODUCT($B195:$B199,P$2:P$6)</f>
        <v>536.69962700168139</v>
      </c>
      <c r="H195">
        <f t="shared" si="150"/>
        <v>645.84430729924384</v>
      </c>
      <c r="I195">
        <f t="shared" si="150"/>
        <v>739.97980658165045</v>
      </c>
      <c r="J195">
        <f t="shared" si="150"/>
        <v>1045.8960974478277</v>
      </c>
      <c r="K195">
        <f t="shared" si="150"/>
        <v>1126.4517572374598</v>
      </c>
      <c r="L195">
        <f t="shared" si="149"/>
        <v>389.47324792001717</v>
      </c>
      <c r="M195">
        <f t="shared" ref="M195:M246" si="151">B194-L195</f>
        <v>9.7167520799828253</v>
      </c>
      <c r="N195">
        <f t="shared" ref="N195:N246" si="152">M195^2</f>
        <v>94.415270983850561</v>
      </c>
    </row>
    <row r="196" spans="1:14" x14ac:dyDescent="0.45">
      <c r="A196" s="23">
        <v>42144</v>
      </c>
      <c r="B196">
        <v>394.5</v>
      </c>
      <c r="C196">
        <v>401</v>
      </c>
      <c r="G196">
        <f t="shared" ref="G196:K196" si="153">SUMPRODUCT($B196:$B200,P$2:P$6)</f>
        <v>534.80911367957003</v>
      </c>
      <c r="H196">
        <f t="shared" si="153"/>
        <v>643.94424321024974</v>
      </c>
      <c r="I196">
        <f t="shared" si="153"/>
        <v>736.3534795326259</v>
      </c>
      <c r="J196">
        <f t="shared" si="153"/>
        <v>1041.4898678939658</v>
      </c>
      <c r="K196">
        <f t="shared" si="153"/>
        <v>1122.8757388938745</v>
      </c>
      <c r="L196">
        <f t="shared" si="149"/>
        <v>387.96540928883252</v>
      </c>
      <c r="M196">
        <f t="shared" si="151"/>
        <v>12.274590711167491</v>
      </c>
      <c r="N196">
        <f t="shared" si="152"/>
        <v>150.66557712667924</v>
      </c>
    </row>
    <row r="197" spans="1:14" x14ac:dyDescent="0.45">
      <c r="A197" s="23">
        <v>42143</v>
      </c>
      <c r="B197">
        <v>396.01</v>
      </c>
      <c r="C197">
        <v>395.17</v>
      </c>
      <c r="G197">
        <f t="shared" ref="G197:K197" si="154">SUMPRODUCT($B197:$B201,P$2:P$6)</f>
        <v>534.34493643627457</v>
      </c>
      <c r="H197">
        <f t="shared" si="154"/>
        <v>643.02142004163068</v>
      </c>
      <c r="I197">
        <f t="shared" si="154"/>
        <v>736.25767994614114</v>
      </c>
      <c r="J197">
        <f t="shared" si="154"/>
        <v>1041.1593263112356</v>
      </c>
      <c r="K197">
        <f t="shared" si="154"/>
        <v>1121.3464824537036</v>
      </c>
      <c r="L197">
        <f t="shared" si="149"/>
        <v>387.73164159114231</v>
      </c>
      <c r="M197">
        <f t="shared" si="151"/>
        <v>6.7683584088576936</v>
      </c>
      <c r="N197">
        <f t="shared" si="152"/>
        <v>45.810675550754652</v>
      </c>
    </row>
    <row r="198" spans="1:14" x14ac:dyDescent="0.45">
      <c r="A198" s="23">
        <v>42142</v>
      </c>
      <c r="B198">
        <v>389.38</v>
      </c>
      <c r="C198">
        <v>395.42</v>
      </c>
      <c r="G198">
        <f t="shared" ref="G198:K198" si="155">SUMPRODUCT($B198:$B202,P$2:P$6)</f>
        <v>534.90146347553843</v>
      </c>
      <c r="H198">
        <f t="shared" si="155"/>
        <v>644.15574082195576</v>
      </c>
      <c r="I198">
        <f t="shared" si="155"/>
        <v>735.96809141526114</v>
      </c>
      <c r="J198">
        <f t="shared" si="155"/>
        <v>1042.0392839874912</v>
      </c>
      <c r="K198">
        <f t="shared" si="155"/>
        <v>1123.7349806303739</v>
      </c>
      <c r="L198">
        <f t="shared" si="149"/>
        <v>387.93308983214297</v>
      </c>
      <c r="M198">
        <f t="shared" si="151"/>
        <v>8.0769101678570223</v>
      </c>
      <c r="N198">
        <f t="shared" si="152"/>
        <v>65.236477859632146</v>
      </c>
    </row>
    <row r="199" spans="1:14" x14ac:dyDescent="0.45">
      <c r="A199" s="23">
        <v>42139</v>
      </c>
      <c r="B199">
        <v>395</v>
      </c>
      <c r="C199">
        <v>391.24</v>
      </c>
      <c r="G199">
        <f t="shared" ref="G199:K199" si="156">SUMPRODUCT($B199:$B203,P$2:P$6)</f>
        <v>536.36305117866141</v>
      </c>
      <c r="H199">
        <f t="shared" si="156"/>
        <v>645.60017136682291</v>
      </c>
      <c r="I199">
        <f t="shared" si="156"/>
        <v>740.19228650854757</v>
      </c>
      <c r="J199">
        <f t="shared" si="156"/>
        <v>1046.1388576311999</v>
      </c>
      <c r="K199">
        <f t="shared" si="156"/>
        <v>1125.2496634369547</v>
      </c>
      <c r="L199">
        <f t="shared" si="149"/>
        <v>389.41573303882069</v>
      </c>
      <c r="M199">
        <f t="shared" si="151"/>
        <v>-3.5733038820694674E-2</v>
      </c>
      <c r="N199">
        <f t="shared" si="152"/>
        <v>1.2768500633612726E-3</v>
      </c>
    </row>
    <row r="200" spans="1:14" x14ac:dyDescent="0.45">
      <c r="A200" s="23">
        <v>42138</v>
      </c>
      <c r="B200">
        <v>392.98</v>
      </c>
      <c r="C200">
        <v>394.35</v>
      </c>
      <c r="G200">
        <f t="shared" ref="G200:K200" si="157">SUMPRODUCT($B200:$B204,P$2:P$6)</f>
        <v>538.14142251539147</v>
      </c>
      <c r="H200">
        <f t="shared" si="157"/>
        <v>648.04194699579114</v>
      </c>
      <c r="I200">
        <f t="shared" si="157"/>
        <v>739.02035386517184</v>
      </c>
      <c r="J200">
        <f t="shared" si="157"/>
        <v>1047.0243132635187</v>
      </c>
      <c r="K200">
        <f t="shared" si="157"/>
        <v>1130.7884475924661</v>
      </c>
      <c r="L200">
        <f t="shared" si="149"/>
        <v>389.78057002004994</v>
      </c>
      <c r="M200">
        <f t="shared" si="151"/>
        <v>5.2194299799500641</v>
      </c>
      <c r="N200">
        <f t="shared" si="152"/>
        <v>27.242449315601526</v>
      </c>
    </row>
    <row r="201" spans="1:14" x14ac:dyDescent="0.45">
      <c r="A201" s="23">
        <v>42137</v>
      </c>
      <c r="B201">
        <v>396</v>
      </c>
      <c r="C201">
        <v>390.04</v>
      </c>
      <c r="G201">
        <f t="shared" ref="G201:K201" si="158">SUMPRODUCT($B201:$B205,P$2:P$6)</f>
        <v>537.84067652605756</v>
      </c>
      <c r="H201">
        <f t="shared" si="158"/>
        <v>647.23799096009873</v>
      </c>
      <c r="I201">
        <f t="shared" si="158"/>
        <v>738.78848230182609</v>
      </c>
      <c r="J201">
        <f t="shared" si="158"/>
        <v>1047.1083046197496</v>
      </c>
      <c r="K201">
        <f t="shared" si="158"/>
        <v>1130.994003714052</v>
      </c>
      <c r="L201">
        <f t="shared" si="149"/>
        <v>389.61999310811012</v>
      </c>
      <c r="M201">
        <f t="shared" si="151"/>
        <v>3.3600068918898955</v>
      </c>
      <c r="N201">
        <f t="shared" si="152"/>
        <v>11.289646313547596</v>
      </c>
    </row>
    <row r="202" spans="1:14" x14ac:dyDescent="0.45">
      <c r="A202" s="23">
        <v>42136</v>
      </c>
      <c r="B202">
        <v>393.2</v>
      </c>
      <c r="C202">
        <v>395.3</v>
      </c>
      <c r="G202">
        <f t="shared" ref="G202:K202" si="159">SUMPRODUCT($B202:$B206,P$2:P$6)</f>
        <v>534.52699486081735</v>
      </c>
      <c r="H202">
        <f t="shared" si="159"/>
        <v>643.76300539137856</v>
      </c>
      <c r="I202">
        <f t="shared" si="159"/>
        <v>736.53523907246893</v>
      </c>
      <c r="J202">
        <f t="shared" si="159"/>
        <v>1041.7864685291295</v>
      </c>
      <c r="K202">
        <f t="shared" si="159"/>
        <v>1123.4433018001444</v>
      </c>
      <c r="L202">
        <f t="shared" si="149"/>
        <v>387.99429419460677</v>
      </c>
      <c r="M202">
        <f t="shared" si="151"/>
        <v>8.0057058053932337</v>
      </c>
      <c r="N202">
        <f t="shared" si="152"/>
        <v>64.091325442506928</v>
      </c>
    </row>
    <row r="203" spans="1:14" x14ac:dyDescent="0.45">
      <c r="A203" s="23">
        <v>42135</v>
      </c>
      <c r="B203">
        <v>403.2</v>
      </c>
      <c r="C203">
        <v>396.91</v>
      </c>
      <c r="G203">
        <f t="shared" ref="G203:K203" si="160">SUMPRODUCT($B203:$B207,P$2:P$6)</f>
        <v>530.1303239815727</v>
      </c>
      <c r="H203">
        <f t="shared" si="160"/>
        <v>637.83366144274692</v>
      </c>
      <c r="I203">
        <f t="shared" si="160"/>
        <v>730.3069809116115</v>
      </c>
      <c r="J203">
        <f t="shared" si="160"/>
        <v>1031.3820435229691</v>
      </c>
      <c r="K203">
        <f t="shared" si="160"/>
        <v>1112.1205148216263</v>
      </c>
      <c r="L203">
        <f t="shared" si="149"/>
        <v>384.78628740294084</v>
      </c>
      <c r="M203">
        <f t="shared" si="151"/>
        <v>8.4137125970591455</v>
      </c>
      <c r="N203">
        <f t="shared" si="152"/>
        <v>70.790559665911758</v>
      </c>
    </row>
    <row r="204" spans="1:14" x14ac:dyDescent="0.45">
      <c r="A204" s="23">
        <v>42132</v>
      </c>
      <c r="B204">
        <v>390.88</v>
      </c>
      <c r="C204">
        <v>398.43</v>
      </c>
      <c r="G204">
        <f t="shared" ref="G204:K204" si="161">SUMPRODUCT($B204:$B208,P$2:P$6)</f>
        <v>525.36824295789518</v>
      </c>
      <c r="H204">
        <f t="shared" si="161"/>
        <v>632.20838210231432</v>
      </c>
      <c r="I204">
        <f t="shared" si="161"/>
        <v>724.24320069587918</v>
      </c>
      <c r="J204">
        <f t="shared" si="161"/>
        <v>1023.7198549352557</v>
      </c>
      <c r="K204">
        <f t="shared" si="161"/>
        <v>1102.3281765418942</v>
      </c>
      <c r="L204">
        <f t="shared" si="149"/>
        <v>381.6866169078445</v>
      </c>
      <c r="M204">
        <f t="shared" si="151"/>
        <v>21.513383092155493</v>
      </c>
      <c r="N204">
        <f t="shared" si="152"/>
        <v>462.82565206984185</v>
      </c>
    </row>
    <row r="205" spans="1:14" x14ac:dyDescent="0.45">
      <c r="A205" s="23">
        <v>42131</v>
      </c>
      <c r="B205">
        <v>384</v>
      </c>
      <c r="C205">
        <v>383.29</v>
      </c>
      <c r="G205">
        <f t="shared" ref="G205:K205" si="162">SUMPRODUCT($B205:$B209,P$2:P$6)</f>
        <v>524.75803630361747</v>
      </c>
      <c r="H205">
        <f t="shared" si="162"/>
        <v>631.87932454394729</v>
      </c>
      <c r="I205">
        <f t="shared" si="162"/>
        <v>720.50793563815682</v>
      </c>
      <c r="J205">
        <f t="shared" si="162"/>
        <v>1020.9895576524837</v>
      </c>
      <c r="K205">
        <f t="shared" si="162"/>
        <v>1103.1318995054626</v>
      </c>
      <c r="L205">
        <f t="shared" si="149"/>
        <v>380.63711707432441</v>
      </c>
      <c r="M205">
        <f t="shared" si="151"/>
        <v>10.242882925675588</v>
      </c>
      <c r="N205">
        <f t="shared" si="152"/>
        <v>104.91665062909648</v>
      </c>
    </row>
    <row r="206" spans="1:14" x14ac:dyDescent="0.45">
      <c r="A206" s="23">
        <v>42130</v>
      </c>
      <c r="B206">
        <v>387.25</v>
      </c>
      <c r="C206">
        <v>383.56</v>
      </c>
      <c r="G206">
        <f t="shared" ref="G206:K206" si="163">SUMPRODUCT($B206:$B210,P$2:P$6)</f>
        <v>523.20484682875247</v>
      </c>
      <c r="H206">
        <f t="shared" si="163"/>
        <v>629.65261381742005</v>
      </c>
      <c r="I206">
        <f t="shared" si="163"/>
        <v>720.64917351160454</v>
      </c>
      <c r="J206">
        <f t="shared" si="163"/>
        <v>1019.6494933557025</v>
      </c>
      <c r="K206">
        <f t="shared" si="163"/>
        <v>1099.1143895904186</v>
      </c>
      <c r="L206">
        <f t="shared" si="149"/>
        <v>380.11305476265335</v>
      </c>
      <c r="M206">
        <f t="shared" si="151"/>
        <v>3.8869452373466515</v>
      </c>
      <c r="N206">
        <f t="shared" si="152"/>
        <v>15.108343278131818</v>
      </c>
    </row>
    <row r="207" spans="1:14" x14ac:dyDescent="0.45">
      <c r="A207" s="23">
        <v>42129</v>
      </c>
      <c r="B207">
        <v>385</v>
      </c>
      <c r="C207">
        <v>385.8</v>
      </c>
      <c r="G207">
        <f t="shared" ref="G207:K207" si="164">SUMPRODUCT($B207:$B211,P$2:P$6)</f>
        <v>520.54252366540004</v>
      </c>
      <c r="H207">
        <f t="shared" si="164"/>
        <v>626.85032096734619</v>
      </c>
      <c r="I207">
        <f t="shared" si="164"/>
        <v>716.59631409276096</v>
      </c>
      <c r="J207">
        <f t="shared" si="164"/>
        <v>1013.5164834443206</v>
      </c>
      <c r="K207">
        <f t="shared" si="164"/>
        <v>1093.4361882450082</v>
      </c>
      <c r="L207">
        <f t="shared" si="149"/>
        <v>378.22755247329042</v>
      </c>
      <c r="M207">
        <f t="shared" si="151"/>
        <v>9.0224475267095841</v>
      </c>
      <c r="N207">
        <f t="shared" si="152"/>
        <v>81.404559372227894</v>
      </c>
    </row>
    <row r="208" spans="1:14" x14ac:dyDescent="0.45">
      <c r="A208" s="23">
        <v>42128</v>
      </c>
      <c r="B208">
        <v>389.45</v>
      </c>
      <c r="C208">
        <v>386.22</v>
      </c>
      <c r="G208">
        <f t="shared" ref="G208:K208" si="165">SUMPRODUCT($B208:$B212,P$2:P$6)</f>
        <v>517.96038420925038</v>
      </c>
      <c r="H208">
        <f t="shared" si="165"/>
        <v>623.11966264188868</v>
      </c>
      <c r="I208">
        <f t="shared" si="165"/>
        <v>715.32879067909425</v>
      </c>
      <c r="J208">
        <f t="shared" si="165"/>
        <v>1009.738449809167</v>
      </c>
      <c r="K208">
        <f t="shared" si="165"/>
        <v>1085.6976800935834</v>
      </c>
      <c r="L208">
        <f t="shared" si="149"/>
        <v>376.90418283925504</v>
      </c>
      <c r="M208">
        <f t="shared" si="151"/>
        <v>8.0958171607449572</v>
      </c>
      <c r="N208">
        <f t="shared" si="152"/>
        <v>65.542255500212534</v>
      </c>
    </row>
    <row r="209" spans="1:14" x14ac:dyDescent="0.45">
      <c r="A209" s="23">
        <v>42125</v>
      </c>
      <c r="B209">
        <v>377.52</v>
      </c>
      <c r="C209">
        <v>386.22</v>
      </c>
      <c r="G209">
        <f t="shared" ref="G209:K209" si="166">SUMPRODUCT($B209:$B213,P$2:P$6)</f>
        <v>519.05259711338317</v>
      </c>
      <c r="H209">
        <f t="shared" si="166"/>
        <v>625.090246510611</v>
      </c>
      <c r="I209">
        <f t="shared" si="166"/>
        <v>717.22230870017142</v>
      </c>
      <c r="J209">
        <f t="shared" si="166"/>
        <v>1012.9941364205281</v>
      </c>
      <c r="K209">
        <f t="shared" si="166"/>
        <v>1087.8505621210857</v>
      </c>
      <c r="L209">
        <f t="shared" si="149"/>
        <v>377.81072743150651</v>
      </c>
      <c r="M209">
        <f t="shared" si="151"/>
        <v>11.639272568493482</v>
      </c>
      <c r="N209">
        <f t="shared" si="152"/>
        <v>135.47266592368484</v>
      </c>
    </row>
    <row r="210" spans="1:14" x14ac:dyDescent="0.45">
      <c r="A210" s="23">
        <v>42124</v>
      </c>
      <c r="B210">
        <v>380.89</v>
      </c>
      <c r="C210">
        <v>373.93</v>
      </c>
      <c r="G210">
        <f t="shared" ref="G210:K210" si="167">SUMPRODUCT($B210:$B214,P$2:P$6)</f>
        <v>527.03215080777295</v>
      </c>
      <c r="H210">
        <f t="shared" si="167"/>
        <v>634.48955889161152</v>
      </c>
      <c r="I210">
        <f t="shared" si="167"/>
        <v>727.12739296370205</v>
      </c>
      <c r="J210">
        <f t="shared" si="167"/>
        <v>1028.1898191494574</v>
      </c>
      <c r="K210">
        <f t="shared" si="167"/>
        <v>1104.4709272517339</v>
      </c>
      <c r="L210">
        <f t="shared" si="149"/>
        <v>382.94410041851603</v>
      </c>
      <c r="M210">
        <f t="shared" si="151"/>
        <v>-5.4241004185160477</v>
      </c>
      <c r="N210">
        <f t="shared" si="152"/>
        <v>29.420865350145963</v>
      </c>
    </row>
    <row r="211" spans="1:14" x14ac:dyDescent="0.45">
      <c r="A211" s="23">
        <v>42123</v>
      </c>
      <c r="B211">
        <v>377.97</v>
      </c>
      <c r="C211">
        <v>383.78</v>
      </c>
      <c r="G211">
        <f t="shared" ref="G211:K211" si="168">SUMPRODUCT($B211:$B215,P$2:P$6)</f>
        <v>538.70980367502057</v>
      </c>
      <c r="H211">
        <f t="shared" si="168"/>
        <v>648.94778406890327</v>
      </c>
      <c r="I211">
        <f t="shared" si="168"/>
        <v>743.38444993223209</v>
      </c>
      <c r="J211">
        <f t="shared" si="168"/>
        <v>1052.5089717598798</v>
      </c>
      <c r="K211">
        <f t="shared" si="168"/>
        <v>1130.0166213224725</v>
      </c>
      <c r="L211">
        <f t="shared" si="149"/>
        <v>391.05082819725408</v>
      </c>
      <c r="M211">
        <f t="shared" si="151"/>
        <v>-10.160828197254091</v>
      </c>
      <c r="N211">
        <f t="shared" si="152"/>
        <v>103.24242965411382</v>
      </c>
    </row>
    <row r="212" spans="1:14" x14ac:dyDescent="0.45">
      <c r="A212" s="23">
        <v>42122</v>
      </c>
      <c r="B212">
        <v>388.8</v>
      </c>
      <c r="C212">
        <v>374.68</v>
      </c>
      <c r="G212">
        <f t="shared" ref="G212:K212" si="169">SUMPRODUCT($B212:$B216,P$2:P$6)</f>
        <v>553.33752940527745</v>
      </c>
      <c r="H212">
        <f t="shared" si="169"/>
        <v>666.67983315024026</v>
      </c>
      <c r="I212">
        <f t="shared" si="169"/>
        <v>761.58925862553713</v>
      </c>
      <c r="J212">
        <f t="shared" si="169"/>
        <v>1079.4725940928374</v>
      </c>
      <c r="K212">
        <f t="shared" si="169"/>
        <v>1161.8418437101059</v>
      </c>
      <c r="L212">
        <f t="shared" si="149"/>
        <v>400.58607290341433</v>
      </c>
      <c r="M212">
        <f t="shared" si="151"/>
        <v>-22.616072903414306</v>
      </c>
      <c r="N212">
        <f t="shared" si="152"/>
        <v>511.48675357255081</v>
      </c>
    </row>
    <row r="213" spans="1:14" x14ac:dyDescent="0.45">
      <c r="A213" s="23">
        <v>42121</v>
      </c>
      <c r="B213">
        <v>401.75</v>
      </c>
      <c r="C213">
        <v>389.27</v>
      </c>
      <c r="G213">
        <f t="shared" ref="G213:K213" si="170">SUMPRODUCT($B213:$B217,P$2:P$6)</f>
        <v>565.08480557942676</v>
      </c>
      <c r="H213">
        <f t="shared" si="170"/>
        <v>680.53385056939226</v>
      </c>
      <c r="I213">
        <f t="shared" si="170"/>
        <v>777.55241840434189</v>
      </c>
      <c r="J213">
        <f t="shared" si="170"/>
        <v>1102.2035467495839</v>
      </c>
      <c r="K213">
        <f t="shared" si="170"/>
        <v>1187.1089197757924</v>
      </c>
      <c r="L213">
        <f t="shared" si="149"/>
        <v>408.54974290854966</v>
      </c>
      <c r="M213">
        <f t="shared" si="151"/>
        <v>-19.749742908549649</v>
      </c>
      <c r="N213">
        <f t="shared" si="152"/>
        <v>390.05234495380716</v>
      </c>
    </row>
    <row r="214" spans="1:14" x14ac:dyDescent="0.45">
      <c r="A214" s="23">
        <v>42118</v>
      </c>
      <c r="B214">
        <v>410</v>
      </c>
      <c r="C214">
        <v>401.71</v>
      </c>
      <c r="G214">
        <f t="shared" ref="G214:K214" si="171">SUMPRODUCT($B214:$B218,P$2:P$6)</f>
        <v>572.86179969794534</v>
      </c>
      <c r="H214">
        <f t="shared" si="171"/>
        <v>690.07450370294214</v>
      </c>
      <c r="I214">
        <f t="shared" si="171"/>
        <v>788.23450128094021</v>
      </c>
      <c r="J214">
        <f t="shared" si="171"/>
        <v>1116.8887768249044</v>
      </c>
      <c r="K214">
        <f t="shared" si="171"/>
        <v>1203.964301770915</v>
      </c>
      <c r="L214">
        <f t="shared" si="149"/>
        <v>413.89411295325124</v>
      </c>
      <c r="M214">
        <f t="shared" si="151"/>
        <v>-12.144112953251238</v>
      </c>
      <c r="N214">
        <f t="shared" si="152"/>
        <v>147.4794794213245</v>
      </c>
    </row>
    <row r="215" spans="1:14" x14ac:dyDescent="0.45">
      <c r="A215" s="23">
        <v>42117</v>
      </c>
      <c r="B215">
        <v>423</v>
      </c>
      <c r="C215">
        <v>430.28</v>
      </c>
      <c r="G215">
        <f t="shared" ref="G215:K215" si="172">SUMPRODUCT($B215:$B219,P$2:P$6)</f>
        <v>576.622545857202</v>
      </c>
      <c r="H215">
        <f t="shared" si="172"/>
        <v>694.18440755713402</v>
      </c>
      <c r="I215">
        <f t="shared" si="172"/>
        <v>793.75325285326664</v>
      </c>
      <c r="J215">
        <f t="shared" si="172"/>
        <v>1123.3863806232853</v>
      </c>
      <c r="K215">
        <f t="shared" si="172"/>
        <v>1211.020106609089</v>
      </c>
      <c r="L215">
        <f t="shared" si="149"/>
        <v>416.47208890670834</v>
      </c>
      <c r="M215">
        <f t="shared" si="151"/>
        <v>-6.4720889067083363</v>
      </c>
      <c r="N215">
        <f t="shared" si="152"/>
        <v>41.887934816337108</v>
      </c>
    </row>
    <row r="216" spans="1:14" x14ac:dyDescent="0.45">
      <c r="A216" s="23">
        <v>42116</v>
      </c>
      <c r="B216">
        <v>423.88</v>
      </c>
      <c r="C216">
        <v>423.57</v>
      </c>
      <c r="G216">
        <f t="shared" ref="G216:K216" si="173">SUMPRODUCT($B216:$B220,P$2:P$6)</f>
        <v>577.17427402031149</v>
      </c>
      <c r="H216">
        <f t="shared" si="173"/>
        <v>694.86568728125565</v>
      </c>
      <c r="I216">
        <f t="shared" si="173"/>
        <v>795.41409489519003</v>
      </c>
      <c r="J216">
        <f t="shared" si="173"/>
        <v>1124.9987543293973</v>
      </c>
      <c r="K216">
        <f t="shared" si="173"/>
        <v>1211.6851260701196</v>
      </c>
      <c r="L216">
        <f t="shared" si="149"/>
        <v>417.06700017477203</v>
      </c>
      <c r="M216">
        <f t="shared" si="151"/>
        <v>5.9329998252279665</v>
      </c>
      <c r="N216">
        <f t="shared" si="152"/>
        <v>35.200486926155079</v>
      </c>
    </row>
    <row r="217" spans="1:14" x14ac:dyDescent="0.45">
      <c r="A217" s="23">
        <v>42115</v>
      </c>
      <c r="B217">
        <v>425.19</v>
      </c>
      <c r="C217">
        <v>422.11</v>
      </c>
      <c r="G217">
        <f t="shared" ref="G217:K217" si="174">SUMPRODUCT($B217:$B221,P$2:P$6)</f>
        <v>578.32162416233518</v>
      </c>
      <c r="H217">
        <f t="shared" si="174"/>
        <v>696.23639874865125</v>
      </c>
      <c r="I217">
        <f t="shared" si="174"/>
        <v>796.90168494485567</v>
      </c>
      <c r="J217">
        <f t="shared" si="174"/>
        <v>1126.9598613694038</v>
      </c>
      <c r="K217">
        <f t="shared" si="174"/>
        <v>1213.703815794627</v>
      </c>
      <c r="L217">
        <f t="shared" si="149"/>
        <v>417.80643092367256</v>
      </c>
      <c r="M217">
        <f t="shared" si="151"/>
        <v>6.0735690763274306</v>
      </c>
      <c r="N217">
        <f t="shared" si="152"/>
        <v>36.888241324920841</v>
      </c>
    </row>
    <row r="218" spans="1:14" x14ac:dyDescent="0.45">
      <c r="A218" s="23">
        <v>42114</v>
      </c>
      <c r="B218">
        <v>424.66</v>
      </c>
      <c r="C218">
        <v>422.92</v>
      </c>
      <c r="G218">
        <f t="shared" ref="G218:K218" si="175">SUMPRODUCT($B218:$B222,P$2:P$6)</f>
        <v>579.93849815300541</v>
      </c>
      <c r="H218">
        <f t="shared" si="175"/>
        <v>698.15239439725872</v>
      </c>
      <c r="I218">
        <f t="shared" si="175"/>
        <v>797.25535337953693</v>
      </c>
      <c r="J218">
        <f t="shared" si="175"/>
        <v>1129.1454038417601</v>
      </c>
      <c r="K218">
        <f t="shared" si="175"/>
        <v>1218.2778489605014</v>
      </c>
      <c r="L218">
        <f t="shared" si="149"/>
        <v>418.46444447710661</v>
      </c>
      <c r="M218">
        <f t="shared" si="151"/>
        <v>6.7255555228933872</v>
      </c>
      <c r="N218">
        <f t="shared" si="152"/>
        <v>45.233097091521742</v>
      </c>
    </row>
    <row r="219" spans="1:14" x14ac:dyDescent="0.45">
      <c r="A219" s="23">
        <v>42111</v>
      </c>
      <c r="B219">
        <v>424</v>
      </c>
      <c r="C219">
        <v>419.44</v>
      </c>
      <c r="G219">
        <f t="shared" ref="G219:K219" si="176">SUMPRODUCT($B219:$B223,P$2:P$6)</f>
        <v>580.68178503387003</v>
      </c>
      <c r="H219">
        <f t="shared" si="176"/>
        <v>699.11192144249185</v>
      </c>
      <c r="I219">
        <f t="shared" si="176"/>
        <v>799.63622221597643</v>
      </c>
      <c r="J219">
        <f t="shared" si="176"/>
        <v>1131.9348271541185</v>
      </c>
      <c r="K219">
        <f t="shared" si="176"/>
        <v>1219.9728425581318</v>
      </c>
      <c r="L219">
        <f t="shared" si="149"/>
        <v>419.34558731138236</v>
      </c>
      <c r="M219">
        <f t="shared" si="151"/>
        <v>5.314412688617665</v>
      </c>
      <c r="N219">
        <f t="shared" si="152"/>
        <v>28.242982224940437</v>
      </c>
    </row>
    <row r="220" spans="1:14" x14ac:dyDescent="0.45">
      <c r="A220" s="23">
        <v>42110</v>
      </c>
      <c r="B220">
        <v>428.14</v>
      </c>
      <c r="C220">
        <v>428.65</v>
      </c>
      <c r="G220">
        <f t="shared" ref="G220:K220" si="177">SUMPRODUCT($B220:$B224,P$2:P$6)</f>
        <v>580.77707576865146</v>
      </c>
      <c r="H220">
        <f t="shared" si="177"/>
        <v>699.28918385240559</v>
      </c>
      <c r="I220">
        <f t="shared" si="177"/>
        <v>799.81078934597281</v>
      </c>
      <c r="J220">
        <f t="shared" si="177"/>
        <v>1131.2677358979367</v>
      </c>
      <c r="K220">
        <f t="shared" si="177"/>
        <v>1219.5752423706374</v>
      </c>
      <c r="L220">
        <f t="shared" si="149"/>
        <v>419.40020996203185</v>
      </c>
      <c r="M220">
        <f t="shared" si="151"/>
        <v>4.5997900379681482</v>
      </c>
      <c r="N220">
        <f t="shared" si="152"/>
        <v>21.158068393391019</v>
      </c>
    </row>
    <row r="221" spans="1:14" x14ac:dyDescent="0.45">
      <c r="A221" s="23">
        <v>42109</v>
      </c>
      <c r="B221">
        <v>430.76</v>
      </c>
      <c r="C221">
        <v>430.96</v>
      </c>
      <c r="G221">
        <f t="shared" ref="G221:K221" si="178">SUMPRODUCT($B221:$B225,P$2:P$6)</f>
        <v>579.553284278756</v>
      </c>
      <c r="H221">
        <f t="shared" si="178"/>
        <v>697.45909696225294</v>
      </c>
      <c r="I221">
        <f t="shared" si="178"/>
        <v>797.84229911588295</v>
      </c>
      <c r="J221">
        <f t="shared" si="178"/>
        <v>1128.534182311435</v>
      </c>
      <c r="K221">
        <f t="shared" si="178"/>
        <v>1216.6407909162529</v>
      </c>
      <c r="L221">
        <f t="shared" si="149"/>
        <v>418.43750676450912</v>
      </c>
      <c r="M221">
        <f t="shared" si="151"/>
        <v>9.7024932354908628</v>
      </c>
      <c r="N221">
        <f t="shared" si="152"/>
        <v>94.138374984745951</v>
      </c>
    </row>
    <row r="222" spans="1:14" x14ac:dyDescent="0.45">
      <c r="A222" s="23">
        <v>42108</v>
      </c>
      <c r="B222">
        <v>423.99</v>
      </c>
      <c r="C222">
        <v>423.57</v>
      </c>
      <c r="G222">
        <f t="shared" ref="G222:K222" si="179">SUMPRODUCT($B222:$B226,P$2:P$6)</f>
        <v>578.08557424956541</v>
      </c>
      <c r="H222">
        <f t="shared" si="179"/>
        <v>695.99632799932112</v>
      </c>
      <c r="I222">
        <f t="shared" si="179"/>
        <v>794.92876068056376</v>
      </c>
      <c r="J222">
        <f t="shared" si="179"/>
        <v>1125.6894934185186</v>
      </c>
      <c r="K222">
        <f t="shared" si="179"/>
        <v>1214.8424822962224</v>
      </c>
      <c r="L222">
        <f t="shared" si="149"/>
        <v>417.28783163609302</v>
      </c>
      <c r="M222">
        <f t="shared" si="151"/>
        <v>13.472168363906974</v>
      </c>
      <c r="N222">
        <f t="shared" si="152"/>
        <v>181.49932042545592</v>
      </c>
    </row>
    <row r="223" spans="1:14" x14ac:dyDescent="0.45">
      <c r="A223" s="23">
        <v>42107</v>
      </c>
      <c r="B223">
        <v>426.7</v>
      </c>
      <c r="C223">
        <v>423.36</v>
      </c>
      <c r="G223">
        <f t="shared" ref="G223:K223" si="180">SUMPRODUCT($B223:$B227,P$2:P$6)</f>
        <v>576.20896680181193</v>
      </c>
      <c r="H223">
        <f t="shared" si="180"/>
        <v>693.5935836128167</v>
      </c>
      <c r="I223">
        <f t="shared" si="180"/>
        <v>792.6774063986278</v>
      </c>
      <c r="J223">
        <f t="shared" si="180"/>
        <v>1121.9190905018795</v>
      </c>
      <c r="K223">
        <f t="shared" si="180"/>
        <v>1210.7760058973045</v>
      </c>
      <c r="L223">
        <f t="shared" si="149"/>
        <v>416.07524650537982</v>
      </c>
      <c r="M223">
        <f t="shared" si="151"/>
        <v>7.9147534946201858</v>
      </c>
      <c r="N223">
        <f t="shared" si="152"/>
        <v>62.643322880602447</v>
      </c>
    </row>
    <row r="224" spans="1:14" x14ac:dyDescent="0.45">
      <c r="A224" s="23">
        <v>42104</v>
      </c>
      <c r="B224">
        <v>426.16</v>
      </c>
      <c r="C224">
        <v>425.65</v>
      </c>
      <c r="G224">
        <f t="shared" ref="G224:K224" si="181">SUMPRODUCT($B224:$B228,P$2:P$6)</f>
        <v>571.9574530699864</v>
      </c>
      <c r="H224">
        <f t="shared" si="181"/>
        <v>688.46246201675513</v>
      </c>
      <c r="I224">
        <f t="shared" si="181"/>
        <v>786.51067974590444</v>
      </c>
      <c r="J224">
        <f t="shared" si="181"/>
        <v>1113.0427666046678</v>
      </c>
      <c r="K224">
        <f t="shared" si="181"/>
        <v>1201.952334684901</v>
      </c>
      <c r="L224">
        <f t="shared" si="149"/>
        <v>413.09311425309306</v>
      </c>
      <c r="M224">
        <f t="shared" si="151"/>
        <v>13.606885746906926</v>
      </c>
      <c r="N224">
        <f t="shared" si="152"/>
        <v>185.14733972937884</v>
      </c>
    </row>
    <row r="225" spans="1:14" x14ac:dyDescent="0.45">
      <c r="A225" s="23">
        <v>42103</v>
      </c>
      <c r="B225">
        <v>424.6</v>
      </c>
      <c r="C225">
        <v>426.63</v>
      </c>
      <c r="G225">
        <f t="shared" ref="G225:K225" si="182">SUMPRODUCT($B225:$B229,P$2:P$6)</f>
        <v>566.45493862469004</v>
      </c>
      <c r="H225">
        <f t="shared" si="182"/>
        <v>681.68672249595249</v>
      </c>
      <c r="I225">
        <f t="shared" si="182"/>
        <v>781.3141510876701</v>
      </c>
      <c r="J225">
        <f t="shared" si="182"/>
        <v>1103.7745225392518</v>
      </c>
      <c r="K225">
        <f t="shared" si="182"/>
        <v>1188.8481108477756</v>
      </c>
      <c r="L225">
        <f t="shared" si="149"/>
        <v>409.88221893500645</v>
      </c>
      <c r="M225">
        <f t="shared" si="151"/>
        <v>16.277781064993576</v>
      </c>
      <c r="N225">
        <f t="shared" si="152"/>
        <v>264.96615639986339</v>
      </c>
    </row>
    <row r="226" spans="1:14" x14ac:dyDescent="0.45">
      <c r="A226" s="23">
        <v>42102</v>
      </c>
      <c r="B226">
        <v>419.3</v>
      </c>
      <c r="C226">
        <v>425.36</v>
      </c>
      <c r="G226">
        <f t="shared" ref="G226:K226" si="183">SUMPRODUCT($B226:$B230,P$2:P$6)</f>
        <v>563.33528516874094</v>
      </c>
      <c r="H226">
        <f t="shared" si="183"/>
        <v>678.12514032899503</v>
      </c>
      <c r="I226">
        <f t="shared" si="183"/>
        <v>777.58274432076678</v>
      </c>
      <c r="J226">
        <f t="shared" si="183"/>
        <v>1097.9271388886787</v>
      </c>
      <c r="K226">
        <f t="shared" si="183"/>
        <v>1181.1524232569304</v>
      </c>
      <c r="L226">
        <f t="shared" si="149"/>
        <v>407.86766926179769</v>
      </c>
      <c r="M226">
        <f t="shared" si="151"/>
        <v>16.732330738202336</v>
      </c>
      <c r="N226">
        <f t="shared" si="152"/>
        <v>279.97089193259075</v>
      </c>
    </row>
    <row r="227" spans="1:14" x14ac:dyDescent="0.45">
      <c r="A227" s="23">
        <v>42101</v>
      </c>
      <c r="B227">
        <v>415.5</v>
      </c>
      <c r="C227">
        <v>418.09</v>
      </c>
      <c r="G227">
        <f t="shared" ref="G227:K227" si="184">SUMPRODUCT($B227:$B231,P$2:P$6)</f>
        <v>564.94285926252473</v>
      </c>
      <c r="H227">
        <f t="shared" si="184"/>
        <v>679.95476153583809</v>
      </c>
      <c r="I227">
        <f t="shared" si="184"/>
        <v>779.27287920592653</v>
      </c>
      <c r="J227">
        <f t="shared" si="184"/>
        <v>1101.3873251077239</v>
      </c>
      <c r="K227">
        <f t="shared" si="184"/>
        <v>1184.3227429944698</v>
      </c>
      <c r="L227">
        <f t="shared" si="149"/>
        <v>408.80606909497999</v>
      </c>
      <c r="M227">
        <f t="shared" si="151"/>
        <v>10.493930905020022</v>
      </c>
      <c r="N227">
        <f t="shared" si="152"/>
        <v>110.12258583933435</v>
      </c>
    </row>
    <row r="228" spans="1:14" x14ac:dyDescent="0.45">
      <c r="A228" s="23">
        <v>42100</v>
      </c>
      <c r="B228">
        <v>408.75</v>
      </c>
      <c r="C228">
        <v>413.42</v>
      </c>
      <c r="G228">
        <f t="shared" ref="G228:K228" si="185">SUMPRODUCT($B228:$B232,P$2:P$6)</f>
        <v>571.17497107899794</v>
      </c>
      <c r="H228">
        <f t="shared" si="185"/>
        <v>687.88514809762694</v>
      </c>
      <c r="I228">
        <f t="shared" si="185"/>
        <v>786.71716179011753</v>
      </c>
      <c r="J228">
        <f t="shared" si="185"/>
        <v>1114.0495611546191</v>
      </c>
      <c r="K228">
        <f t="shared" si="185"/>
        <v>1198.9865611743803</v>
      </c>
      <c r="L228">
        <f t="shared" si="149"/>
        <v>412.87397892011688</v>
      </c>
      <c r="M228">
        <f t="shared" si="151"/>
        <v>2.6260210798831167</v>
      </c>
      <c r="N228">
        <f t="shared" si="152"/>
        <v>6.8959867119904903</v>
      </c>
    </row>
    <row r="229" spans="1:14" x14ac:dyDescent="0.45">
      <c r="A229" s="23">
        <v>42096</v>
      </c>
      <c r="B229">
        <v>415.4</v>
      </c>
      <c r="C229">
        <v>412.44</v>
      </c>
      <c r="G229">
        <f t="shared" ref="G229:K229" si="186">SUMPRODUCT($B229:$B233,P$2:P$6)</f>
        <v>579.36595906699961</v>
      </c>
      <c r="H229">
        <f t="shared" si="186"/>
        <v>697.74669525279035</v>
      </c>
      <c r="I229">
        <f t="shared" si="186"/>
        <v>796.65588227807291</v>
      </c>
      <c r="J229">
        <f t="shared" si="186"/>
        <v>1129.1361970042519</v>
      </c>
      <c r="K229">
        <f t="shared" si="186"/>
        <v>1217.3584885959026</v>
      </c>
      <c r="L229">
        <f t="shared" si="149"/>
        <v>418.1646949424873</v>
      </c>
      <c r="M229">
        <f t="shared" si="151"/>
        <v>-9.4146949424873014</v>
      </c>
      <c r="N229">
        <f t="shared" si="152"/>
        <v>88.636480860095972</v>
      </c>
    </row>
    <row r="230" spans="1:14" x14ac:dyDescent="0.45">
      <c r="A230" s="23">
        <v>42095</v>
      </c>
      <c r="B230">
        <v>423.2</v>
      </c>
      <c r="C230">
        <v>413.81</v>
      </c>
      <c r="G230">
        <f t="shared" ref="G230:K230" si="187">SUMPRODUCT($B230:$B234,P$2:P$6)</f>
        <v>584.2201195594721</v>
      </c>
      <c r="H230">
        <f t="shared" si="187"/>
        <v>703.49456547028399</v>
      </c>
      <c r="I230">
        <f t="shared" si="187"/>
        <v>803.55807408389092</v>
      </c>
      <c r="J230">
        <f t="shared" si="187"/>
        <v>1138.465612601216</v>
      </c>
      <c r="K230">
        <f t="shared" si="187"/>
        <v>1227.9300905521466</v>
      </c>
      <c r="L230">
        <f t="shared" si="149"/>
        <v>421.54517713635005</v>
      </c>
      <c r="M230">
        <f t="shared" si="151"/>
        <v>-6.1451771363500711</v>
      </c>
      <c r="N230">
        <f t="shared" si="152"/>
        <v>37.763202037119662</v>
      </c>
    </row>
    <row r="231" spans="1:14" x14ac:dyDescent="0.45">
      <c r="A231" s="23">
        <v>42094</v>
      </c>
      <c r="B231">
        <v>430.16</v>
      </c>
      <c r="C231">
        <v>422.24</v>
      </c>
      <c r="G231">
        <f t="shared" ref="G231:K231" si="188">SUMPRODUCT($B231:$B235,P$2:P$6)</f>
        <v>586.33802810328143</v>
      </c>
      <c r="H231">
        <f t="shared" si="188"/>
        <v>705.96260684098888</v>
      </c>
      <c r="I231">
        <f t="shared" si="188"/>
        <v>811.06289819108247</v>
      </c>
      <c r="J231">
        <f t="shared" si="188"/>
        <v>1144.9664619862681</v>
      </c>
      <c r="K231">
        <f t="shared" si="188"/>
        <v>1229.3368348692661</v>
      </c>
      <c r="L231">
        <f t="shared" si="149"/>
        <v>424.06122079857994</v>
      </c>
      <c r="M231">
        <f t="shared" si="151"/>
        <v>-0.86122079857995004</v>
      </c>
      <c r="N231">
        <f t="shared" si="152"/>
        <v>0.74170126390668689</v>
      </c>
    </row>
    <row r="232" spans="1:14" x14ac:dyDescent="0.45">
      <c r="A232" s="23">
        <v>42093</v>
      </c>
      <c r="B232">
        <v>433.68</v>
      </c>
      <c r="C232">
        <v>431.62</v>
      </c>
      <c r="G232">
        <f t="shared" ref="G232:K232" si="189">SUMPRODUCT($B232:$B236,P$2:P$6)</f>
        <v>591.58288790034294</v>
      </c>
      <c r="H232">
        <f t="shared" si="189"/>
        <v>712.28633072298987</v>
      </c>
      <c r="I232">
        <f t="shared" si="189"/>
        <v>817.71729358771199</v>
      </c>
      <c r="J232">
        <f t="shared" si="189"/>
        <v>1154.0735307663069</v>
      </c>
      <c r="K232">
        <f t="shared" si="189"/>
        <v>1238.5862610758002</v>
      </c>
      <c r="L232">
        <f t="shared" si="149"/>
        <v>427.40922133519302</v>
      </c>
      <c r="M232">
        <f t="shared" si="151"/>
        <v>2.750778664807001</v>
      </c>
      <c r="N232">
        <f t="shared" si="152"/>
        <v>7.5667832627573866</v>
      </c>
    </row>
    <row r="233" spans="1:14" x14ac:dyDescent="0.45">
      <c r="A233" s="23">
        <v>42090</v>
      </c>
      <c r="B233">
        <v>430.12</v>
      </c>
      <c r="C233">
        <v>429.87</v>
      </c>
      <c r="G233">
        <f t="shared" ref="G233:K233" si="190">SUMPRODUCT($B233:$B237,P$2:P$6)</f>
        <v>602.24951029231499</v>
      </c>
      <c r="H233">
        <f t="shared" si="190"/>
        <v>725.05171983866614</v>
      </c>
      <c r="I233">
        <f t="shared" si="190"/>
        <v>829.38973096824327</v>
      </c>
      <c r="J233">
        <f t="shared" si="190"/>
        <v>1174.6168192305586</v>
      </c>
      <c r="K233">
        <f t="shared" si="190"/>
        <v>1262.9941605888548</v>
      </c>
      <c r="L233">
        <f t="shared" si="149"/>
        <v>433.97637936288805</v>
      </c>
      <c r="M233">
        <f t="shared" si="151"/>
        <v>-0.29637936288804667</v>
      </c>
      <c r="N233">
        <f t="shared" si="152"/>
        <v>8.7840726745924455E-2</v>
      </c>
    </row>
    <row r="234" spans="1:14" x14ac:dyDescent="0.45">
      <c r="A234" s="23">
        <v>42089</v>
      </c>
      <c r="B234">
        <v>427.8</v>
      </c>
      <c r="C234">
        <v>428.93</v>
      </c>
      <c r="G234">
        <f t="shared" ref="G234:K234" si="191">SUMPRODUCT($B234:$B238,P$2:P$6)</f>
        <v>616.9499875967266</v>
      </c>
      <c r="H234">
        <f t="shared" si="191"/>
        <v>743.42235348442148</v>
      </c>
      <c r="I234">
        <f t="shared" si="191"/>
        <v>850.04131753968295</v>
      </c>
      <c r="J234">
        <f t="shared" si="191"/>
        <v>1205.2428019892664</v>
      </c>
      <c r="K234">
        <f t="shared" si="191"/>
        <v>1295.971881368567</v>
      </c>
      <c r="L234">
        <f t="shared" si="149"/>
        <v>444.28606540087026</v>
      </c>
      <c r="M234">
        <f t="shared" si="151"/>
        <v>-14.166065400870252</v>
      </c>
      <c r="N234">
        <f t="shared" si="152"/>
        <v>200.67740894173326</v>
      </c>
    </row>
    <row r="235" spans="1:14" x14ac:dyDescent="0.45">
      <c r="A235" s="23">
        <v>42088</v>
      </c>
      <c r="B235">
        <v>449.06</v>
      </c>
      <c r="C235">
        <v>431.63</v>
      </c>
      <c r="G235">
        <f t="shared" ref="G235:K235" si="192">SUMPRODUCT($B235:$B239,P$2:P$6)</f>
        <v>629.29684466952904</v>
      </c>
      <c r="H235">
        <f t="shared" si="192"/>
        <v>758.11700171871883</v>
      </c>
      <c r="I235">
        <f t="shared" si="192"/>
        <v>858.83095482086458</v>
      </c>
      <c r="J235">
        <f t="shared" si="192"/>
        <v>1222.0451070474239</v>
      </c>
      <c r="K235">
        <f t="shared" si="192"/>
        <v>1326.3512394745219</v>
      </c>
      <c r="L235">
        <f t="shared" si="149"/>
        <v>450.72334171597953</v>
      </c>
      <c r="M235">
        <f t="shared" si="151"/>
        <v>-22.923341715979518</v>
      </c>
      <c r="N235">
        <f t="shared" si="152"/>
        <v>525.47959542756678</v>
      </c>
    </row>
    <row r="236" spans="1:14" x14ac:dyDescent="0.45">
      <c r="A236" s="23">
        <v>42087</v>
      </c>
      <c r="B236">
        <v>462.99</v>
      </c>
      <c r="C236">
        <v>452.71</v>
      </c>
      <c r="G236">
        <f t="shared" ref="G236:K236" si="193">SUMPRODUCT($B236:$B240,P$2:P$6)</f>
        <v>625.58121043520521</v>
      </c>
      <c r="H236">
        <f t="shared" si="193"/>
        <v>752.75538004667919</v>
      </c>
      <c r="I236">
        <f t="shared" si="193"/>
        <v>858.23551164951937</v>
      </c>
      <c r="J236">
        <f t="shared" si="193"/>
        <v>1217.8028518241208</v>
      </c>
      <c r="K236">
        <f t="shared" si="193"/>
        <v>1318.4858731679888</v>
      </c>
      <c r="L236">
        <f t="shared" si="149"/>
        <v>449.29980591556563</v>
      </c>
      <c r="M236">
        <f t="shared" si="151"/>
        <v>-0.23980591556562558</v>
      </c>
      <c r="N236">
        <f t="shared" si="152"/>
        <v>5.7506877140267948E-2</v>
      </c>
    </row>
    <row r="237" spans="1:14" x14ac:dyDescent="0.45">
      <c r="A237" s="23">
        <v>42086</v>
      </c>
      <c r="B237">
        <v>466.07</v>
      </c>
      <c r="C237">
        <v>463.73</v>
      </c>
      <c r="G237">
        <f t="shared" ref="G237:K237" si="194">SUMPRODUCT($B237:$B241,P$2:P$6)</f>
        <v>611.04971611836606</v>
      </c>
      <c r="H237">
        <f t="shared" si="194"/>
        <v>735.89076146762807</v>
      </c>
      <c r="I237">
        <f t="shared" si="194"/>
        <v>841.47814607507189</v>
      </c>
      <c r="J237">
        <f t="shared" si="194"/>
        <v>1188.4842583449697</v>
      </c>
      <c r="K237">
        <f t="shared" si="194"/>
        <v>1285.1750757817417</v>
      </c>
      <c r="L237">
        <f t="shared" si="149"/>
        <v>440.17392832587029</v>
      </c>
      <c r="M237">
        <f t="shared" si="151"/>
        <v>22.816071674129716</v>
      </c>
      <c r="N237">
        <f t="shared" si="152"/>
        <v>520.57312663902439</v>
      </c>
    </row>
    <row r="238" spans="1:14" x14ac:dyDescent="0.45">
      <c r="A238" s="23">
        <v>42083</v>
      </c>
      <c r="B238">
        <v>475.92</v>
      </c>
      <c r="C238">
        <v>475.98</v>
      </c>
      <c r="G238">
        <f t="shared" ref="G238:K238" si="195">SUMPRODUCT($B238:$B242,P$2:P$6)</f>
        <v>591.6759479692638</v>
      </c>
      <c r="H238">
        <f t="shared" si="195"/>
        <v>710.89898718461495</v>
      </c>
      <c r="I238">
        <f t="shared" si="195"/>
        <v>815.5537528296868</v>
      </c>
      <c r="J238">
        <f t="shared" si="195"/>
        <v>1148.8378107697597</v>
      </c>
      <c r="K238">
        <f t="shared" si="195"/>
        <v>1239.8961849766438</v>
      </c>
      <c r="L238">
        <f t="shared" si="149"/>
        <v>426.76936401693092</v>
      </c>
      <c r="M238">
        <f t="shared" si="151"/>
        <v>39.300635983069071</v>
      </c>
      <c r="N238">
        <f t="shared" si="152"/>
        <v>1544.5399886737034</v>
      </c>
    </row>
    <row r="239" spans="1:14" x14ac:dyDescent="0.45">
      <c r="A239" s="23">
        <v>42082</v>
      </c>
      <c r="B239">
        <v>434.8</v>
      </c>
      <c r="C239">
        <v>433.65</v>
      </c>
      <c r="G239">
        <f t="shared" ref="G239:K239" si="196">SUMPRODUCT($B239:$B243,P$2:P$6)</f>
        <v>574.379378490622</v>
      </c>
      <c r="H239">
        <f t="shared" si="196"/>
        <v>691.09791699817015</v>
      </c>
      <c r="I239">
        <f t="shared" si="196"/>
        <v>789.81098230813643</v>
      </c>
      <c r="J239">
        <f t="shared" si="196"/>
        <v>1117.0164192712921</v>
      </c>
      <c r="K239">
        <f t="shared" si="196"/>
        <v>1206.6022289253108</v>
      </c>
      <c r="L239">
        <f t="shared" si="149"/>
        <v>414.68968818805376</v>
      </c>
      <c r="M239">
        <f t="shared" si="151"/>
        <v>61.230311811946251</v>
      </c>
      <c r="N239">
        <f t="shared" si="152"/>
        <v>3749.1510845881644</v>
      </c>
    </row>
    <row r="240" spans="1:14" x14ac:dyDescent="0.45">
      <c r="A240" s="23">
        <v>42081</v>
      </c>
      <c r="B240">
        <v>425</v>
      </c>
      <c r="C240">
        <v>427.93</v>
      </c>
      <c r="G240">
        <f t="shared" ref="G240:K240" si="197">SUMPRODUCT($B240:$B244,P$2:P$6)</f>
        <v>566.17527962062991</v>
      </c>
      <c r="H240">
        <f t="shared" si="197"/>
        <v>681.34685188240815</v>
      </c>
      <c r="I240">
        <f t="shared" si="197"/>
        <v>780.51181046466809</v>
      </c>
      <c r="J240">
        <f t="shared" si="197"/>
        <v>1102.9239324399935</v>
      </c>
      <c r="K240">
        <f t="shared" si="197"/>
        <v>1188.6788203487404</v>
      </c>
      <c r="L240">
        <f t="shared" si="149"/>
        <v>409.59957432305879</v>
      </c>
      <c r="M240">
        <f t="shared" si="151"/>
        <v>25.200425676941222</v>
      </c>
      <c r="N240">
        <f t="shared" si="152"/>
        <v>635.06145429903847</v>
      </c>
    </row>
    <row r="241" spans="1:14" x14ac:dyDescent="0.45">
      <c r="A241" s="23">
        <v>42080</v>
      </c>
      <c r="B241">
        <v>420.1</v>
      </c>
      <c r="C241">
        <v>426.12</v>
      </c>
      <c r="G241">
        <f t="shared" ref="G241:K241" si="198">SUMPRODUCT($B241:$B245,P$2:P$6)</f>
        <v>561.33854122438458</v>
      </c>
      <c r="H241">
        <f t="shared" si="198"/>
        <v>675.67157742117615</v>
      </c>
      <c r="I241">
        <f t="shared" si="198"/>
        <v>774.16795570728721</v>
      </c>
      <c r="J241">
        <f t="shared" si="198"/>
        <v>1093.3915757894472</v>
      </c>
      <c r="K241">
        <f t="shared" si="198"/>
        <v>1177.5170984768756</v>
      </c>
      <c r="L241">
        <f t="shared" si="149"/>
        <v>406.3487507211513</v>
      </c>
      <c r="M241">
        <f t="shared" si="151"/>
        <v>18.651249278848695</v>
      </c>
      <c r="N241">
        <f t="shared" si="152"/>
        <v>347.86909966175398</v>
      </c>
    </row>
    <row r="242" spans="1:14" x14ac:dyDescent="0.45">
      <c r="A242" s="23">
        <v>42079</v>
      </c>
      <c r="B242">
        <v>415.46</v>
      </c>
      <c r="C242">
        <v>421.32</v>
      </c>
      <c r="G242">
        <f t="shared" ref="G242:K242" si="199">SUMPRODUCT($B242:$B246,P$2:P$6)</f>
        <v>559.43553344383201</v>
      </c>
      <c r="H242">
        <f t="shared" si="199"/>
        <v>673.2296285221845</v>
      </c>
      <c r="I242">
        <f t="shared" si="199"/>
        <v>769.50971350943996</v>
      </c>
      <c r="J242">
        <f t="shared" si="199"/>
        <v>1088.8465250645468</v>
      </c>
      <c r="K242">
        <f t="shared" si="199"/>
        <v>1174.3541148805348</v>
      </c>
      <c r="L242">
        <f t="shared" si="149"/>
        <v>404.5318127319062</v>
      </c>
      <c r="M242">
        <f t="shared" si="151"/>
        <v>15.568187268093823</v>
      </c>
      <c r="N242">
        <f t="shared" si="152"/>
        <v>242.36845481443859</v>
      </c>
    </row>
    <row r="243" spans="1:14" x14ac:dyDescent="0.45">
      <c r="A243" s="23">
        <v>42076</v>
      </c>
      <c r="B243">
        <v>407.09</v>
      </c>
      <c r="C243">
        <v>413.35</v>
      </c>
      <c r="G243">
        <f t="shared" ref="G243:K243" si="200">SUMPRODUCT($B243:$B247,P$2:P$6)</f>
        <v>559.49886510592592</v>
      </c>
      <c r="H243">
        <f t="shared" si="200"/>
        <v>673.63100008091021</v>
      </c>
      <c r="I243">
        <f t="shared" si="200"/>
        <v>771.29926523458914</v>
      </c>
      <c r="J243">
        <f t="shared" si="200"/>
        <v>1091.3517345059099</v>
      </c>
      <c r="K243">
        <f t="shared" si="200"/>
        <v>1174.8821650436021</v>
      </c>
      <c r="L243">
        <f t="shared" si="149"/>
        <v>405.07809497032275</v>
      </c>
      <c r="M243">
        <f t="shared" si="151"/>
        <v>10.381905029677228</v>
      </c>
      <c r="N243">
        <f t="shared" si="152"/>
        <v>107.78395204523731</v>
      </c>
    </row>
    <row r="244" spans="1:14" x14ac:dyDescent="0.45">
      <c r="A244" s="23">
        <v>42075</v>
      </c>
      <c r="B244">
        <v>411.49</v>
      </c>
      <c r="C244">
        <v>407.64</v>
      </c>
      <c r="G244">
        <f t="shared" ref="G244:K244" si="201">SUMPRODUCT($B244:$B248,P$2:P$6)</f>
        <v>562.33869781982298</v>
      </c>
      <c r="H244">
        <f t="shared" si="201"/>
        <v>677.18288032571024</v>
      </c>
      <c r="I244">
        <f t="shared" si="201"/>
        <v>775.78293131853206</v>
      </c>
      <c r="J244">
        <f t="shared" si="201"/>
        <v>1096.459139808285</v>
      </c>
      <c r="K244">
        <f t="shared" si="201"/>
        <v>1179.7122364418124</v>
      </c>
      <c r="L244">
        <f t="shared" si="149"/>
        <v>407.12921464974937</v>
      </c>
      <c r="M244">
        <f t="shared" si="151"/>
        <v>-3.9214649749396813E-2</v>
      </c>
      <c r="N244">
        <f t="shared" si="152"/>
        <v>1.5377887549678675E-3</v>
      </c>
    </row>
    <row r="245" spans="1:14" x14ac:dyDescent="0.45">
      <c r="A245" s="23">
        <v>42074</v>
      </c>
      <c r="B245">
        <v>415.31</v>
      </c>
      <c r="C245">
        <v>408.11</v>
      </c>
      <c r="G245">
        <f t="shared" ref="G245:K245" si="202">SUMPRODUCT($B245:$B249,P$2:P$6)</f>
        <v>565.59383180085183</v>
      </c>
      <c r="H245">
        <f t="shared" si="202"/>
        <v>680.76076564878758</v>
      </c>
      <c r="I245">
        <f t="shared" si="202"/>
        <v>777.64015803112477</v>
      </c>
      <c r="J245">
        <f t="shared" si="202"/>
        <v>1101.0581903481611</v>
      </c>
      <c r="K245">
        <f t="shared" si="202"/>
        <v>1187.38581930494</v>
      </c>
      <c r="L245">
        <f t="shared" si="149"/>
        <v>408.65941924770749</v>
      </c>
      <c r="M245">
        <f t="shared" si="151"/>
        <v>2.8305807522925193</v>
      </c>
      <c r="N245">
        <f t="shared" si="152"/>
        <v>8.0121873952488851</v>
      </c>
    </row>
    <row r="246" spans="1:14" x14ac:dyDescent="0.45">
      <c r="A246" s="23">
        <v>42073</v>
      </c>
      <c r="B246">
        <v>409.67</v>
      </c>
      <c r="C246">
        <v>414.2</v>
      </c>
      <c r="G246">
        <f t="shared" ref="G246:K246" si="203">SUMPRODUCT($B246:$B250,P$2:P$6)</f>
        <v>567.72702538660349</v>
      </c>
      <c r="H246">
        <f t="shared" si="203"/>
        <v>683.61855329219679</v>
      </c>
      <c r="I246">
        <f t="shared" si="203"/>
        <v>779.88889119260091</v>
      </c>
      <c r="J246">
        <f t="shared" si="203"/>
        <v>1105.9916415334299</v>
      </c>
      <c r="K246">
        <f t="shared" si="203"/>
        <v>1194.0953084472796</v>
      </c>
      <c r="L246">
        <f t="shared" si="149"/>
        <v>410.06539416686485</v>
      </c>
      <c r="M246">
        <f t="shared" si="151"/>
        <v>5.2446058331351537</v>
      </c>
      <c r="N246">
        <f t="shared" si="152"/>
        <v>27.505890344955279</v>
      </c>
    </row>
    <row r="247" spans="1:14" x14ac:dyDescent="0.45">
      <c r="A247" s="23">
        <v>42072</v>
      </c>
      <c r="B247">
        <v>417.23</v>
      </c>
      <c r="C247">
        <v>415.51</v>
      </c>
      <c r="G247">
        <f>SUMPRODUCT($B247:$B251,P$2:P$6)</f>
        <v>568.00546709490482</v>
      </c>
      <c r="H247">
        <f>SUMPRODUCT($B247:$B251,Q$2:Q$6)</f>
        <v>683.96349557962981</v>
      </c>
      <c r="I247">
        <f>SUMPRODUCT($B247:$B251,R$2:R$6)</f>
        <v>782.68063303873646</v>
      </c>
      <c r="J247">
        <f>SUMPRODUCT($B247:$B251,S$2:S$6)</f>
        <v>1107.1640408004255</v>
      </c>
      <c r="K247">
        <f>SUMPRODUCT($B247:$B251,T$2:T$6)</f>
        <v>1193.387329705602</v>
      </c>
      <c r="L247">
        <f>(G247+$P$7)*$U$2+(H247+$Q$7)*$U$3+(I247+$R$7)*$U$4+(J247+$S$7)*$U$5+(K247+$T$7)*$U$6+$U$7</f>
        <v>410.83645221614086</v>
      </c>
      <c r="M247">
        <f>B246-L247</f>
        <v>-1.1664522161408399</v>
      </c>
      <c r="N247">
        <f>M247^2</f>
        <v>1.3606107725398768</v>
      </c>
    </row>
    <row r="248" spans="1:14" x14ac:dyDescent="0.45">
      <c r="A248" s="23">
        <v>42069</v>
      </c>
      <c r="B248">
        <v>424.23</v>
      </c>
      <c r="C248">
        <v>417.63</v>
      </c>
    </row>
    <row r="249" spans="1:14" x14ac:dyDescent="0.45">
      <c r="A249" s="23">
        <v>42068</v>
      </c>
      <c r="B249">
        <v>417.42</v>
      </c>
      <c r="C249">
        <v>425.61</v>
      </c>
    </row>
    <row r="250" spans="1:14" x14ac:dyDescent="0.45">
      <c r="A250" s="23">
        <v>42067</v>
      </c>
      <c r="B250">
        <v>410.95</v>
      </c>
      <c r="C250">
        <v>414.13</v>
      </c>
    </row>
    <row r="251" spans="1:14" x14ac:dyDescent="0.45">
      <c r="A251" s="23">
        <v>42066</v>
      </c>
      <c r="B251">
        <v>415</v>
      </c>
      <c r="C251">
        <v>412.79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251"/>
  <sheetViews>
    <sheetView workbookViewId="0">
      <selection activeCell="C2" sqref="C2"/>
    </sheetView>
  </sheetViews>
  <sheetFormatPr defaultRowHeight="14.25" x14ac:dyDescent="0.45"/>
  <sheetData>
    <row r="1" spans="1:23" x14ac:dyDescent="0.45">
      <c r="A1" t="s">
        <v>3</v>
      </c>
      <c r="B1" t="s">
        <v>4</v>
      </c>
      <c r="C1" t="s">
        <v>5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</row>
    <row r="2" spans="1:23" x14ac:dyDescent="0.45">
      <c r="A2" s="23">
        <v>42426</v>
      </c>
      <c r="B2">
        <v>153.09</v>
      </c>
      <c r="C2">
        <v>149.68</v>
      </c>
      <c r="G2">
        <f t="shared" ref="G2" si="0">SUMPRODUCT($B2:$B6,P$2:P$6)</f>
        <v>127.34074366000193</v>
      </c>
      <c r="H2">
        <f t="shared" ref="H2" si="1">SUMPRODUCT($B2:$B6,Q$2:Q$6)</f>
        <v>82.332051309588181</v>
      </c>
      <c r="I2">
        <f t="shared" ref="I2" si="2">SUMPRODUCT($B2:$B6,R$2:R$6)</f>
        <v>50.709706670317864</v>
      </c>
      <c r="J2">
        <f t="shared" ref="J2" si="3">SUMPRODUCT($B2:$B6,S$2:S$6)</f>
        <v>28.748178967525654</v>
      </c>
      <c r="K2">
        <f t="shared" ref="K2" si="4">SUMPRODUCT($B2:$B6,T$2:T$6)</f>
        <v>17.692812439274839</v>
      </c>
      <c r="L2">
        <f t="shared" ref="L2" si="5">(G2+$P$7)*$U$2+(H2+$Q$7)*$U$3+(I2+$R$7)*$U$4+(J2+$S$7)*$U$5+(K2+$T$7)*$U$6+$U$7</f>
        <v>152.68895628363816</v>
      </c>
      <c r="P2">
        <v>0.7527720501358659</v>
      </c>
      <c r="Q2">
        <v>0.482320811682099</v>
      </c>
      <c r="R2">
        <v>0.29700861971295756</v>
      </c>
      <c r="S2">
        <v>0.16595515926896151</v>
      </c>
      <c r="T2">
        <v>9.9099530846468151E-2</v>
      </c>
      <c r="U2">
        <v>0.6681493386646371</v>
      </c>
      <c r="W2" t="s">
        <v>31</v>
      </c>
    </row>
    <row r="3" spans="1:23" x14ac:dyDescent="0.45">
      <c r="A3" s="23">
        <v>42425</v>
      </c>
      <c r="B3">
        <v>154.69</v>
      </c>
      <c r="C3">
        <v>154.72</v>
      </c>
      <c r="G3">
        <f t="shared" ref="G3:G65" si="6">SUMPRODUCT($B3:$B7,P$2:P$6)</f>
        <v>128.39726166510803</v>
      </c>
      <c r="H3">
        <f t="shared" ref="H3:H65" si="7">SUMPRODUCT($B3:$B7,Q$2:Q$6)</f>
        <v>82.998986954116674</v>
      </c>
      <c r="I3">
        <f t="shared" ref="I3:I65" si="8">SUMPRODUCT($B3:$B7,R$2:R$6)</f>
        <v>51.120036776085875</v>
      </c>
      <c r="J3">
        <f t="shared" ref="J3:J65" si="9">SUMPRODUCT($B3:$B7,S$2:S$6)</f>
        <v>28.973037768700539</v>
      </c>
      <c r="K3">
        <f t="shared" ref="K3:K65" si="10">SUMPRODUCT($B3:$B7,T$2:T$6)</f>
        <v>17.82039310020232</v>
      </c>
      <c r="L3">
        <f t="shared" ref="L3:L65" si="11">(G3+$P$7)*$U$2+(H3+$Q$7)*$U$3+(I3+$R$7)*$U$4+(J3+$S$7)*$U$5+(K3+$T$7)*$U$6+$U$7</f>
        <v>153.87046236170659</v>
      </c>
      <c r="M3">
        <f t="shared" ref="M3:M66" si="12">B2-L3</f>
        <v>-0.7804623617065829</v>
      </c>
      <c r="N3">
        <f t="shared" ref="N3:N66" si="13">M3^2</f>
        <v>0.60912149804061699</v>
      </c>
      <c r="P3">
        <v>2.4191502194469559E-2</v>
      </c>
      <c r="Q3">
        <v>1.7225781049874631E-2</v>
      </c>
      <c r="R3">
        <v>1.0687484989795623E-2</v>
      </c>
      <c r="S3">
        <v>6.6390149393097935E-3</v>
      </c>
      <c r="T3">
        <v>5.0815764376388826E-3</v>
      </c>
      <c r="U3">
        <v>0.46033806679530037</v>
      </c>
      <c r="V3" t="s">
        <v>29</v>
      </c>
      <c r="W3">
        <f>SUM(N3:N251)</f>
        <v>794.52604901946904</v>
      </c>
    </row>
    <row r="4" spans="1:23" x14ac:dyDescent="0.45">
      <c r="A4" s="23">
        <v>42424</v>
      </c>
      <c r="B4">
        <v>150.03</v>
      </c>
      <c r="C4">
        <v>153.87</v>
      </c>
      <c r="G4">
        <f t="shared" si="6"/>
        <v>124.89321747217569</v>
      </c>
      <c r="H4">
        <f t="shared" si="7"/>
        <v>80.753949976680971</v>
      </c>
      <c r="I4">
        <f t="shared" si="8"/>
        <v>49.737547204696952</v>
      </c>
      <c r="J4">
        <f t="shared" si="9"/>
        <v>28.200736718837017</v>
      </c>
      <c r="K4">
        <f t="shared" si="10"/>
        <v>17.359367152836406</v>
      </c>
      <c r="L4">
        <f t="shared" si="11"/>
        <v>149.92127905982437</v>
      </c>
      <c r="M4">
        <f t="shared" si="12"/>
        <v>4.7687209401756263</v>
      </c>
      <c r="N4">
        <f t="shared" si="13"/>
        <v>22.74069940526951</v>
      </c>
      <c r="P4">
        <v>0</v>
      </c>
      <c r="Q4">
        <v>0</v>
      </c>
      <c r="R4">
        <v>0</v>
      </c>
      <c r="S4">
        <v>9.6142704057204673E-7</v>
      </c>
      <c r="T4">
        <v>0</v>
      </c>
      <c r="U4">
        <v>0.27842668571442369</v>
      </c>
      <c r="V4" t="s">
        <v>30</v>
      </c>
      <c r="W4">
        <f>MAX(N3:N251)</f>
        <v>118.82823022379829</v>
      </c>
    </row>
    <row r="5" spans="1:23" x14ac:dyDescent="0.45">
      <c r="A5" s="23">
        <v>42423</v>
      </c>
      <c r="B5">
        <v>149.88999999999999</v>
      </c>
      <c r="C5">
        <v>150.36000000000001</v>
      </c>
      <c r="G5">
        <f t="shared" si="6"/>
        <v>124.81616597939362</v>
      </c>
      <c r="H5">
        <f t="shared" si="7"/>
        <v>80.706050547492012</v>
      </c>
      <c r="I5">
        <f t="shared" si="8"/>
        <v>49.708019624929435</v>
      </c>
      <c r="J5">
        <f t="shared" si="9"/>
        <v>28.185348061802852</v>
      </c>
      <c r="K5">
        <f t="shared" si="10"/>
        <v>17.351351520306824</v>
      </c>
      <c r="L5">
        <f t="shared" si="11"/>
        <v>149.83590020883781</v>
      </c>
      <c r="M5">
        <f t="shared" si="12"/>
        <v>0.19409979116218778</v>
      </c>
      <c r="N5">
        <f t="shared" si="13"/>
        <v>3.7674728929204912E-2</v>
      </c>
      <c r="P5">
        <v>0</v>
      </c>
      <c r="Q5">
        <v>9.8118970862033465E-5</v>
      </c>
      <c r="R5">
        <v>6.5680959505757042E-5</v>
      </c>
      <c r="S5">
        <v>4.1519525912866885E-5</v>
      </c>
      <c r="T5">
        <v>2.4487181880309687E-5</v>
      </c>
      <c r="U5">
        <v>0.16825500990552539</v>
      </c>
    </row>
    <row r="6" spans="1:23" x14ac:dyDescent="0.45">
      <c r="A6" s="23">
        <v>42422</v>
      </c>
      <c r="B6">
        <v>149.63</v>
      </c>
      <c r="C6">
        <v>150.06</v>
      </c>
      <c r="G6">
        <f t="shared" si="6"/>
        <v>124.58286499687416</v>
      </c>
      <c r="H6">
        <f t="shared" si="7"/>
        <v>80.554312868765948</v>
      </c>
      <c r="I6">
        <f t="shared" si="8"/>
        <v>49.61454122621997</v>
      </c>
      <c r="J6">
        <f t="shared" si="9"/>
        <v>28.1318711259383</v>
      </c>
      <c r="K6">
        <f t="shared" si="10"/>
        <v>17.317769541939235</v>
      </c>
      <c r="L6">
        <f t="shared" si="11"/>
        <v>149.57080242691561</v>
      </c>
      <c r="M6">
        <f t="shared" si="12"/>
        <v>0.31919757308438079</v>
      </c>
      <c r="N6">
        <f t="shared" si="13"/>
        <v>0.10188709066295862</v>
      </c>
      <c r="P6">
        <v>5.5849007754058162E-2</v>
      </c>
      <c r="Q6">
        <v>3.8857148473087182E-2</v>
      </c>
      <c r="R6">
        <v>2.3909410588581113E-2</v>
      </c>
      <c r="S6">
        <v>1.542970533609922E-2</v>
      </c>
      <c r="T6">
        <v>1.1574723111398984E-2</v>
      </c>
      <c r="U6">
        <v>0.12931376161220196</v>
      </c>
    </row>
    <row r="7" spans="1:23" x14ac:dyDescent="0.45">
      <c r="A7" s="23">
        <v>42419</v>
      </c>
      <c r="B7">
        <v>149</v>
      </c>
      <c r="C7">
        <v>148.69999999999999</v>
      </c>
      <c r="G7">
        <f t="shared" si="6"/>
        <v>124.03525035995079</v>
      </c>
      <c r="H7">
        <f t="shared" si="7"/>
        <v>80.199416567946244</v>
      </c>
      <c r="I7">
        <f t="shared" si="8"/>
        <v>49.39603300395931</v>
      </c>
      <c r="J7">
        <f t="shared" si="9"/>
        <v>28.00702773950491</v>
      </c>
      <c r="K7">
        <f t="shared" si="10"/>
        <v>17.240130276907486</v>
      </c>
      <c r="L7">
        <f t="shared" si="11"/>
        <v>148.94965792162358</v>
      </c>
      <c r="M7">
        <f t="shared" si="12"/>
        <v>0.68034207837641247</v>
      </c>
      <c r="N7">
        <f t="shared" si="13"/>
        <v>0.46286534360953657</v>
      </c>
      <c r="O7" t="s">
        <v>28</v>
      </c>
      <c r="P7">
        <v>9.9999999999999995E-7</v>
      </c>
      <c r="Q7">
        <v>3.224574202462706E-9</v>
      </c>
      <c r="R7">
        <v>5.836487446475639E-9</v>
      </c>
      <c r="S7">
        <v>0</v>
      </c>
      <c r="T7">
        <v>6.0093223320804238E-7</v>
      </c>
      <c r="U7">
        <v>8.4618597092941172</v>
      </c>
    </row>
    <row r="8" spans="1:23" x14ac:dyDescent="0.45">
      <c r="A8" s="23">
        <v>42418</v>
      </c>
      <c r="B8">
        <v>149.13</v>
      </c>
      <c r="C8">
        <v>148.65</v>
      </c>
      <c r="G8">
        <f t="shared" si="6"/>
        <v>124.10063780123807</v>
      </c>
      <c r="H8">
        <f t="shared" si="7"/>
        <v>80.239635258523634</v>
      </c>
      <c r="I8">
        <f t="shared" si="8"/>
        <v>49.420857383300856</v>
      </c>
      <c r="J8">
        <f t="shared" si="9"/>
        <v>28.019545583615244</v>
      </c>
      <c r="K8">
        <f t="shared" si="10"/>
        <v>17.246291731224996</v>
      </c>
      <c r="L8">
        <f t="shared" si="11"/>
        <v>149.02167541203065</v>
      </c>
      <c r="M8">
        <f t="shared" si="12"/>
        <v>-2.1675412030646157E-2</v>
      </c>
      <c r="N8">
        <f t="shared" si="13"/>
        <v>4.6982348669828017E-4</v>
      </c>
    </row>
    <row r="9" spans="1:23" x14ac:dyDescent="0.45">
      <c r="A9" s="23">
        <v>42417</v>
      </c>
      <c r="B9">
        <v>149.75</v>
      </c>
      <c r="C9">
        <v>150.91</v>
      </c>
      <c r="G9">
        <f t="shared" si="6"/>
        <v>124.6827816488136</v>
      </c>
      <c r="H9">
        <f t="shared" si="7"/>
        <v>80.618740460801078</v>
      </c>
      <c r="I9">
        <f t="shared" si="8"/>
        <v>49.654228984429814</v>
      </c>
      <c r="J9">
        <f t="shared" si="9"/>
        <v>28.15430810758707</v>
      </c>
      <c r="K9">
        <f t="shared" si="10"/>
        <v>17.331607375439688</v>
      </c>
      <c r="L9">
        <f t="shared" si="11"/>
        <v>149.6838348328501</v>
      </c>
      <c r="M9">
        <f t="shared" si="12"/>
        <v>-0.55383483285010016</v>
      </c>
      <c r="N9">
        <f t="shared" si="13"/>
        <v>0.30673302207809838</v>
      </c>
    </row>
    <row r="10" spans="1:23" x14ac:dyDescent="0.45">
      <c r="A10" s="23">
        <v>42416</v>
      </c>
      <c r="B10">
        <v>149.35</v>
      </c>
      <c r="C10">
        <v>149.11000000000001</v>
      </c>
      <c r="G10">
        <f t="shared" si="6"/>
        <v>124.17372307648263</v>
      </c>
      <c r="H10">
        <f t="shared" si="7"/>
        <v>80.280809727863868</v>
      </c>
      <c r="I10">
        <f t="shared" si="8"/>
        <v>49.44609435231564</v>
      </c>
      <c r="J10">
        <f t="shared" si="9"/>
        <v>28.030627802235699</v>
      </c>
      <c r="K10">
        <f t="shared" si="10"/>
        <v>17.24883177133027</v>
      </c>
      <c r="L10">
        <f t="shared" si="11"/>
        <v>149.09868121255352</v>
      </c>
      <c r="M10">
        <f t="shared" si="12"/>
        <v>0.65131878744648475</v>
      </c>
      <c r="N10">
        <f t="shared" si="13"/>
        <v>0.4242161628807592</v>
      </c>
    </row>
    <row r="11" spans="1:23" x14ac:dyDescent="0.45">
      <c r="A11" s="23">
        <v>42412</v>
      </c>
      <c r="B11">
        <v>147.97999999999999</v>
      </c>
      <c r="C11">
        <v>148.65</v>
      </c>
      <c r="G11">
        <f t="shared" si="6"/>
        <v>122.92639106379198</v>
      </c>
      <c r="H11">
        <f t="shared" si="7"/>
        <v>79.46908116993238</v>
      </c>
      <c r="I11">
        <f t="shared" si="8"/>
        <v>48.946219662604271</v>
      </c>
      <c r="J11">
        <f t="shared" si="9"/>
        <v>27.743494300142924</v>
      </c>
      <c r="K11">
        <f t="shared" si="10"/>
        <v>17.068157898329432</v>
      </c>
      <c r="L11">
        <f t="shared" si="11"/>
        <v>147.68075387654784</v>
      </c>
      <c r="M11">
        <f t="shared" si="12"/>
        <v>1.6692461234521545</v>
      </c>
      <c r="N11">
        <f t="shared" si="13"/>
        <v>2.7863826206600453</v>
      </c>
    </row>
    <row r="12" spans="1:23" x14ac:dyDescent="0.45">
      <c r="A12" s="23">
        <v>42411</v>
      </c>
      <c r="B12">
        <v>147.13</v>
      </c>
      <c r="C12">
        <v>146.65</v>
      </c>
      <c r="G12">
        <f t="shared" si="6"/>
        <v>122.37032376020177</v>
      </c>
      <c r="H12">
        <f t="shared" si="7"/>
        <v>79.117945101847042</v>
      </c>
      <c r="I12">
        <f t="shared" si="8"/>
        <v>48.730144406479084</v>
      </c>
      <c r="J12">
        <f t="shared" si="9"/>
        <v>27.625333224449157</v>
      </c>
      <c r="K12">
        <f t="shared" si="10"/>
        <v>17.001354926442708</v>
      </c>
      <c r="L12">
        <f t="shared" si="11"/>
        <v>147.05889572266582</v>
      </c>
      <c r="M12">
        <f t="shared" si="12"/>
        <v>0.921104277334166</v>
      </c>
      <c r="N12">
        <f t="shared" si="13"/>
        <v>0.84843308972329623</v>
      </c>
    </row>
    <row r="13" spans="1:23" x14ac:dyDescent="0.45">
      <c r="A13" s="23">
        <v>42410</v>
      </c>
      <c r="B13">
        <v>149.37</v>
      </c>
      <c r="C13">
        <v>148.05000000000001</v>
      </c>
      <c r="G13">
        <f t="shared" si="6"/>
        <v>124.07743253405195</v>
      </c>
      <c r="H13">
        <f t="shared" si="7"/>
        <v>80.211701895241845</v>
      </c>
      <c r="I13">
        <f t="shared" si="8"/>
        <v>49.403389977844839</v>
      </c>
      <c r="J13">
        <f t="shared" si="9"/>
        <v>28.003004695037141</v>
      </c>
      <c r="K13">
        <f t="shared" si="10"/>
        <v>17.227469790478104</v>
      </c>
      <c r="L13">
        <f t="shared" si="11"/>
        <v>148.98323162251495</v>
      </c>
      <c r="M13">
        <f t="shared" si="12"/>
        <v>-1.8532316225149543</v>
      </c>
      <c r="N13">
        <f t="shared" si="13"/>
        <v>3.4344674466894101</v>
      </c>
    </row>
    <row r="14" spans="1:23" x14ac:dyDescent="0.45">
      <c r="A14" s="23">
        <v>42409</v>
      </c>
      <c r="B14">
        <v>146.24</v>
      </c>
      <c r="C14">
        <v>147.94</v>
      </c>
      <c r="G14">
        <f t="shared" si="6"/>
        <v>121.87561951263342</v>
      </c>
      <c r="H14">
        <f t="shared" si="7"/>
        <v>78.808225862286719</v>
      </c>
      <c r="I14">
        <f t="shared" si="8"/>
        <v>48.538792706058061</v>
      </c>
      <c r="J14">
        <f t="shared" si="9"/>
        <v>27.526439971412376</v>
      </c>
      <c r="K14">
        <f t="shared" si="10"/>
        <v>16.949084919138365</v>
      </c>
      <c r="L14">
        <f t="shared" si="11"/>
        <v>146.50910791454257</v>
      </c>
      <c r="M14">
        <f t="shared" si="12"/>
        <v>2.8608920854574365</v>
      </c>
      <c r="N14">
        <f t="shared" si="13"/>
        <v>8.1847035246329991</v>
      </c>
    </row>
    <row r="15" spans="1:23" x14ac:dyDescent="0.45">
      <c r="A15" s="23">
        <v>42408</v>
      </c>
      <c r="B15">
        <v>142.74</v>
      </c>
      <c r="C15">
        <v>147.02000000000001</v>
      </c>
      <c r="G15">
        <f t="shared" si="6"/>
        <v>119.29339162882636</v>
      </c>
      <c r="H15">
        <f t="shared" si="7"/>
        <v>77.157241209966983</v>
      </c>
      <c r="I15">
        <f t="shared" si="8"/>
        <v>47.52218370013189</v>
      </c>
      <c r="J15">
        <f t="shared" si="9"/>
        <v>26.96025004951716</v>
      </c>
      <c r="K15">
        <f t="shared" si="10"/>
        <v>16.613252655235215</v>
      </c>
      <c r="L15">
        <f t="shared" si="11"/>
        <v>143.60203987811752</v>
      </c>
      <c r="M15">
        <f t="shared" si="12"/>
        <v>2.637960121882486</v>
      </c>
      <c r="N15">
        <f t="shared" si="13"/>
        <v>6.9588336046422601</v>
      </c>
    </row>
    <row r="16" spans="1:23" x14ac:dyDescent="0.45">
      <c r="A16" s="23">
        <v>42405</v>
      </c>
      <c r="B16">
        <v>143.27000000000001</v>
      </c>
      <c r="C16">
        <v>143.99</v>
      </c>
      <c r="G16">
        <f t="shared" si="6"/>
        <v>119.78168377078573</v>
      </c>
      <c r="H16">
        <f t="shared" si="7"/>
        <v>77.475770082046225</v>
      </c>
      <c r="I16">
        <f t="shared" si="8"/>
        <v>47.718457250093643</v>
      </c>
      <c r="J16">
        <f t="shared" si="9"/>
        <v>27.072840623081532</v>
      </c>
      <c r="K16">
        <f t="shared" si="10"/>
        <v>16.68442243436478</v>
      </c>
      <c r="L16">
        <f t="shared" si="11"/>
        <v>144.15771786896619</v>
      </c>
      <c r="M16">
        <f t="shared" si="12"/>
        <v>-1.4177178689661787</v>
      </c>
      <c r="N16">
        <f t="shared" si="13"/>
        <v>2.0099239559860029</v>
      </c>
    </row>
    <row r="17" spans="1:14" x14ac:dyDescent="0.45">
      <c r="A17" s="23">
        <v>42404</v>
      </c>
      <c r="B17">
        <v>145</v>
      </c>
      <c r="C17">
        <v>143.28</v>
      </c>
      <c r="G17">
        <f t="shared" si="6"/>
        <v>121.11268137652267</v>
      </c>
      <c r="H17">
        <f t="shared" si="7"/>
        <v>78.331926251320994</v>
      </c>
      <c r="I17">
        <f t="shared" si="8"/>
        <v>48.246041816580259</v>
      </c>
      <c r="J17">
        <f t="shared" si="9"/>
        <v>27.367718201616931</v>
      </c>
      <c r="K17">
        <f t="shared" si="10"/>
        <v>16.862124455017586</v>
      </c>
      <c r="L17">
        <f t="shared" si="11"/>
        <v>145.66063188375742</v>
      </c>
      <c r="M17">
        <f t="shared" si="12"/>
        <v>-2.3906318837574076</v>
      </c>
      <c r="N17">
        <f t="shared" si="13"/>
        <v>5.7151208036374914</v>
      </c>
    </row>
    <row r="18" spans="1:14" x14ac:dyDescent="0.45">
      <c r="A18" s="23">
        <v>42403</v>
      </c>
      <c r="B18">
        <v>149.28</v>
      </c>
      <c r="C18">
        <v>146.69999999999999</v>
      </c>
      <c r="G18">
        <f t="shared" si="6"/>
        <v>124.29866516029588</v>
      </c>
      <c r="H18">
        <f t="shared" si="7"/>
        <v>80.371443859395399</v>
      </c>
      <c r="I18">
        <f t="shared" si="8"/>
        <v>49.50202487074958</v>
      </c>
      <c r="J18">
        <f t="shared" si="9"/>
        <v>28.068006944873964</v>
      </c>
      <c r="K18">
        <f t="shared" si="10"/>
        <v>17.278849566531647</v>
      </c>
      <c r="L18">
        <f t="shared" si="11"/>
        <v>149.24962701502511</v>
      </c>
      <c r="M18">
        <f t="shared" si="12"/>
        <v>-4.2496270150251121</v>
      </c>
      <c r="N18">
        <f t="shared" si="13"/>
        <v>18.059329766831244</v>
      </c>
    </row>
    <row r="19" spans="1:14" x14ac:dyDescent="0.45">
      <c r="A19" s="23">
        <v>42402</v>
      </c>
      <c r="B19">
        <v>149.99</v>
      </c>
      <c r="C19">
        <v>148.5</v>
      </c>
      <c r="G19">
        <f t="shared" si="6"/>
        <v>124.89502435849565</v>
      </c>
      <c r="H19">
        <f t="shared" si="7"/>
        <v>80.757194626429879</v>
      </c>
      <c r="I19">
        <f t="shared" si="8"/>
        <v>49.739615919911131</v>
      </c>
      <c r="J19">
        <f t="shared" si="9"/>
        <v>28.202855520740201</v>
      </c>
      <c r="K19">
        <f t="shared" si="10"/>
        <v>17.362071605684282</v>
      </c>
      <c r="L19">
        <f t="shared" si="11"/>
        <v>149.92526217304379</v>
      </c>
      <c r="M19">
        <f t="shared" si="12"/>
        <v>-0.64526217304378974</v>
      </c>
      <c r="N19">
        <f t="shared" si="13"/>
        <v>0.41636327196119366</v>
      </c>
    </row>
    <row r="20" spans="1:14" x14ac:dyDescent="0.45">
      <c r="A20" s="23">
        <v>42401</v>
      </c>
      <c r="B20">
        <v>150.84</v>
      </c>
      <c r="C20">
        <v>151.25</v>
      </c>
      <c r="G20">
        <f t="shared" si="6"/>
        <v>125.5856790097241</v>
      </c>
      <c r="H20">
        <f t="shared" si="7"/>
        <v>81.202054529016152</v>
      </c>
      <c r="I20">
        <f t="shared" si="8"/>
        <v>50.013425642467837</v>
      </c>
      <c r="J20">
        <f t="shared" si="9"/>
        <v>28.35804119814442</v>
      </c>
      <c r="K20">
        <f t="shared" si="10"/>
        <v>17.456761352427918</v>
      </c>
      <c r="L20">
        <f t="shared" si="11"/>
        <v>150.70609995765324</v>
      </c>
      <c r="M20">
        <f t="shared" si="12"/>
        <v>-0.71609995765322765</v>
      </c>
      <c r="N20">
        <f t="shared" si="13"/>
        <v>0.51279914935095439</v>
      </c>
    </row>
    <row r="21" spans="1:14" x14ac:dyDescent="0.45">
      <c r="A21" s="23">
        <v>42398</v>
      </c>
      <c r="B21">
        <v>149.5</v>
      </c>
      <c r="C21">
        <v>151.12</v>
      </c>
      <c r="G21">
        <f t="shared" si="6"/>
        <v>124.73772577096815</v>
      </c>
      <c r="H21">
        <f t="shared" si="7"/>
        <v>80.667366365107782</v>
      </c>
      <c r="I21">
        <f t="shared" si="8"/>
        <v>49.68404080677827</v>
      </c>
      <c r="J21">
        <f t="shared" si="9"/>
        <v>28.180180526637052</v>
      </c>
      <c r="K21">
        <f t="shared" si="10"/>
        <v>17.357257808415397</v>
      </c>
      <c r="L21">
        <f t="shared" si="11"/>
        <v>149.75890059150612</v>
      </c>
      <c r="M21">
        <f t="shared" si="12"/>
        <v>1.0810994084938841</v>
      </c>
      <c r="N21">
        <f t="shared" si="13"/>
        <v>1.1687759310458261</v>
      </c>
    </row>
    <row r="22" spans="1:14" x14ac:dyDescent="0.45">
      <c r="A22" s="23">
        <v>42397</v>
      </c>
      <c r="B22">
        <v>148.55000000000001</v>
      </c>
      <c r="C22">
        <v>149.59</v>
      </c>
      <c r="G22">
        <f t="shared" si="6"/>
        <v>123.93493941030782</v>
      </c>
      <c r="H22">
        <f t="shared" si="7"/>
        <v>80.148791472786712</v>
      </c>
      <c r="I22">
        <f t="shared" si="8"/>
        <v>49.364818661287764</v>
      </c>
      <c r="J22">
        <f t="shared" si="9"/>
        <v>27.998411885067945</v>
      </c>
      <c r="K22">
        <f t="shared" si="10"/>
        <v>17.24507795682295</v>
      </c>
      <c r="L22">
        <f t="shared" si="11"/>
        <v>148.84982980497244</v>
      </c>
      <c r="M22">
        <f t="shared" si="12"/>
        <v>0.65017019502755602</v>
      </c>
      <c r="N22">
        <f t="shared" si="13"/>
        <v>0.42272128250217023</v>
      </c>
    </row>
    <row r="23" spans="1:14" x14ac:dyDescent="0.45">
      <c r="A23" s="23">
        <v>42396</v>
      </c>
      <c r="B23">
        <v>149.29</v>
      </c>
      <c r="C23">
        <v>147.72999999999999</v>
      </c>
      <c r="G23">
        <f t="shared" si="6"/>
        <v>124.34876075078758</v>
      </c>
      <c r="H23">
        <f t="shared" si="7"/>
        <v>80.406458395742234</v>
      </c>
      <c r="I23">
        <f t="shared" si="8"/>
        <v>49.523656047507338</v>
      </c>
      <c r="J23">
        <f t="shared" si="9"/>
        <v>28.081506172248655</v>
      </c>
      <c r="K23">
        <f t="shared" si="10"/>
        <v>17.288782016580072</v>
      </c>
      <c r="L23">
        <f t="shared" si="11"/>
        <v>149.30879528662001</v>
      </c>
      <c r="M23">
        <f t="shared" si="12"/>
        <v>-0.75879528661999984</v>
      </c>
      <c r="N23">
        <f t="shared" si="13"/>
        <v>0.57577028699672772</v>
      </c>
    </row>
    <row r="24" spans="1:14" x14ac:dyDescent="0.45">
      <c r="A24" s="23">
        <v>42395</v>
      </c>
      <c r="B24">
        <v>150.78</v>
      </c>
      <c r="C24">
        <v>148.5</v>
      </c>
      <c r="G24">
        <f t="shared" si="6"/>
        <v>125.52149815375526</v>
      </c>
      <c r="H24">
        <f t="shared" si="7"/>
        <v>81.16165711718493</v>
      </c>
      <c r="I24">
        <f t="shared" si="8"/>
        <v>49.988956081215875</v>
      </c>
      <c r="J24">
        <f t="shared" si="9"/>
        <v>28.342617474213043</v>
      </c>
      <c r="K24">
        <f t="shared" si="10"/>
        <v>17.447176991380495</v>
      </c>
      <c r="L24">
        <f t="shared" si="11"/>
        <v>150.63397360727399</v>
      </c>
      <c r="M24">
        <f t="shared" si="12"/>
        <v>-1.3439736072739947</v>
      </c>
      <c r="N24">
        <f t="shared" si="13"/>
        <v>1.8062650570490739</v>
      </c>
    </row>
    <row r="25" spans="1:14" x14ac:dyDescent="0.45">
      <c r="A25" s="23">
        <v>42394</v>
      </c>
      <c r="B25">
        <v>154.07</v>
      </c>
      <c r="C25">
        <v>150.78</v>
      </c>
      <c r="G25">
        <f t="shared" si="6"/>
        <v>128.13837345537573</v>
      </c>
      <c r="H25">
        <f t="shared" si="7"/>
        <v>82.845280125174995</v>
      </c>
      <c r="I25">
        <f t="shared" si="8"/>
        <v>51.025499933411417</v>
      </c>
      <c r="J25">
        <f t="shared" si="9"/>
        <v>28.927418867602825</v>
      </c>
      <c r="K25">
        <f t="shared" si="10"/>
        <v>17.802141607896434</v>
      </c>
      <c r="L25">
        <f t="shared" si="11"/>
        <v>153.59037191353272</v>
      </c>
      <c r="M25">
        <f t="shared" si="12"/>
        <v>-2.8103719135327196</v>
      </c>
      <c r="N25">
        <f t="shared" si="13"/>
        <v>7.8981902923735605</v>
      </c>
    </row>
    <row r="26" spans="1:14" x14ac:dyDescent="0.45">
      <c r="A26" s="23">
        <v>42391</v>
      </c>
      <c r="B26">
        <v>152.18</v>
      </c>
      <c r="C26">
        <v>153.69</v>
      </c>
      <c r="G26">
        <f t="shared" si="6"/>
        <v>126.49835703918954</v>
      </c>
      <c r="H26">
        <f t="shared" si="7"/>
        <v>81.781582898916</v>
      </c>
      <c r="I26">
        <f t="shared" si="8"/>
        <v>50.370292006460389</v>
      </c>
      <c r="J26">
        <f t="shared" si="9"/>
        <v>28.554015884982554</v>
      </c>
      <c r="K26">
        <f t="shared" si="10"/>
        <v>17.569676368768956</v>
      </c>
      <c r="L26">
        <f t="shared" si="11"/>
        <v>151.72962045625724</v>
      </c>
      <c r="M26">
        <f t="shared" si="12"/>
        <v>2.3403795437427561</v>
      </c>
      <c r="N26">
        <f t="shared" si="13"/>
        <v>5.4773764087695511</v>
      </c>
    </row>
    <row r="27" spans="1:14" x14ac:dyDescent="0.45">
      <c r="A27" s="23">
        <v>42390</v>
      </c>
      <c r="B27">
        <v>148.97</v>
      </c>
      <c r="C27">
        <v>150.38</v>
      </c>
      <c r="G27">
        <f t="shared" si="6"/>
        <v>124.21873794283756</v>
      </c>
      <c r="H27">
        <f t="shared" si="7"/>
        <v>80.328051234076995</v>
      </c>
      <c r="I27">
        <f t="shared" si="8"/>
        <v>49.475117643709744</v>
      </c>
      <c r="J27">
        <f t="shared" si="9"/>
        <v>28.059010642094787</v>
      </c>
      <c r="K27">
        <f t="shared" si="10"/>
        <v>17.279818563521331</v>
      </c>
      <c r="L27">
        <f t="shared" si="11"/>
        <v>149.1673683618728</v>
      </c>
      <c r="M27">
        <f t="shared" si="12"/>
        <v>3.0126316381272034</v>
      </c>
      <c r="N27">
        <f t="shared" si="13"/>
        <v>9.0759493870449965</v>
      </c>
    </row>
    <row r="28" spans="1:14" x14ac:dyDescent="0.45">
      <c r="A28" s="23">
        <v>42389</v>
      </c>
      <c r="B28">
        <v>148.46</v>
      </c>
      <c r="C28">
        <v>148.82</v>
      </c>
      <c r="G28">
        <f t="shared" si="6"/>
        <v>124.13933642066964</v>
      </c>
      <c r="H28">
        <f t="shared" si="7"/>
        <v>80.295508614044508</v>
      </c>
      <c r="I28">
        <f t="shared" si="8"/>
        <v>49.455284677294252</v>
      </c>
      <c r="J28">
        <f t="shared" si="9"/>
        <v>28.058463002579863</v>
      </c>
      <c r="K28">
        <f t="shared" si="10"/>
        <v>17.292679472779302</v>
      </c>
      <c r="L28">
        <f t="shared" si="11"/>
        <v>149.09538460290813</v>
      </c>
      <c r="M28">
        <f t="shared" si="12"/>
        <v>-0.12538460290812736</v>
      </c>
      <c r="N28">
        <f t="shared" si="13"/>
        <v>1.572129864642878E-2</v>
      </c>
    </row>
    <row r="29" spans="1:14" x14ac:dyDescent="0.45">
      <c r="A29" s="23">
        <v>42388</v>
      </c>
      <c r="B29">
        <v>151.79</v>
      </c>
      <c r="C29">
        <v>150.47</v>
      </c>
      <c r="G29">
        <f t="shared" si="6"/>
        <v>126.57106785011985</v>
      </c>
      <c r="H29">
        <f t="shared" si="7"/>
        <v>81.848863062791352</v>
      </c>
      <c r="I29">
        <f t="shared" si="8"/>
        <v>50.411651602358496</v>
      </c>
      <c r="J29">
        <f t="shared" si="9"/>
        <v>28.590653482518952</v>
      </c>
      <c r="K29">
        <f t="shared" si="10"/>
        <v>17.607065734994318</v>
      </c>
      <c r="L29">
        <f t="shared" si="11"/>
        <v>151.8316887912018</v>
      </c>
      <c r="M29">
        <f t="shared" si="12"/>
        <v>-3.371688791201791</v>
      </c>
      <c r="N29">
        <f t="shared" si="13"/>
        <v>11.368285304715794</v>
      </c>
    </row>
    <row r="30" spans="1:14" x14ac:dyDescent="0.45">
      <c r="A30" s="23">
        <v>42384</v>
      </c>
      <c r="B30">
        <v>149.29</v>
      </c>
      <c r="C30">
        <v>150.38999999999999</v>
      </c>
      <c r="G30">
        <f t="shared" si="6"/>
        <v>124.56328391919807</v>
      </c>
      <c r="H30">
        <f t="shared" si="7"/>
        <v>80.556525481763614</v>
      </c>
      <c r="I30">
        <f t="shared" si="8"/>
        <v>49.616117470842326</v>
      </c>
      <c r="J30">
        <f t="shared" si="9"/>
        <v>28.140869519284106</v>
      </c>
      <c r="K30">
        <f t="shared" si="10"/>
        <v>17.333408544489483</v>
      </c>
      <c r="L30">
        <f t="shared" si="11"/>
        <v>149.5627131243811</v>
      </c>
      <c r="M30">
        <f t="shared" si="12"/>
        <v>2.2272868756188871</v>
      </c>
      <c r="N30">
        <f t="shared" si="13"/>
        <v>4.960806826304144</v>
      </c>
    </row>
    <row r="31" spans="1:14" x14ac:dyDescent="0.45">
      <c r="A31" s="23">
        <v>42383</v>
      </c>
      <c r="B31">
        <v>151.96</v>
      </c>
      <c r="C31">
        <v>153.18</v>
      </c>
      <c r="G31">
        <f t="shared" si="6"/>
        <v>126.83662325996775</v>
      </c>
      <c r="H31">
        <f t="shared" si="7"/>
        <v>82.028857147723983</v>
      </c>
      <c r="I31">
        <f t="shared" si="8"/>
        <v>50.523013371767064</v>
      </c>
      <c r="J31">
        <f t="shared" si="9"/>
        <v>28.656430934786048</v>
      </c>
      <c r="K31">
        <f t="shared" si="10"/>
        <v>17.652790586946242</v>
      </c>
      <c r="L31">
        <f t="shared" si="11"/>
        <v>152.1399639186225</v>
      </c>
      <c r="M31">
        <f t="shared" si="12"/>
        <v>-2.8499639186225068</v>
      </c>
      <c r="N31">
        <f t="shared" si="13"/>
        <v>8.1222943374501551</v>
      </c>
    </row>
    <row r="32" spans="1:14" x14ac:dyDescent="0.45">
      <c r="A32" s="23">
        <v>42382</v>
      </c>
      <c r="B32">
        <v>155.97</v>
      </c>
      <c r="C32">
        <v>152.12</v>
      </c>
      <c r="G32">
        <f t="shared" si="6"/>
        <v>129.82493431710776</v>
      </c>
      <c r="H32">
        <f t="shared" si="7"/>
        <v>83.942068720185944</v>
      </c>
      <c r="I32">
        <f t="shared" si="8"/>
        <v>51.701153873424914</v>
      </c>
      <c r="J32">
        <f t="shared" si="9"/>
        <v>29.313670655996848</v>
      </c>
      <c r="K32">
        <f t="shared" si="10"/>
        <v>18.043954336630897</v>
      </c>
      <c r="L32">
        <f t="shared" si="11"/>
        <v>155.50651857867558</v>
      </c>
      <c r="M32">
        <f t="shared" si="12"/>
        <v>-3.546518578675574</v>
      </c>
      <c r="N32">
        <f t="shared" si="13"/>
        <v>12.577794028891013</v>
      </c>
    </row>
    <row r="33" spans="1:14" x14ac:dyDescent="0.45">
      <c r="A33" s="23">
        <v>42381</v>
      </c>
      <c r="B33">
        <v>155.71</v>
      </c>
      <c r="C33">
        <v>156.06</v>
      </c>
      <c r="G33">
        <f t="shared" si="6"/>
        <v>129.74275057880607</v>
      </c>
      <c r="H33">
        <f t="shared" si="7"/>
        <v>83.894271795751621</v>
      </c>
      <c r="I33">
        <f t="shared" si="8"/>
        <v>51.671381096837671</v>
      </c>
      <c r="J33">
        <f t="shared" si="9"/>
        <v>29.302026551030018</v>
      </c>
      <c r="K33">
        <f t="shared" si="10"/>
        <v>18.041477031591263</v>
      </c>
      <c r="L33">
        <f t="shared" si="11"/>
        <v>155.4190357603479</v>
      </c>
      <c r="M33">
        <f t="shared" si="12"/>
        <v>0.55096423965210306</v>
      </c>
      <c r="N33">
        <f t="shared" si="13"/>
        <v>0.30356159337542005</v>
      </c>
    </row>
    <row r="34" spans="1:14" x14ac:dyDescent="0.45">
      <c r="A34" s="23">
        <v>42380</v>
      </c>
      <c r="B34">
        <v>152.30000000000001</v>
      </c>
      <c r="C34">
        <v>154.72</v>
      </c>
      <c r="G34">
        <f t="shared" si="6"/>
        <v>127.34897526841711</v>
      </c>
      <c r="H34">
        <f t="shared" si="7"/>
        <v>82.371566491768306</v>
      </c>
      <c r="I34">
        <f t="shared" si="8"/>
        <v>50.733936982219277</v>
      </c>
      <c r="J34">
        <f t="shared" si="9"/>
        <v>28.783976809222665</v>
      </c>
      <c r="K34">
        <f t="shared" si="10"/>
        <v>17.739726928029008</v>
      </c>
      <c r="L34">
        <f t="shared" si="11"/>
        <v>152.73148279059157</v>
      </c>
      <c r="M34">
        <f t="shared" si="12"/>
        <v>2.9785172094084373</v>
      </c>
      <c r="N34">
        <f t="shared" si="13"/>
        <v>8.8715647667422246</v>
      </c>
    </row>
    <row r="35" spans="1:14" x14ac:dyDescent="0.45">
      <c r="A35" s="23">
        <v>42377</v>
      </c>
      <c r="B35">
        <v>155.28</v>
      </c>
      <c r="C35">
        <v>152.11000000000001</v>
      </c>
      <c r="G35">
        <f t="shared" si="6"/>
        <v>129.5617279890869</v>
      </c>
      <c r="H35">
        <f t="shared" si="7"/>
        <v>83.787664446616461</v>
      </c>
      <c r="I35">
        <f t="shared" si="8"/>
        <v>51.60593854514309</v>
      </c>
      <c r="J35">
        <f t="shared" si="9"/>
        <v>29.270192238450086</v>
      </c>
      <c r="K35">
        <f t="shared" si="10"/>
        <v>18.028735873562397</v>
      </c>
      <c r="L35">
        <f t="shared" si="11"/>
        <v>155.22378537331312</v>
      </c>
      <c r="M35">
        <f t="shared" si="12"/>
        <v>-2.9237853733131089</v>
      </c>
      <c r="N35">
        <f t="shared" si="13"/>
        <v>8.5485209091996754</v>
      </c>
    </row>
    <row r="36" spans="1:14" x14ac:dyDescent="0.45">
      <c r="A36" s="23">
        <v>42376</v>
      </c>
      <c r="B36">
        <v>154.85</v>
      </c>
      <c r="C36">
        <v>154.82</v>
      </c>
      <c r="G36">
        <f t="shared" si="6"/>
        <v>129.44972542783279</v>
      </c>
      <c r="H36">
        <f t="shared" si="7"/>
        <v>83.728899393282603</v>
      </c>
      <c r="I36">
        <f t="shared" si="8"/>
        <v>51.569988627871346</v>
      </c>
      <c r="J36">
        <f t="shared" si="9"/>
        <v>29.257146686667973</v>
      </c>
      <c r="K36">
        <f t="shared" si="10"/>
        <v>18.030225214671926</v>
      </c>
      <c r="L36">
        <f t="shared" si="11"/>
        <v>155.10988734157479</v>
      </c>
      <c r="M36">
        <f t="shared" si="12"/>
        <v>0.17011265842521084</v>
      </c>
      <c r="N36">
        <f t="shared" si="13"/>
        <v>2.8938316556492455E-2</v>
      </c>
    </row>
    <row r="37" spans="1:14" x14ac:dyDescent="0.45">
      <c r="A37" s="23">
        <v>42375</v>
      </c>
      <c r="B37">
        <v>158.36000000000001</v>
      </c>
      <c r="C37">
        <v>158.44999999999999</v>
      </c>
      <c r="G37">
        <f t="shared" si="6"/>
        <v>132.18488906960522</v>
      </c>
      <c r="H37">
        <f t="shared" si="7"/>
        <v>85.487441126707225</v>
      </c>
      <c r="I37">
        <f t="shared" si="8"/>
        <v>52.653022607991389</v>
      </c>
      <c r="J37">
        <f t="shared" si="9"/>
        <v>29.865337956648034</v>
      </c>
      <c r="K37">
        <f t="shared" si="10"/>
        <v>18.397503563536059</v>
      </c>
      <c r="L37">
        <f t="shared" si="11"/>
        <v>158.19827975651438</v>
      </c>
      <c r="M37">
        <f t="shared" si="12"/>
        <v>-3.3482797565143869</v>
      </c>
      <c r="N37">
        <f t="shared" si="13"/>
        <v>11.210977327884041</v>
      </c>
    </row>
    <row r="38" spans="1:14" x14ac:dyDescent="0.45">
      <c r="A38" s="23">
        <v>42374</v>
      </c>
      <c r="B38">
        <v>160.16999999999999</v>
      </c>
      <c r="C38">
        <v>159.93</v>
      </c>
      <c r="G38">
        <f t="shared" si="6"/>
        <v>133.47949759134184</v>
      </c>
      <c r="H38">
        <f t="shared" si="7"/>
        <v>86.313138281986753</v>
      </c>
      <c r="I38">
        <f t="shared" si="8"/>
        <v>53.161474539095991</v>
      </c>
      <c r="J38">
        <f t="shared" si="9"/>
        <v>30.147009981512625</v>
      </c>
      <c r="K38">
        <f t="shared" si="10"/>
        <v>18.562796689072584</v>
      </c>
      <c r="L38">
        <f t="shared" si="11"/>
        <v>159.65370540755006</v>
      </c>
      <c r="M38">
        <f t="shared" si="12"/>
        <v>-1.2937054075500498</v>
      </c>
      <c r="N38">
        <f t="shared" si="13"/>
        <v>1.6736736815242406</v>
      </c>
    </row>
    <row r="39" spans="1:14" x14ac:dyDescent="0.45">
      <c r="A39" s="23">
        <v>42373</v>
      </c>
      <c r="B39">
        <v>159.81</v>
      </c>
      <c r="C39">
        <v>159.54</v>
      </c>
      <c r="G39">
        <f t="shared" si="6"/>
        <v>133.21594270668342</v>
      </c>
      <c r="H39">
        <f t="shared" si="7"/>
        <v>86.145472730453193</v>
      </c>
      <c r="I39">
        <f t="shared" si="8"/>
        <v>53.05841940610879</v>
      </c>
      <c r="J39">
        <f t="shared" si="9"/>
        <v>30.089178273910672</v>
      </c>
      <c r="K39">
        <f t="shared" si="10"/>
        <v>18.528791565423813</v>
      </c>
      <c r="L39">
        <f t="shared" si="11"/>
        <v>159.35760744569055</v>
      </c>
      <c r="M39">
        <f t="shared" si="12"/>
        <v>0.81239255430944013</v>
      </c>
      <c r="N39">
        <f t="shared" si="13"/>
        <v>0.65998166229741662</v>
      </c>
    </row>
    <row r="40" spans="1:14" x14ac:dyDescent="0.45">
      <c r="A40" s="23">
        <v>42369</v>
      </c>
      <c r="B40">
        <v>162.08000000000001</v>
      </c>
      <c r="C40">
        <v>161.5</v>
      </c>
      <c r="G40">
        <f t="shared" si="6"/>
        <v>134.99070298862623</v>
      </c>
      <c r="H40">
        <f t="shared" si="7"/>
        <v>87.286501977948674</v>
      </c>
      <c r="I40">
        <f t="shared" si="8"/>
        <v>53.761105659303517</v>
      </c>
      <c r="J40">
        <f t="shared" si="9"/>
        <v>30.484046272157002</v>
      </c>
      <c r="K40">
        <f t="shared" si="10"/>
        <v>18.767458252094944</v>
      </c>
      <c r="L40">
        <f t="shared" si="11"/>
        <v>161.36161956286327</v>
      </c>
      <c r="M40">
        <f t="shared" si="12"/>
        <v>-1.5516195628632659</v>
      </c>
      <c r="N40">
        <f t="shared" si="13"/>
        <v>2.4075232678599923</v>
      </c>
    </row>
    <row r="41" spans="1:14" x14ac:dyDescent="0.45">
      <c r="A41" s="23">
        <v>42368</v>
      </c>
      <c r="B41">
        <v>162.96</v>
      </c>
      <c r="C41">
        <v>162.71</v>
      </c>
      <c r="G41">
        <f t="shared" si="6"/>
        <v>135.659891824917</v>
      </c>
      <c r="H41">
        <f t="shared" si="7"/>
        <v>87.71530060560714</v>
      </c>
      <c r="I41">
        <f t="shared" si="8"/>
        <v>54.02506451347071</v>
      </c>
      <c r="J41">
        <f t="shared" si="9"/>
        <v>30.632031083980703</v>
      </c>
      <c r="K41">
        <f t="shared" si="10"/>
        <v>18.85601229736605</v>
      </c>
      <c r="L41">
        <f t="shared" si="11"/>
        <v>162.11597360418344</v>
      </c>
      <c r="M41">
        <f t="shared" si="12"/>
        <v>-3.5973604183425323E-2</v>
      </c>
      <c r="N41">
        <f t="shared" si="13"/>
        <v>1.294100197945756E-3</v>
      </c>
    </row>
    <row r="42" spans="1:14" x14ac:dyDescent="0.45">
      <c r="A42" s="23">
        <v>42367</v>
      </c>
      <c r="B42">
        <v>161.9</v>
      </c>
      <c r="C42">
        <v>162.66</v>
      </c>
      <c r="G42">
        <f t="shared" si="6"/>
        <v>134.70009268528992</v>
      </c>
      <c r="H42">
        <f t="shared" si="7"/>
        <v>87.091146954697891</v>
      </c>
      <c r="I42">
        <f t="shared" si="8"/>
        <v>53.640698300501057</v>
      </c>
      <c r="J42">
        <f t="shared" si="9"/>
        <v>30.411463148423522</v>
      </c>
      <c r="K42">
        <f t="shared" si="10"/>
        <v>18.71737760779045</v>
      </c>
      <c r="L42">
        <f t="shared" si="11"/>
        <v>161.02530591458927</v>
      </c>
      <c r="M42">
        <f t="shared" si="12"/>
        <v>1.9346940854107402</v>
      </c>
      <c r="N42">
        <f t="shared" si="13"/>
        <v>3.7430412041233003</v>
      </c>
    </row>
    <row r="43" spans="1:14" x14ac:dyDescent="0.45">
      <c r="A43" s="23">
        <v>42366</v>
      </c>
      <c r="B43">
        <v>161.05000000000001</v>
      </c>
      <c r="C43">
        <v>161.16</v>
      </c>
      <c r="G43">
        <f t="shared" si="6"/>
        <v>134.01871422597807</v>
      </c>
      <c r="H43">
        <f t="shared" si="7"/>
        <v>86.652352356776078</v>
      </c>
      <c r="I43">
        <f t="shared" si="8"/>
        <v>53.370563531367779</v>
      </c>
      <c r="J43">
        <f t="shared" si="9"/>
        <v>30.258789609407131</v>
      </c>
      <c r="K43">
        <f t="shared" si="10"/>
        <v>18.624529866959485</v>
      </c>
      <c r="L43">
        <f t="shared" si="11"/>
        <v>160.25514218378254</v>
      </c>
      <c r="M43">
        <f t="shared" si="12"/>
        <v>1.644857816217467</v>
      </c>
      <c r="N43">
        <f t="shared" si="13"/>
        <v>2.7055572355716944</v>
      </c>
    </row>
    <row r="44" spans="1:14" x14ac:dyDescent="0.45">
      <c r="A44" s="23">
        <v>42362</v>
      </c>
      <c r="B44">
        <v>161.85</v>
      </c>
      <c r="C44">
        <v>161.75</v>
      </c>
      <c r="G44">
        <f t="shared" si="6"/>
        <v>134.68969496495853</v>
      </c>
      <c r="H44">
        <f t="shared" si="7"/>
        <v>87.08617301495606</v>
      </c>
      <c r="I44">
        <f t="shared" si="8"/>
        <v>53.637728798563167</v>
      </c>
      <c r="J44">
        <f t="shared" si="9"/>
        <v>30.410477788022817</v>
      </c>
      <c r="K44">
        <f t="shared" si="10"/>
        <v>18.718073343591406</v>
      </c>
      <c r="L44">
        <f t="shared" si="11"/>
        <v>161.01516637862784</v>
      </c>
      <c r="M44">
        <f t="shared" si="12"/>
        <v>3.4833621372172274E-2</v>
      </c>
      <c r="N44">
        <f t="shared" si="13"/>
        <v>1.2133811778998571E-3</v>
      </c>
    </row>
    <row r="45" spans="1:14" x14ac:dyDescent="0.45">
      <c r="A45" s="23">
        <v>42361</v>
      </c>
      <c r="B45">
        <v>162.43</v>
      </c>
      <c r="C45">
        <v>161.71</v>
      </c>
      <c r="G45">
        <f t="shared" si="6"/>
        <v>135.21309812403359</v>
      </c>
      <c r="H45">
        <f t="shared" si="7"/>
        <v>87.425405459720636</v>
      </c>
      <c r="I45">
        <f t="shared" si="8"/>
        <v>53.84637876637256</v>
      </c>
      <c r="J45">
        <f t="shared" si="9"/>
        <v>30.530863432922942</v>
      </c>
      <c r="K45">
        <f t="shared" si="10"/>
        <v>18.793391696778588</v>
      </c>
      <c r="L45">
        <f t="shared" si="11"/>
        <v>161.60912836749182</v>
      </c>
      <c r="M45">
        <f t="shared" si="12"/>
        <v>0.24087163250817412</v>
      </c>
      <c r="N45">
        <f t="shared" si="13"/>
        <v>5.8019143347152885E-2</v>
      </c>
    </row>
    <row r="46" spans="1:14" x14ac:dyDescent="0.45">
      <c r="A46" s="23">
        <v>42360</v>
      </c>
      <c r="B46">
        <v>159.9</v>
      </c>
      <c r="C46">
        <v>161.22999999999999</v>
      </c>
      <c r="G46">
        <f t="shared" si="6"/>
        <v>133.25485008599838</v>
      </c>
      <c r="H46">
        <f t="shared" si="7"/>
        <v>86.16757771734153</v>
      </c>
      <c r="I46">
        <f t="shared" si="8"/>
        <v>53.071756043214187</v>
      </c>
      <c r="J46">
        <f t="shared" si="9"/>
        <v>30.096310767016103</v>
      </c>
      <c r="K46">
        <f t="shared" si="10"/>
        <v>18.531524242127393</v>
      </c>
      <c r="L46">
        <f t="shared" si="11"/>
        <v>159.3990458784495</v>
      </c>
      <c r="M46">
        <f t="shared" si="12"/>
        <v>3.0309541215505078</v>
      </c>
      <c r="N46">
        <f t="shared" si="13"/>
        <v>9.1866828869440109</v>
      </c>
    </row>
    <row r="47" spans="1:14" x14ac:dyDescent="0.45">
      <c r="A47" s="23">
        <v>42359</v>
      </c>
      <c r="B47">
        <v>158.81</v>
      </c>
      <c r="C47">
        <v>159.38999999999999</v>
      </c>
      <c r="G47">
        <f t="shared" si="6"/>
        <v>132.53454936412393</v>
      </c>
      <c r="H47">
        <f t="shared" si="7"/>
        <v>85.711915513149322</v>
      </c>
      <c r="I47">
        <f t="shared" si="8"/>
        <v>52.791214091853263</v>
      </c>
      <c r="J47">
        <f t="shared" si="9"/>
        <v>29.943046777577869</v>
      </c>
      <c r="K47">
        <f t="shared" si="10"/>
        <v>18.444331070357123</v>
      </c>
      <c r="L47">
        <f t="shared" si="11"/>
        <v>158.59284569248902</v>
      </c>
      <c r="M47">
        <f t="shared" si="12"/>
        <v>1.3071543075109844</v>
      </c>
      <c r="N47">
        <f t="shared" si="13"/>
        <v>1.7086523836445211</v>
      </c>
    </row>
    <row r="48" spans="1:14" x14ac:dyDescent="0.45">
      <c r="A48" s="23">
        <v>42356</v>
      </c>
      <c r="B48">
        <v>159.79</v>
      </c>
      <c r="C48">
        <v>157.69999999999999</v>
      </c>
      <c r="G48">
        <f t="shared" si="6"/>
        <v>133.15598115902679</v>
      </c>
      <c r="H48">
        <f t="shared" si="7"/>
        <v>86.104864061801948</v>
      </c>
      <c r="I48">
        <f t="shared" si="8"/>
        <v>53.033466961108324</v>
      </c>
      <c r="J48">
        <f t="shared" si="9"/>
        <v>30.073494685666279</v>
      </c>
      <c r="K48">
        <f t="shared" si="10"/>
        <v>18.51756197993576</v>
      </c>
      <c r="L48">
        <f t="shared" si="11"/>
        <v>159.28781205245826</v>
      </c>
      <c r="M48">
        <f t="shared" si="12"/>
        <v>-0.47781205245826186</v>
      </c>
      <c r="N48">
        <f t="shared" si="13"/>
        <v>0.22830435747437677</v>
      </c>
    </row>
    <row r="49" spans="1:14" x14ac:dyDescent="0.45">
      <c r="A49" s="23">
        <v>42355</v>
      </c>
      <c r="B49">
        <v>162.44</v>
      </c>
      <c r="C49">
        <v>160.68</v>
      </c>
      <c r="G49">
        <f t="shared" si="6"/>
        <v>135.11886761302011</v>
      </c>
      <c r="H49">
        <f t="shared" si="7"/>
        <v>87.360268082318868</v>
      </c>
      <c r="I49">
        <f t="shared" si="8"/>
        <v>53.806483398391563</v>
      </c>
      <c r="J49">
        <f t="shared" si="9"/>
        <v>30.504335255574112</v>
      </c>
      <c r="K49">
        <f t="shared" si="10"/>
        <v>18.773439770306883</v>
      </c>
      <c r="L49">
        <f t="shared" si="11"/>
        <v>161.4980316069985</v>
      </c>
      <c r="M49">
        <f t="shared" si="12"/>
        <v>-1.7080316069985031</v>
      </c>
      <c r="N49">
        <f t="shared" si="13"/>
        <v>2.9173719705058887</v>
      </c>
    </row>
    <row r="50" spans="1:14" x14ac:dyDescent="0.45">
      <c r="A50" s="23">
        <v>42354</v>
      </c>
      <c r="B50">
        <v>161.94999999999999</v>
      </c>
      <c r="C50">
        <v>162.76</v>
      </c>
      <c r="G50">
        <f t="shared" si="6"/>
        <v>134.85017047576483</v>
      </c>
      <c r="H50">
        <f t="shared" si="7"/>
        <v>87.194123459971166</v>
      </c>
      <c r="I50">
        <f t="shared" si="8"/>
        <v>53.704258676729104</v>
      </c>
      <c r="J50">
        <f t="shared" si="9"/>
        <v>30.450610271963825</v>
      </c>
      <c r="K50">
        <f t="shared" si="10"/>
        <v>18.74572361225988</v>
      </c>
      <c r="L50">
        <f t="shared" si="11"/>
        <v>161.20093342942573</v>
      </c>
      <c r="M50">
        <f t="shared" si="12"/>
        <v>1.2390665705742663</v>
      </c>
      <c r="N50">
        <f t="shared" si="13"/>
        <v>1.5352859663146732</v>
      </c>
    </row>
    <row r="51" spans="1:14" x14ac:dyDescent="0.45">
      <c r="A51" s="23">
        <v>42353</v>
      </c>
      <c r="B51">
        <v>163.32</v>
      </c>
      <c r="C51">
        <v>161.29</v>
      </c>
      <c r="G51">
        <f t="shared" si="6"/>
        <v>135.9032993562426</v>
      </c>
      <c r="H51">
        <f t="shared" si="7"/>
        <v>87.868935737716413</v>
      </c>
      <c r="I51">
        <f t="shared" si="8"/>
        <v>54.119516571323793</v>
      </c>
      <c r="J51">
        <f t="shared" si="9"/>
        <v>30.684193471777313</v>
      </c>
      <c r="K51">
        <f t="shared" si="10"/>
        <v>18.885824616613629</v>
      </c>
      <c r="L51">
        <f t="shared" si="11"/>
        <v>162.38825998461834</v>
      </c>
      <c r="M51">
        <f t="shared" si="12"/>
        <v>-0.43825998461835525</v>
      </c>
      <c r="N51">
        <f t="shared" si="13"/>
        <v>0.19207181411768098</v>
      </c>
    </row>
    <row r="52" spans="1:14" x14ac:dyDescent="0.45">
      <c r="A52" s="23">
        <v>42352</v>
      </c>
      <c r="B52">
        <v>160.09</v>
      </c>
      <c r="C52">
        <v>161.84</v>
      </c>
      <c r="G52">
        <f t="shared" si="6"/>
        <v>133.68764970468504</v>
      </c>
      <c r="H52">
        <f t="shared" si="7"/>
        <v>86.461219604624944</v>
      </c>
      <c r="I52">
        <f t="shared" si="8"/>
        <v>53.252564634538231</v>
      </c>
      <c r="J52">
        <f t="shared" si="9"/>
        <v>30.20787115107537</v>
      </c>
      <c r="K52">
        <f t="shared" si="10"/>
        <v>18.610477983425376</v>
      </c>
      <c r="L52">
        <f t="shared" si="11"/>
        <v>159.90271753180807</v>
      </c>
      <c r="M52">
        <f t="shared" si="12"/>
        <v>3.417282468191928</v>
      </c>
      <c r="N52">
        <f t="shared" si="13"/>
        <v>11.677819467411915</v>
      </c>
    </row>
    <row r="53" spans="1:14" x14ac:dyDescent="0.45">
      <c r="A53" s="23">
        <v>42349</v>
      </c>
      <c r="B53">
        <v>159.72999999999999</v>
      </c>
      <c r="C53">
        <v>160.02000000000001</v>
      </c>
      <c r="G53">
        <f t="shared" si="6"/>
        <v>133.47863248384439</v>
      </c>
      <c r="H53">
        <f t="shared" si="7"/>
        <v>86.331575205541213</v>
      </c>
      <c r="I53">
        <f t="shared" si="8"/>
        <v>53.172837103133787</v>
      </c>
      <c r="J53">
        <f t="shared" si="9"/>
        <v>30.165366267262581</v>
      </c>
      <c r="K53">
        <f t="shared" si="10"/>
        <v>18.587827569152697</v>
      </c>
      <c r="L53">
        <f t="shared" si="11"/>
        <v>159.67110361964109</v>
      </c>
      <c r="M53">
        <f t="shared" si="12"/>
        <v>0.41889638035891608</v>
      </c>
      <c r="N53">
        <f t="shared" si="13"/>
        <v>0.1754741774778017</v>
      </c>
    </row>
    <row r="54" spans="1:14" x14ac:dyDescent="0.45">
      <c r="A54" s="23">
        <v>42348</v>
      </c>
      <c r="B54">
        <v>160.93</v>
      </c>
      <c r="C54">
        <v>161.86000000000001</v>
      </c>
      <c r="G54">
        <f t="shared" si="6"/>
        <v>134.24598641804502</v>
      </c>
      <c r="H54">
        <f t="shared" si="7"/>
        <v>86.816520771233215</v>
      </c>
      <c r="I54">
        <f t="shared" si="8"/>
        <v>53.471667588697834</v>
      </c>
      <c r="J54">
        <f t="shared" si="9"/>
        <v>30.326895302454819</v>
      </c>
      <c r="K54">
        <f t="shared" si="10"/>
        <v>18.678702614241555</v>
      </c>
      <c r="L54">
        <f t="shared" si="11"/>
        <v>160.52918139253001</v>
      </c>
      <c r="M54">
        <f t="shared" si="12"/>
        <v>-0.79918139253001641</v>
      </c>
      <c r="N54">
        <f t="shared" si="13"/>
        <v>0.63869089816621616</v>
      </c>
    </row>
    <row r="55" spans="1:14" x14ac:dyDescent="0.45">
      <c r="A55" s="23">
        <v>42347</v>
      </c>
      <c r="B55">
        <v>162.72</v>
      </c>
      <c r="C55">
        <v>159.72</v>
      </c>
      <c r="G55">
        <f t="shared" si="6"/>
        <v>135.71247933963406</v>
      </c>
      <c r="H55">
        <f t="shared" si="7"/>
        <v>87.763961989972685</v>
      </c>
      <c r="I55">
        <f t="shared" si="8"/>
        <v>54.05539054189255</v>
      </c>
      <c r="J55">
        <f t="shared" si="9"/>
        <v>30.656528752247134</v>
      </c>
      <c r="K55">
        <f t="shared" si="10"/>
        <v>18.880954249895648</v>
      </c>
      <c r="L55">
        <f t="shared" si="11"/>
        <v>162.18930137367485</v>
      </c>
      <c r="M55">
        <f t="shared" si="12"/>
        <v>-1.2593013736748446</v>
      </c>
      <c r="N55">
        <f t="shared" si="13"/>
        <v>1.5858399497393507</v>
      </c>
    </row>
    <row r="56" spans="1:14" x14ac:dyDescent="0.45">
      <c r="A56" s="23">
        <v>42346</v>
      </c>
      <c r="B56">
        <v>166.74</v>
      </c>
      <c r="C56">
        <v>168.87</v>
      </c>
      <c r="G56">
        <f t="shared" si="6"/>
        <v>138.59651874576363</v>
      </c>
      <c r="H56">
        <f t="shared" si="7"/>
        <v>89.60429311442816</v>
      </c>
      <c r="I56">
        <f t="shared" si="8"/>
        <v>55.188750075208787</v>
      </c>
      <c r="J56">
        <f t="shared" si="9"/>
        <v>31.284395442815786</v>
      </c>
      <c r="K56">
        <f t="shared" si="10"/>
        <v>19.249932819285672</v>
      </c>
      <c r="L56">
        <f t="shared" si="11"/>
        <v>165.43235812924533</v>
      </c>
      <c r="M56">
        <f t="shared" si="12"/>
        <v>-2.7123581292453309</v>
      </c>
      <c r="N56">
        <f t="shared" si="13"/>
        <v>7.3568866212832313</v>
      </c>
    </row>
    <row r="57" spans="1:14" x14ac:dyDescent="0.45">
      <c r="A57" s="23">
        <v>42345</v>
      </c>
      <c r="B57">
        <v>167.33</v>
      </c>
      <c r="C57">
        <v>167.12</v>
      </c>
      <c r="G57">
        <f t="shared" si="6"/>
        <v>138.9803127257033</v>
      </c>
      <c r="H57">
        <f t="shared" si="7"/>
        <v>89.845338619058737</v>
      </c>
      <c r="I57">
        <f t="shared" si="8"/>
        <v>55.336906344618036</v>
      </c>
      <c r="J57">
        <f t="shared" si="9"/>
        <v>31.365665077767467</v>
      </c>
      <c r="K57">
        <f t="shared" si="10"/>
        <v>19.295609282175537</v>
      </c>
      <c r="L57">
        <f t="shared" si="11"/>
        <v>165.86058352226351</v>
      </c>
      <c r="M57">
        <f t="shared" si="12"/>
        <v>0.87941647773649834</v>
      </c>
      <c r="N57">
        <f t="shared" si="13"/>
        <v>0.77337334131446911</v>
      </c>
    </row>
    <row r="58" spans="1:14" x14ac:dyDescent="0.45">
      <c r="A58" s="23">
        <v>42342</v>
      </c>
      <c r="B58">
        <v>164.12</v>
      </c>
      <c r="C58">
        <v>166.8</v>
      </c>
      <c r="G58">
        <f t="shared" si="6"/>
        <v>136.69342449729425</v>
      </c>
      <c r="H58">
        <f t="shared" si="7"/>
        <v>88.387380154266751</v>
      </c>
      <c r="I58">
        <f t="shared" si="8"/>
        <v>54.43910238834836</v>
      </c>
      <c r="J58">
        <f t="shared" si="9"/>
        <v>30.868722277870358</v>
      </c>
      <c r="K58">
        <f t="shared" si="10"/>
        <v>19.004374848684943</v>
      </c>
      <c r="L58">
        <f t="shared" si="11"/>
        <v>163.2902005679116</v>
      </c>
      <c r="M58">
        <f t="shared" si="12"/>
        <v>4.0397994320884152</v>
      </c>
      <c r="N58">
        <f t="shared" si="13"/>
        <v>16.319979451501883</v>
      </c>
    </row>
    <row r="59" spans="1:14" x14ac:dyDescent="0.45">
      <c r="A59" s="23">
        <v>42341</v>
      </c>
      <c r="B59">
        <v>164.51</v>
      </c>
      <c r="C59">
        <v>163.66999999999999</v>
      </c>
      <c r="G59">
        <f t="shared" si="6"/>
        <v>136.86006944248339</v>
      </c>
      <c r="H59">
        <f t="shared" si="7"/>
        <v>88.486275462289001</v>
      </c>
      <c r="I59">
        <f t="shared" si="8"/>
        <v>54.499808030904013</v>
      </c>
      <c r="J59">
        <f t="shared" si="9"/>
        <v>30.898589625522014</v>
      </c>
      <c r="K59">
        <f t="shared" si="10"/>
        <v>19.016578692632635</v>
      </c>
      <c r="L59">
        <f t="shared" si="11"/>
        <v>163.47057507944447</v>
      </c>
      <c r="M59">
        <f t="shared" si="12"/>
        <v>0.64942492055553203</v>
      </c>
      <c r="N59">
        <f t="shared" si="13"/>
        <v>0.42175272743855907</v>
      </c>
    </row>
    <row r="60" spans="1:14" x14ac:dyDescent="0.45">
      <c r="A60" s="23">
        <v>42340</v>
      </c>
      <c r="B60">
        <v>161.71</v>
      </c>
      <c r="C60">
        <v>161.09</v>
      </c>
      <c r="G60">
        <f t="shared" si="6"/>
        <v>134.70004862948642</v>
      </c>
      <c r="H60">
        <f t="shared" si="7"/>
        <v>87.099436026729279</v>
      </c>
      <c r="I60">
        <f t="shared" si="8"/>
        <v>53.645844324907728</v>
      </c>
      <c r="J60">
        <f t="shared" si="9"/>
        <v>30.419421545861159</v>
      </c>
      <c r="K60">
        <f t="shared" si="10"/>
        <v>18.728264384816207</v>
      </c>
      <c r="L60">
        <f t="shared" si="11"/>
        <v>161.03327189497662</v>
      </c>
      <c r="M60">
        <f t="shared" si="12"/>
        <v>3.4767281050233692</v>
      </c>
      <c r="N60">
        <f t="shared" si="13"/>
        <v>12.087638316259387</v>
      </c>
    </row>
    <row r="61" spans="1:14" x14ac:dyDescent="0.45">
      <c r="A61" s="23">
        <v>42339</v>
      </c>
      <c r="B61">
        <v>162.02000000000001</v>
      </c>
      <c r="C61">
        <v>161.29</v>
      </c>
      <c r="G61">
        <f t="shared" si="6"/>
        <v>134.99770647645255</v>
      </c>
      <c r="H61">
        <f t="shared" si="7"/>
        <v>87.29443449297321</v>
      </c>
      <c r="I61">
        <f t="shared" si="8"/>
        <v>53.766084881449615</v>
      </c>
      <c r="J61">
        <f t="shared" si="9"/>
        <v>30.488490617522601</v>
      </c>
      <c r="K61">
        <f t="shared" si="10"/>
        <v>18.772430866519429</v>
      </c>
      <c r="L61">
        <f t="shared" si="11"/>
        <v>161.37272773642337</v>
      </c>
      <c r="M61">
        <f t="shared" si="12"/>
        <v>0.33727226357663653</v>
      </c>
      <c r="N61">
        <f t="shared" si="13"/>
        <v>0.11375257977810818</v>
      </c>
    </row>
    <row r="62" spans="1:14" x14ac:dyDescent="0.45">
      <c r="A62" s="23">
        <v>42338</v>
      </c>
      <c r="B62">
        <v>164.17</v>
      </c>
      <c r="C62">
        <v>161.41999999999999</v>
      </c>
      <c r="G62">
        <f t="shared" si="6"/>
        <v>136.66145163176617</v>
      </c>
      <c r="H62">
        <f t="shared" si="7"/>
        <v>88.362535074911264</v>
      </c>
      <c r="I62">
        <f t="shared" si="8"/>
        <v>54.423704081001873</v>
      </c>
      <c r="J62">
        <f t="shared" si="9"/>
        <v>30.857860685460814</v>
      </c>
      <c r="K62">
        <f t="shared" si="10"/>
        <v>18.994813672346925</v>
      </c>
      <c r="L62">
        <f t="shared" si="11"/>
        <v>163.25004957445765</v>
      </c>
      <c r="M62">
        <f t="shared" si="12"/>
        <v>-1.2300495744576381</v>
      </c>
      <c r="N62">
        <f t="shared" si="13"/>
        <v>1.5130219556234166</v>
      </c>
    </row>
    <row r="63" spans="1:14" x14ac:dyDescent="0.45">
      <c r="A63" s="23">
        <v>42335</v>
      </c>
      <c r="B63">
        <v>163.11000000000001</v>
      </c>
      <c r="C63">
        <v>163.58000000000001</v>
      </c>
      <c r="G63">
        <f t="shared" si="6"/>
        <v>135.87281322615914</v>
      </c>
      <c r="H63">
        <f t="shared" si="7"/>
        <v>87.857448043435923</v>
      </c>
      <c r="I63">
        <f t="shared" si="8"/>
        <v>54.112585678656444</v>
      </c>
      <c r="J63">
        <f t="shared" si="9"/>
        <v>30.684618126324253</v>
      </c>
      <c r="K63">
        <f t="shared" si="10"/>
        <v>18.891654057142574</v>
      </c>
      <c r="L63">
        <f t="shared" si="11"/>
        <v>162.3614980056511</v>
      </c>
      <c r="M63">
        <f t="shared" si="12"/>
        <v>1.8085019943488874</v>
      </c>
      <c r="N63">
        <f t="shared" si="13"/>
        <v>3.2706794635639032</v>
      </c>
    </row>
    <row r="64" spans="1:14" x14ac:dyDescent="0.45">
      <c r="A64" s="23">
        <v>42333</v>
      </c>
      <c r="B64">
        <v>162.04</v>
      </c>
      <c r="C64">
        <v>162.38999999999999</v>
      </c>
      <c r="G64">
        <f t="shared" si="6"/>
        <v>134.934722213844</v>
      </c>
      <c r="H64">
        <f t="shared" si="7"/>
        <v>87.249239104990139</v>
      </c>
      <c r="I64">
        <f t="shared" si="8"/>
        <v>53.73812283711203</v>
      </c>
      <c r="J64">
        <f t="shared" si="9"/>
        <v>30.470422695326612</v>
      </c>
      <c r="K64">
        <f t="shared" si="10"/>
        <v>18.758161366792557</v>
      </c>
      <c r="L64">
        <f t="shared" si="11"/>
        <v>161.29716904503817</v>
      </c>
      <c r="M64">
        <f t="shared" si="12"/>
        <v>1.8128309549618393</v>
      </c>
      <c r="N64">
        <f t="shared" si="13"/>
        <v>3.2863560712678543</v>
      </c>
    </row>
    <row r="65" spans="1:14" x14ac:dyDescent="0.45">
      <c r="A65" s="23">
        <v>42332</v>
      </c>
      <c r="B65">
        <v>162.26</v>
      </c>
      <c r="C65">
        <v>162.19</v>
      </c>
      <c r="G65">
        <f t="shared" si="6"/>
        <v>134.97467805094951</v>
      </c>
      <c r="H65">
        <f t="shared" si="7"/>
        <v>87.268184055910879</v>
      </c>
      <c r="I65">
        <f t="shared" si="8"/>
        <v>53.74992925776791</v>
      </c>
      <c r="J65">
        <f t="shared" si="9"/>
        <v>30.472059256867663</v>
      </c>
      <c r="K65">
        <f t="shared" si="10"/>
        <v>18.75394715760342</v>
      </c>
      <c r="L65">
        <f t="shared" si="11"/>
        <v>161.33560422026764</v>
      </c>
      <c r="M65">
        <f t="shared" si="12"/>
        <v>0.70439577973235146</v>
      </c>
      <c r="N65">
        <f t="shared" si="13"/>
        <v>0.49617341450474739</v>
      </c>
    </row>
    <row r="66" spans="1:14" x14ac:dyDescent="0.45">
      <c r="A66" s="23">
        <v>42331</v>
      </c>
      <c r="B66">
        <v>163.53</v>
      </c>
      <c r="C66">
        <v>163.44999999999999</v>
      </c>
      <c r="G66">
        <f t="shared" ref="G66:K66" si="14">SUMPRODUCT($B66:$B70,P$2:P$6)</f>
        <v>135.85993172906333</v>
      </c>
      <c r="H66">
        <f t="shared" si="14"/>
        <v>87.831468987041603</v>
      </c>
      <c r="I66">
        <f t="shared" si="14"/>
        <v>54.096858921353913</v>
      </c>
      <c r="J66">
        <f t="shared" si="14"/>
        <v>30.663124512936072</v>
      </c>
      <c r="K66">
        <f t="shared" si="14"/>
        <v>18.865111317233328</v>
      </c>
      <c r="L66">
        <f t="shared" ref="L66:L129" si="15">(G66+$P$7)*$U$2+(H66+$Q$7)*$U$3+(I66+$R$7)*$U$4+(J66+$S$7)*$U$5+(K66+$T$7)*$U$6+$U$7</f>
        <v>162.32950459470035</v>
      </c>
      <c r="M66">
        <f t="shared" si="12"/>
        <v>-6.9504594700362077E-2</v>
      </c>
      <c r="N66">
        <f t="shared" si="13"/>
        <v>4.8308886844616004E-3</v>
      </c>
    </row>
    <row r="67" spans="1:14" x14ac:dyDescent="0.45">
      <c r="A67" s="23">
        <v>42328</v>
      </c>
      <c r="B67">
        <v>164.16</v>
      </c>
      <c r="C67">
        <v>163.1</v>
      </c>
      <c r="G67">
        <f t="shared" ref="G67:K67" si="16">SUMPRODUCT($B67:$B71,P$2:P$6)</f>
        <v>136.07671962277919</v>
      </c>
      <c r="H67">
        <f t="shared" si="16"/>
        <v>87.955078010398282</v>
      </c>
      <c r="I67">
        <f t="shared" si="16"/>
        <v>54.172835801687057</v>
      </c>
      <c r="J67">
        <f t="shared" si="16"/>
        <v>30.696590107420008</v>
      </c>
      <c r="K67">
        <f t="shared" si="16"/>
        <v>18.873980297791189</v>
      </c>
      <c r="L67">
        <f t="shared" si="15"/>
        <v>162.55918484751859</v>
      </c>
      <c r="M67">
        <f t="shared" ref="M67:M130" si="17">B66-L67</f>
        <v>0.97081515248140704</v>
      </c>
      <c r="N67">
        <f t="shared" ref="N67:N130" si="18">M67^2</f>
        <v>0.94248206028749759</v>
      </c>
    </row>
    <row r="68" spans="1:14" x14ac:dyDescent="0.45">
      <c r="A68" s="23">
        <v>42327</v>
      </c>
      <c r="B68">
        <v>161.69</v>
      </c>
      <c r="C68">
        <v>162.83000000000001</v>
      </c>
      <c r="G68">
        <f t="shared" ref="G68:K68" si="19">SUMPRODUCT($B68:$B72,P$2:P$6)</f>
        <v>134.22000620256924</v>
      </c>
      <c r="H68">
        <f t="shared" si="19"/>
        <v>86.764126084523085</v>
      </c>
      <c r="I68">
        <f t="shared" si="19"/>
        <v>53.439192899769594</v>
      </c>
      <c r="J68">
        <f t="shared" si="19"/>
        <v>30.287384591199718</v>
      </c>
      <c r="K68">
        <f t="shared" si="19"/>
        <v>18.629473509071531</v>
      </c>
      <c r="L68">
        <f t="shared" si="15"/>
        <v>160.46564776405918</v>
      </c>
      <c r="M68">
        <f t="shared" si="17"/>
        <v>3.6943522359408121</v>
      </c>
      <c r="N68">
        <f t="shared" si="18"/>
        <v>13.648238443200878</v>
      </c>
    </row>
    <row r="69" spans="1:14" x14ac:dyDescent="0.45">
      <c r="A69" s="23">
        <v>42326</v>
      </c>
      <c r="B69">
        <v>158.88999999999999</v>
      </c>
      <c r="C69">
        <v>161.25</v>
      </c>
      <c r="G69">
        <f t="shared" ref="G69:K69" si="20">SUMPRODUCT($B69:$B73,P$2:P$6)</f>
        <v>132.13363100695108</v>
      </c>
      <c r="H69">
        <f t="shared" si="20"/>
        <v>85.42802374479642</v>
      </c>
      <c r="I69">
        <f t="shared" si="20"/>
        <v>52.616297676816004</v>
      </c>
      <c r="J69">
        <f t="shared" si="20"/>
        <v>29.828736163993916</v>
      </c>
      <c r="K69">
        <f t="shared" si="20"/>
        <v>18.356353508103592</v>
      </c>
      <c r="L69">
        <f t="shared" si="15"/>
        <v>158.11497472881356</v>
      </c>
      <c r="M69">
        <f t="shared" si="17"/>
        <v>3.5750252711864334</v>
      </c>
      <c r="N69">
        <f t="shared" si="18"/>
        <v>12.780805689621632</v>
      </c>
    </row>
    <row r="70" spans="1:14" x14ac:dyDescent="0.45">
      <c r="A70" s="23">
        <v>42325</v>
      </c>
      <c r="B70">
        <v>157.35</v>
      </c>
      <c r="C70">
        <v>158.88999999999999</v>
      </c>
      <c r="G70">
        <f t="shared" ref="G70:K70" si="21">SUMPRODUCT($B70:$B74,P$2:P$6)</f>
        <v>130.88090527088787</v>
      </c>
      <c r="H70">
        <f t="shared" si="21"/>
        <v>84.618933454022596</v>
      </c>
      <c r="I70">
        <f t="shared" si="21"/>
        <v>52.117792353119256</v>
      </c>
      <c r="J70">
        <f t="shared" si="21"/>
        <v>29.547547753987782</v>
      </c>
      <c r="K70">
        <f t="shared" si="21"/>
        <v>18.184156700316169</v>
      </c>
      <c r="L70">
        <f t="shared" si="15"/>
        <v>156.6971358356657</v>
      </c>
      <c r="M70">
        <f t="shared" si="17"/>
        <v>2.1928641643342814</v>
      </c>
      <c r="N70">
        <f t="shared" si="18"/>
        <v>4.8086532432214861</v>
      </c>
    </row>
    <row r="71" spans="1:14" x14ac:dyDescent="0.45">
      <c r="A71" s="23">
        <v>42324</v>
      </c>
      <c r="B71">
        <v>153.81</v>
      </c>
      <c r="C71">
        <v>156.44999999999999</v>
      </c>
      <c r="G71">
        <f t="shared" ref="G71:K71" si="22">SUMPRODUCT($B71:$B75,P$2:P$6)</f>
        <v>128.19910184958098</v>
      </c>
      <c r="H71">
        <f t="shared" si="22"/>
        <v>82.900179951932785</v>
      </c>
      <c r="I71">
        <f t="shared" si="22"/>
        <v>51.059515876087907</v>
      </c>
      <c r="J71">
        <f t="shared" si="22"/>
        <v>28.955311596228277</v>
      </c>
      <c r="K71">
        <f t="shared" si="22"/>
        <v>17.829905204580939</v>
      </c>
      <c r="L71">
        <f t="shared" si="15"/>
        <v>153.67397428271138</v>
      </c>
      <c r="M71">
        <f t="shared" si="17"/>
        <v>3.6760257172886099</v>
      </c>
      <c r="N71">
        <f t="shared" si="18"/>
        <v>13.513165074167238</v>
      </c>
    </row>
    <row r="72" spans="1:14" x14ac:dyDescent="0.45">
      <c r="A72" s="23">
        <v>42321</v>
      </c>
      <c r="B72">
        <v>155.07</v>
      </c>
      <c r="C72">
        <v>153.66999999999999</v>
      </c>
      <c r="G72">
        <f t="shared" ref="G72:K72" si="23">SUMPRODUCT($B72:$B76,P$2:P$6)</f>
        <v>129.26682204308318</v>
      </c>
      <c r="H72">
        <f t="shared" si="23"/>
        <v>83.591187853064142</v>
      </c>
      <c r="I72">
        <f t="shared" si="23"/>
        <v>51.485080577138753</v>
      </c>
      <c r="J72">
        <f t="shared" si="23"/>
        <v>29.197272541361279</v>
      </c>
      <c r="K72">
        <f t="shared" si="23"/>
        <v>17.979530989429563</v>
      </c>
      <c r="L72">
        <f t="shared" si="15"/>
        <v>154.88401644878954</v>
      </c>
      <c r="M72">
        <f t="shared" si="17"/>
        <v>-1.0740164487895356</v>
      </c>
      <c r="N72">
        <f t="shared" si="18"/>
        <v>1.1535113322704851</v>
      </c>
    </row>
    <row r="73" spans="1:14" x14ac:dyDescent="0.45">
      <c r="A73" s="23">
        <v>42320</v>
      </c>
      <c r="B73">
        <v>156.12</v>
      </c>
      <c r="C73">
        <v>156</v>
      </c>
      <c r="G73">
        <f t="shared" ref="G73:K73" si="24">SUMPRODUCT($B73:$B77,P$2:P$6)</f>
        <v>130.0359742029373</v>
      </c>
      <c r="H73">
        <f t="shared" si="24"/>
        <v>84.082943648343033</v>
      </c>
      <c r="I73">
        <f t="shared" si="24"/>
        <v>51.787902712562413</v>
      </c>
      <c r="J73">
        <f t="shared" si="24"/>
        <v>29.365727426385181</v>
      </c>
      <c r="K73">
        <f t="shared" si="24"/>
        <v>18.079211303187002</v>
      </c>
      <c r="L73">
        <f t="shared" si="15"/>
        <v>155.74984604606857</v>
      </c>
      <c r="M73">
        <f t="shared" si="17"/>
        <v>-0.67984604606857602</v>
      </c>
      <c r="N73">
        <f t="shared" si="18"/>
        <v>0.4621906463550764</v>
      </c>
    </row>
    <row r="74" spans="1:14" x14ac:dyDescent="0.45">
      <c r="A74" s="23">
        <v>42319</v>
      </c>
      <c r="B74">
        <v>155.97999999999999</v>
      </c>
      <c r="C74">
        <v>156.38999999999999</v>
      </c>
      <c r="G74">
        <f t="shared" ref="G74:K74" si="25">SUMPRODUCT($B74:$B78,P$2:P$6)</f>
        <v>129.77933666090848</v>
      </c>
      <c r="H74">
        <f t="shared" si="25"/>
        <v>83.909819695317424</v>
      </c>
      <c r="I74">
        <f t="shared" si="25"/>
        <v>51.681268104876942</v>
      </c>
      <c r="J74">
        <f t="shared" si="25"/>
        <v>29.300733359851776</v>
      </c>
      <c r="K74">
        <f t="shared" si="25"/>
        <v>18.033925340917623</v>
      </c>
      <c r="L74">
        <f t="shared" si="15"/>
        <v>155.45219670039577</v>
      </c>
      <c r="M74">
        <f t="shared" si="17"/>
        <v>0.66780329960423046</v>
      </c>
      <c r="N74">
        <f t="shared" si="18"/>
        <v>0.44596124696229761</v>
      </c>
    </row>
    <row r="75" spans="1:14" x14ac:dyDescent="0.45">
      <c r="A75" s="23">
        <v>42318</v>
      </c>
      <c r="B75">
        <v>155.13</v>
      </c>
      <c r="C75">
        <v>156.41</v>
      </c>
      <c r="G75">
        <f t="shared" ref="G75:K75" si="26">SUMPRODUCT($B75:$B79,P$2:P$6)</f>
        <v>129.45098982958689</v>
      </c>
      <c r="H75">
        <f t="shared" si="26"/>
        <v>83.717013889254105</v>
      </c>
      <c r="I75">
        <f t="shared" si="26"/>
        <v>51.56257270081317</v>
      </c>
      <c r="J75">
        <f t="shared" si="26"/>
        <v>29.245561627103992</v>
      </c>
      <c r="K75">
        <f t="shared" si="26"/>
        <v>18.014307895198048</v>
      </c>
      <c r="L75">
        <f t="shared" si="15"/>
        <v>155.09918843606329</v>
      </c>
      <c r="M75">
        <f t="shared" si="17"/>
        <v>0.88081156393670312</v>
      </c>
      <c r="N75">
        <f t="shared" si="18"/>
        <v>0.77582901116462089</v>
      </c>
    </row>
    <row r="76" spans="1:14" x14ac:dyDescent="0.45">
      <c r="A76" s="23">
        <v>42317</v>
      </c>
      <c r="B76">
        <v>156.81</v>
      </c>
      <c r="C76">
        <v>155.16</v>
      </c>
      <c r="G76">
        <f t="shared" ref="G76:K76" si="27">SUMPRODUCT($B76:$B80,P$2:P$6)</f>
        <v>130.67439618846049</v>
      </c>
      <c r="H76">
        <f t="shared" si="27"/>
        <v>84.498962190868895</v>
      </c>
      <c r="I76">
        <f t="shared" si="27"/>
        <v>52.044100093034658</v>
      </c>
      <c r="J76">
        <f t="shared" si="27"/>
        <v>29.513183106655013</v>
      </c>
      <c r="K76">
        <f t="shared" si="27"/>
        <v>18.17234293152535</v>
      </c>
      <c r="L76">
        <f t="shared" si="15"/>
        <v>156.47610199076576</v>
      </c>
      <c r="M76">
        <f t="shared" si="17"/>
        <v>-1.3461019907657601</v>
      </c>
      <c r="N76">
        <f t="shared" si="18"/>
        <v>1.8119905695435425</v>
      </c>
    </row>
    <row r="77" spans="1:14" x14ac:dyDescent="0.45">
      <c r="A77" s="23">
        <v>42314</v>
      </c>
      <c r="B77">
        <v>156.49</v>
      </c>
      <c r="C77">
        <v>157.55000000000001</v>
      </c>
      <c r="G77">
        <f t="shared" ref="G77:K77" si="28">SUMPRODUCT($B77:$B81,P$2:P$6)</f>
        <v>130.40985193185685</v>
      </c>
      <c r="H77">
        <f t="shared" si="28"/>
        <v>84.327178049690531</v>
      </c>
      <c r="I77">
        <f t="shared" si="28"/>
        <v>51.938115763521949</v>
      </c>
      <c r="J77">
        <f t="shared" si="28"/>
        <v>29.453625438084856</v>
      </c>
      <c r="K77">
        <f t="shared" si="28"/>
        <v>18.135554587116999</v>
      </c>
      <c r="L77">
        <f t="shared" si="15"/>
        <v>156.17598116029433</v>
      </c>
      <c r="M77">
        <f t="shared" si="17"/>
        <v>0.63401883970567496</v>
      </c>
      <c r="N77">
        <f t="shared" si="18"/>
        <v>0.40197988910173038</v>
      </c>
    </row>
    <row r="78" spans="1:14" x14ac:dyDescent="0.45">
      <c r="A78" s="23">
        <v>42313</v>
      </c>
      <c r="B78">
        <v>154.15</v>
      </c>
      <c r="C78">
        <v>156.27000000000001</v>
      </c>
      <c r="G78">
        <f t="shared" ref="G78:K78" si="29">SUMPRODUCT($B78:$B82,P$2:P$6)</f>
        <v>128.71040360250558</v>
      </c>
      <c r="H78">
        <f t="shared" si="29"/>
        <v>83.243681701650758</v>
      </c>
      <c r="I78">
        <f t="shared" si="29"/>
        <v>51.271318330877548</v>
      </c>
      <c r="J78">
        <f t="shared" si="29"/>
        <v>29.082238099232466</v>
      </c>
      <c r="K78">
        <f t="shared" si="29"/>
        <v>17.916862802215839</v>
      </c>
      <c r="L78">
        <f t="shared" si="15"/>
        <v>154.26529943177641</v>
      </c>
      <c r="M78">
        <f t="shared" si="17"/>
        <v>2.2247005682235965</v>
      </c>
      <c r="N78">
        <f t="shared" si="18"/>
        <v>4.9492926182543933</v>
      </c>
    </row>
    <row r="79" spans="1:14" x14ac:dyDescent="0.45">
      <c r="A79" s="23">
        <v>42312</v>
      </c>
      <c r="B79">
        <v>159</v>
      </c>
      <c r="C79">
        <v>157.15</v>
      </c>
      <c r="G79">
        <f t="shared" ref="G79:K79" si="30">SUMPRODUCT($B79:$B83,P$2:P$6)</f>
        <v>132.29433507705903</v>
      </c>
      <c r="H79">
        <f t="shared" si="30"/>
        <v>85.535979312333154</v>
      </c>
      <c r="I79">
        <f t="shared" si="30"/>
        <v>52.682857775388342</v>
      </c>
      <c r="J79">
        <f t="shared" si="30"/>
        <v>29.868592752618706</v>
      </c>
      <c r="K79">
        <f t="shared" si="30"/>
        <v>18.383542098923847</v>
      </c>
      <c r="L79">
        <f t="shared" si="15"/>
        <v>158.30079914154865</v>
      </c>
      <c r="M79">
        <f t="shared" si="17"/>
        <v>-4.1507991415486458</v>
      </c>
      <c r="N79">
        <f t="shared" si="18"/>
        <v>17.229133513480974</v>
      </c>
    </row>
    <row r="80" spans="1:14" x14ac:dyDescent="0.45">
      <c r="A80" s="23">
        <v>42311</v>
      </c>
      <c r="B80">
        <v>158.4</v>
      </c>
      <c r="C80">
        <v>158.80000000000001</v>
      </c>
      <c r="G80">
        <f t="shared" ref="G80:K80" si="31">SUMPRODUCT($B80:$B84,P$2:P$6)</f>
        <v>131.88151839668404</v>
      </c>
      <c r="H80">
        <f t="shared" si="31"/>
        <v>85.273754949638857</v>
      </c>
      <c r="I80">
        <f t="shared" si="31"/>
        <v>52.52141662026159</v>
      </c>
      <c r="J80">
        <f t="shared" si="31"/>
        <v>29.779685766052278</v>
      </c>
      <c r="K80">
        <f t="shared" si="31"/>
        <v>18.332150370732222</v>
      </c>
      <c r="L80">
        <f t="shared" si="15"/>
        <v>157.83770986402357</v>
      </c>
      <c r="M80">
        <f t="shared" si="17"/>
        <v>1.1622901359764342</v>
      </c>
      <c r="N80">
        <f t="shared" si="18"/>
        <v>1.3509183601881178</v>
      </c>
    </row>
    <row r="81" spans="1:14" x14ac:dyDescent="0.45">
      <c r="A81" s="23">
        <v>42310</v>
      </c>
      <c r="B81">
        <v>158.99</v>
      </c>
      <c r="C81">
        <v>159.15</v>
      </c>
      <c r="G81">
        <f t="shared" ref="G81:K81" si="32">SUMPRODUCT($B81:$B85,P$2:P$6)</f>
        <v>132.28885904730825</v>
      </c>
      <c r="H81">
        <f t="shared" si="32"/>
        <v>85.532376733490324</v>
      </c>
      <c r="I81">
        <f t="shared" si="32"/>
        <v>52.680600830939134</v>
      </c>
      <c r="J81">
        <f t="shared" si="32"/>
        <v>29.867495217853733</v>
      </c>
      <c r="K81">
        <f t="shared" si="32"/>
        <v>18.382936921302779</v>
      </c>
      <c r="L81">
        <f t="shared" si="15"/>
        <v>158.294590614632</v>
      </c>
      <c r="M81">
        <f t="shared" si="17"/>
        <v>0.10540938536800581</v>
      </c>
      <c r="N81">
        <f t="shared" si="18"/>
        <v>1.1111138523660758E-2</v>
      </c>
    </row>
    <row r="82" spans="1:14" x14ac:dyDescent="0.45">
      <c r="A82" s="23">
        <v>42307</v>
      </c>
      <c r="B82">
        <v>158</v>
      </c>
      <c r="C82">
        <v>158.12</v>
      </c>
      <c r="G82">
        <f t="shared" ref="G82:K82" si="33">SUMPRODUCT($B82:$B86,P$2:P$6)</f>
        <v>131.22990137521228</v>
      </c>
      <c r="H82">
        <f t="shared" si="33"/>
        <v>84.836218584830064</v>
      </c>
      <c r="I82">
        <f t="shared" si="33"/>
        <v>52.251932925745706</v>
      </c>
      <c r="J82">
        <f t="shared" si="33"/>
        <v>29.616561044870366</v>
      </c>
      <c r="K82">
        <f t="shared" si="33"/>
        <v>18.219741764451179</v>
      </c>
      <c r="L82">
        <f t="shared" si="15"/>
        <v>157.08390375452365</v>
      </c>
      <c r="M82">
        <f t="shared" si="17"/>
        <v>1.9060962454763626</v>
      </c>
      <c r="N82">
        <f t="shared" si="18"/>
        <v>3.6332028970190859</v>
      </c>
    </row>
    <row r="83" spans="1:14" x14ac:dyDescent="0.45">
      <c r="A83" s="23">
        <v>42306</v>
      </c>
      <c r="B83">
        <v>157.06</v>
      </c>
      <c r="C83">
        <v>158.28</v>
      </c>
      <c r="G83">
        <f t="shared" ref="G83:K83" si="34">SUMPRODUCT($B83:$B87,P$2:P$6)</f>
        <v>130.90377732053707</v>
      </c>
      <c r="H83">
        <f t="shared" si="34"/>
        <v>84.647916631533946</v>
      </c>
      <c r="I83">
        <f t="shared" si="34"/>
        <v>52.135863605120193</v>
      </c>
      <c r="J83">
        <f t="shared" si="34"/>
        <v>29.565721067304317</v>
      </c>
      <c r="K83">
        <f t="shared" si="34"/>
        <v>18.205552682330151</v>
      </c>
      <c r="L83">
        <f t="shared" si="15"/>
        <v>156.73661590514891</v>
      </c>
      <c r="M83">
        <f t="shared" si="17"/>
        <v>1.2633840948510908</v>
      </c>
      <c r="N83">
        <f t="shared" si="18"/>
        <v>1.5961393711227101</v>
      </c>
    </row>
    <row r="84" spans="1:14" x14ac:dyDescent="0.45">
      <c r="A84" s="23">
        <v>42305</v>
      </c>
      <c r="B84">
        <v>157.5</v>
      </c>
      <c r="C84">
        <v>157.76</v>
      </c>
      <c r="G84">
        <f t="shared" ref="G84:K84" si="35">SUMPRODUCT($B84:$B88,P$2:P$6)</f>
        <v>131.04680672173637</v>
      </c>
      <c r="H84">
        <f t="shared" si="35"/>
        <v>84.729764493492127</v>
      </c>
      <c r="I84">
        <f t="shared" si="35"/>
        <v>52.186341625192703</v>
      </c>
      <c r="J84">
        <f t="shared" si="35"/>
        <v>29.587029908114751</v>
      </c>
      <c r="K84">
        <f t="shared" si="35"/>
        <v>18.210300963635348</v>
      </c>
      <c r="L84">
        <f t="shared" si="15"/>
        <v>156.88811235668359</v>
      </c>
      <c r="M84">
        <f t="shared" si="17"/>
        <v>0.17188764331640982</v>
      </c>
      <c r="N84">
        <f t="shared" si="18"/>
        <v>2.9545361924869326E-2</v>
      </c>
    </row>
    <row r="85" spans="1:14" x14ac:dyDescent="0.45">
      <c r="A85" s="23">
        <v>42304</v>
      </c>
      <c r="B85">
        <v>157.27000000000001</v>
      </c>
      <c r="C85">
        <v>157.76</v>
      </c>
      <c r="G85">
        <f t="shared" ref="G85:K85" si="36">SUMPRODUCT($B85:$B89,P$2:P$6)</f>
        <v>130.71244654888687</v>
      </c>
      <c r="H85">
        <f t="shared" si="36"/>
        <v>84.504283534962639</v>
      </c>
      <c r="I85">
        <f t="shared" si="36"/>
        <v>52.047070140453499</v>
      </c>
      <c r="J85">
        <f t="shared" si="36"/>
        <v>29.504420854313164</v>
      </c>
      <c r="K85">
        <f t="shared" si="36"/>
        <v>18.153660909655635</v>
      </c>
      <c r="L85">
        <f t="shared" si="15"/>
        <v>156.50091173625563</v>
      </c>
      <c r="M85">
        <f t="shared" si="17"/>
        <v>0.99908826374436899</v>
      </c>
      <c r="N85">
        <f t="shared" si="18"/>
        <v>0.99817735875173785</v>
      </c>
    </row>
    <row r="86" spans="1:14" x14ac:dyDescent="0.45">
      <c r="A86" s="23">
        <v>42303</v>
      </c>
      <c r="B86">
        <v>152.06</v>
      </c>
      <c r="C86">
        <v>156.72999999999999</v>
      </c>
      <c r="G86">
        <f t="shared" ref="G86:K86" si="37">SUMPRODUCT($B86:$B90,P$2:P$6)</f>
        <v>126.89081881387591</v>
      </c>
      <c r="H86">
        <f t="shared" si="37"/>
        <v>82.063743756967483</v>
      </c>
      <c r="I86">
        <f t="shared" si="37"/>
        <v>50.544756589641075</v>
      </c>
      <c r="J86">
        <f t="shared" si="37"/>
        <v>28.667184150788152</v>
      </c>
      <c r="K86">
        <f t="shared" si="37"/>
        <v>17.658577893606562</v>
      </c>
      <c r="L86">
        <f t="shared" si="15"/>
        <v>152.20084582932927</v>
      </c>
      <c r="M86">
        <f t="shared" si="17"/>
        <v>5.0691541706707426</v>
      </c>
      <c r="N86">
        <f t="shared" si="18"/>
        <v>25.696324006028583</v>
      </c>
    </row>
    <row r="87" spans="1:14" x14ac:dyDescent="0.45">
      <c r="A87" s="23">
        <v>42300</v>
      </c>
      <c r="B87">
        <v>158.69999999999999</v>
      </c>
      <c r="C87">
        <v>155.74</v>
      </c>
      <c r="G87">
        <f t="shared" ref="G87:K87" si="38">SUMPRODUCT($B87:$B91,P$2:P$6)</f>
        <v>131.71685117165285</v>
      </c>
      <c r="H87">
        <f t="shared" si="38"/>
        <v>85.145028236064945</v>
      </c>
      <c r="I87">
        <f t="shared" si="38"/>
        <v>52.441946097499283</v>
      </c>
      <c r="J87">
        <f t="shared" si="38"/>
        <v>29.721603774784207</v>
      </c>
      <c r="K87">
        <f t="shared" si="38"/>
        <v>18.280625789723558</v>
      </c>
      <c r="L87">
        <f t="shared" si="15"/>
        <v>157.62986762238117</v>
      </c>
      <c r="M87">
        <f t="shared" si="17"/>
        <v>-5.5698676223811674</v>
      </c>
      <c r="N87">
        <f t="shared" si="18"/>
        <v>31.023425330850039</v>
      </c>
    </row>
    <row r="88" spans="1:14" x14ac:dyDescent="0.45">
      <c r="A88" s="23">
        <v>42299</v>
      </c>
      <c r="B88">
        <v>155.43</v>
      </c>
      <c r="C88">
        <v>158.15</v>
      </c>
      <c r="G88">
        <f t="shared" ref="G88:K88" si="39">SUMPRODUCT($B88:$B92,P$2:P$6)</f>
        <v>129.25512515341967</v>
      </c>
      <c r="H88">
        <f t="shared" si="39"/>
        <v>83.56731451120946</v>
      </c>
      <c r="I88">
        <f t="shared" si="39"/>
        <v>51.470340649150884</v>
      </c>
      <c r="J88">
        <f t="shared" si="39"/>
        <v>29.1788434690542</v>
      </c>
      <c r="K88">
        <f t="shared" si="39"/>
        <v>17.95645321234624</v>
      </c>
      <c r="L88">
        <f t="shared" si="15"/>
        <v>154.85502232445387</v>
      </c>
      <c r="M88">
        <f t="shared" si="17"/>
        <v>3.8449776755461187</v>
      </c>
      <c r="N88">
        <f t="shared" si="18"/>
        <v>14.783853325448034</v>
      </c>
    </row>
    <row r="89" spans="1:14" x14ac:dyDescent="0.45">
      <c r="A89" s="23">
        <v>42298</v>
      </c>
      <c r="B89">
        <v>154.80000000000001</v>
      </c>
      <c r="C89">
        <v>155.21</v>
      </c>
      <c r="G89">
        <f t="shared" ref="G89:K89" si="40">SUMPRODUCT($B89:$B93,P$2:P$6)</f>
        <v>128.67153691791049</v>
      </c>
      <c r="H89">
        <f t="shared" si="40"/>
        <v>83.186977897213097</v>
      </c>
      <c r="I89">
        <f t="shared" si="40"/>
        <v>51.236075447024824</v>
      </c>
      <c r="J89">
        <f t="shared" si="40"/>
        <v>29.044140926318363</v>
      </c>
      <c r="K89">
        <f t="shared" si="40"/>
        <v>17.871292679463437</v>
      </c>
      <c r="L89">
        <f t="shared" si="15"/>
        <v>154.19111231891097</v>
      </c>
      <c r="M89">
        <f t="shared" si="17"/>
        <v>1.2388876810890395</v>
      </c>
      <c r="N89">
        <f t="shared" si="18"/>
        <v>1.5348426863541775</v>
      </c>
    </row>
    <row r="90" spans="1:14" x14ac:dyDescent="0.45">
      <c r="A90" s="23">
        <v>42297</v>
      </c>
      <c r="B90">
        <v>153.72</v>
      </c>
      <c r="C90">
        <v>154.56</v>
      </c>
      <c r="G90">
        <f t="shared" ref="G90:K90" si="41">SUMPRODUCT($B90:$B94,P$2:P$6)</f>
        <v>127.90079982657501</v>
      </c>
      <c r="H90">
        <f t="shared" si="41"/>
        <v>82.694666748716713</v>
      </c>
      <c r="I90">
        <f t="shared" si="41"/>
        <v>50.932746100843303</v>
      </c>
      <c r="J90">
        <f t="shared" si="41"/>
        <v>28.876596558748343</v>
      </c>
      <c r="K90">
        <f t="shared" si="41"/>
        <v>17.772873057802265</v>
      </c>
      <c r="L90">
        <f t="shared" si="15"/>
        <v>153.32414310343444</v>
      </c>
      <c r="M90">
        <f t="shared" si="17"/>
        <v>1.4758568965655741</v>
      </c>
      <c r="N90">
        <f t="shared" si="18"/>
        <v>2.1781535791401674</v>
      </c>
    </row>
    <row r="91" spans="1:14" x14ac:dyDescent="0.45">
      <c r="A91" s="23">
        <v>42296</v>
      </c>
      <c r="B91">
        <v>152.05000000000001</v>
      </c>
      <c r="C91">
        <v>153.22</v>
      </c>
      <c r="G91">
        <f t="shared" ref="G91:K91" si="42">SUMPRODUCT($B91:$B95,P$2:P$6)</f>
        <v>126.64852673820801</v>
      </c>
      <c r="H91">
        <f t="shared" si="42"/>
        <v>81.892821455713786</v>
      </c>
      <c r="I91">
        <f t="shared" si="42"/>
        <v>50.439007252372321</v>
      </c>
      <c r="J91">
        <f t="shared" si="42"/>
        <v>28.600841102014776</v>
      </c>
      <c r="K91">
        <f t="shared" si="42"/>
        <v>17.608437866262662</v>
      </c>
      <c r="L91">
        <f t="shared" si="15"/>
        <v>151.91318671411278</v>
      </c>
      <c r="M91">
        <f t="shared" si="17"/>
        <v>1.8068132858872161</v>
      </c>
      <c r="N91">
        <f t="shared" si="18"/>
        <v>3.2645742500585588</v>
      </c>
    </row>
    <row r="92" spans="1:14" x14ac:dyDescent="0.45">
      <c r="A92" s="23">
        <v>42293</v>
      </c>
      <c r="B92">
        <v>152.32</v>
      </c>
      <c r="C92">
        <v>152.06</v>
      </c>
      <c r="G92">
        <f t="shared" ref="G92:K92" si="43">SUMPRODUCT($B92:$B96,P$2:P$6)</f>
        <v>126.91011467657927</v>
      </c>
      <c r="H92">
        <f t="shared" si="43"/>
        <v>82.063047298454009</v>
      </c>
      <c r="I92">
        <f t="shared" si="43"/>
        <v>50.543680160525938</v>
      </c>
      <c r="J92">
        <f t="shared" si="43"/>
        <v>28.66183324210207</v>
      </c>
      <c r="K92">
        <f t="shared" si="43"/>
        <v>17.647183738141937</v>
      </c>
      <c r="L92">
        <f t="shared" si="15"/>
        <v>152.21074429597934</v>
      </c>
      <c r="M92">
        <f t="shared" si="17"/>
        <v>-0.16074429597932749</v>
      </c>
      <c r="N92">
        <f t="shared" si="18"/>
        <v>2.583872868988964E-2</v>
      </c>
    </row>
    <row r="93" spans="1:14" x14ac:dyDescent="0.45">
      <c r="A93" s="23">
        <v>42292</v>
      </c>
      <c r="B93">
        <v>150.83000000000001</v>
      </c>
      <c r="C93">
        <v>151.77000000000001</v>
      </c>
      <c r="G93">
        <f t="shared" ref="G93:K93" si="44">SUMPRODUCT($B93:$B97,P$2:P$6)</f>
        <v>125.64501243023413</v>
      </c>
      <c r="H93">
        <f t="shared" si="44"/>
        <v>81.245317819463665</v>
      </c>
      <c r="I93">
        <f t="shared" si="44"/>
        <v>50.040316587770754</v>
      </c>
      <c r="J93">
        <f t="shared" si="44"/>
        <v>28.374926581928598</v>
      </c>
      <c r="K93">
        <f t="shared" si="44"/>
        <v>17.469932692458194</v>
      </c>
      <c r="L93">
        <f t="shared" si="15"/>
        <v>150.77769072553261</v>
      </c>
      <c r="M93">
        <f t="shared" si="17"/>
        <v>1.5423092744673852</v>
      </c>
      <c r="N93">
        <f t="shared" si="18"/>
        <v>2.3787178981081123</v>
      </c>
    </row>
    <row r="94" spans="1:14" x14ac:dyDescent="0.45">
      <c r="A94" s="23">
        <v>42291</v>
      </c>
      <c r="B94">
        <v>152.31</v>
      </c>
      <c r="C94">
        <v>149.84</v>
      </c>
      <c r="G94">
        <f t="shared" ref="G94:K94" si="45">SUMPRODUCT($B94:$B98,P$2:P$6)</f>
        <v>126.58246494494409</v>
      </c>
      <c r="H94">
        <f t="shared" si="45"/>
        <v>81.83592086773497</v>
      </c>
      <c r="I94">
        <f t="shared" si="45"/>
        <v>50.404043241162192</v>
      </c>
      <c r="J94">
        <f t="shared" si="45"/>
        <v>28.571605822523289</v>
      </c>
      <c r="K94">
        <f t="shared" si="45"/>
        <v>17.579908569163091</v>
      </c>
      <c r="L94">
        <f t="shared" si="15"/>
        <v>151.82451093723776</v>
      </c>
      <c r="M94">
        <f t="shared" si="17"/>
        <v>-0.99451093723774875</v>
      </c>
      <c r="N94">
        <f t="shared" si="18"/>
        <v>0.98905200428550544</v>
      </c>
    </row>
    <row r="95" spans="1:14" x14ac:dyDescent="0.45">
      <c r="A95" s="23">
        <v>42290</v>
      </c>
      <c r="B95">
        <v>152.28</v>
      </c>
      <c r="C95">
        <v>152.28</v>
      </c>
      <c r="G95">
        <f t="shared" ref="G95:K95" si="46">SUMPRODUCT($B95:$B99,P$2:P$6)</f>
        <v>126.66275782075567</v>
      </c>
      <c r="H95">
        <f t="shared" si="46"/>
        <v>81.893385173405704</v>
      </c>
      <c r="I95">
        <f t="shared" si="46"/>
        <v>50.439527382934429</v>
      </c>
      <c r="J95">
        <f t="shared" si="46"/>
        <v>28.594840203228298</v>
      </c>
      <c r="K95">
        <f t="shared" si="46"/>
        <v>17.598294255448039</v>
      </c>
      <c r="L95">
        <f t="shared" si="15"/>
        <v>151.92077813169101</v>
      </c>
      <c r="M95">
        <f t="shared" si="17"/>
        <v>0.38922186830899363</v>
      </c>
      <c r="N95">
        <f t="shared" si="18"/>
        <v>0.15149366276994358</v>
      </c>
    </row>
    <row r="96" spans="1:14" x14ac:dyDescent="0.45">
      <c r="A96" s="23">
        <v>42289</v>
      </c>
      <c r="B96">
        <v>153.97</v>
      </c>
      <c r="C96">
        <v>153.63</v>
      </c>
      <c r="G96">
        <f t="shared" ref="G96:K96" si="47">SUMPRODUCT($B96:$B100,P$2:P$6)</f>
        <v>127.82545392902122</v>
      </c>
      <c r="H96">
        <f t="shared" si="47"/>
        <v>82.631172925406361</v>
      </c>
      <c r="I96">
        <f t="shared" si="47"/>
        <v>50.89360966526165</v>
      </c>
      <c r="J96">
        <f t="shared" si="47"/>
        <v>28.845241310574664</v>
      </c>
      <c r="K96">
        <f t="shared" si="47"/>
        <v>17.74289019081214</v>
      </c>
      <c r="L96">
        <f t="shared" si="15"/>
        <v>153.2245226649805</v>
      </c>
      <c r="M96">
        <f t="shared" si="17"/>
        <v>-0.94452266498049653</v>
      </c>
      <c r="N96">
        <f t="shared" si="18"/>
        <v>0.89212306466185931</v>
      </c>
    </row>
    <row r="97" spans="1:14" x14ac:dyDescent="0.45">
      <c r="A97" s="23">
        <v>42286</v>
      </c>
      <c r="B97">
        <v>150.76</v>
      </c>
      <c r="C97">
        <v>153.97</v>
      </c>
      <c r="G97">
        <f t="shared" ref="G97:K97" si="48">SUMPRODUCT($B97:$B101,P$2:P$6)</f>
        <v>125.22618081136224</v>
      </c>
      <c r="H97">
        <f t="shared" si="48"/>
        <v>80.954388828202724</v>
      </c>
      <c r="I97">
        <f t="shared" si="48"/>
        <v>49.860842005894092</v>
      </c>
      <c r="J97">
        <f t="shared" si="48"/>
        <v>28.262119016124768</v>
      </c>
      <c r="K97">
        <f t="shared" si="48"/>
        <v>17.386652052179969</v>
      </c>
      <c r="L97">
        <f t="shared" si="15"/>
        <v>150.28420268299229</v>
      </c>
      <c r="M97">
        <f t="shared" si="17"/>
        <v>3.6857973170077116</v>
      </c>
      <c r="N97">
        <f t="shared" si="18"/>
        <v>13.585101862061245</v>
      </c>
    </row>
    <row r="98" spans="1:14" x14ac:dyDescent="0.45">
      <c r="A98" s="23">
        <v>42285</v>
      </c>
      <c r="B98">
        <v>147.61000000000001</v>
      </c>
      <c r="C98">
        <v>151.66</v>
      </c>
      <c r="G98">
        <f t="shared" ref="G98:K98" si="49">SUMPRODUCT($B98:$B102,P$2:P$6)</f>
        <v>122.71481288768551</v>
      </c>
      <c r="H98">
        <f t="shared" si="49"/>
        <v>79.337828607200592</v>
      </c>
      <c r="I98">
        <f t="shared" si="49"/>
        <v>48.865513373844436</v>
      </c>
      <c r="J98">
        <f t="shared" si="49"/>
        <v>27.700514901747333</v>
      </c>
      <c r="K98">
        <f t="shared" si="49"/>
        <v>17.045473887238902</v>
      </c>
      <c r="L98">
        <f t="shared" si="15"/>
        <v>147.44633186871545</v>
      </c>
      <c r="M98">
        <f t="shared" si="17"/>
        <v>3.313668131284544</v>
      </c>
      <c r="N98">
        <f t="shared" si="18"/>
        <v>10.980396484290802</v>
      </c>
    </row>
    <row r="99" spans="1:14" x14ac:dyDescent="0.45">
      <c r="A99" s="23">
        <v>42284</v>
      </c>
      <c r="B99">
        <v>148.72</v>
      </c>
      <c r="C99">
        <v>147.96</v>
      </c>
      <c r="G99">
        <f t="shared" ref="G99:K99" si="50">SUMPRODUCT($B99:$B103,P$2:P$6)</f>
        <v>123.62595911949197</v>
      </c>
      <c r="H99">
        <f t="shared" si="50"/>
        <v>79.925264074803366</v>
      </c>
      <c r="I99">
        <f t="shared" si="50"/>
        <v>49.227159746154442</v>
      </c>
      <c r="J99">
        <f t="shared" si="50"/>
        <v>27.905502438850107</v>
      </c>
      <c r="K99">
        <f t="shared" si="50"/>
        <v>17.171024208213439</v>
      </c>
      <c r="L99">
        <f t="shared" si="15"/>
        <v>148.4769500936525</v>
      </c>
      <c r="M99">
        <f t="shared" si="17"/>
        <v>-0.8669500936524912</v>
      </c>
      <c r="N99">
        <f t="shared" si="18"/>
        <v>0.75160246488406324</v>
      </c>
    </row>
    <row r="100" spans="1:14" x14ac:dyDescent="0.45">
      <c r="A100" s="23">
        <v>42283</v>
      </c>
      <c r="B100">
        <v>148.15</v>
      </c>
      <c r="C100">
        <v>148.41</v>
      </c>
      <c r="G100">
        <f t="shared" ref="G100:K100" si="51">SUMPRODUCT($B100:$B104,P$2:P$6)</f>
        <v>123.07751108156528</v>
      </c>
      <c r="H100">
        <f t="shared" si="51"/>
        <v>79.566694096192933</v>
      </c>
      <c r="I100">
        <f t="shared" si="51"/>
        <v>49.006235498251712</v>
      </c>
      <c r="J100">
        <f t="shared" si="51"/>
        <v>27.778078122117037</v>
      </c>
      <c r="K100">
        <f t="shared" si="51"/>
        <v>17.089707956850141</v>
      </c>
      <c r="L100">
        <f t="shared" si="15"/>
        <v>147.85197519289986</v>
      </c>
      <c r="M100">
        <f t="shared" si="17"/>
        <v>0.86802480710014152</v>
      </c>
      <c r="N100">
        <f t="shared" si="18"/>
        <v>0.7534670657412379</v>
      </c>
    </row>
    <row r="101" spans="1:14" x14ac:dyDescent="0.45">
      <c r="A101" s="23">
        <v>42282</v>
      </c>
      <c r="B101">
        <v>146.24</v>
      </c>
      <c r="C101">
        <v>148.07</v>
      </c>
      <c r="G101">
        <f t="shared" ref="G101:K101" si="52">SUMPRODUCT($B101:$B105,P$2:P$6)</f>
        <v>121.53945937036728</v>
      </c>
      <c r="H101">
        <f t="shared" si="52"/>
        <v>78.574399150452635</v>
      </c>
      <c r="I101">
        <f t="shared" si="52"/>
        <v>48.394952707129242</v>
      </c>
      <c r="J101">
        <f t="shared" si="52"/>
        <v>27.433485408281054</v>
      </c>
      <c r="K101">
        <f t="shared" si="52"/>
        <v>16.879414499620882</v>
      </c>
      <c r="L101">
        <f t="shared" si="15"/>
        <v>146.11216509217499</v>
      </c>
      <c r="M101">
        <f t="shared" si="17"/>
        <v>2.0378349078250153</v>
      </c>
      <c r="N101">
        <f t="shared" si="18"/>
        <v>4.1527711115501891</v>
      </c>
    </row>
    <row r="102" spans="1:14" x14ac:dyDescent="0.45">
      <c r="A102" s="23">
        <v>42279</v>
      </c>
      <c r="B102">
        <v>143.25</v>
      </c>
      <c r="C102">
        <v>145.86000000000001</v>
      </c>
      <c r="G102">
        <f t="shared" ref="G102:K102" si="53">SUMPRODUCT($B102:$B106,P$2:P$6)</f>
        <v>119.45862251219422</v>
      </c>
      <c r="H102">
        <f t="shared" si="53"/>
        <v>77.251086412629277</v>
      </c>
      <c r="I102">
        <f t="shared" si="53"/>
        <v>47.580151184574575</v>
      </c>
      <c r="J102">
        <f t="shared" si="53"/>
        <v>26.984139694277204</v>
      </c>
      <c r="K102">
        <f t="shared" si="53"/>
        <v>16.618425780411012</v>
      </c>
      <c r="L102">
        <f t="shared" si="15"/>
        <v>143.77646750600238</v>
      </c>
      <c r="M102">
        <f t="shared" si="17"/>
        <v>2.4635324939976329</v>
      </c>
      <c r="N102">
        <f t="shared" si="18"/>
        <v>6.0689923489821966</v>
      </c>
    </row>
    <row r="103" spans="1:14" x14ac:dyDescent="0.45">
      <c r="A103" s="23">
        <v>42278</v>
      </c>
      <c r="B103">
        <v>144.85</v>
      </c>
      <c r="C103">
        <v>144.56</v>
      </c>
      <c r="G103">
        <f t="shared" ref="G103:K103" si="54">SUMPRODUCT($B103:$B107,P$2:P$6)</f>
        <v>120.66264236887912</v>
      </c>
      <c r="H103">
        <f t="shared" si="54"/>
        <v>78.022224520871731</v>
      </c>
      <c r="I103">
        <f t="shared" si="54"/>
        <v>48.054907990963116</v>
      </c>
      <c r="J103">
        <f t="shared" si="54"/>
        <v>27.249708564697638</v>
      </c>
      <c r="K103">
        <f t="shared" si="54"/>
        <v>16.776867554451858</v>
      </c>
      <c r="L103">
        <f t="shared" si="15"/>
        <v>145.13327376181005</v>
      </c>
      <c r="M103">
        <f t="shared" si="17"/>
        <v>-1.8832737618100452</v>
      </c>
      <c r="N103">
        <f t="shared" si="18"/>
        <v>3.5467200619221591</v>
      </c>
    </row>
    <row r="104" spans="1:14" x14ac:dyDescent="0.45">
      <c r="A104" s="23">
        <v>42277</v>
      </c>
      <c r="B104">
        <v>143.54</v>
      </c>
      <c r="C104">
        <v>144.57</v>
      </c>
      <c r="G104">
        <f t="shared" ref="G104:K104" si="55">SUMPRODUCT($B104:$B108,P$2:P$6)</f>
        <v>119.57617379985248</v>
      </c>
      <c r="H104">
        <f t="shared" si="55"/>
        <v>77.320432019079476</v>
      </c>
      <c r="I104">
        <f t="shared" si="55"/>
        <v>47.62274286925161</v>
      </c>
      <c r="J104">
        <f t="shared" si="55"/>
        <v>27.004634374442663</v>
      </c>
      <c r="K104">
        <f t="shared" si="55"/>
        <v>16.626232031130005</v>
      </c>
      <c r="L104">
        <f t="shared" si="15"/>
        <v>143.90324819338693</v>
      </c>
      <c r="M104">
        <f t="shared" si="17"/>
        <v>0.94675180661306513</v>
      </c>
      <c r="N104">
        <f t="shared" si="18"/>
        <v>0.89633898332510265</v>
      </c>
    </row>
    <row r="105" spans="1:14" x14ac:dyDescent="0.45">
      <c r="A105" s="23">
        <v>42276</v>
      </c>
      <c r="B105">
        <v>143.04</v>
      </c>
      <c r="C105">
        <v>143.72</v>
      </c>
      <c r="G105">
        <f t="shared" ref="G105:K105" si="56">SUMPRODUCT($B105:$B109,P$2:P$6)</f>
        <v>119.20581520788537</v>
      </c>
      <c r="H105">
        <f t="shared" si="56"/>
        <v>77.084237165621161</v>
      </c>
      <c r="I105">
        <f t="shared" si="56"/>
        <v>47.477492809569526</v>
      </c>
      <c r="J105">
        <f t="shared" si="56"/>
        <v>26.92315238560791</v>
      </c>
      <c r="K105">
        <f t="shared" si="56"/>
        <v>16.578052282556477</v>
      </c>
      <c r="L105">
        <f t="shared" si="15"/>
        <v>143.48668231279009</v>
      </c>
      <c r="M105">
        <f t="shared" si="17"/>
        <v>5.3317687209897713E-2</v>
      </c>
      <c r="N105">
        <f t="shared" si="18"/>
        <v>2.84277576941249E-3</v>
      </c>
    </row>
    <row r="106" spans="1:14" x14ac:dyDescent="0.45">
      <c r="A106" s="23">
        <v>42275</v>
      </c>
      <c r="B106">
        <v>145.38999999999999</v>
      </c>
      <c r="C106">
        <v>143.55000000000001</v>
      </c>
      <c r="G106">
        <f t="shared" ref="G106:K106" si="57">SUMPRODUCT($B106:$B110,P$2:P$6)</f>
        <v>120.89678439421689</v>
      </c>
      <c r="H106">
        <f t="shared" si="57"/>
        <v>78.163522498702662</v>
      </c>
      <c r="I106">
        <f t="shared" si="57"/>
        <v>48.142176854450831</v>
      </c>
      <c r="J106">
        <f t="shared" si="57"/>
        <v>27.291520839681475</v>
      </c>
      <c r="K106">
        <f t="shared" si="57"/>
        <v>16.794777033612551</v>
      </c>
      <c r="L106">
        <f t="shared" si="15"/>
        <v>145.38840948643715</v>
      </c>
      <c r="M106">
        <f t="shared" si="17"/>
        <v>-2.3484094864371627</v>
      </c>
      <c r="N106">
        <f t="shared" si="18"/>
        <v>5.5150271159880582</v>
      </c>
    </row>
    <row r="107" spans="1:14" x14ac:dyDescent="0.45">
      <c r="A107" s="23">
        <v>42272</v>
      </c>
      <c r="B107">
        <v>145.94999999999999</v>
      </c>
      <c r="C107">
        <v>145.55000000000001</v>
      </c>
      <c r="G107">
        <f t="shared" ref="G107:K107" si="58">SUMPRODUCT($B107:$B111,P$2:P$6)</f>
        <v>121.3102726330129</v>
      </c>
      <c r="H107">
        <f t="shared" si="58"/>
        <v>78.427227364249092</v>
      </c>
      <c r="I107">
        <f t="shared" si="58"/>
        <v>48.304418820150467</v>
      </c>
      <c r="J107">
        <f t="shared" si="58"/>
        <v>27.382229159228373</v>
      </c>
      <c r="K107">
        <f t="shared" si="58"/>
        <v>16.848454071616978</v>
      </c>
      <c r="L107">
        <f t="shared" si="15"/>
        <v>145.85345056943848</v>
      </c>
      <c r="M107">
        <f t="shared" si="17"/>
        <v>-0.46345056943849272</v>
      </c>
      <c r="N107">
        <f t="shared" si="18"/>
        <v>0.21478643031286315</v>
      </c>
    </row>
    <row r="108" spans="1:14" x14ac:dyDescent="0.45">
      <c r="A108" s="23">
        <v>42271</v>
      </c>
      <c r="B108">
        <v>144.37</v>
      </c>
      <c r="C108">
        <v>144.87</v>
      </c>
      <c r="G108">
        <f t="shared" ref="G108:K108" si="59">SUMPRODUCT($B108:$B112,P$2:P$6)</f>
        <v>120.08659174509539</v>
      </c>
      <c r="H108">
        <f t="shared" si="59"/>
        <v>77.64098943261618</v>
      </c>
      <c r="I108">
        <f t="shared" si="59"/>
        <v>47.820194987051927</v>
      </c>
      <c r="J108">
        <f t="shared" si="59"/>
        <v>27.110604812618355</v>
      </c>
      <c r="K108">
        <f t="shared" si="59"/>
        <v>16.684719362315015</v>
      </c>
      <c r="L108">
        <f t="shared" si="15"/>
        <v>144.47221759866147</v>
      </c>
      <c r="M108">
        <f t="shared" si="17"/>
        <v>1.4777824013385157</v>
      </c>
      <c r="N108">
        <f t="shared" si="18"/>
        <v>2.1838408257058299</v>
      </c>
    </row>
    <row r="109" spans="1:14" x14ac:dyDescent="0.45">
      <c r="A109" s="23">
        <v>42270</v>
      </c>
      <c r="B109">
        <v>143.46</v>
      </c>
      <c r="C109">
        <v>145.43</v>
      </c>
      <c r="G109">
        <f t="shared" ref="G109:K109" si="60">SUMPRODUCT($B109:$B113,P$2:P$6)</f>
        <v>119.46018936951995</v>
      </c>
      <c r="H109">
        <f t="shared" si="60"/>
        <v>77.242194208202733</v>
      </c>
      <c r="I109">
        <f t="shared" si="60"/>
        <v>47.574455780554679</v>
      </c>
      <c r="J109">
        <f t="shared" si="60"/>
        <v>26.975845299449567</v>
      </c>
      <c r="K109">
        <f t="shared" si="60"/>
        <v>16.606571129383049</v>
      </c>
      <c r="L109">
        <f t="shared" si="15"/>
        <v>143.7689066850271</v>
      </c>
      <c r="M109">
        <f t="shared" si="17"/>
        <v>0.60109331497289986</v>
      </c>
      <c r="N109">
        <f t="shared" si="18"/>
        <v>0.36131317330510981</v>
      </c>
    </row>
    <row r="110" spans="1:14" x14ac:dyDescent="0.45">
      <c r="A110" s="23">
        <v>42269</v>
      </c>
      <c r="B110">
        <v>141.82</v>
      </c>
      <c r="C110">
        <v>142.65</v>
      </c>
      <c r="G110">
        <f t="shared" ref="G110:K110" si="61">SUMPRODUCT($B110:$B114,P$2:P$6)</f>
        <v>118.14432179537779</v>
      </c>
      <c r="H110">
        <f t="shared" si="61"/>
        <v>76.394994107280212</v>
      </c>
      <c r="I110">
        <f t="shared" si="61"/>
        <v>47.052841580713938</v>
      </c>
      <c r="J110">
        <f t="shared" si="61"/>
        <v>26.681260567149341</v>
      </c>
      <c r="K110">
        <f t="shared" si="61"/>
        <v>16.427273765453009</v>
      </c>
      <c r="L110">
        <f t="shared" si="15"/>
        <v>142.28172989243492</v>
      </c>
      <c r="M110">
        <f t="shared" si="17"/>
        <v>1.1782701075650834</v>
      </c>
      <c r="N110">
        <f t="shared" si="18"/>
        <v>1.3883204463814334</v>
      </c>
    </row>
    <row r="111" spans="1:14" x14ac:dyDescent="0.45">
      <c r="A111" s="23">
        <v>42268</v>
      </c>
      <c r="B111">
        <v>142.36000000000001</v>
      </c>
      <c r="C111">
        <v>143.21</v>
      </c>
      <c r="G111">
        <f t="shared" ref="G111:K111" si="62">SUMPRODUCT($B111:$B115,P$2:P$6)</f>
        <v>118.49579095506729</v>
      </c>
      <c r="H111">
        <f t="shared" si="62"/>
        <v>76.616908990555785</v>
      </c>
      <c r="I111">
        <f t="shared" si="62"/>
        <v>47.189484612415797</v>
      </c>
      <c r="J111">
        <f t="shared" si="62"/>
        <v>26.755614856231606</v>
      </c>
      <c r="K111">
        <f t="shared" si="62"/>
        <v>16.469326678387301</v>
      </c>
      <c r="L111">
        <f t="shared" si="15"/>
        <v>142.67471321584978</v>
      </c>
      <c r="M111">
        <f t="shared" si="17"/>
        <v>-0.85471321584978455</v>
      </c>
      <c r="N111">
        <f t="shared" si="18"/>
        <v>0.73053468134828037</v>
      </c>
    </row>
    <row r="112" spans="1:14" x14ac:dyDescent="0.45">
      <c r="A112" s="23">
        <v>42265</v>
      </c>
      <c r="B112">
        <v>142.13999999999999</v>
      </c>
      <c r="C112">
        <v>141.81</v>
      </c>
      <c r="G112">
        <f t="shared" ref="G112:K112" si="63">SUMPRODUCT($B112:$B116,P$2:P$6)</f>
        <v>118.36493928681406</v>
      </c>
      <c r="H112">
        <f t="shared" si="63"/>
        <v>76.535588459963179</v>
      </c>
      <c r="I112">
        <f t="shared" si="63"/>
        <v>47.139546916124608</v>
      </c>
      <c r="J112">
        <f t="shared" si="63"/>
        <v>26.728590651548803</v>
      </c>
      <c r="K112">
        <f t="shared" si="63"/>
        <v>16.454826101303851</v>
      </c>
      <c r="L112">
        <f t="shared" si="15"/>
        <v>142.52952375513408</v>
      </c>
      <c r="M112">
        <f t="shared" si="17"/>
        <v>-0.16952375513406537</v>
      </c>
      <c r="N112">
        <f t="shared" si="18"/>
        <v>2.8738303554754555E-2</v>
      </c>
    </row>
    <row r="113" spans="1:14" x14ac:dyDescent="0.45">
      <c r="A113" s="23">
        <v>42264</v>
      </c>
      <c r="B113">
        <v>143.9</v>
      </c>
      <c r="C113">
        <v>143.35</v>
      </c>
      <c r="G113">
        <f t="shared" ref="G113:K113" si="64">SUMPRODUCT($B113:$B117,P$2:P$6)</f>
        <v>119.57465527603166</v>
      </c>
      <c r="H113">
        <f t="shared" si="64"/>
        <v>77.303667774424284</v>
      </c>
      <c r="I113">
        <f t="shared" si="64"/>
        <v>47.612411525769524</v>
      </c>
      <c r="J113">
        <f t="shared" si="64"/>
        <v>26.988923620114036</v>
      </c>
      <c r="K113">
        <f t="shared" si="64"/>
        <v>16.605255601470404</v>
      </c>
      <c r="L113">
        <f t="shared" si="15"/>
        <v>143.88628389685002</v>
      </c>
      <c r="M113">
        <f t="shared" si="17"/>
        <v>-1.7462838968500307</v>
      </c>
      <c r="N113">
        <f t="shared" si="18"/>
        <v>3.0495074483977289</v>
      </c>
    </row>
    <row r="114" spans="1:14" x14ac:dyDescent="0.45">
      <c r="A114" s="23">
        <v>42263</v>
      </c>
      <c r="B114">
        <v>142.21</v>
      </c>
      <c r="C114">
        <v>143.61000000000001</v>
      </c>
      <c r="G114">
        <f t="shared" ref="G114:K114" si="65">SUMPRODUCT($B114:$B118,P$2:P$6)</f>
        <v>118.23570237806817</v>
      </c>
      <c r="H114">
        <f t="shared" si="65"/>
        <v>76.44160986905267</v>
      </c>
      <c r="I114">
        <f t="shared" si="65"/>
        <v>47.081501118560809</v>
      </c>
      <c r="J114">
        <f t="shared" si="65"/>
        <v>26.689997260762016</v>
      </c>
      <c r="K114">
        <f t="shared" si="65"/>
        <v>16.42384669763824</v>
      </c>
      <c r="L114">
        <f t="shared" si="15"/>
        <v>142.37325118355957</v>
      </c>
      <c r="M114">
        <f t="shared" si="17"/>
        <v>1.5267488164404313</v>
      </c>
      <c r="N114">
        <f t="shared" si="18"/>
        <v>2.3309619485022575</v>
      </c>
    </row>
    <row r="115" spans="1:14" x14ac:dyDescent="0.45">
      <c r="A115" s="23">
        <v>42262</v>
      </c>
      <c r="B115">
        <v>141.32</v>
      </c>
      <c r="C115">
        <v>142.43</v>
      </c>
      <c r="G115">
        <f t="shared" ref="G115:K115" si="66">SUMPRODUCT($B115:$B119,P$2:P$6)</f>
        <v>117.74720865880596</v>
      </c>
      <c r="H115">
        <f t="shared" si="66"/>
        <v>76.138470422388139</v>
      </c>
      <c r="I115">
        <f t="shared" si="66"/>
        <v>46.89475414658871</v>
      </c>
      <c r="J115">
        <f t="shared" si="66"/>
        <v>26.592405122069668</v>
      </c>
      <c r="K115">
        <f t="shared" si="66"/>
        <v>16.37322919336502</v>
      </c>
      <c r="L115">
        <f t="shared" si="15"/>
        <v>141.832356554629</v>
      </c>
      <c r="M115">
        <f t="shared" si="17"/>
        <v>0.37764344537100669</v>
      </c>
      <c r="N115">
        <f t="shared" si="18"/>
        <v>0.14261457183168452</v>
      </c>
    </row>
    <row r="116" spans="1:14" x14ac:dyDescent="0.45">
      <c r="A116" s="23">
        <v>42261</v>
      </c>
      <c r="B116">
        <v>141.18</v>
      </c>
      <c r="C116">
        <v>141.15</v>
      </c>
      <c r="G116">
        <f t="shared" ref="G116:K116" si="67">SUMPRODUCT($B116:$B120,P$2:P$6)</f>
        <v>117.50855916983346</v>
      </c>
      <c r="H116">
        <f t="shared" si="67"/>
        <v>75.97802855501358</v>
      </c>
      <c r="I116">
        <f t="shared" si="67"/>
        <v>46.795899955603105</v>
      </c>
      <c r="J116">
        <f t="shared" si="67"/>
        <v>26.532550394119262</v>
      </c>
      <c r="K116">
        <f t="shared" si="67"/>
        <v>16.331727566124847</v>
      </c>
      <c r="L116">
        <f t="shared" si="15"/>
        <v>141.55608432319838</v>
      </c>
      <c r="M116">
        <f t="shared" si="17"/>
        <v>-0.23608432319838357</v>
      </c>
      <c r="N116">
        <f t="shared" si="18"/>
        <v>5.5735807660038834E-2</v>
      </c>
    </row>
    <row r="117" spans="1:14" x14ac:dyDescent="0.45">
      <c r="A117" s="23">
        <v>42258</v>
      </c>
      <c r="B117">
        <v>139.85</v>
      </c>
      <c r="C117">
        <v>141.05000000000001</v>
      </c>
      <c r="G117">
        <f t="shared" ref="G117:K117" si="68">SUMPRODUCT($B117:$B121,P$2:P$6)</f>
        <v>116.39059995288316</v>
      </c>
      <c r="H117">
        <f t="shared" si="68"/>
        <v>75.254799959145572</v>
      </c>
      <c r="I117">
        <f t="shared" si="68"/>
        <v>46.350500371582292</v>
      </c>
      <c r="J117">
        <f t="shared" si="68"/>
        <v>26.279532774887493</v>
      </c>
      <c r="K117">
        <f t="shared" si="68"/>
        <v>16.175624773171517</v>
      </c>
      <c r="L117">
        <f t="shared" si="15"/>
        <v>140.28942210668347</v>
      </c>
      <c r="M117">
        <f t="shared" si="17"/>
        <v>0.89057789331653225</v>
      </c>
      <c r="N117">
        <f t="shared" si="18"/>
        <v>0.7931289840641127</v>
      </c>
    </row>
    <row r="118" spans="1:14" x14ac:dyDescent="0.45">
      <c r="A118" s="23">
        <v>42257</v>
      </c>
      <c r="B118">
        <v>139.04</v>
      </c>
      <c r="C118">
        <v>140.01</v>
      </c>
      <c r="G118">
        <f t="shared" ref="G118:K118" si="69">SUMPRODUCT($B118:$B122,P$2:P$6)</f>
        <v>115.98044534113048</v>
      </c>
      <c r="H118">
        <f t="shared" si="69"/>
        <v>75.004121007681263</v>
      </c>
      <c r="I118">
        <f t="shared" si="69"/>
        <v>46.196350818721044</v>
      </c>
      <c r="J118">
        <f t="shared" si="69"/>
        <v>26.200029820589968</v>
      </c>
      <c r="K118">
        <f t="shared" si="69"/>
        <v>16.136901470956385</v>
      </c>
      <c r="L118">
        <f t="shared" si="15"/>
        <v>139.83867693484544</v>
      </c>
      <c r="M118">
        <f t="shared" si="17"/>
        <v>1.1323065154556389E-2</v>
      </c>
      <c r="N118">
        <f t="shared" si="18"/>
        <v>1.282118044943291E-4</v>
      </c>
    </row>
    <row r="119" spans="1:14" x14ac:dyDescent="0.45">
      <c r="A119" s="23">
        <v>42256</v>
      </c>
      <c r="B119">
        <v>142.35</v>
      </c>
      <c r="C119">
        <v>139.68</v>
      </c>
      <c r="G119">
        <f t="shared" ref="G119:K119" si="70">SUMPRODUCT($B119:$B123,P$2:P$6)</f>
        <v>118.36634180950121</v>
      </c>
      <c r="H119">
        <f t="shared" si="70"/>
        <v>76.52650277044124</v>
      </c>
      <c r="I119">
        <f t="shared" si="70"/>
        <v>47.13370611363942</v>
      </c>
      <c r="J119">
        <f t="shared" si="70"/>
        <v>26.720284986709416</v>
      </c>
      <c r="K119">
        <f t="shared" si="70"/>
        <v>16.44292772462164</v>
      </c>
      <c r="L119">
        <f t="shared" si="15"/>
        <v>142.52171603214637</v>
      </c>
      <c r="M119">
        <f t="shared" si="17"/>
        <v>-3.4817160321463803</v>
      </c>
      <c r="N119">
        <f t="shared" si="18"/>
        <v>12.122346528505133</v>
      </c>
    </row>
    <row r="120" spans="1:14" x14ac:dyDescent="0.45">
      <c r="A120" s="23">
        <v>42255</v>
      </c>
      <c r="B120">
        <v>140.54</v>
      </c>
      <c r="C120">
        <v>141.43</v>
      </c>
      <c r="G120">
        <f t="shared" ref="G120:K120" si="71">SUMPRODUCT($B120:$B124,P$2:P$6)</f>
        <v>116.83607091749028</v>
      </c>
      <c r="H120">
        <f t="shared" si="71"/>
        <v>75.535991746147758</v>
      </c>
      <c r="I120">
        <f t="shared" si="71"/>
        <v>46.523655208387368</v>
      </c>
      <c r="J120">
        <f t="shared" si="71"/>
        <v>26.373593396212069</v>
      </c>
      <c r="K120">
        <f t="shared" si="71"/>
        <v>16.228645323015506</v>
      </c>
      <c r="L120">
        <f t="shared" si="15"/>
        <v>140.78739990555013</v>
      </c>
      <c r="M120">
        <f t="shared" si="17"/>
        <v>1.5626000944498628</v>
      </c>
      <c r="N120">
        <f t="shared" si="18"/>
        <v>2.4417190551747203</v>
      </c>
    </row>
    <row r="121" spans="1:14" x14ac:dyDescent="0.45">
      <c r="A121" s="23">
        <v>42251</v>
      </c>
      <c r="B121">
        <v>138.80000000000001</v>
      </c>
      <c r="C121">
        <v>138.47999999999999</v>
      </c>
      <c r="G121">
        <f t="shared" ref="G121:K121" si="72">SUMPRODUCT($B121:$B125,P$2:P$6)</f>
        <v>115.67128520789934</v>
      </c>
      <c r="H121">
        <f t="shared" si="72"/>
        <v>74.798287375533263</v>
      </c>
      <c r="I121">
        <f t="shared" si="72"/>
        <v>46.069512361489032</v>
      </c>
      <c r="J121">
        <f t="shared" si="72"/>
        <v>26.124712032848169</v>
      </c>
      <c r="K121">
        <f t="shared" si="72"/>
        <v>16.086361404356005</v>
      </c>
      <c r="L121">
        <f t="shared" si="15"/>
        <v>139.4828354074661</v>
      </c>
      <c r="M121">
        <f t="shared" si="17"/>
        <v>1.0571645925338942</v>
      </c>
      <c r="N121">
        <f t="shared" si="18"/>
        <v>1.1175969757073545</v>
      </c>
    </row>
    <row r="122" spans="1:14" x14ac:dyDescent="0.45">
      <c r="A122" s="23">
        <v>42250</v>
      </c>
      <c r="B122">
        <v>140.94</v>
      </c>
      <c r="C122">
        <v>140.47999999999999</v>
      </c>
      <c r="G122">
        <f t="shared" ref="G122:K122" si="73">SUMPRODUCT($B122:$B126,P$2:P$6)</f>
        <v>117.28328933163124</v>
      </c>
      <c r="H122">
        <f t="shared" si="73"/>
        <v>75.830925728485482</v>
      </c>
      <c r="I122">
        <f t="shared" si="73"/>
        <v>46.705312091832745</v>
      </c>
      <c r="J122">
        <f t="shared" si="73"/>
        <v>26.480268794166598</v>
      </c>
      <c r="K122">
        <f t="shared" si="73"/>
        <v>16.298622105671107</v>
      </c>
      <c r="L122">
        <f t="shared" si="15"/>
        <v>141.2995536875838</v>
      </c>
      <c r="M122">
        <f t="shared" si="17"/>
        <v>-2.4995536875837843</v>
      </c>
      <c r="N122">
        <f t="shared" si="18"/>
        <v>6.247768637113694</v>
      </c>
    </row>
    <row r="123" spans="1:14" x14ac:dyDescent="0.45">
      <c r="A123" s="23">
        <v>42249</v>
      </c>
      <c r="B123">
        <v>139.83000000000001</v>
      </c>
      <c r="C123">
        <v>140.41999999999999</v>
      </c>
      <c r="G123">
        <f t="shared" ref="G123:K123" si="74">SUMPRODUCT($B123:$B127,P$2:P$6)</f>
        <v>116.4334927616258</v>
      </c>
      <c r="H123">
        <f t="shared" si="74"/>
        <v>75.284817826542181</v>
      </c>
      <c r="I123">
        <f t="shared" si="74"/>
        <v>46.368833298827859</v>
      </c>
      <c r="J123">
        <f t="shared" si="74"/>
        <v>26.292252536952709</v>
      </c>
      <c r="K123">
        <f t="shared" si="74"/>
        <v>16.185534123677989</v>
      </c>
      <c r="L123">
        <f t="shared" si="15"/>
        <v>140.34042523077883</v>
      </c>
      <c r="M123">
        <f t="shared" si="17"/>
        <v>0.59957476922116371</v>
      </c>
      <c r="N123">
        <f t="shared" si="18"/>
        <v>0.35948990388661173</v>
      </c>
    </row>
    <row r="124" spans="1:14" x14ac:dyDescent="0.45">
      <c r="A124" s="23">
        <v>42248</v>
      </c>
      <c r="B124">
        <v>137.58000000000001</v>
      </c>
      <c r="C124">
        <v>138.30000000000001</v>
      </c>
      <c r="G124">
        <f t="shared" ref="G124:K124" si="75">SUMPRODUCT($B124:$B128,P$2:P$6)</f>
        <v>114.5366537836772</v>
      </c>
      <c r="H124">
        <f t="shared" si="75"/>
        <v>74.059016532927117</v>
      </c>
      <c r="I124">
        <f t="shared" si="75"/>
        <v>45.614214264531292</v>
      </c>
      <c r="J124">
        <f t="shared" si="75"/>
        <v>25.862697443052983</v>
      </c>
      <c r="K124">
        <f t="shared" si="75"/>
        <v>15.920598249929547</v>
      </c>
      <c r="L124">
        <f t="shared" si="15"/>
        <v>138.1921297966355</v>
      </c>
      <c r="M124">
        <f t="shared" si="17"/>
        <v>1.6378702033645141</v>
      </c>
      <c r="N124">
        <f t="shared" si="18"/>
        <v>2.6826188030693148</v>
      </c>
    </row>
    <row r="125" spans="1:14" x14ac:dyDescent="0.45">
      <c r="A125" s="23">
        <v>42247</v>
      </c>
      <c r="B125">
        <v>139.25</v>
      </c>
      <c r="C125">
        <v>140.05000000000001</v>
      </c>
      <c r="G125">
        <f t="shared" ref="G125:K125" si="76">SUMPRODUCT($B125:$B129,P$2:P$6)</f>
        <v>115.84329769369653</v>
      </c>
      <c r="H125">
        <f t="shared" si="76"/>
        <v>74.898711669725159</v>
      </c>
      <c r="I125">
        <f t="shared" si="76"/>
        <v>46.13129533805774</v>
      </c>
      <c r="J125">
        <f t="shared" si="76"/>
        <v>26.153319636171474</v>
      </c>
      <c r="K125">
        <f t="shared" si="76"/>
        <v>16.096283555033608</v>
      </c>
      <c r="L125">
        <f t="shared" si="15"/>
        <v>139.66729303414868</v>
      </c>
      <c r="M125">
        <f t="shared" si="17"/>
        <v>-2.0872930341486722</v>
      </c>
      <c r="N125">
        <f t="shared" si="18"/>
        <v>4.3567922104055699</v>
      </c>
    </row>
    <row r="126" spans="1:14" x14ac:dyDescent="0.45">
      <c r="A126" s="23">
        <v>42244</v>
      </c>
      <c r="B126">
        <v>139.75</v>
      </c>
      <c r="C126">
        <v>139.94999999999999</v>
      </c>
      <c r="G126">
        <f t="shared" ref="G126:K126" si="77">SUMPRODUCT($B126:$B130,P$2:P$6)</f>
        <v>115.96846787304746</v>
      </c>
      <c r="H126">
        <f t="shared" si="77"/>
        <v>74.96543749347704</v>
      </c>
      <c r="I126">
        <f t="shared" si="77"/>
        <v>46.172534378418653</v>
      </c>
      <c r="J126">
        <f t="shared" si="77"/>
        <v>26.166884050156085</v>
      </c>
      <c r="K126">
        <f t="shared" si="77"/>
        <v>16.093834043737971</v>
      </c>
      <c r="L126">
        <f t="shared" si="15"/>
        <v>139.79508941783311</v>
      </c>
      <c r="M126">
        <f t="shared" si="17"/>
        <v>-0.54508941783311116</v>
      </c>
      <c r="N126">
        <f t="shared" si="18"/>
        <v>0.29712247343364001</v>
      </c>
    </row>
    <row r="127" spans="1:14" x14ac:dyDescent="0.45">
      <c r="A127" s="23">
        <v>42243</v>
      </c>
      <c r="B127">
        <v>140.47</v>
      </c>
      <c r="C127">
        <v>140.21</v>
      </c>
      <c r="G127">
        <f t="shared" ref="G127:K127" si="78">SUMPRODUCT($B127:$B131,P$2:P$6)</f>
        <v>116.97744112905649</v>
      </c>
      <c r="H127">
        <f t="shared" si="78"/>
        <v>75.635417892109999</v>
      </c>
      <c r="I127">
        <f t="shared" si="78"/>
        <v>46.584538683174209</v>
      </c>
      <c r="J127">
        <f t="shared" si="78"/>
        <v>26.415381074625838</v>
      </c>
      <c r="K127">
        <f t="shared" si="78"/>
        <v>16.261553161226317</v>
      </c>
      <c r="L127">
        <f t="shared" si="15"/>
        <v>140.95586396542683</v>
      </c>
      <c r="M127">
        <f t="shared" si="17"/>
        <v>-1.2058639654268291</v>
      </c>
      <c r="N127">
        <f t="shared" si="18"/>
        <v>1.4541079031149167</v>
      </c>
    </row>
    <row r="128" spans="1:14" x14ac:dyDescent="0.45">
      <c r="A128" s="23">
        <v>42242</v>
      </c>
      <c r="B128">
        <v>136.11000000000001</v>
      </c>
      <c r="C128">
        <v>138.16</v>
      </c>
      <c r="G128">
        <f t="shared" ref="G128:K128" si="79">SUMPRODUCT($B128:$B132,P$2:P$6)</f>
        <v>113.82717074298532</v>
      </c>
      <c r="H128">
        <f t="shared" si="79"/>
        <v>73.625480443270092</v>
      </c>
      <c r="I128">
        <f t="shared" si="79"/>
        <v>45.346907425922176</v>
      </c>
      <c r="J128">
        <f t="shared" si="79"/>
        <v>25.728625160944777</v>
      </c>
      <c r="K128">
        <f t="shared" si="79"/>
        <v>15.857094533403805</v>
      </c>
      <c r="L128">
        <f t="shared" si="15"/>
        <v>137.41332041204754</v>
      </c>
      <c r="M128">
        <f t="shared" si="17"/>
        <v>3.0566795879524591</v>
      </c>
      <c r="N128">
        <f t="shared" si="18"/>
        <v>9.3432901034052147</v>
      </c>
    </row>
    <row r="129" spans="1:14" x14ac:dyDescent="0.45">
      <c r="A129" s="23">
        <v>42241</v>
      </c>
      <c r="B129">
        <v>136.78</v>
      </c>
      <c r="C129">
        <v>132.71</v>
      </c>
      <c r="G129">
        <f t="shared" ref="G129:K129" si="80">SUMPRODUCT($B129:$B133,P$2:P$6)</f>
        <v>114.27660079955041</v>
      </c>
      <c r="H129">
        <f t="shared" si="80"/>
        <v>73.908725349837297</v>
      </c>
      <c r="I129">
        <f t="shared" si="80"/>
        <v>45.520932709562558</v>
      </c>
      <c r="J129">
        <f t="shared" si="80"/>
        <v>25.824949931712414</v>
      </c>
      <c r="K129">
        <f t="shared" si="80"/>
        <v>15.911831720294925</v>
      </c>
      <c r="L129">
        <f t="shared" si="15"/>
        <v>137.91573389958742</v>
      </c>
      <c r="M129">
        <f t="shared" si="17"/>
        <v>-1.805733899587409</v>
      </c>
      <c r="N129">
        <f t="shared" si="18"/>
        <v>3.2606749161191511</v>
      </c>
    </row>
    <row r="130" spans="1:14" x14ac:dyDescent="0.45">
      <c r="A130" s="23">
        <v>42240</v>
      </c>
      <c r="B130">
        <v>131.97</v>
      </c>
      <c r="C130">
        <v>132.97</v>
      </c>
      <c r="G130">
        <f t="shared" ref="G130:K130" si="81">SUMPRODUCT($B130:$B134,P$2:P$6)</f>
        <v>110.94673387186083</v>
      </c>
      <c r="H130">
        <f t="shared" si="81"/>
        <v>71.795354436599823</v>
      </c>
      <c r="I130">
        <f t="shared" si="81"/>
        <v>44.220350465097304</v>
      </c>
      <c r="J130">
        <f t="shared" si="81"/>
        <v>25.106684053497908</v>
      </c>
      <c r="K130">
        <f t="shared" si="81"/>
        <v>15.496188608105058</v>
      </c>
      <c r="L130">
        <f t="shared" ref="L130:L193" si="82">(G130+$P$7)*$U$2+(H130+$Q$7)*$U$3+(I130+$R$7)*$U$4+(J130+$S$7)*$U$5+(K130+$T$7)*$U$6+$U$7</f>
        <v>134.18130342278448</v>
      </c>
      <c r="M130">
        <f t="shared" si="17"/>
        <v>2.5986965772155202</v>
      </c>
      <c r="N130">
        <f t="shared" si="18"/>
        <v>6.7532239004316601</v>
      </c>
    </row>
    <row r="131" spans="1:14" x14ac:dyDescent="0.45">
      <c r="A131" s="23">
        <v>42237</v>
      </c>
      <c r="B131">
        <v>142.22</v>
      </c>
      <c r="C131">
        <v>138.99</v>
      </c>
      <c r="G131">
        <f t="shared" ref="G131:K131" si="83">SUMPRODUCT($B131:$B135,P$2:P$6)</f>
        <v>118.65631629746441</v>
      </c>
      <c r="H131">
        <f t="shared" si="83"/>
        <v>76.73562995476432</v>
      </c>
      <c r="I131">
        <f t="shared" si="83"/>
        <v>47.26271398072835</v>
      </c>
      <c r="J131">
        <f t="shared" si="83"/>
        <v>26.805916222144376</v>
      </c>
      <c r="K131">
        <f t="shared" si="83"/>
        <v>16.510806047294803</v>
      </c>
      <c r="L131">
        <f t="shared" si="82"/>
        <v>142.87083621672201</v>
      </c>
      <c r="M131">
        <f t="shared" ref="M131:M194" si="84">B130-L131</f>
        <v>-10.900836216722013</v>
      </c>
      <c r="N131">
        <f t="shared" ref="N131:N194" si="85">M131^2</f>
        <v>118.82823022379829</v>
      </c>
    </row>
    <row r="132" spans="1:14" x14ac:dyDescent="0.45">
      <c r="A132" s="23">
        <v>42236</v>
      </c>
      <c r="B132">
        <v>144.29</v>
      </c>
      <c r="C132">
        <v>143.71</v>
      </c>
      <c r="G132">
        <f t="shared" ref="G132:K132" si="86">SUMPRODUCT($B132:$B136,P$2:P$6)</f>
        <v>120.22608586156596</v>
      </c>
      <c r="H132">
        <f t="shared" si="86"/>
        <v>77.742391863852831</v>
      </c>
      <c r="I132">
        <f t="shared" si="86"/>
        <v>47.882756178394921</v>
      </c>
      <c r="J132">
        <f t="shared" si="86"/>
        <v>27.152539103401264</v>
      </c>
      <c r="K132">
        <f t="shared" si="86"/>
        <v>16.718381902934617</v>
      </c>
      <c r="L132">
        <f t="shared" si="82"/>
        <v>144.64092728891669</v>
      </c>
      <c r="M132">
        <f t="shared" si="84"/>
        <v>-2.4209272889166868</v>
      </c>
      <c r="N132">
        <f t="shared" si="85"/>
        <v>5.8608889382214997</v>
      </c>
    </row>
    <row r="133" spans="1:14" x14ac:dyDescent="0.45">
      <c r="A133" s="23">
        <v>42235</v>
      </c>
      <c r="B133">
        <v>145.38999999999999</v>
      </c>
      <c r="C133">
        <v>145.16999999999999</v>
      </c>
      <c r="G133">
        <f t="shared" ref="G133:K133" si="87">SUMPRODUCT($B133:$B137,P$2:P$6)</f>
        <v>121.15541910488116</v>
      </c>
      <c r="H133">
        <f t="shared" si="87"/>
        <v>78.343690695729578</v>
      </c>
      <c r="I133">
        <f t="shared" si="87"/>
        <v>48.253063217333342</v>
      </c>
      <c r="J133">
        <f t="shared" si="87"/>
        <v>27.363025602684509</v>
      </c>
      <c r="K133">
        <f t="shared" si="87"/>
        <v>16.848428179388478</v>
      </c>
      <c r="L133">
        <f t="shared" si="82"/>
        <v>145.69399696543135</v>
      </c>
      <c r="M133">
        <f t="shared" si="84"/>
        <v>-1.4039969654313609</v>
      </c>
      <c r="N133">
        <f t="shared" si="85"/>
        <v>1.9712074789404699</v>
      </c>
    </row>
    <row r="134" spans="1:14" x14ac:dyDescent="0.45">
      <c r="A134" s="23">
        <v>42234</v>
      </c>
      <c r="B134">
        <v>146.16</v>
      </c>
      <c r="C134">
        <v>145.63</v>
      </c>
      <c r="G134">
        <f t="shared" ref="G134:K134" si="88">SUMPRODUCT($B134:$B138,P$2:P$6)</f>
        <v>121.63187306533614</v>
      </c>
      <c r="H134">
        <f t="shared" si="88"/>
        <v>78.643036318594255</v>
      </c>
      <c r="I134">
        <f t="shared" si="88"/>
        <v>48.437350433562806</v>
      </c>
      <c r="J134">
        <f t="shared" si="88"/>
        <v>27.462410975022056</v>
      </c>
      <c r="K134">
        <f t="shared" si="88"/>
        <v>16.903318307380353</v>
      </c>
      <c r="L134">
        <f t="shared" si="82"/>
        <v>146.22527016391408</v>
      </c>
      <c r="M134">
        <f t="shared" si="84"/>
        <v>-0.83527016391408893</v>
      </c>
      <c r="N134">
        <f t="shared" si="85"/>
        <v>0.697676246725069</v>
      </c>
    </row>
    <row r="135" spans="1:14" x14ac:dyDescent="0.45">
      <c r="A135" s="23">
        <v>42233</v>
      </c>
      <c r="B135">
        <v>145.15</v>
      </c>
      <c r="C135">
        <v>146.09</v>
      </c>
      <c r="G135">
        <f t="shared" ref="G135:K135" si="89">SUMPRODUCT($B135:$B139,P$2:P$6)</f>
        <v>120.88347176166525</v>
      </c>
      <c r="H135">
        <f t="shared" si="89"/>
        <v>78.163925849159071</v>
      </c>
      <c r="I135">
        <f t="shared" si="89"/>
        <v>48.14228360204681</v>
      </c>
      <c r="J135">
        <f t="shared" si="89"/>
        <v>27.298038413268188</v>
      </c>
      <c r="K135">
        <f t="shared" si="89"/>
        <v>16.80564088728757</v>
      </c>
      <c r="L135">
        <f t="shared" si="82"/>
        <v>145.38223151894331</v>
      </c>
      <c r="M135">
        <f t="shared" si="84"/>
        <v>0.7777684810566825</v>
      </c>
      <c r="N135">
        <f t="shared" si="85"/>
        <v>0.60492381012521912</v>
      </c>
    </row>
    <row r="136" spans="1:14" x14ac:dyDescent="0.45">
      <c r="A136" s="23">
        <v>42230</v>
      </c>
      <c r="B136">
        <v>144.88</v>
      </c>
      <c r="C136">
        <v>146.09</v>
      </c>
      <c r="G136">
        <f t="shared" ref="G136:K136" si="90">SUMPRODUCT($B136:$B140,P$2:P$6)</f>
        <v>120.77299271928553</v>
      </c>
      <c r="H136">
        <f t="shared" si="90"/>
        <v>78.09886005666165</v>
      </c>
      <c r="I136">
        <f t="shared" si="90"/>
        <v>48.102318026026197</v>
      </c>
      <c r="J136">
        <f t="shared" si="90"/>
        <v>27.27880690764999</v>
      </c>
      <c r="K136">
        <f t="shared" si="90"/>
        <v>16.798219045430375</v>
      </c>
      <c r="L136">
        <f t="shared" si="82"/>
        <v>145.26313973237723</v>
      </c>
      <c r="M136">
        <f t="shared" si="84"/>
        <v>-0.11313973237722053</v>
      </c>
      <c r="N136">
        <f t="shared" si="85"/>
        <v>1.2800599042389083E-2</v>
      </c>
    </row>
    <row r="137" spans="1:14" x14ac:dyDescent="0.45">
      <c r="A137" s="23">
        <v>42229</v>
      </c>
      <c r="B137">
        <v>146.36000000000001</v>
      </c>
      <c r="C137">
        <v>145.27000000000001</v>
      </c>
      <c r="G137">
        <f t="shared" ref="G137:K137" si="91">SUMPRODUCT($B137:$B141,P$2:P$6)</f>
        <v>121.83734761322128</v>
      </c>
      <c r="H137">
        <f t="shared" si="91"/>
        <v>78.777626586448662</v>
      </c>
      <c r="I137">
        <f t="shared" si="91"/>
        <v>48.520193788979654</v>
      </c>
      <c r="J137">
        <f t="shared" si="91"/>
        <v>27.510781881996877</v>
      </c>
      <c r="K137">
        <f t="shared" si="91"/>
        <v>16.934505382760406</v>
      </c>
      <c r="L137">
        <f t="shared" si="82"/>
        <v>146.45975223725497</v>
      </c>
      <c r="M137">
        <f t="shared" si="84"/>
        <v>-1.5797522372549793</v>
      </c>
      <c r="N137">
        <f t="shared" si="85"/>
        <v>2.4956171311121125</v>
      </c>
    </row>
    <row r="138" spans="1:14" x14ac:dyDescent="0.45">
      <c r="A138" s="23">
        <v>42228</v>
      </c>
      <c r="B138">
        <v>144.94999999999999</v>
      </c>
      <c r="C138">
        <v>146.49</v>
      </c>
      <c r="G138">
        <f t="shared" ref="G138:K138" si="92">SUMPRODUCT($B138:$B142,P$2:P$6)</f>
        <v>120.84703159701596</v>
      </c>
      <c r="H138">
        <f t="shared" si="92"/>
        <v>78.147119854186087</v>
      </c>
      <c r="I138">
        <f t="shared" si="92"/>
        <v>48.131937748527442</v>
      </c>
      <c r="J138">
        <f t="shared" si="92"/>
        <v>27.29640090457573</v>
      </c>
      <c r="K138">
        <f t="shared" si="92"/>
        <v>16.809524545196258</v>
      </c>
      <c r="L138">
        <f t="shared" si="82"/>
        <v>145.34749373746109</v>
      </c>
      <c r="M138">
        <f t="shared" si="84"/>
        <v>1.0125062625389205</v>
      </c>
      <c r="N138">
        <f t="shared" si="85"/>
        <v>1.0251689316805335</v>
      </c>
    </row>
    <row r="139" spans="1:14" x14ac:dyDescent="0.45">
      <c r="A139" s="23">
        <v>42227</v>
      </c>
      <c r="B139">
        <v>145.28</v>
      </c>
      <c r="C139">
        <v>145.88999999999999</v>
      </c>
      <c r="G139">
        <f t="shared" ref="G139:K139" si="93">SUMPRODUCT($B139:$B143,P$2:P$6)</f>
        <v>121.0464010155638</v>
      </c>
      <c r="H139">
        <f t="shared" si="93"/>
        <v>78.272675457164638</v>
      </c>
      <c r="I139">
        <f t="shared" si="93"/>
        <v>48.20936562522963</v>
      </c>
      <c r="J139">
        <f t="shared" si="93"/>
        <v>27.337617339193649</v>
      </c>
      <c r="K139">
        <f t="shared" si="93"/>
        <v>16.832159634350464</v>
      </c>
      <c r="L139">
        <f t="shared" si="82"/>
        <v>145.56992019339418</v>
      </c>
      <c r="M139">
        <f t="shared" si="84"/>
        <v>-0.61992019339419357</v>
      </c>
      <c r="N139">
        <f t="shared" si="85"/>
        <v>0.38430104617789435</v>
      </c>
    </row>
    <row r="140" spans="1:14" x14ac:dyDescent="0.45">
      <c r="A140" s="23">
        <v>42226</v>
      </c>
      <c r="B140">
        <v>146.30000000000001</v>
      </c>
      <c r="C140">
        <v>146.25</v>
      </c>
      <c r="G140">
        <f t="shared" ref="G140:K140" si="94">SUMPRODUCT($B140:$B144,P$2:P$6)</f>
        <v>121.76724360050503</v>
      </c>
      <c r="H140">
        <f t="shared" si="94"/>
        <v>78.731712802444278</v>
      </c>
      <c r="I140">
        <f t="shared" si="94"/>
        <v>48.492020447049377</v>
      </c>
      <c r="J140">
        <f t="shared" si="94"/>
        <v>27.493869570261339</v>
      </c>
      <c r="K140">
        <f t="shared" si="94"/>
        <v>16.923452190691034</v>
      </c>
      <c r="L140">
        <f t="shared" si="82"/>
        <v>146.37965730371099</v>
      </c>
      <c r="M140">
        <f t="shared" si="84"/>
        <v>-1.099657303710984</v>
      </c>
      <c r="N140">
        <f t="shared" si="85"/>
        <v>1.2092461856049113</v>
      </c>
    </row>
    <row r="141" spans="1:14" x14ac:dyDescent="0.45">
      <c r="A141" s="23">
        <v>42223</v>
      </c>
      <c r="B141">
        <v>146.02000000000001</v>
      </c>
      <c r="C141">
        <v>145.26</v>
      </c>
      <c r="G141">
        <f t="shared" ref="G141:K141" si="95">SUMPRODUCT($B141:$B145,P$2:P$6)</f>
        <v>121.62122265914194</v>
      </c>
      <c r="H141">
        <f t="shared" si="95"/>
        <v>78.642091751577595</v>
      </c>
      <c r="I141">
        <f t="shared" si="95"/>
        <v>48.436906906371718</v>
      </c>
      <c r="J141">
        <f t="shared" si="95"/>
        <v>27.465210951980286</v>
      </c>
      <c r="K141">
        <f t="shared" si="95"/>
        <v>16.909183937142238</v>
      </c>
      <c r="L141">
        <f t="shared" si="82"/>
        <v>146.21882540889823</v>
      </c>
      <c r="M141">
        <f t="shared" si="84"/>
        <v>8.1174591101785154E-2</v>
      </c>
      <c r="N141">
        <f t="shared" si="85"/>
        <v>6.5893142405420175E-3</v>
      </c>
    </row>
    <row r="142" spans="1:14" x14ac:dyDescent="0.45">
      <c r="A142" s="23">
        <v>42222</v>
      </c>
      <c r="B142">
        <v>147.15</v>
      </c>
      <c r="C142">
        <v>146.44</v>
      </c>
      <c r="G142">
        <f t="shared" ref="G142:K142" si="96">SUMPRODUCT($B142:$B146,P$2:P$6)</f>
        <v>122.46282038607792</v>
      </c>
      <c r="H142">
        <f t="shared" si="96"/>
        <v>79.180373408376994</v>
      </c>
      <c r="I142">
        <f t="shared" si="96"/>
        <v>48.76826603104503</v>
      </c>
      <c r="J142">
        <f t="shared" si="96"/>
        <v>27.650330087277013</v>
      </c>
      <c r="K142">
        <f t="shared" si="96"/>
        <v>17.019220768988596</v>
      </c>
      <c r="L142">
        <f t="shared" si="82"/>
        <v>147.16656563230364</v>
      </c>
      <c r="M142">
        <f t="shared" si="84"/>
        <v>-1.1465656323036342</v>
      </c>
      <c r="N142">
        <f t="shared" si="85"/>
        <v>1.3146127491798325</v>
      </c>
    </row>
    <row r="143" spans="1:14" x14ac:dyDescent="0.45">
      <c r="A143" s="23">
        <v>42221</v>
      </c>
      <c r="B143">
        <v>145.83000000000001</v>
      </c>
      <c r="C143">
        <v>146.88999999999999</v>
      </c>
      <c r="G143">
        <f t="shared" ref="G143:K143" si="97">SUMPRODUCT($B143:$B147,P$2:P$6)</f>
        <v>121.39366043025436</v>
      </c>
      <c r="H143">
        <f t="shared" si="97"/>
        <v>78.490936168966726</v>
      </c>
      <c r="I143">
        <f t="shared" si="97"/>
        <v>48.343680806012543</v>
      </c>
      <c r="J143">
        <f t="shared" si="97"/>
        <v>27.410459959897885</v>
      </c>
      <c r="K143">
        <f t="shared" si="97"/>
        <v>16.872722980944875</v>
      </c>
      <c r="L143">
        <f t="shared" si="82"/>
        <v>145.95731352121945</v>
      </c>
      <c r="M143">
        <f t="shared" si="84"/>
        <v>1.1926864787805584</v>
      </c>
      <c r="N143">
        <f t="shared" si="85"/>
        <v>1.4225010366659674</v>
      </c>
    </row>
    <row r="144" spans="1:14" x14ac:dyDescent="0.45">
      <c r="A144" s="23">
        <v>42220</v>
      </c>
      <c r="B144">
        <v>145.11000000000001</v>
      </c>
      <c r="C144">
        <v>144.84</v>
      </c>
      <c r="G144">
        <f t="shared" ref="G144:K144" si="98">SUMPRODUCT($B144:$B148,P$2:P$6)</f>
        <v>120.84832570791291</v>
      </c>
      <c r="H144">
        <f t="shared" si="98"/>
        <v>78.141504412163769</v>
      </c>
      <c r="I144">
        <f t="shared" si="98"/>
        <v>48.128558612858484</v>
      </c>
      <c r="J144">
        <f t="shared" si="98"/>
        <v>27.289977202244071</v>
      </c>
      <c r="K144">
        <f t="shared" si="98"/>
        <v>16.800699355190492</v>
      </c>
      <c r="L144">
        <f t="shared" si="82"/>
        <v>145.34261051491535</v>
      </c>
      <c r="M144">
        <f t="shared" si="84"/>
        <v>0.48738948508466251</v>
      </c>
      <c r="N144">
        <f t="shared" si="85"/>
        <v>0.23754851017109246</v>
      </c>
    </row>
    <row r="145" spans="1:14" x14ac:dyDescent="0.45">
      <c r="A145" s="23">
        <v>42219</v>
      </c>
      <c r="B145">
        <v>145.78</v>
      </c>
      <c r="C145">
        <v>145.52000000000001</v>
      </c>
      <c r="G145">
        <f t="shared" ref="G145:K145" si="99">SUMPRODUCT($B145:$B149,P$2:P$6)</f>
        <v>121.34752226531006</v>
      </c>
      <c r="H145">
        <f t="shared" si="99"/>
        <v>78.461196154493678</v>
      </c>
      <c r="I145">
        <f t="shared" si="99"/>
        <v>48.325457727717236</v>
      </c>
      <c r="J145">
        <f t="shared" si="99"/>
        <v>27.399707602920451</v>
      </c>
      <c r="K145">
        <f t="shared" si="99"/>
        <v>16.866045741443319</v>
      </c>
      <c r="L145">
        <f t="shared" si="82"/>
        <v>145.90504948787557</v>
      </c>
      <c r="M145">
        <f t="shared" si="84"/>
        <v>-0.79504948787555918</v>
      </c>
      <c r="N145">
        <f t="shared" si="85"/>
        <v>0.63210368817118889</v>
      </c>
    </row>
    <row r="146" spans="1:14" x14ac:dyDescent="0.45">
      <c r="A146" s="23">
        <v>42216</v>
      </c>
      <c r="B146">
        <v>146.19</v>
      </c>
      <c r="C146">
        <v>145.30000000000001</v>
      </c>
      <c r="G146">
        <f t="shared" ref="G146:K146" si="100">SUMPRODUCT($B146:$B150,P$2:P$6)</f>
        <v>121.64496189552202</v>
      </c>
      <c r="H146">
        <f t="shared" si="100"/>
        <v>78.650720669987606</v>
      </c>
      <c r="I146">
        <f t="shared" si="100"/>
        <v>48.44207589619824</v>
      </c>
      <c r="J146">
        <f t="shared" si="100"/>
        <v>27.464690522246404</v>
      </c>
      <c r="K146">
        <f t="shared" si="100"/>
        <v>16.904278778833969</v>
      </c>
      <c r="L146">
        <f t="shared" si="82"/>
        <v>146.23937629892913</v>
      </c>
      <c r="M146">
        <f t="shared" si="84"/>
        <v>-0.45937629892912923</v>
      </c>
      <c r="N146">
        <f t="shared" si="85"/>
        <v>0.2110265840178247</v>
      </c>
    </row>
    <row r="147" spans="1:14" x14ac:dyDescent="0.45">
      <c r="A147" s="23">
        <v>42215</v>
      </c>
      <c r="B147">
        <v>145.15</v>
      </c>
      <c r="C147">
        <v>145.30000000000001</v>
      </c>
      <c r="G147">
        <f t="shared" ref="G147:K147" si="101">SUMPRODUCT($B147:$B151,P$2:P$6)</f>
        <v>120.90555151482396</v>
      </c>
      <c r="H147">
        <f t="shared" si="101"/>
        <v>78.179239680293463</v>
      </c>
      <c r="I147">
        <f t="shared" si="101"/>
        <v>48.151698484037595</v>
      </c>
      <c r="J147">
        <f t="shared" si="101"/>
        <v>27.304133247636681</v>
      </c>
      <c r="K147">
        <f t="shared" si="101"/>
        <v>16.81020732928954</v>
      </c>
      <c r="L147">
        <f t="shared" si="82"/>
        <v>145.40827097543243</v>
      </c>
      <c r="M147">
        <f t="shared" si="84"/>
        <v>0.78172902456756788</v>
      </c>
      <c r="N147">
        <f t="shared" si="85"/>
        <v>0.61110026785136118</v>
      </c>
    </row>
    <row r="148" spans="1:14" x14ac:dyDescent="0.45">
      <c r="A148" s="23">
        <v>42214</v>
      </c>
      <c r="B148">
        <v>144.80000000000001</v>
      </c>
      <c r="C148">
        <v>145.38</v>
      </c>
      <c r="G148">
        <f t="shared" ref="G148:K148" si="102">SUMPRODUCT($B148:$B152,P$2:P$6)</f>
        <v>120.69921746052351</v>
      </c>
      <c r="H148">
        <f t="shared" si="102"/>
        <v>78.050164835223484</v>
      </c>
      <c r="I148">
        <f t="shared" si="102"/>
        <v>48.072177657554136</v>
      </c>
      <c r="J148">
        <f t="shared" si="102"/>
        <v>27.26188512545794</v>
      </c>
      <c r="K148">
        <f t="shared" si="102"/>
        <v>16.787368425281258</v>
      </c>
      <c r="L148">
        <f t="shared" si="82"/>
        <v>145.17878838588902</v>
      </c>
      <c r="M148">
        <f t="shared" si="84"/>
        <v>-2.8788385889015444E-2</v>
      </c>
      <c r="N148">
        <f t="shared" si="85"/>
        <v>8.2877116209486353E-4</v>
      </c>
    </row>
    <row r="149" spans="1:14" x14ac:dyDescent="0.45">
      <c r="A149" s="23">
        <v>42213</v>
      </c>
      <c r="B149">
        <v>144.53</v>
      </c>
      <c r="C149">
        <v>144.55000000000001</v>
      </c>
      <c r="G149">
        <f t="shared" ref="G149:K149" si="103">SUMPRODUCT($B149:$B153,P$2:P$6)</f>
        <v>120.41098299989633</v>
      </c>
      <c r="H149">
        <f t="shared" si="103"/>
        <v>77.861019364947438</v>
      </c>
      <c r="I149">
        <f t="shared" si="103"/>
        <v>47.955759738513528</v>
      </c>
      <c r="J149">
        <f t="shared" si="103"/>
        <v>27.193634792878996</v>
      </c>
      <c r="K149">
        <f t="shared" si="103"/>
        <v>16.743043062777883</v>
      </c>
      <c r="L149">
        <f t="shared" si="82"/>
        <v>144.84950466641016</v>
      </c>
      <c r="M149">
        <f t="shared" si="84"/>
        <v>-4.9504666410143727E-2</v>
      </c>
      <c r="N149">
        <f t="shared" si="85"/>
        <v>2.4507119963796124E-3</v>
      </c>
    </row>
    <row r="150" spans="1:14" x14ac:dyDescent="0.45">
      <c r="A150" s="23">
        <v>42212</v>
      </c>
      <c r="B150">
        <v>144.78</v>
      </c>
      <c r="C150">
        <v>144.25</v>
      </c>
      <c r="G150">
        <f t="shared" ref="G150:K150" si="104">SUMPRODUCT($B150:$B154,P$2:P$6)</f>
        <v>120.61999863923853</v>
      </c>
      <c r="H150">
        <f t="shared" si="104"/>
        <v>77.996293895867638</v>
      </c>
      <c r="I150">
        <f t="shared" si="104"/>
        <v>48.039126912200622</v>
      </c>
      <c r="J150">
        <f t="shared" si="104"/>
        <v>27.240768394629299</v>
      </c>
      <c r="K150">
        <f t="shared" si="104"/>
        <v>16.772156655776698</v>
      </c>
      <c r="L150">
        <f t="shared" si="82"/>
        <v>145.08633724237882</v>
      </c>
      <c r="M150">
        <f t="shared" si="84"/>
        <v>-0.55633724237881665</v>
      </c>
      <c r="N150">
        <f t="shared" si="85"/>
        <v>0.30951112725766616</v>
      </c>
    </row>
    <row r="151" spans="1:14" x14ac:dyDescent="0.45">
      <c r="A151" s="23">
        <v>42209</v>
      </c>
      <c r="B151">
        <v>145.71</v>
      </c>
      <c r="C151">
        <v>144.99</v>
      </c>
      <c r="G151">
        <f t="shared" ref="G151:K151" si="105">SUMPRODUCT($B151:$B155,P$2:P$6)</f>
        <v>121.3135870636366</v>
      </c>
      <c r="H151">
        <f t="shared" si="105"/>
        <v>78.440783836991145</v>
      </c>
      <c r="I151">
        <f t="shared" si="105"/>
        <v>48.312941950534224</v>
      </c>
      <c r="J151">
        <f t="shared" si="105"/>
        <v>27.393260236813372</v>
      </c>
      <c r="K151">
        <f t="shared" si="105"/>
        <v>16.863050900889412</v>
      </c>
      <c r="L151">
        <f t="shared" si="82"/>
        <v>145.86802233643618</v>
      </c>
      <c r="M151">
        <f t="shared" si="84"/>
        <v>-1.0880223364361825</v>
      </c>
      <c r="N151">
        <f t="shared" si="85"/>
        <v>1.1837926045840494</v>
      </c>
    </row>
    <row r="152" spans="1:14" x14ac:dyDescent="0.45">
      <c r="A152" s="23">
        <v>42208</v>
      </c>
      <c r="B152">
        <v>146.85</v>
      </c>
      <c r="C152">
        <v>145.6</v>
      </c>
      <c r="G152">
        <f t="shared" ref="G152:K152" si="106">SUMPRODUCT($B152:$B156,P$2:P$6)</f>
        <v>122.10662450864763</v>
      </c>
      <c r="H152">
        <f t="shared" si="106"/>
        <v>78.944617398327594</v>
      </c>
      <c r="I152">
        <f t="shared" si="106"/>
        <v>48.623072782217591</v>
      </c>
      <c r="J152">
        <f t="shared" si="106"/>
        <v>27.56450450382069</v>
      </c>
      <c r="K152">
        <f t="shared" si="106"/>
        <v>16.962402086648844</v>
      </c>
      <c r="L152">
        <f t="shared" si="82"/>
        <v>146.75783242946505</v>
      </c>
      <c r="M152">
        <f t="shared" si="84"/>
        <v>-1.0478324294650463</v>
      </c>
      <c r="N152">
        <f t="shared" si="85"/>
        <v>1.0979528002386212</v>
      </c>
    </row>
    <row r="153" spans="1:14" x14ac:dyDescent="0.45">
      <c r="A153" s="23">
        <v>42207</v>
      </c>
      <c r="B153">
        <v>145.22</v>
      </c>
      <c r="C153">
        <v>146.38</v>
      </c>
      <c r="G153">
        <f t="shared" ref="G153:K153" si="107">SUMPRODUCT($B153:$B157,P$2:P$6)</f>
        <v>120.88055579209296</v>
      </c>
      <c r="H153">
        <f t="shared" si="107"/>
        <v>78.159038281581871</v>
      </c>
      <c r="I153">
        <f t="shared" si="107"/>
        <v>48.139315176612051</v>
      </c>
      <c r="J153">
        <f t="shared" si="107"/>
        <v>27.29424162947177</v>
      </c>
      <c r="K153">
        <f t="shared" si="107"/>
        <v>16.801053381665646</v>
      </c>
      <c r="L153">
        <f t="shared" si="82"/>
        <v>145.37597473803294</v>
      </c>
      <c r="M153">
        <f t="shared" si="84"/>
        <v>1.4740252619670571</v>
      </c>
      <c r="N153">
        <f t="shared" si="85"/>
        <v>2.172750472917051</v>
      </c>
    </row>
    <row r="154" spans="1:14" x14ac:dyDescent="0.45">
      <c r="A154" s="23">
        <v>42206</v>
      </c>
      <c r="B154">
        <v>145.19</v>
      </c>
      <c r="C154">
        <v>144.94</v>
      </c>
      <c r="G154">
        <f t="shared" ref="G154:K154" si="108">SUMPRODUCT($B154:$B158,P$2:P$6)</f>
        <v>120.83092903254436</v>
      </c>
      <c r="H154">
        <f t="shared" si="108"/>
        <v>78.125515301696026</v>
      </c>
      <c r="I154">
        <f t="shared" si="108"/>
        <v>48.118627452276201</v>
      </c>
      <c r="J154">
        <f t="shared" si="108"/>
        <v>27.281819443736119</v>
      </c>
      <c r="K154">
        <f t="shared" si="108"/>
        <v>16.792434929644244</v>
      </c>
      <c r="L154">
        <f t="shared" si="82"/>
        <v>145.31842015375068</v>
      </c>
      <c r="M154">
        <f t="shared" si="84"/>
        <v>-9.8420153750680583E-2</v>
      </c>
      <c r="N154">
        <f t="shared" si="85"/>
        <v>9.6865266643076046E-3</v>
      </c>
    </row>
    <row r="155" spans="1:14" x14ac:dyDescent="0.45">
      <c r="A155" s="23">
        <v>42205</v>
      </c>
      <c r="B155">
        <v>144.58000000000001</v>
      </c>
      <c r="C155">
        <v>145.04</v>
      </c>
      <c r="G155">
        <f t="shared" ref="G155:K155" si="109">SUMPRODUCT($B155:$B159,P$2:P$6)</f>
        <v>120.34497226878091</v>
      </c>
      <c r="H155">
        <f t="shared" si="109"/>
        <v>77.812474159540955</v>
      </c>
      <c r="I155">
        <f t="shared" si="109"/>
        <v>47.925826866380092</v>
      </c>
      <c r="J155">
        <f t="shared" si="109"/>
        <v>27.173203426762978</v>
      </c>
      <c r="K155">
        <f t="shared" si="109"/>
        <v>16.726400381015381</v>
      </c>
      <c r="L155">
        <f t="shared" si="82"/>
        <v>144.76912851618931</v>
      </c>
      <c r="M155">
        <f t="shared" si="84"/>
        <v>0.42087148381068573</v>
      </c>
      <c r="N155">
        <f t="shared" si="85"/>
        <v>0.17713280588500829</v>
      </c>
    </row>
    <row r="156" spans="1:14" x14ac:dyDescent="0.45">
      <c r="A156" s="23">
        <v>42202</v>
      </c>
      <c r="B156">
        <v>144.12</v>
      </c>
      <c r="C156">
        <v>144.68</v>
      </c>
      <c r="G156">
        <f t="shared" ref="G156:K156" si="110">SUMPRODUCT($B156:$B160,P$2:P$6)</f>
        <v>120.0111511624126</v>
      </c>
      <c r="H156">
        <f t="shared" si="110"/>
        <v>77.599255887466185</v>
      </c>
      <c r="I156">
        <f t="shared" si="110"/>
        <v>47.794526111416765</v>
      </c>
      <c r="J156">
        <f t="shared" si="110"/>
        <v>27.100291625086808</v>
      </c>
      <c r="K156">
        <f t="shared" si="110"/>
        <v>16.6833908795616</v>
      </c>
      <c r="L156">
        <f t="shared" si="82"/>
        <v>144.39354654719713</v>
      </c>
      <c r="M156">
        <f t="shared" si="84"/>
        <v>0.18645345280287984</v>
      </c>
      <c r="N156">
        <f t="shared" si="85"/>
        <v>3.4764890062115736E-2</v>
      </c>
    </row>
    <row r="157" spans="1:14" x14ac:dyDescent="0.45">
      <c r="A157" s="23">
        <v>42201</v>
      </c>
      <c r="B157">
        <v>144.15</v>
      </c>
      <c r="C157">
        <v>144.33000000000001</v>
      </c>
      <c r="G157">
        <f t="shared" ref="G157:K157" si="111">SUMPRODUCT($B157:$B161,P$2:P$6)</f>
        <v>119.90833682676266</v>
      </c>
      <c r="H157">
        <f t="shared" si="111"/>
        <v>77.526413575752414</v>
      </c>
      <c r="I157">
        <f t="shared" si="111"/>
        <v>47.74969368354644</v>
      </c>
      <c r="J157">
        <f t="shared" si="111"/>
        <v>27.070644280006483</v>
      </c>
      <c r="K157">
        <f t="shared" si="111"/>
        <v>16.660365406289401</v>
      </c>
      <c r="L157">
        <f t="shared" si="82"/>
        <v>144.27087075866584</v>
      </c>
      <c r="M157">
        <f t="shared" si="84"/>
        <v>-0.15087075866583177</v>
      </c>
      <c r="N157">
        <f t="shared" si="85"/>
        <v>2.2761985820403653E-2</v>
      </c>
    </row>
    <row r="158" spans="1:14" x14ac:dyDescent="0.45">
      <c r="A158" s="23">
        <v>42200</v>
      </c>
      <c r="B158">
        <v>143.93</v>
      </c>
      <c r="C158">
        <v>143.63</v>
      </c>
      <c r="G158">
        <f t="shared" ref="G158:K158" si="112">SUMPRODUCT($B158:$B162,P$2:P$6)</f>
        <v>119.71584771232685</v>
      </c>
      <c r="H158">
        <f t="shared" si="112"/>
        <v>77.401280249250732</v>
      </c>
      <c r="I158">
        <f t="shared" si="112"/>
        <v>47.67261068953762</v>
      </c>
      <c r="J158">
        <f t="shared" si="112"/>
        <v>27.026631461782273</v>
      </c>
      <c r="K158">
        <f t="shared" si="112"/>
        <v>16.632921120339493</v>
      </c>
      <c r="L158">
        <f t="shared" si="82"/>
        <v>144.0522393869779</v>
      </c>
      <c r="M158">
        <f t="shared" si="84"/>
        <v>9.7760613022103371E-2</v>
      </c>
      <c r="N158">
        <f t="shared" si="85"/>
        <v>9.5571374584574476E-3</v>
      </c>
    </row>
    <row r="159" spans="1:14" x14ac:dyDescent="0.45">
      <c r="A159" s="23">
        <v>42199</v>
      </c>
      <c r="B159">
        <v>143.65</v>
      </c>
      <c r="C159">
        <v>143.93</v>
      </c>
      <c r="G159">
        <f t="shared" ref="G159:K159" si="113">SUMPRODUCT($B159:$B163,P$2:P$6)</f>
        <v>119.43363861312659</v>
      </c>
      <c r="H159">
        <f t="shared" si="113"/>
        <v>77.216578219762582</v>
      </c>
      <c r="I159">
        <f t="shared" si="113"/>
        <v>47.558913110214078</v>
      </c>
      <c r="J159">
        <f t="shared" si="113"/>
        <v>26.960402499916299</v>
      </c>
      <c r="K159">
        <f t="shared" si="113"/>
        <v>16.590374196706293</v>
      </c>
      <c r="L159">
        <f t="shared" si="82"/>
        <v>143.73035449123475</v>
      </c>
      <c r="M159">
        <f t="shared" si="84"/>
        <v>0.19964550876525777</v>
      </c>
      <c r="N159">
        <f t="shared" si="85"/>
        <v>3.9858329170138616E-2</v>
      </c>
    </row>
    <row r="160" spans="1:14" x14ac:dyDescent="0.45">
      <c r="A160" s="23">
        <v>42198</v>
      </c>
      <c r="B160">
        <v>143.86000000000001</v>
      </c>
      <c r="C160">
        <v>144.06</v>
      </c>
      <c r="G160">
        <f t="shared" ref="G160:K160" si="114">SUMPRODUCT($B160:$B164,P$2:P$6)</f>
        <v>119.33418466540209</v>
      </c>
      <c r="H160">
        <f t="shared" si="114"/>
        <v>77.137701431587544</v>
      </c>
      <c r="I160">
        <f t="shared" si="114"/>
        <v>47.510230213745238</v>
      </c>
      <c r="J160">
        <f t="shared" si="114"/>
        <v>26.924140657742189</v>
      </c>
      <c r="K160">
        <f t="shared" si="114"/>
        <v>16.557631180354004</v>
      </c>
      <c r="L160">
        <f t="shared" si="82"/>
        <v>143.60370443691147</v>
      </c>
      <c r="M160">
        <f t="shared" si="84"/>
        <v>4.6295563088534664E-2</v>
      </c>
      <c r="N160">
        <f t="shared" si="85"/>
        <v>2.1432791616844932E-3</v>
      </c>
    </row>
    <row r="161" spans="1:14" x14ac:dyDescent="0.45">
      <c r="A161" s="23">
        <v>42195</v>
      </c>
      <c r="B161">
        <v>141.71</v>
      </c>
      <c r="C161">
        <v>142.72</v>
      </c>
      <c r="G161">
        <f t="shared" ref="G161:K161" si="115">SUMPRODUCT($B161:$B165,P$2:P$6)</f>
        <v>117.64278945790279</v>
      </c>
      <c r="H161">
        <f t="shared" si="115"/>
        <v>76.049463606736268</v>
      </c>
      <c r="I161">
        <f t="shared" si="115"/>
        <v>46.840076658658205</v>
      </c>
      <c r="J161">
        <f t="shared" si="115"/>
        <v>26.547048749788846</v>
      </c>
      <c r="K161">
        <f t="shared" si="115"/>
        <v>16.329336777109116</v>
      </c>
      <c r="L161">
        <f t="shared" si="82"/>
        <v>141.69308470708549</v>
      </c>
      <c r="M161">
        <f t="shared" si="84"/>
        <v>2.1669152929145241</v>
      </c>
      <c r="N161">
        <f t="shared" si="85"/>
        <v>4.695521886666838</v>
      </c>
    </row>
    <row r="162" spans="1:14" x14ac:dyDescent="0.45">
      <c r="A162" s="23">
        <v>42194</v>
      </c>
      <c r="B162">
        <v>141.35</v>
      </c>
      <c r="C162">
        <v>139.44999999999999</v>
      </c>
      <c r="G162">
        <f t="shared" ref="G162:K162" si="116">SUMPRODUCT($B162:$B166,P$2:P$6)</f>
        <v>117.44196982619246</v>
      </c>
      <c r="H162">
        <f t="shared" si="116"/>
        <v>75.92400168235109</v>
      </c>
      <c r="I162">
        <f t="shared" si="116"/>
        <v>46.76266857761096</v>
      </c>
      <c r="J162">
        <f t="shared" si="116"/>
        <v>26.506703111350635</v>
      </c>
      <c r="K162">
        <f t="shared" si="116"/>
        <v>16.308084263781748</v>
      </c>
      <c r="L162">
        <f t="shared" si="82"/>
        <v>141.47006322954883</v>
      </c>
      <c r="M162">
        <f t="shared" si="84"/>
        <v>0.23993677045118034</v>
      </c>
      <c r="N162">
        <f t="shared" si="85"/>
        <v>5.7569653814542404E-2</v>
      </c>
    </row>
    <row r="163" spans="1:14" x14ac:dyDescent="0.45">
      <c r="A163" s="23">
        <v>42193</v>
      </c>
      <c r="B163">
        <v>139.97999999999999</v>
      </c>
      <c r="C163">
        <v>139.9</v>
      </c>
      <c r="G163">
        <f t="shared" ref="G163:K163" si="117">SUMPRODUCT($B163:$B167,P$2:P$6)</f>
        <v>116.25407009004826</v>
      </c>
      <c r="H163">
        <f t="shared" si="117"/>
        <v>75.152995666526735</v>
      </c>
      <c r="I163">
        <f t="shared" si="117"/>
        <v>46.287627946804655</v>
      </c>
      <c r="J163">
        <f t="shared" si="117"/>
        <v>26.236318730200665</v>
      </c>
      <c r="K163">
        <f t="shared" si="117"/>
        <v>16.139657591553259</v>
      </c>
      <c r="L163">
        <f t="shared" si="82"/>
        <v>140.12190798594656</v>
      </c>
      <c r="M163">
        <f t="shared" si="84"/>
        <v>1.2280920140534306</v>
      </c>
      <c r="N163">
        <f t="shared" si="85"/>
        <v>1.5082099949818115</v>
      </c>
    </row>
    <row r="164" spans="1:14" x14ac:dyDescent="0.45">
      <c r="A164" s="23">
        <v>42192</v>
      </c>
      <c r="B164">
        <v>136.30000000000001</v>
      </c>
      <c r="C164">
        <v>140.5</v>
      </c>
      <c r="G164">
        <f t="shared" ref="G164:K164" si="118">SUMPRODUCT($B164:$B168,P$2:P$6)</f>
        <v>113.48899963259954</v>
      </c>
      <c r="H164">
        <f t="shared" si="118"/>
        <v>73.381052424973632</v>
      </c>
      <c r="I164">
        <f t="shared" si="118"/>
        <v>45.196372696808972</v>
      </c>
      <c r="J164">
        <f t="shared" si="118"/>
        <v>25.627023943072651</v>
      </c>
      <c r="K164">
        <f t="shared" si="118"/>
        <v>15.775926962280625</v>
      </c>
      <c r="L164">
        <f t="shared" si="82"/>
        <v>137.00534820330034</v>
      </c>
      <c r="M164">
        <f t="shared" si="84"/>
        <v>2.9746517966996464</v>
      </c>
      <c r="N164">
        <f t="shared" si="85"/>
        <v>8.8485533116084341</v>
      </c>
    </row>
    <row r="165" spans="1:14" x14ac:dyDescent="0.45">
      <c r="A165" s="23">
        <v>42191</v>
      </c>
      <c r="B165">
        <v>135.15</v>
      </c>
      <c r="C165">
        <v>135.88</v>
      </c>
      <c r="G165">
        <f t="shared" ref="G165:K165" si="119">SUMPRODUCT($B165:$B169,P$2:P$6)</f>
        <v>112.70325092888811</v>
      </c>
      <c r="H165">
        <f t="shared" si="119"/>
        <v>72.882789080212348</v>
      </c>
      <c r="I165">
        <f t="shared" si="119"/>
        <v>44.889686311807111</v>
      </c>
      <c r="J165">
        <f t="shared" si="119"/>
        <v>25.458201735106382</v>
      </c>
      <c r="K165">
        <f t="shared" si="119"/>
        <v>15.678669941214308</v>
      </c>
      <c r="L165">
        <f t="shared" si="82"/>
        <v>136.12460961443585</v>
      </c>
      <c r="M165">
        <f t="shared" si="84"/>
        <v>0.17539038556415676</v>
      </c>
      <c r="N165">
        <f t="shared" si="85"/>
        <v>3.0761787348343568E-2</v>
      </c>
    </row>
    <row r="166" spans="1:14" x14ac:dyDescent="0.45">
      <c r="A166" s="23">
        <v>42187</v>
      </c>
      <c r="B166">
        <v>137</v>
      </c>
      <c r="C166">
        <v>136.38999999999999</v>
      </c>
      <c r="G166">
        <f t="shared" ref="G166:K166" si="120">SUMPRODUCT($B166:$B170,P$2:P$6)</f>
        <v>114.11854708119543</v>
      </c>
      <c r="H166">
        <f t="shared" si="120"/>
        <v>73.790438349785489</v>
      </c>
      <c r="I166">
        <f t="shared" si="120"/>
        <v>45.448497532290297</v>
      </c>
      <c r="J166">
        <f t="shared" si="120"/>
        <v>25.771561922183242</v>
      </c>
      <c r="K166">
        <f t="shared" si="120"/>
        <v>15.866635285208918</v>
      </c>
      <c r="L166">
        <f t="shared" si="82"/>
        <v>137.72068319582252</v>
      </c>
      <c r="M166">
        <f t="shared" si="84"/>
        <v>-2.5706831958225109</v>
      </c>
      <c r="N166">
        <f t="shared" si="85"/>
        <v>6.6084120932842376</v>
      </c>
    </row>
    <row r="167" spans="1:14" x14ac:dyDescent="0.45">
      <c r="A167" s="23">
        <v>42186</v>
      </c>
      <c r="B167">
        <v>135.79</v>
      </c>
      <c r="C167">
        <v>136.49</v>
      </c>
      <c r="G167">
        <f t="shared" ref="G167:K167" si="121">SUMPRODUCT($B167:$B171,P$2:P$6)</f>
        <v>113.25044888078033</v>
      </c>
      <c r="H167">
        <f t="shared" si="121"/>
        <v>73.236901774833754</v>
      </c>
      <c r="I167">
        <f t="shared" si="121"/>
        <v>45.107677601274112</v>
      </c>
      <c r="J167">
        <f t="shared" si="121"/>
        <v>25.582581566861542</v>
      </c>
      <c r="K167">
        <f t="shared" si="121"/>
        <v>15.755648864848858</v>
      </c>
      <c r="L167">
        <f t="shared" si="82"/>
        <v>136.74480767362593</v>
      </c>
      <c r="M167">
        <f t="shared" si="84"/>
        <v>0.25519232637407185</v>
      </c>
      <c r="N167">
        <f t="shared" si="85"/>
        <v>6.5123123440210803E-2</v>
      </c>
    </row>
    <row r="168" spans="1:14" x14ac:dyDescent="0.45">
      <c r="A168" s="23">
        <v>42185</v>
      </c>
      <c r="B168">
        <v>136.38</v>
      </c>
      <c r="C168">
        <v>135.06</v>
      </c>
      <c r="G168">
        <f t="shared" ref="G168:K168" si="122">SUMPRODUCT($B168:$B172,P$2:P$6)</f>
        <v>113.75953065364412</v>
      </c>
      <c r="H168">
        <f t="shared" si="122"/>
        <v>73.566956198603805</v>
      </c>
      <c r="I168">
        <f t="shared" si="122"/>
        <v>45.310958675161508</v>
      </c>
      <c r="J168">
        <f t="shared" si="122"/>
        <v>25.698432197076482</v>
      </c>
      <c r="K168">
        <f t="shared" si="122"/>
        <v>15.827632973235891</v>
      </c>
      <c r="L168">
        <f t="shared" si="82"/>
        <v>137.32228679930381</v>
      </c>
      <c r="M168">
        <f t="shared" si="84"/>
        <v>-1.5322867993038187</v>
      </c>
      <c r="N168">
        <f t="shared" si="85"/>
        <v>2.3479028353207414</v>
      </c>
    </row>
    <row r="169" spans="1:14" x14ac:dyDescent="0.45">
      <c r="A169" s="23">
        <v>42184</v>
      </c>
      <c r="B169">
        <v>137.01</v>
      </c>
      <c r="C169">
        <v>135.69</v>
      </c>
      <c r="G169">
        <f t="shared" ref="G169:K169" si="123">SUMPRODUCT($B169:$B173,P$2:P$6)</f>
        <v>114.31770905080003</v>
      </c>
      <c r="H169">
        <f t="shared" si="123"/>
        <v>73.929668475544375</v>
      </c>
      <c r="I169">
        <f t="shared" si="123"/>
        <v>45.534372274322585</v>
      </c>
      <c r="J169">
        <f t="shared" si="123"/>
        <v>25.826168349885048</v>
      </c>
      <c r="K169">
        <f t="shared" si="123"/>
        <v>15.907545532770584</v>
      </c>
      <c r="L169">
        <f t="shared" si="82"/>
        <v>137.95623394387766</v>
      </c>
      <c r="M169">
        <f t="shared" si="84"/>
        <v>-1.5762339438776678</v>
      </c>
      <c r="N169">
        <f t="shared" si="85"/>
        <v>2.4845134458321469</v>
      </c>
    </row>
    <row r="170" spans="1:14" x14ac:dyDescent="0.45">
      <c r="A170" s="23">
        <v>42181</v>
      </c>
      <c r="B170">
        <v>137.94</v>
      </c>
      <c r="C170">
        <v>138.06</v>
      </c>
      <c r="G170">
        <f t="shared" ref="G170:K170" si="124">SUMPRODUCT($B170:$B174,P$2:P$6)</f>
        <v>115.05246432664721</v>
      </c>
      <c r="H170">
        <f t="shared" si="124"/>
        <v>74.402662769001338</v>
      </c>
      <c r="I170">
        <f t="shared" si="124"/>
        <v>45.825676921291326</v>
      </c>
      <c r="J170">
        <f t="shared" si="124"/>
        <v>25.990110954907244</v>
      </c>
      <c r="K170">
        <f t="shared" si="124"/>
        <v>16.006956525585622</v>
      </c>
      <c r="L170">
        <f t="shared" si="82"/>
        <v>138.78644383561769</v>
      </c>
      <c r="M170">
        <f t="shared" si="84"/>
        <v>-1.7764438356176981</v>
      </c>
      <c r="N170">
        <f t="shared" si="85"/>
        <v>3.1557527011041193</v>
      </c>
    </row>
    <row r="171" spans="1:14" x14ac:dyDescent="0.45">
      <c r="A171" s="23">
        <v>42180</v>
      </c>
      <c r="B171">
        <v>138.44999999999999</v>
      </c>
      <c r="C171">
        <v>137.44999999999999</v>
      </c>
      <c r="G171">
        <f t="shared" ref="G171:K171" si="125">SUMPRODUCT($B171:$B175,P$2:P$6)</f>
        <v>115.44394625723105</v>
      </c>
      <c r="H171">
        <f t="shared" si="125"/>
        <v>74.654302288563656</v>
      </c>
      <c r="I171">
        <f t="shared" si="125"/>
        <v>45.980712098722506</v>
      </c>
      <c r="J171">
        <f t="shared" si="125"/>
        <v>26.076817048476482</v>
      </c>
      <c r="K171">
        <f t="shared" si="125"/>
        <v>16.059136003441722</v>
      </c>
      <c r="L171">
        <f t="shared" si="82"/>
        <v>139.22835366841528</v>
      </c>
      <c r="M171">
        <f t="shared" si="84"/>
        <v>-1.288353668415283</v>
      </c>
      <c r="N171">
        <f t="shared" si="85"/>
        <v>1.6598551749191168</v>
      </c>
    </row>
    <row r="172" spans="1:14" x14ac:dyDescent="0.45">
      <c r="A172" s="23">
        <v>42179</v>
      </c>
      <c r="B172">
        <v>139.34</v>
      </c>
      <c r="C172">
        <v>138.34</v>
      </c>
      <c r="G172">
        <f t="shared" ref="G172:K172" si="126">SUMPRODUCT($B172:$B176,P$2:P$6)</f>
        <v>116.07909012573644</v>
      </c>
      <c r="H172">
        <f t="shared" si="126"/>
        <v>75.059748777052476</v>
      </c>
      <c r="I172">
        <f t="shared" si="126"/>
        <v>46.230489231868496</v>
      </c>
      <c r="J172">
        <f t="shared" si="126"/>
        <v>26.214837385478731</v>
      </c>
      <c r="K172">
        <f t="shared" si="126"/>
        <v>16.140186002758476</v>
      </c>
      <c r="L172">
        <f t="shared" si="82"/>
        <v>139.94261518962281</v>
      </c>
      <c r="M172">
        <f t="shared" si="84"/>
        <v>-1.4926151896228248</v>
      </c>
      <c r="N172">
        <f t="shared" si="85"/>
        <v>2.2279001042927811</v>
      </c>
    </row>
    <row r="173" spans="1:14" x14ac:dyDescent="0.45">
      <c r="A173" s="23">
        <v>42178</v>
      </c>
      <c r="B173">
        <v>140.44</v>
      </c>
      <c r="C173">
        <v>139.65</v>
      </c>
      <c r="G173">
        <f t="shared" ref="G173:K173" si="127">SUMPRODUCT($B173:$B177,P$2:P$6)</f>
        <v>116.83025001974488</v>
      </c>
      <c r="H173">
        <f t="shared" si="127"/>
        <v>75.536855471321516</v>
      </c>
      <c r="I173">
        <f t="shared" si="127"/>
        <v>46.524341872080917</v>
      </c>
      <c r="J173">
        <f t="shared" si="127"/>
        <v>26.376081711544089</v>
      </c>
      <c r="K173">
        <f t="shared" si="127"/>
        <v>16.233260360541905</v>
      </c>
      <c r="L173">
        <f t="shared" si="82"/>
        <v>140.78511492702759</v>
      </c>
      <c r="M173">
        <f t="shared" si="84"/>
        <v>-1.4451149270275891</v>
      </c>
      <c r="N173">
        <f t="shared" si="85"/>
        <v>2.0883571523179545</v>
      </c>
    </row>
    <row r="174" spans="1:14" x14ac:dyDescent="0.45">
      <c r="A174" s="23">
        <v>42177</v>
      </c>
      <c r="B174">
        <v>140.84</v>
      </c>
      <c r="C174">
        <v>140.19</v>
      </c>
      <c r="G174">
        <f t="shared" ref="G174:K174" si="128">SUMPRODUCT($B174:$B178,P$2:P$6)</f>
        <v>117.0839826985126</v>
      </c>
      <c r="H174">
        <f t="shared" si="128"/>
        <v>75.696570976456982</v>
      </c>
      <c r="I174">
        <f t="shared" si="128"/>
        <v>46.622678679395868</v>
      </c>
      <c r="J174">
        <f t="shared" si="128"/>
        <v>26.429320626733226</v>
      </c>
      <c r="K174">
        <f t="shared" si="128"/>
        <v>16.263026528536738</v>
      </c>
      <c r="L174">
        <f t="shared" si="82"/>
        <v>141.06835585611429</v>
      </c>
      <c r="M174">
        <f t="shared" si="84"/>
        <v>-0.62835585611429678</v>
      </c>
      <c r="N174">
        <f t="shared" si="85"/>
        <v>0.39483108191313082</v>
      </c>
    </row>
    <row r="175" spans="1:14" x14ac:dyDescent="0.45">
      <c r="A175" s="23">
        <v>42174</v>
      </c>
      <c r="B175">
        <v>140.59</v>
      </c>
      <c r="C175">
        <v>140.30000000000001</v>
      </c>
      <c r="G175">
        <f t="shared" ref="G175:K175" si="129">SUMPRODUCT($B175:$B179,P$2:P$6)</f>
        <v>116.91050729930274</v>
      </c>
      <c r="H175">
        <f t="shared" si="129"/>
        <v>75.585724096213212</v>
      </c>
      <c r="I175">
        <f t="shared" si="129"/>
        <v>46.554314650904367</v>
      </c>
      <c r="J175">
        <f t="shared" si="129"/>
        <v>26.39191468777037</v>
      </c>
      <c r="K175">
        <f t="shared" si="129"/>
        <v>16.241209086331562</v>
      </c>
      <c r="L175">
        <f t="shared" si="82"/>
        <v>140.87327194226992</v>
      </c>
      <c r="M175">
        <f t="shared" si="84"/>
        <v>-3.3271942269919919E-2</v>
      </c>
      <c r="N175">
        <f t="shared" si="85"/>
        <v>1.1070221424128838E-3</v>
      </c>
    </row>
    <row r="176" spans="1:14" x14ac:dyDescent="0.45">
      <c r="A176" s="23">
        <v>42173</v>
      </c>
      <c r="B176">
        <v>139.49</v>
      </c>
      <c r="C176">
        <v>140.5</v>
      </c>
      <c r="G176">
        <f t="shared" ref="G176:K176" si="130">SUMPRODUCT($B176:$B180,P$2:P$6)</f>
        <v>116.10751210443641</v>
      </c>
      <c r="H176">
        <f t="shared" si="130"/>
        <v>75.072063857063938</v>
      </c>
      <c r="I176">
        <f t="shared" si="130"/>
        <v>46.237866711255172</v>
      </c>
      <c r="J176">
        <f t="shared" si="130"/>
        <v>26.216384822388186</v>
      </c>
      <c r="K176">
        <f t="shared" si="130"/>
        <v>16.137304969321463</v>
      </c>
      <c r="L176">
        <f t="shared" si="82"/>
        <v>139.96921630989567</v>
      </c>
      <c r="M176">
        <f t="shared" si="84"/>
        <v>0.62078369010433221</v>
      </c>
      <c r="N176">
        <f t="shared" si="85"/>
        <v>0.38537238989955158</v>
      </c>
    </row>
    <row r="177" spans="1:14" x14ac:dyDescent="0.45">
      <c r="A177" s="23">
        <v>42172</v>
      </c>
      <c r="B177">
        <v>137.94</v>
      </c>
      <c r="C177">
        <v>138.88</v>
      </c>
      <c r="G177">
        <f t="shared" ref="G177:K177" si="131">SUMPRODUCT($B177:$B181,P$2:P$6)</f>
        <v>114.95520613959926</v>
      </c>
      <c r="H177">
        <f t="shared" si="131"/>
        <v>74.334366560341508</v>
      </c>
      <c r="I177">
        <f t="shared" si="131"/>
        <v>45.783535632623661</v>
      </c>
      <c r="J177">
        <f t="shared" si="131"/>
        <v>25.963237896886174</v>
      </c>
      <c r="K177">
        <f t="shared" si="131"/>
        <v>15.9866810949939</v>
      </c>
      <c r="L177">
        <f t="shared" si="82"/>
        <v>138.67114481942085</v>
      </c>
      <c r="M177">
        <f t="shared" si="84"/>
        <v>0.81885518057916329</v>
      </c>
      <c r="N177">
        <f t="shared" si="85"/>
        <v>0.67052380676133416</v>
      </c>
    </row>
    <row r="178" spans="1:14" x14ac:dyDescent="0.45">
      <c r="A178" s="23">
        <v>42171</v>
      </c>
      <c r="B178">
        <v>137.19999999999999</v>
      </c>
      <c r="C178">
        <v>137.97999999999999</v>
      </c>
      <c r="G178">
        <f t="shared" ref="G178:K178" si="132">SUMPRODUCT($B178:$B182,P$2:P$6)</f>
        <v>114.34233584388724</v>
      </c>
      <c r="H178">
        <f t="shared" si="132"/>
        <v>73.938961710692283</v>
      </c>
      <c r="I178">
        <f t="shared" si="132"/>
        <v>45.540135665908103</v>
      </c>
      <c r="J178">
        <f t="shared" si="132"/>
        <v>25.82500189716189</v>
      </c>
      <c r="K178">
        <f t="shared" si="132"/>
        <v>15.901843376789811</v>
      </c>
      <c r="L178">
        <f t="shared" si="82"/>
        <v>137.97763740255857</v>
      </c>
      <c r="M178">
        <f t="shared" si="84"/>
        <v>-3.7637402558573285E-2</v>
      </c>
      <c r="N178">
        <f t="shared" si="85"/>
        <v>1.4165740713560989E-3</v>
      </c>
    </row>
    <row r="179" spans="1:14" x14ac:dyDescent="0.45">
      <c r="A179" s="23">
        <v>42170</v>
      </c>
      <c r="B179">
        <v>137.94</v>
      </c>
      <c r="C179">
        <v>137.22999999999999</v>
      </c>
      <c r="G179">
        <f t="shared" ref="G179:K179" si="133">SUMPRODUCT($B179:$B183,P$2:P$6)</f>
        <v>114.90414204034398</v>
      </c>
      <c r="H179">
        <f t="shared" si="133"/>
        <v>74.29949960968213</v>
      </c>
      <c r="I179">
        <f t="shared" si="133"/>
        <v>45.762241564582283</v>
      </c>
      <c r="J179">
        <f t="shared" si="133"/>
        <v>25.949018281471989</v>
      </c>
      <c r="K179">
        <f t="shared" si="133"/>
        <v>15.976206182901709</v>
      </c>
      <c r="L179">
        <f t="shared" si="82"/>
        <v>138.61129988200466</v>
      </c>
      <c r="M179">
        <f t="shared" si="84"/>
        <v>-1.4112998820046698</v>
      </c>
      <c r="N179">
        <f t="shared" si="85"/>
        <v>1.991767356946395</v>
      </c>
    </row>
    <row r="180" spans="1:14" x14ac:dyDescent="0.45">
      <c r="A180" s="23">
        <v>42167</v>
      </c>
      <c r="B180">
        <v>139.06</v>
      </c>
      <c r="C180">
        <v>138.78</v>
      </c>
      <c r="G180">
        <f t="shared" ref="G180:K180" si="134">SUMPRODUCT($B180:$B184,P$2:P$6)</f>
        <v>115.81656832544546</v>
      </c>
      <c r="H180">
        <f t="shared" si="134"/>
        <v>74.888119201175002</v>
      </c>
      <c r="I180">
        <f t="shared" si="134"/>
        <v>46.124734004053778</v>
      </c>
      <c r="J180">
        <f t="shared" si="134"/>
        <v>26.153996219906702</v>
      </c>
      <c r="K180">
        <f t="shared" si="134"/>
        <v>16.101594152791119</v>
      </c>
      <c r="L180">
        <f t="shared" si="82"/>
        <v>139.64353142942875</v>
      </c>
      <c r="M180">
        <f t="shared" si="84"/>
        <v>-1.7035314294287502</v>
      </c>
      <c r="N180">
        <f t="shared" si="85"/>
        <v>2.902019331051561</v>
      </c>
    </row>
    <row r="181" spans="1:14" x14ac:dyDescent="0.45">
      <c r="A181" s="23">
        <v>42166</v>
      </c>
      <c r="B181">
        <v>139.63999999999999</v>
      </c>
      <c r="C181">
        <v>139.32</v>
      </c>
      <c r="G181">
        <f t="shared" ref="G181:K181" si="135">SUMPRODUCT($B181:$B185,P$2:P$6)</f>
        <v>116.32344701581748</v>
      </c>
      <c r="H181">
        <f t="shared" si="135"/>
        <v>75.216332960451695</v>
      </c>
      <c r="I181">
        <f t="shared" si="135"/>
        <v>46.326710768827773</v>
      </c>
      <c r="J181">
        <f t="shared" si="135"/>
        <v>26.269763793087712</v>
      </c>
      <c r="K181">
        <f t="shared" si="135"/>
        <v>16.173570185388307</v>
      </c>
      <c r="L181">
        <f t="shared" si="82"/>
        <v>140.21831306552579</v>
      </c>
      <c r="M181">
        <f t="shared" si="84"/>
        <v>-1.1583130655257889</v>
      </c>
      <c r="N181">
        <f t="shared" si="85"/>
        <v>1.3416891577677506</v>
      </c>
    </row>
    <row r="182" spans="1:14" x14ac:dyDescent="0.45">
      <c r="A182" s="23">
        <v>42165</v>
      </c>
      <c r="B182">
        <v>138.32</v>
      </c>
      <c r="C182">
        <v>139.43</v>
      </c>
      <c r="G182">
        <f t="shared" ref="G182:K182" si="136">SUMPRODUCT($B182:$B186,P$2:P$6)</f>
        <v>115.35529618364542</v>
      </c>
      <c r="H182">
        <f t="shared" si="136"/>
        <v>74.597438737866085</v>
      </c>
      <c r="I182">
        <f t="shared" si="136"/>
        <v>45.94556752163745</v>
      </c>
      <c r="J182">
        <f t="shared" si="136"/>
        <v>26.057845023783891</v>
      </c>
      <c r="K182">
        <f t="shared" si="136"/>
        <v>16.048063061198938</v>
      </c>
      <c r="L182">
        <f t="shared" si="82"/>
        <v>139.12853651324247</v>
      </c>
      <c r="M182">
        <f t="shared" si="84"/>
        <v>0.51146348675752051</v>
      </c>
      <c r="N182">
        <f t="shared" si="85"/>
        <v>0.26159489828616034</v>
      </c>
    </row>
    <row r="183" spans="1:14" x14ac:dyDescent="0.45">
      <c r="A183" s="23">
        <v>42164</v>
      </c>
      <c r="B183">
        <v>137.91999999999999</v>
      </c>
      <c r="C183">
        <v>138.04</v>
      </c>
      <c r="G183">
        <f t="shared" ref="G183:K183" si="137">SUMPRODUCT($B183:$B187,P$2:P$6)</f>
        <v>115.0948916530898</v>
      </c>
      <c r="H183">
        <f t="shared" si="137"/>
        <v>74.433282895926197</v>
      </c>
      <c r="I183">
        <f t="shared" si="137"/>
        <v>45.84455888607323</v>
      </c>
      <c r="J183">
        <f t="shared" si="137"/>
        <v>26.002692413179858</v>
      </c>
      <c r="K183">
        <f t="shared" si="137"/>
        <v>16.016941853391618</v>
      </c>
      <c r="L183">
        <f t="shared" si="82"/>
        <v>138.83755261231508</v>
      </c>
      <c r="M183">
        <f t="shared" si="84"/>
        <v>-0.51755261231508598</v>
      </c>
      <c r="N183">
        <f t="shared" si="85"/>
        <v>0.26786070651416971</v>
      </c>
    </row>
    <row r="184" spans="1:14" x14ac:dyDescent="0.45">
      <c r="A184" s="23">
        <v>42163</v>
      </c>
      <c r="B184">
        <v>138.91</v>
      </c>
      <c r="C184">
        <v>138.05000000000001</v>
      </c>
      <c r="G184">
        <f t="shared" ref="G184:K184" si="138">SUMPRODUCT($B184:$B188,P$2:P$6)</f>
        <v>115.90116113406643</v>
      </c>
      <c r="H184">
        <f t="shared" si="138"/>
        <v>74.953990259045938</v>
      </c>
      <c r="I184">
        <f t="shared" si="138"/>
        <v>46.16534804458481</v>
      </c>
      <c r="J184">
        <f t="shared" si="138"/>
        <v>26.183779391352708</v>
      </c>
      <c r="K184">
        <f t="shared" si="138"/>
        <v>16.127829436898484</v>
      </c>
      <c r="L184">
        <f t="shared" si="82"/>
        <v>139.75008679778279</v>
      </c>
      <c r="M184">
        <f t="shared" si="84"/>
        <v>-1.8300867977827977</v>
      </c>
      <c r="N184">
        <f t="shared" si="85"/>
        <v>3.3492176874188946</v>
      </c>
    </row>
    <row r="185" spans="1:14" x14ac:dyDescent="0.45">
      <c r="A185" s="23">
        <v>42160</v>
      </c>
      <c r="B185">
        <v>140.74</v>
      </c>
      <c r="C185">
        <v>138.78</v>
      </c>
      <c r="G185">
        <f t="shared" ref="G185:K185" si="139">SUMPRODUCT($B185:$B189,P$2:P$6)</f>
        <v>117.35429156057195</v>
      </c>
      <c r="H185">
        <f t="shared" si="139"/>
        <v>75.889484742527799</v>
      </c>
      <c r="I185">
        <f t="shared" si="139"/>
        <v>46.741448801926616</v>
      </c>
      <c r="J185">
        <f t="shared" si="139"/>
        <v>26.508336738275553</v>
      </c>
      <c r="K185">
        <f t="shared" si="139"/>
        <v>16.324891018618111</v>
      </c>
      <c r="L185">
        <f t="shared" si="82"/>
        <v>141.39213165179672</v>
      </c>
      <c r="M185">
        <f t="shared" si="84"/>
        <v>-2.4821316517967205</v>
      </c>
      <c r="N185">
        <f t="shared" si="85"/>
        <v>6.1609775368511164</v>
      </c>
    </row>
    <row r="186" spans="1:14" x14ac:dyDescent="0.45">
      <c r="A186" s="23">
        <v>42159</v>
      </c>
      <c r="B186">
        <v>141.37</v>
      </c>
      <c r="C186">
        <v>140.65</v>
      </c>
      <c r="G186">
        <f t="shared" ref="G186:K186" si="140">SUMPRODUCT($B186:$B190,P$2:P$6)</f>
        <v>117.87656517847635</v>
      </c>
      <c r="H186">
        <f t="shared" si="140"/>
        <v>76.226986275076371</v>
      </c>
      <c r="I186">
        <f t="shared" si="140"/>
        <v>46.949295283008652</v>
      </c>
      <c r="J186">
        <f t="shared" si="140"/>
        <v>26.626189007508238</v>
      </c>
      <c r="K186">
        <f t="shared" si="140"/>
        <v>16.397324190010426</v>
      </c>
      <c r="L186">
        <f t="shared" si="82"/>
        <v>141.98351907468583</v>
      </c>
      <c r="M186">
        <f t="shared" si="84"/>
        <v>-1.2435190746858211</v>
      </c>
      <c r="N186">
        <f t="shared" si="85"/>
        <v>1.5463396891074808</v>
      </c>
    </row>
    <row r="187" spans="1:14" x14ac:dyDescent="0.45">
      <c r="A187" s="23">
        <v>42158</v>
      </c>
      <c r="B187">
        <v>141.66999999999999</v>
      </c>
      <c r="C187">
        <v>142.13</v>
      </c>
      <c r="G187">
        <f t="shared" ref="G187:K187" si="141">SUMPRODUCT($B187:$B191,P$2:P$6)</f>
        <v>118.13981270836263</v>
      </c>
      <c r="H187">
        <f t="shared" si="141"/>
        <v>76.397904739920136</v>
      </c>
      <c r="I187">
        <f t="shared" si="141"/>
        <v>47.054563143237736</v>
      </c>
      <c r="J187">
        <f t="shared" si="141"/>
        <v>26.686330648247331</v>
      </c>
      <c r="K187">
        <f t="shared" si="141"/>
        <v>16.434846748318584</v>
      </c>
      <c r="L187">
        <f t="shared" si="82"/>
        <v>142.2823687103245</v>
      </c>
      <c r="M187">
        <f t="shared" si="84"/>
        <v>-0.9123687103245004</v>
      </c>
      <c r="N187">
        <f t="shared" si="85"/>
        <v>0.83241666357919208</v>
      </c>
    </row>
    <row r="188" spans="1:14" x14ac:dyDescent="0.45">
      <c r="A188" s="23">
        <v>42157</v>
      </c>
      <c r="B188">
        <v>141.97</v>
      </c>
      <c r="C188">
        <v>141.4</v>
      </c>
      <c r="G188">
        <f t="shared" ref="G188:K188" si="142">SUMPRODUCT($B188:$B192,P$2:P$6)</f>
        <v>118.35323533042313</v>
      </c>
      <c r="H188">
        <f t="shared" si="142"/>
        <v>76.534446378756485</v>
      </c>
      <c r="I188">
        <f t="shared" si="142"/>
        <v>47.138746187352623</v>
      </c>
      <c r="J188">
        <f t="shared" si="142"/>
        <v>26.732663957866304</v>
      </c>
      <c r="K188">
        <f t="shared" si="142"/>
        <v>16.462091374256527</v>
      </c>
      <c r="L188">
        <f t="shared" si="82"/>
        <v>142.5225799306682</v>
      </c>
      <c r="M188">
        <f t="shared" si="84"/>
        <v>-0.85257993066821314</v>
      </c>
      <c r="N188">
        <f t="shared" si="85"/>
        <v>0.72689253817821509</v>
      </c>
    </row>
    <row r="189" spans="1:14" x14ac:dyDescent="0.45">
      <c r="A189" s="23">
        <v>42156</v>
      </c>
      <c r="B189">
        <v>143.05000000000001</v>
      </c>
      <c r="C189">
        <v>142.38999999999999</v>
      </c>
      <c r="G189">
        <f t="shared" ref="G189:K189" si="143">SUMPRODUCT($B189:$B193,P$2:P$6)</f>
        <v>119.20902099466116</v>
      </c>
      <c r="H189">
        <f t="shared" si="143"/>
        <v>77.085345690262557</v>
      </c>
      <c r="I189">
        <f t="shared" si="143"/>
        <v>47.478031275587973</v>
      </c>
      <c r="J189">
        <f t="shared" si="143"/>
        <v>26.92365724888144</v>
      </c>
      <c r="K189">
        <f t="shared" si="143"/>
        <v>16.578020147614822</v>
      </c>
      <c r="L189">
        <f t="shared" si="82"/>
        <v>143.48956526678845</v>
      </c>
      <c r="M189">
        <f t="shared" si="84"/>
        <v>-1.5195652667884474</v>
      </c>
      <c r="N189">
        <f t="shared" si="85"/>
        <v>2.3090786000298453</v>
      </c>
    </row>
    <row r="190" spans="1:14" x14ac:dyDescent="0.45">
      <c r="A190" s="23">
        <v>42153</v>
      </c>
      <c r="B190">
        <v>143.78</v>
      </c>
      <c r="C190">
        <v>142.59</v>
      </c>
      <c r="G190">
        <f t="shared" ref="G190:K190" si="144">SUMPRODUCT($B190:$B194,P$2:P$6)</f>
        <v>119.7615551810496</v>
      </c>
      <c r="H190">
        <f t="shared" si="144"/>
        <v>77.439791671369136</v>
      </c>
      <c r="I190">
        <f t="shared" si="144"/>
        <v>47.696344672398752</v>
      </c>
      <c r="J190">
        <f t="shared" si="144"/>
        <v>27.045630256656516</v>
      </c>
      <c r="K190">
        <f t="shared" si="144"/>
        <v>16.651034425480862</v>
      </c>
      <c r="L190">
        <f t="shared" si="82"/>
        <v>144.11265419181422</v>
      </c>
      <c r="M190">
        <f t="shared" si="84"/>
        <v>-1.0626541918142038</v>
      </c>
      <c r="N190">
        <f t="shared" si="85"/>
        <v>1.1292339313802988</v>
      </c>
    </row>
    <row r="191" spans="1:14" x14ac:dyDescent="0.45">
      <c r="A191" s="23">
        <v>42152</v>
      </c>
      <c r="B191">
        <v>144.32</v>
      </c>
      <c r="C191">
        <v>144.26</v>
      </c>
      <c r="G191">
        <f t="shared" ref="G191:K191" si="145">SUMPRODUCT($B191:$B195,P$2:P$6)</f>
        <v>120.12175997749914</v>
      </c>
      <c r="H191">
        <f t="shared" si="145"/>
        <v>77.667747170647587</v>
      </c>
      <c r="I191">
        <f t="shared" si="145"/>
        <v>47.836671152216127</v>
      </c>
      <c r="J191">
        <f t="shared" si="145"/>
        <v>27.122480337653002</v>
      </c>
      <c r="K191">
        <f t="shared" si="145"/>
        <v>16.694902873454204</v>
      </c>
      <c r="L191">
        <f t="shared" si="82"/>
        <v>144.51593522405534</v>
      </c>
      <c r="M191">
        <f t="shared" si="84"/>
        <v>-0.73593522405533918</v>
      </c>
      <c r="N191">
        <f t="shared" si="85"/>
        <v>0.54160065400538226</v>
      </c>
    </row>
    <row r="192" spans="1:14" x14ac:dyDescent="0.45">
      <c r="A192" s="23">
        <v>42151</v>
      </c>
      <c r="B192">
        <v>143.63</v>
      </c>
      <c r="C192">
        <v>145.41999999999999</v>
      </c>
      <c r="G192">
        <f t="shared" ref="G192:K192" si="146">SUMPRODUCT($B192:$B196,P$2:P$6)</f>
        <v>119.70761826199727</v>
      </c>
      <c r="H192">
        <f t="shared" si="146"/>
        <v>77.408313989924338</v>
      </c>
      <c r="I192">
        <f t="shared" si="146"/>
        <v>47.676916665845759</v>
      </c>
      <c r="J192">
        <f t="shared" si="146"/>
        <v>27.03701285809252</v>
      </c>
      <c r="K192">
        <f t="shared" si="146"/>
        <v>16.648359210418946</v>
      </c>
      <c r="L192">
        <f t="shared" si="82"/>
        <v>144.05492076191817</v>
      </c>
      <c r="M192">
        <f t="shared" si="84"/>
        <v>0.26507923808182454</v>
      </c>
      <c r="N192">
        <f t="shared" si="85"/>
        <v>7.0267002462040623E-2</v>
      </c>
    </row>
    <row r="193" spans="1:14" x14ac:dyDescent="0.45">
      <c r="A193" s="23">
        <v>42150</v>
      </c>
      <c r="B193">
        <v>144.08000000000001</v>
      </c>
      <c r="C193">
        <v>143.25</v>
      </c>
      <c r="G193">
        <f t="shared" ref="G193:K193" si="147">SUMPRODUCT($B193:$B197,P$2:P$6)</f>
        <v>120.0280489622249</v>
      </c>
      <c r="H193">
        <f t="shared" si="147"/>
        <v>77.612709248534799</v>
      </c>
      <c r="I193">
        <f t="shared" si="147"/>
        <v>47.802780445592859</v>
      </c>
      <c r="J193">
        <f t="shared" si="147"/>
        <v>27.106709889182909</v>
      </c>
      <c r="K193">
        <f t="shared" si="147"/>
        <v>16.689187018100611</v>
      </c>
      <c r="L193">
        <f t="shared" si="82"/>
        <v>144.41515754766664</v>
      </c>
      <c r="M193">
        <f t="shared" si="84"/>
        <v>-0.78515754766664259</v>
      </c>
      <c r="N193">
        <f t="shared" si="85"/>
        <v>0.61647237465789617</v>
      </c>
    </row>
    <row r="194" spans="1:14" x14ac:dyDescent="0.45">
      <c r="A194" s="23">
        <v>42146</v>
      </c>
      <c r="B194">
        <v>143.9</v>
      </c>
      <c r="C194">
        <v>143.68</v>
      </c>
      <c r="G194">
        <f t="shared" ref="G194:K194" si="148">SUMPRODUCT($B194:$B198,P$2:P$6)</f>
        <v>119.87581906649459</v>
      </c>
      <c r="H194">
        <f t="shared" si="148"/>
        <v>77.514017308339746</v>
      </c>
      <c r="I194">
        <f t="shared" si="148"/>
        <v>47.741964448018848</v>
      </c>
      <c r="J194">
        <f t="shared" si="148"/>
        <v>27.072230448153356</v>
      </c>
      <c r="K194">
        <f t="shared" si="148"/>
        <v>16.667839514623029</v>
      </c>
      <c r="L194">
        <f t="shared" ref="L194:L246" si="149">(G194+$P$7)*$U$2+(H194+$Q$7)*$U$3+(I194+$R$7)*$U$4+(J194+$S$7)*$U$5+(K194+$T$7)*$U$6+$U$7</f>
        <v>144.24251892524117</v>
      </c>
      <c r="M194">
        <f t="shared" si="84"/>
        <v>-0.16251892524115874</v>
      </c>
      <c r="N194">
        <f t="shared" si="85"/>
        <v>2.6412401061541343E-2</v>
      </c>
    </row>
    <row r="195" spans="1:14" x14ac:dyDescent="0.45">
      <c r="A195" s="23">
        <v>42145</v>
      </c>
      <c r="B195">
        <v>143.37</v>
      </c>
      <c r="C195">
        <v>143.94</v>
      </c>
      <c r="G195">
        <f t="shared" ref="G195:K195" si="150">SUMPRODUCT($B195:$B199,P$2:P$6)</f>
        <v>119.43284302684506</v>
      </c>
      <c r="H195">
        <f t="shared" si="150"/>
        <v>77.228429114115471</v>
      </c>
      <c r="I195">
        <f t="shared" si="150"/>
        <v>47.566264827441934</v>
      </c>
      <c r="J195">
        <f t="shared" si="150"/>
        <v>26.972037850153797</v>
      </c>
      <c r="K195">
        <f t="shared" si="150"/>
        <v>16.606309334221955</v>
      </c>
      <c r="L195">
        <f t="shared" si="149"/>
        <v>143.74134359138856</v>
      </c>
      <c r="M195">
        <f t="shared" ref="M195:M246" si="151">B194-L195</f>
        <v>0.15865640861144925</v>
      </c>
      <c r="N195">
        <f t="shared" ref="N195:N246" si="152">M195^2</f>
        <v>2.5171855993483146E-2</v>
      </c>
    </row>
    <row r="196" spans="1:14" x14ac:dyDescent="0.45">
      <c r="A196" s="23">
        <v>42144</v>
      </c>
      <c r="B196">
        <v>145.06</v>
      </c>
      <c r="C196">
        <v>143.49</v>
      </c>
      <c r="G196">
        <f t="shared" ref="G196:K196" si="153">SUMPRODUCT($B196:$B200,P$2:P$6)</f>
        <v>120.74980251308223</v>
      </c>
      <c r="H196">
        <f t="shared" si="153"/>
        <v>78.074455704870545</v>
      </c>
      <c r="I196">
        <f t="shared" si="153"/>
        <v>48.087195252086531</v>
      </c>
      <c r="J196">
        <f t="shared" si="153"/>
        <v>27.26482017046008</v>
      </c>
      <c r="K196">
        <f t="shared" si="153"/>
        <v>16.78301292475799</v>
      </c>
      <c r="L196">
        <f t="shared" si="149"/>
        <v>145.22788067621914</v>
      </c>
      <c r="M196">
        <f t="shared" si="151"/>
        <v>-1.8578806762191391</v>
      </c>
      <c r="N196">
        <f t="shared" si="152"/>
        <v>3.4517206070684856</v>
      </c>
    </row>
    <row r="197" spans="1:14" x14ac:dyDescent="0.45">
      <c r="A197" s="23">
        <v>42143</v>
      </c>
      <c r="B197">
        <v>144.81</v>
      </c>
      <c r="C197">
        <v>144.74</v>
      </c>
      <c r="G197">
        <f t="shared" ref="G197:K197" si="154">SUMPRODUCT($B197:$B201,P$2:P$6)</f>
        <v>120.54595384345616</v>
      </c>
      <c r="H197">
        <f t="shared" si="154"/>
        <v>77.943044698421744</v>
      </c>
      <c r="I197">
        <f t="shared" si="154"/>
        <v>48.006277390235013</v>
      </c>
      <c r="J197">
        <f t="shared" si="154"/>
        <v>27.219045544662542</v>
      </c>
      <c r="K197">
        <f t="shared" si="154"/>
        <v>16.755010934253399</v>
      </c>
      <c r="L197">
        <f t="shared" si="149"/>
        <v>144.99733328882436</v>
      </c>
      <c r="M197">
        <f t="shared" si="151"/>
        <v>6.2666711175637602E-2</v>
      </c>
      <c r="N197">
        <f t="shared" si="152"/>
        <v>3.9271166895707829E-3</v>
      </c>
    </row>
    <row r="198" spans="1:14" x14ac:dyDescent="0.45">
      <c r="A198" s="23">
        <v>42142</v>
      </c>
      <c r="B198">
        <v>144.74</v>
      </c>
      <c r="C198">
        <v>145.06</v>
      </c>
      <c r="G198">
        <f t="shared" ref="G198:K198" si="155">SUMPRODUCT($B198:$B202,P$2:P$6)</f>
        <v>120.46319059754155</v>
      </c>
      <c r="H198">
        <f t="shared" si="155"/>
        <v>77.887737382482229</v>
      </c>
      <c r="I198">
        <f t="shared" si="155"/>
        <v>47.972094518701375</v>
      </c>
      <c r="J198">
        <f t="shared" si="155"/>
        <v>27.199179440463425</v>
      </c>
      <c r="K198">
        <f t="shared" si="155"/>
        <v>16.741732815886834</v>
      </c>
      <c r="L198">
        <f t="shared" si="149"/>
        <v>144.90199797928034</v>
      </c>
      <c r="M198">
        <f t="shared" si="151"/>
        <v>-9.199797928033604E-2</v>
      </c>
      <c r="N198">
        <f t="shared" si="152"/>
        <v>8.4636281916651394E-3</v>
      </c>
    </row>
    <row r="199" spans="1:14" x14ac:dyDescent="0.45">
      <c r="A199" s="23">
        <v>42139</v>
      </c>
      <c r="B199">
        <v>143.22</v>
      </c>
      <c r="C199">
        <v>144.83000000000001</v>
      </c>
      <c r="G199">
        <f t="shared" ref="G199:K199" si="156">SUMPRODUCT($B199:$B203,P$2:P$6)</f>
        <v>119.42699882027323</v>
      </c>
      <c r="H199">
        <f t="shared" si="156"/>
        <v>77.230136992405889</v>
      </c>
      <c r="I199">
        <f t="shared" si="156"/>
        <v>47.567195402099955</v>
      </c>
      <c r="J199">
        <f t="shared" si="156"/>
        <v>26.97673559017332</v>
      </c>
      <c r="K199">
        <f t="shared" si="156"/>
        <v>16.613553775611834</v>
      </c>
      <c r="L199">
        <f t="shared" si="149"/>
        <v>143.74021131110138</v>
      </c>
      <c r="M199">
        <f t="shared" si="151"/>
        <v>0.99978868889863293</v>
      </c>
      <c r="N199">
        <f t="shared" si="152"/>
        <v>0.99957742244964742</v>
      </c>
    </row>
    <row r="200" spans="1:14" x14ac:dyDescent="0.45">
      <c r="A200" s="23">
        <v>42138</v>
      </c>
      <c r="B200">
        <v>144.13</v>
      </c>
      <c r="C200">
        <v>142.6</v>
      </c>
      <c r="G200">
        <f t="shared" ref="G200:K200" si="157">SUMPRODUCT($B200:$B204,P$2:P$6)</f>
        <v>120.13166405391512</v>
      </c>
      <c r="H200">
        <f t="shared" si="157"/>
        <v>77.682767877286864</v>
      </c>
      <c r="I200">
        <f t="shared" si="157"/>
        <v>47.845900852339675</v>
      </c>
      <c r="J200">
        <f t="shared" si="157"/>
        <v>27.133256751269005</v>
      </c>
      <c r="K200">
        <f t="shared" si="157"/>
        <v>16.707826037464049</v>
      </c>
      <c r="L200">
        <f t="shared" si="149"/>
        <v>144.5355213525643</v>
      </c>
      <c r="M200">
        <f t="shared" si="151"/>
        <v>-1.3155213525643035</v>
      </c>
      <c r="N200">
        <f t="shared" si="152"/>
        <v>1.7305964290526143</v>
      </c>
    </row>
    <row r="201" spans="1:14" x14ac:dyDescent="0.45">
      <c r="A201" s="23">
        <v>42137</v>
      </c>
      <c r="B201">
        <v>143.88</v>
      </c>
      <c r="C201">
        <v>143.24</v>
      </c>
      <c r="G201">
        <f t="shared" ref="G201:K201" si="158">SUMPRODUCT($B201:$B205,P$2:P$6)</f>
        <v>119.86371749016848</v>
      </c>
      <c r="H201">
        <f t="shared" si="158"/>
        <v>77.506791323078772</v>
      </c>
      <c r="I201">
        <f t="shared" si="158"/>
        <v>47.737575481180485</v>
      </c>
      <c r="J201">
        <f t="shared" si="158"/>
        <v>27.069749258926617</v>
      </c>
      <c r="K201">
        <f t="shared" si="158"/>
        <v>16.666541617823743</v>
      </c>
      <c r="L201">
        <f t="shared" si="149"/>
        <v>144.22929955501058</v>
      </c>
      <c r="M201">
        <f t="shared" si="151"/>
        <v>-9.9299555010588847E-2</v>
      </c>
      <c r="N201">
        <f t="shared" si="152"/>
        <v>9.8604016253009599E-3</v>
      </c>
    </row>
    <row r="202" spans="1:14" x14ac:dyDescent="0.45">
      <c r="A202" s="23">
        <v>42136</v>
      </c>
      <c r="B202">
        <v>144</v>
      </c>
      <c r="C202">
        <v>144.07</v>
      </c>
      <c r="G202">
        <f t="shared" ref="G202:K202" si="159">SUMPRODUCT($B202:$B206,P$2:P$6)</f>
        <v>120.03765972600014</v>
      </c>
      <c r="H202">
        <f t="shared" si="159"/>
        <v>77.623303740453224</v>
      </c>
      <c r="I202">
        <f t="shared" si="159"/>
        <v>47.809422845398778</v>
      </c>
      <c r="J202">
        <f t="shared" si="159"/>
        <v>27.112633609832478</v>
      </c>
      <c r="K202">
        <f t="shared" si="159"/>
        <v>16.695829968392562</v>
      </c>
      <c r="L202">
        <f t="shared" si="149"/>
        <v>144.43016116298571</v>
      </c>
      <c r="M202">
        <f t="shared" si="151"/>
        <v>-0.5501611629857166</v>
      </c>
      <c r="N202">
        <f t="shared" si="152"/>
        <v>0.30267730525779624</v>
      </c>
    </row>
    <row r="203" spans="1:14" x14ac:dyDescent="0.45">
      <c r="A203" s="23">
        <v>42135</v>
      </c>
      <c r="B203">
        <v>145.54</v>
      </c>
      <c r="C203">
        <v>144.27000000000001</v>
      </c>
      <c r="G203">
        <f t="shared" ref="G203:K203" si="160">SUMPRODUCT($B203:$B207,P$2:P$6)</f>
        <v>121.1952115024354</v>
      </c>
      <c r="H203">
        <f t="shared" si="160"/>
        <v>78.365145944323586</v>
      </c>
      <c r="I203">
        <f t="shared" si="160"/>
        <v>48.266287713613053</v>
      </c>
      <c r="J203">
        <f t="shared" si="160"/>
        <v>27.367742708045945</v>
      </c>
      <c r="K203">
        <f t="shared" si="160"/>
        <v>16.848138909102776</v>
      </c>
      <c r="L203">
        <f t="shared" si="149"/>
        <v>145.73489921985143</v>
      </c>
      <c r="M203">
        <f t="shared" si="151"/>
        <v>-1.7348992198514281</v>
      </c>
      <c r="N203">
        <f t="shared" si="152"/>
        <v>3.0098753030410941</v>
      </c>
    </row>
    <row r="204" spans="1:14" x14ac:dyDescent="0.45">
      <c r="A204" s="23">
        <v>42132</v>
      </c>
      <c r="B204">
        <v>146</v>
      </c>
      <c r="C204">
        <v>145.88</v>
      </c>
      <c r="G204">
        <f t="shared" ref="G204:K204" si="161">SUMPRODUCT($B204:$B208,P$2:P$6)</f>
        <v>121.52076245434368</v>
      </c>
      <c r="H204">
        <f t="shared" si="161"/>
        <v>78.571988224467972</v>
      </c>
      <c r="I204">
        <f t="shared" si="161"/>
        <v>48.393534635134351</v>
      </c>
      <c r="J204">
        <f t="shared" si="161"/>
        <v>27.438413608133722</v>
      </c>
      <c r="K204">
        <f t="shared" si="161"/>
        <v>16.889323503352689</v>
      </c>
      <c r="L204">
        <f t="shared" si="149"/>
        <v>146.10027865486754</v>
      </c>
      <c r="M204">
        <f t="shared" si="151"/>
        <v>-0.56027865486754536</v>
      </c>
      <c r="N204">
        <f t="shared" si="152"/>
        <v>0.31391217110018599</v>
      </c>
    </row>
    <row r="205" spans="1:14" x14ac:dyDescent="0.45">
      <c r="A205" s="23">
        <v>42131</v>
      </c>
      <c r="B205">
        <v>144.52000000000001</v>
      </c>
      <c r="C205">
        <v>144.56</v>
      </c>
      <c r="G205">
        <f t="shared" ref="G205:K205" si="162">SUMPRODUCT($B205:$B209,P$2:P$6)</f>
        <v>120.31895018199867</v>
      </c>
      <c r="H205">
        <f t="shared" si="162"/>
        <v>77.797483017018948</v>
      </c>
      <c r="I205">
        <f t="shared" si="162"/>
        <v>47.916705061923814</v>
      </c>
      <c r="J205">
        <f t="shared" si="162"/>
        <v>27.168542012660389</v>
      </c>
      <c r="K205">
        <f t="shared" si="162"/>
        <v>16.724541302077267</v>
      </c>
      <c r="L205">
        <f t="shared" si="149"/>
        <v>144.74127641799834</v>
      </c>
      <c r="M205">
        <f t="shared" si="151"/>
        <v>1.2587235820016645</v>
      </c>
      <c r="N205">
        <f t="shared" si="152"/>
        <v>1.5843850558871009</v>
      </c>
    </row>
    <row r="206" spans="1:14" x14ac:dyDescent="0.45">
      <c r="A206" s="23">
        <v>42130</v>
      </c>
      <c r="B206">
        <v>145.35</v>
      </c>
      <c r="C206">
        <v>144.77000000000001</v>
      </c>
      <c r="G206">
        <f t="shared" ref="G206:K206" si="163">SUMPRODUCT($B206:$B210,P$2:P$6)</f>
        <v>120.95996805113079</v>
      </c>
      <c r="H206">
        <f t="shared" si="163"/>
        <v>78.208812279364352</v>
      </c>
      <c r="I206">
        <f t="shared" si="163"/>
        <v>48.169962000615605</v>
      </c>
      <c r="J206">
        <f t="shared" si="163"/>
        <v>27.310695533398953</v>
      </c>
      <c r="K206">
        <f t="shared" si="163"/>
        <v>16.810092031851593</v>
      </c>
      <c r="L206">
        <f t="shared" si="149"/>
        <v>145.4644170195655</v>
      </c>
      <c r="M206">
        <f t="shared" si="151"/>
        <v>-0.94441701956549196</v>
      </c>
      <c r="N206">
        <f t="shared" si="152"/>
        <v>0.8919235068449668</v>
      </c>
    </row>
    <row r="207" spans="1:14" x14ac:dyDescent="0.45">
      <c r="A207" s="23">
        <v>42129</v>
      </c>
      <c r="B207">
        <v>145.12</v>
      </c>
      <c r="C207">
        <v>144.5</v>
      </c>
      <c r="G207">
        <f t="shared" ref="G207:K207" si="164">SUMPRODUCT($B207:$B211,P$2:P$6)</f>
        <v>120.90673567093279</v>
      </c>
      <c r="H207">
        <f t="shared" si="164"/>
        <v>78.181447731359953</v>
      </c>
      <c r="I207">
        <f t="shared" si="164"/>
        <v>48.153097358097909</v>
      </c>
      <c r="J207">
        <f t="shared" si="164"/>
        <v>27.305655019693909</v>
      </c>
      <c r="K207">
        <f t="shared" si="164"/>
        <v>16.812177403312141</v>
      </c>
      <c r="L207">
        <f t="shared" si="149"/>
        <v>145.41097890583615</v>
      </c>
      <c r="M207">
        <f t="shared" si="151"/>
        <v>-6.0978905836151398E-2</v>
      </c>
      <c r="N207">
        <f t="shared" si="152"/>
        <v>3.718426956974219E-3</v>
      </c>
    </row>
    <row r="208" spans="1:14" x14ac:dyDescent="0.45">
      <c r="A208" s="23">
        <v>42128</v>
      </c>
      <c r="B208">
        <v>145.38999999999999</v>
      </c>
      <c r="C208">
        <v>145.75</v>
      </c>
      <c r="G208">
        <f t="shared" ref="G208:K208" si="165">SUMPRODUCT($B208:$B212,P$2:P$6)</f>
        <v>121.11970202306574</v>
      </c>
      <c r="H208">
        <f t="shared" si="165"/>
        <v>78.317873494556522</v>
      </c>
      <c r="I208">
        <f t="shared" si="165"/>
        <v>48.236944676432351</v>
      </c>
      <c r="J208">
        <f t="shared" si="165"/>
        <v>27.353318275847265</v>
      </c>
      <c r="K208">
        <f t="shared" si="165"/>
        <v>16.840867013437773</v>
      </c>
      <c r="L208">
        <f t="shared" si="149"/>
        <v>145.65114907925326</v>
      </c>
      <c r="M208">
        <f t="shared" si="151"/>
        <v>-0.53114907925325383</v>
      </c>
      <c r="N208">
        <f t="shared" si="152"/>
        <v>0.28211934439157932</v>
      </c>
    </row>
    <row r="209" spans="1:14" x14ac:dyDescent="0.45">
      <c r="A209" s="23">
        <v>42125</v>
      </c>
      <c r="B209">
        <v>143.46</v>
      </c>
      <c r="C209">
        <v>145.38999999999999</v>
      </c>
      <c r="G209">
        <f t="shared" ref="G209:K209" si="166">SUMPRODUCT($B209:$B213,P$2:P$6)</f>
        <v>119.75503375309259</v>
      </c>
      <c r="H209">
        <f t="shared" si="166"/>
        <v>77.448600062127156</v>
      </c>
      <c r="I209">
        <f t="shared" si="166"/>
        <v>47.701664766231367</v>
      </c>
      <c r="J209">
        <f t="shared" si="166"/>
        <v>27.057413805226467</v>
      </c>
      <c r="K209">
        <f t="shared" si="166"/>
        <v>16.667931825355545</v>
      </c>
      <c r="L209">
        <f t="shared" si="149"/>
        <v>144.11800070512484</v>
      </c>
      <c r="M209">
        <f t="shared" si="151"/>
        <v>1.271999294875144</v>
      </c>
      <c r="N209">
        <f t="shared" si="152"/>
        <v>1.6179822061628635</v>
      </c>
    </row>
    <row r="210" spans="1:14" x14ac:dyDescent="0.45">
      <c r="A210" s="23">
        <v>42124</v>
      </c>
      <c r="B210">
        <v>143.85</v>
      </c>
      <c r="C210">
        <v>143.05000000000001</v>
      </c>
      <c r="G210">
        <f t="shared" ref="G210:K210" si="167">SUMPRODUCT($B210:$B214,P$2:P$6)</f>
        <v>120.04355006457891</v>
      </c>
      <c r="H210">
        <f t="shared" si="167"/>
        <v>77.634120427944424</v>
      </c>
      <c r="I210">
        <f t="shared" si="167"/>
        <v>47.816094204330689</v>
      </c>
      <c r="J210">
        <f t="shared" si="167"/>
        <v>27.120706217064992</v>
      </c>
      <c r="K210">
        <f t="shared" si="167"/>
        <v>16.705703288062466</v>
      </c>
      <c r="L210">
        <f t="shared" si="149"/>
        <v>144.4435686188931</v>
      </c>
      <c r="M210">
        <f t="shared" si="151"/>
        <v>-0.98356861889308789</v>
      </c>
      <c r="N210">
        <f t="shared" si="152"/>
        <v>0.96740722807125634</v>
      </c>
    </row>
    <row r="211" spans="1:14" x14ac:dyDescent="0.45">
      <c r="A211" s="23">
        <v>42123</v>
      </c>
      <c r="B211">
        <v>145.88</v>
      </c>
      <c r="C211">
        <v>144.46</v>
      </c>
      <c r="G211">
        <f t="shared" ref="G211:K211" si="168">SUMPRODUCT($B211:$B215,P$2:P$6)</f>
        <v>121.55534096791067</v>
      </c>
      <c r="H211">
        <f t="shared" si="168"/>
        <v>78.602168820732373</v>
      </c>
      <c r="I211">
        <f t="shared" si="168"/>
        <v>48.412298481927301</v>
      </c>
      <c r="J211">
        <f t="shared" si="168"/>
        <v>27.452997992246328</v>
      </c>
      <c r="K211">
        <f t="shared" si="168"/>
        <v>16.903534427445067</v>
      </c>
      <c r="L211">
        <f t="shared" si="149"/>
        <v>146.14679146259596</v>
      </c>
      <c r="M211">
        <f t="shared" si="151"/>
        <v>-2.2967914625959622</v>
      </c>
      <c r="N211">
        <f t="shared" si="152"/>
        <v>5.2752510226536993</v>
      </c>
    </row>
    <row r="212" spans="1:14" x14ac:dyDescent="0.45">
      <c r="A212" s="23">
        <v>42122</v>
      </c>
      <c r="B212">
        <v>146.88999999999999</v>
      </c>
      <c r="C212">
        <v>146.61000000000001</v>
      </c>
      <c r="G212">
        <f t="shared" ref="G212:K212" si="169">SUMPRODUCT($B212:$B216,P$2:P$6)</f>
        <v>122.42402993695499</v>
      </c>
      <c r="H212">
        <f t="shared" si="169"/>
        <v>79.165209572432076</v>
      </c>
      <c r="I212">
        <f t="shared" si="169"/>
        <v>48.759098110655373</v>
      </c>
      <c r="J212">
        <f t="shared" si="169"/>
        <v>27.650463980431265</v>
      </c>
      <c r="K212">
        <f t="shared" si="169"/>
        <v>17.026166482472458</v>
      </c>
      <c r="L212">
        <f t="shared" si="149"/>
        <v>147.13203543929424</v>
      </c>
      <c r="M212">
        <f t="shared" si="151"/>
        <v>-1.2520354392942465</v>
      </c>
      <c r="N212">
        <f t="shared" si="152"/>
        <v>1.5675927412487369</v>
      </c>
    </row>
    <row r="213" spans="1:14" x14ac:dyDescent="0.45">
      <c r="A213" s="23">
        <v>42121</v>
      </c>
      <c r="B213">
        <v>148.30000000000001</v>
      </c>
      <c r="C213">
        <v>146.96</v>
      </c>
      <c r="G213">
        <f t="shared" ref="G213:K213" si="170">SUMPRODUCT($B213:$B217,P$2:P$6)</f>
        <v>123.40891621315158</v>
      </c>
      <c r="H213">
        <f t="shared" si="170"/>
        <v>79.791789116467299</v>
      </c>
      <c r="I213">
        <f t="shared" si="170"/>
        <v>49.144886819627537</v>
      </c>
      <c r="J213">
        <f t="shared" si="170"/>
        <v>27.863417209567807</v>
      </c>
      <c r="K213">
        <f t="shared" si="170"/>
        <v>17.15000427281754</v>
      </c>
      <c r="L213">
        <f t="shared" si="149"/>
        <v>148.23778321919175</v>
      </c>
      <c r="M213">
        <f t="shared" si="151"/>
        <v>-1.3477832191917685</v>
      </c>
      <c r="N213">
        <f t="shared" si="152"/>
        <v>1.8165196059349267</v>
      </c>
    </row>
    <row r="214" spans="1:14" x14ac:dyDescent="0.45">
      <c r="A214" s="23">
        <v>42118</v>
      </c>
      <c r="B214">
        <v>147.33000000000001</v>
      </c>
      <c r="C214">
        <v>148.12</v>
      </c>
      <c r="G214">
        <f t="shared" ref="G214:K214" si="171">SUMPRODUCT($B214:$B218,P$2:P$6)</f>
        <v>122.64263735535899</v>
      </c>
      <c r="H214">
        <f t="shared" si="171"/>
        <v>79.298447036950819</v>
      </c>
      <c r="I214">
        <f t="shared" si="171"/>
        <v>48.841034092057654</v>
      </c>
      <c r="J214">
        <f t="shared" si="171"/>
        <v>27.692464256558655</v>
      </c>
      <c r="K214">
        <f t="shared" si="171"/>
        <v>17.046325255647446</v>
      </c>
      <c r="L214">
        <f t="shared" si="149"/>
        <v>147.37191884557649</v>
      </c>
      <c r="M214">
        <f t="shared" si="151"/>
        <v>0.92808115442352346</v>
      </c>
      <c r="N214">
        <f t="shared" si="152"/>
        <v>0.86133462919610004</v>
      </c>
    </row>
    <row r="215" spans="1:14" x14ac:dyDescent="0.45">
      <c r="A215" s="23">
        <v>42117</v>
      </c>
      <c r="B215">
        <v>146.6</v>
      </c>
      <c r="C215">
        <v>147.30000000000001</v>
      </c>
      <c r="G215">
        <f t="shared" ref="G215:K215" si="172">SUMPRODUCT($B215:$B219,P$2:P$6)</f>
        <v>122.12137902613567</v>
      </c>
      <c r="H215">
        <f t="shared" si="172"/>
        <v>78.9665107535657</v>
      </c>
      <c r="I215">
        <f t="shared" si="172"/>
        <v>48.636736821245783</v>
      </c>
      <c r="J215">
        <f t="shared" si="172"/>
        <v>27.579052185988822</v>
      </c>
      <c r="K215">
        <f t="shared" si="172"/>
        <v>16.979922783403762</v>
      </c>
      <c r="L215">
        <f t="shared" si="149"/>
        <v>146.78628681610383</v>
      </c>
      <c r="M215">
        <f t="shared" si="151"/>
        <v>0.5437131838961875</v>
      </c>
      <c r="N215">
        <f t="shared" si="152"/>
        <v>0.29562402634252943</v>
      </c>
    </row>
    <row r="216" spans="1:14" x14ac:dyDescent="0.45">
      <c r="A216" s="23">
        <v>42116</v>
      </c>
      <c r="B216">
        <v>147.93</v>
      </c>
      <c r="C216">
        <v>146.97999999999999</v>
      </c>
      <c r="G216">
        <f t="shared" ref="G216:K216" si="173">SUMPRODUCT($B216:$B220,P$2:P$6)</f>
        <v>123.22133476263548</v>
      </c>
      <c r="H216">
        <f t="shared" si="173"/>
        <v>79.676334656448887</v>
      </c>
      <c r="I216">
        <f t="shared" si="173"/>
        <v>49.073723092139652</v>
      </c>
      <c r="J216">
        <f t="shared" si="173"/>
        <v>27.827099017619162</v>
      </c>
      <c r="K216">
        <f t="shared" si="173"/>
        <v>17.132128844093927</v>
      </c>
      <c r="L216">
        <f t="shared" si="149"/>
        <v>148.03106657669358</v>
      </c>
      <c r="M216">
        <f t="shared" si="151"/>
        <v>-1.4310665766935813</v>
      </c>
      <c r="N216">
        <f t="shared" si="152"/>
        <v>2.0479515469294856</v>
      </c>
    </row>
    <row r="217" spans="1:14" x14ac:dyDescent="0.45">
      <c r="A217" s="23">
        <v>42115</v>
      </c>
      <c r="B217">
        <v>146.97999999999999</v>
      </c>
      <c r="C217">
        <v>147.34</v>
      </c>
      <c r="G217">
        <f t="shared" ref="G217:K217" si="174">SUMPRODUCT($B217:$B221,P$2:P$6)</f>
        <v>122.54401430564054</v>
      </c>
      <c r="H217">
        <f t="shared" si="174"/>
        <v>79.244522138708831</v>
      </c>
      <c r="I217">
        <f t="shared" si="174"/>
        <v>48.807786934540069</v>
      </c>
      <c r="J217">
        <f t="shared" si="174"/>
        <v>27.679993545025866</v>
      </c>
      <c r="K217">
        <f t="shared" si="174"/>
        <v>17.045852024573204</v>
      </c>
      <c r="L217">
        <f t="shared" si="149"/>
        <v>147.26978388586133</v>
      </c>
      <c r="M217">
        <f t="shared" si="151"/>
        <v>0.66021611413867731</v>
      </c>
      <c r="N217">
        <f t="shared" si="152"/>
        <v>0.43588531736837499</v>
      </c>
    </row>
    <row r="218" spans="1:14" x14ac:dyDescent="0.45">
      <c r="A218" s="23">
        <v>42114</v>
      </c>
      <c r="B218">
        <v>146.65</v>
      </c>
      <c r="C218">
        <v>146.31</v>
      </c>
      <c r="G218">
        <f t="shared" ref="G218:K218" si="175">SUMPRODUCT($B218:$B222,P$2:P$6)</f>
        <v>122.26151369944475</v>
      </c>
      <c r="H218">
        <f t="shared" si="175"/>
        <v>79.061693777621983</v>
      </c>
      <c r="I218">
        <f t="shared" si="175"/>
        <v>48.695212366330921</v>
      </c>
      <c r="J218">
        <f t="shared" si="175"/>
        <v>27.615850524248621</v>
      </c>
      <c r="K218">
        <f t="shared" si="175"/>
        <v>17.006100209127766</v>
      </c>
      <c r="L218">
        <f t="shared" si="149"/>
        <v>146.94959183305659</v>
      </c>
      <c r="M218">
        <f t="shared" si="151"/>
        <v>3.0408166943402648E-2</v>
      </c>
      <c r="N218">
        <f t="shared" si="152"/>
        <v>9.2465661685784556E-4</v>
      </c>
    </row>
    <row r="219" spans="1:14" x14ac:dyDescent="0.45">
      <c r="A219" s="23">
        <v>42111</v>
      </c>
      <c r="B219">
        <v>146.58000000000001</v>
      </c>
      <c r="C219">
        <v>144.57</v>
      </c>
      <c r="G219">
        <f t="shared" ref="G219:K219" si="176">SUMPRODUCT($B219:$B223,P$2:P$6)</f>
        <v>122.28613069413099</v>
      </c>
      <c r="H219">
        <f t="shared" si="176"/>
        <v>79.082523759818017</v>
      </c>
      <c r="I219">
        <f t="shared" si="176"/>
        <v>48.708202525931242</v>
      </c>
      <c r="J219">
        <f t="shared" si="176"/>
        <v>27.625472493060521</v>
      </c>
      <c r="K219">
        <f t="shared" si="176"/>
        <v>17.015319754206093</v>
      </c>
      <c r="L219">
        <f t="shared" si="149"/>
        <v>146.98205646110821</v>
      </c>
      <c r="M219">
        <f t="shared" si="151"/>
        <v>-0.33205646110820908</v>
      </c>
      <c r="N219">
        <f t="shared" si="152"/>
        <v>0.11026149336370757</v>
      </c>
    </row>
    <row r="220" spans="1:14" x14ac:dyDescent="0.45">
      <c r="A220" s="23">
        <v>42110</v>
      </c>
      <c r="B220">
        <v>148.76</v>
      </c>
      <c r="C220">
        <v>147.11000000000001</v>
      </c>
      <c r="G220">
        <f t="shared" ref="G220:K220" si="177">SUMPRODUCT($B220:$B224,P$2:P$6)</f>
        <v>123.94477683491647</v>
      </c>
      <c r="H220">
        <f t="shared" si="177"/>
        <v>80.146597156154144</v>
      </c>
      <c r="I220">
        <f t="shared" si="177"/>
        <v>49.363517577795754</v>
      </c>
      <c r="J220">
        <f t="shared" si="177"/>
        <v>27.992099255267355</v>
      </c>
      <c r="K220">
        <f t="shared" si="177"/>
        <v>17.23507140956583</v>
      </c>
      <c r="L220">
        <f t="shared" si="149"/>
        <v>148.85267417402159</v>
      </c>
      <c r="M220">
        <f t="shared" si="151"/>
        <v>-2.2726741740215743</v>
      </c>
      <c r="N220">
        <f t="shared" si="152"/>
        <v>5.1650479012646455</v>
      </c>
    </row>
    <row r="221" spans="1:14" x14ac:dyDescent="0.45">
      <c r="A221" s="23">
        <v>42109</v>
      </c>
      <c r="B221">
        <v>149.58000000000001</v>
      </c>
      <c r="C221">
        <v>149.07</v>
      </c>
      <c r="G221">
        <f t="shared" ref="G221:K221" si="178">SUMPRODUCT($B221:$B225,P$2:P$6)</f>
        <v>124.61336218382733</v>
      </c>
      <c r="H221">
        <f t="shared" si="178"/>
        <v>80.577568207679207</v>
      </c>
      <c r="I221">
        <f t="shared" si="178"/>
        <v>49.628837287816566</v>
      </c>
      <c r="J221">
        <f t="shared" si="178"/>
        <v>28.142383374693207</v>
      </c>
      <c r="K221">
        <f t="shared" si="178"/>
        <v>17.326927157079165</v>
      </c>
      <c r="L221">
        <f t="shared" si="149"/>
        <v>149.60881776919609</v>
      </c>
      <c r="M221">
        <f t="shared" si="151"/>
        <v>-0.84881776919610274</v>
      </c>
      <c r="N221">
        <f t="shared" si="152"/>
        <v>0.72049160530304834</v>
      </c>
    </row>
    <row r="222" spans="1:14" x14ac:dyDescent="0.45">
      <c r="A222" s="23">
        <v>42108</v>
      </c>
      <c r="B222">
        <v>149</v>
      </c>
      <c r="C222">
        <v>149.52000000000001</v>
      </c>
      <c r="G222">
        <f t="shared" ref="G222:K222" si="179">SUMPRODUCT($B222:$B226,P$2:P$6)</f>
        <v>124.28010800858583</v>
      </c>
      <c r="H222">
        <f t="shared" si="179"/>
        <v>80.370019146226781</v>
      </c>
      <c r="I222">
        <f t="shared" si="179"/>
        <v>49.501041250078217</v>
      </c>
      <c r="J222">
        <f t="shared" si="179"/>
        <v>28.074712399136665</v>
      </c>
      <c r="K222">
        <f t="shared" si="179"/>
        <v>17.290928013188491</v>
      </c>
      <c r="L222">
        <f t="shared" si="149"/>
        <v>149.23898848607828</v>
      </c>
      <c r="M222">
        <f t="shared" si="151"/>
        <v>0.34101151392172824</v>
      </c>
      <c r="N222">
        <f t="shared" si="152"/>
        <v>0.11628885262718905</v>
      </c>
    </row>
    <row r="223" spans="1:14" x14ac:dyDescent="0.45">
      <c r="A223" s="23">
        <v>42107</v>
      </c>
      <c r="B223">
        <v>149.44</v>
      </c>
      <c r="C223">
        <v>149.02000000000001</v>
      </c>
      <c r="G223">
        <f t="shared" ref="G223:K223" si="180">SUMPRODUCT($B223:$B227,P$2:P$6)</f>
        <v>124.62711475288404</v>
      </c>
      <c r="H223">
        <f t="shared" si="180"/>
        <v>80.593371294158473</v>
      </c>
      <c r="I223">
        <f t="shared" si="180"/>
        <v>49.638579396921678</v>
      </c>
      <c r="J223">
        <f t="shared" si="180"/>
        <v>28.152166067500922</v>
      </c>
      <c r="K223">
        <f t="shared" si="180"/>
        <v>17.337841609358776</v>
      </c>
      <c r="L223">
        <f t="shared" si="149"/>
        <v>149.63105114050106</v>
      </c>
      <c r="M223">
        <f t="shared" si="151"/>
        <v>-0.63105114050105726</v>
      </c>
      <c r="N223">
        <f t="shared" si="152"/>
        <v>0.39822554192768511</v>
      </c>
    </row>
    <row r="224" spans="1:14" x14ac:dyDescent="0.45">
      <c r="A224" s="23">
        <v>42104</v>
      </c>
      <c r="B224">
        <v>149.4</v>
      </c>
      <c r="C224">
        <v>149.63999999999999</v>
      </c>
      <c r="G224">
        <f t="shared" ref="G224:K224" si="181">SUMPRODUCT($B224:$B228,P$2:P$6)</f>
        <v>124.56052307945143</v>
      </c>
      <c r="H224">
        <f t="shared" si="181"/>
        <v>80.549187768982023</v>
      </c>
      <c r="I224">
        <f t="shared" si="181"/>
        <v>49.611488197576321</v>
      </c>
      <c r="J224">
        <f t="shared" si="181"/>
        <v>28.135411102245939</v>
      </c>
      <c r="K224">
        <f t="shared" si="181"/>
        <v>17.326403739902297</v>
      </c>
      <c r="L224">
        <f t="shared" si="149"/>
        <v>149.5543775057576</v>
      </c>
      <c r="M224">
        <f t="shared" si="151"/>
        <v>-0.11437750575760219</v>
      </c>
      <c r="N224">
        <f t="shared" si="152"/>
        <v>1.3082213823330323E-2</v>
      </c>
    </row>
    <row r="225" spans="1:14" x14ac:dyDescent="0.45">
      <c r="A225" s="23">
        <v>42103</v>
      </c>
      <c r="B225">
        <v>150.57</v>
      </c>
      <c r="C225">
        <v>148.81</v>
      </c>
      <c r="G225">
        <f t="shared" ref="G225:K225" si="182">SUMPRODUCT($B225:$B229,P$2:P$6)</f>
        <v>125.43116016477455</v>
      </c>
      <c r="H225">
        <f t="shared" si="182"/>
        <v>81.107012663560894</v>
      </c>
      <c r="I225">
        <f t="shared" si="182"/>
        <v>49.955134848280792</v>
      </c>
      <c r="J225">
        <f t="shared" si="182"/>
        <v>28.326664794365442</v>
      </c>
      <c r="K225">
        <f t="shared" si="182"/>
        <v>17.440339951947902</v>
      </c>
      <c r="L225">
        <f t="shared" si="149"/>
        <v>150.53547444215189</v>
      </c>
      <c r="M225">
        <f t="shared" si="151"/>
        <v>-1.1354744421518888</v>
      </c>
      <c r="N225">
        <f t="shared" si="152"/>
        <v>1.2893022087801429</v>
      </c>
    </row>
    <row r="226" spans="1:14" x14ac:dyDescent="0.45">
      <c r="A226" s="23">
        <v>42102</v>
      </c>
      <c r="B226">
        <v>152.22999999999999</v>
      </c>
      <c r="C226">
        <v>152</v>
      </c>
      <c r="G226">
        <f t="shared" ref="G226:K226" si="183">SUMPRODUCT($B226:$B230,P$2:P$6)</f>
        <v>126.76397386920397</v>
      </c>
      <c r="H226">
        <f t="shared" si="183"/>
        <v>81.965590360117744</v>
      </c>
      <c r="I226">
        <f t="shared" si="183"/>
        <v>50.483833088038153</v>
      </c>
      <c r="J226">
        <f t="shared" si="183"/>
        <v>28.625087979662116</v>
      </c>
      <c r="K226">
        <f t="shared" si="183"/>
        <v>17.622089231052144</v>
      </c>
      <c r="L226">
        <f t="shared" si="149"/>
        <v>152.04214661194419</v>
      </c>
      <c r="M226">
        <f t="shared" si="151"/>
        <v>-1.472146611944197</v>
      </c>
      <c r="N226">
        <f t="shared" si="152"/>
        <v>2.1672156470587782</v>
      </c>
    </row>
    <row r="227" spans="1:14" x14ac:dyDescent="0.45">
      <c r="A227" s="23">
        <v>42101</v>
      </c>
      <c r="B227">
        <v>152.53</v>
      </c>
      <c r="C227">
        <v>151.78</v>
      </c>
      <c r="G227">
        <f t="shared" ref="G227:K227" si="184">SUMPRODUCT($B227:$B231,P$2:P$6)</f>
        <v>126.96230183177667</v>
      </c>
      <c r="H227">
        <f t="shared" si="184"/>
        <v>82.09082671088963</v>
      </c>
      <c r="I227">
        <f t="shared" si="184"/>
        <v>50.560866611574696</v>
      </c>
      <c r="J227">
        <f t="shared" si="184"/>
        <v>28.667383168437475</v>
      </c>
      <c r="K227">
        <f t="shared" si="184"/>
        <v>17.646073511436896</v>
      </c>
      <c r="L227">
        <f t="shared" si="149"/>
        <v>152.26397643215236</v>
      </c>
      <c r="M227">
        <f t="shared" si="151"/>
        <v>-3.3976432152371672E-2</v>
      </c>
      <c r="N227">
        <f t="shared" si="152"/>
        <v>1.1543979418047155E-3</v>
      </c>
    </row>
    <row r="228" spans="1:14" x14ac:dyDescent="0.45">
      <c r="A228" s="23">
        <v>42100</v>
      </c>
      <c r="B228">
        <v>151.37</v>
      </c>
      <c r="C228">
        <v>152.5</v>
      </c>
      <c r="G228">
        <f t="shared" ref="G228:K228" si="185">SUMPRODUCT($B228:$B232,P$2:P$6)</f>
        <v>126.01537432443277</v>
      </c>
      <c r="H228">
        <f t="shared" si="185"/>
        <v>81.479695199503254</v>
      </c>
      <c r="I228">
        <f t="shared" si="185"/>
        <v>50.184482781179064</v>
      </c>
      <c r="J228">
        <f t="shared" si="185"/>
        <v>28.454552167013563</v>
      </c>
      <c r="K228">
        <f t="shared" si="185"/>
        <v>17.515780389239332</v>
      </c>
      <c r="L228">
        <f t="shared" si="149"/>
        <v>151.19250646739795</v>
      </c>
      <c r="M228">
        <f t="shared" si="151"/>
        <v>1.3374935326020534</v>
      </c>
      <c r="N228">
        <f t="shared" si="152"/>
        <v>1.7888889497523202</v>
      </c>
    </row>
    <row r="229" spans="1:14" x14ac:dyDescent="0.45">
      <c r="A229" s="23">
        <v>42096</v>
      </c>
      <c r="B229">
        <v>150.47</v>
      </c>
      <c r="C229">
        <v>151.63</v>
      </c>
      <c r="G229">
        <f t="shared" ref="G229:K229" si="186">SUMPRODUCT($B229:$B233,P$2:P$6)</f>
        <v>125.33168561686713</v>
      </c>
      <c r="H229">
        <f t="shared" si="186"/>
        <v>81.04174227664312</v>
      </c>
      <c r="I229">
        <f t="shared" si="186"/>
        <v>49.914912332319176</v>
      </c>
      <c r="J229">
        <f t="shared" si="186"/>
        <v>28.303382186708859</v>
      </c>
      <c r="K229">
        <f t="shared" si="186"/>
        <v>17.425376676175571</v>
      </c>
      <c r="L229">
        <f t="shared" si="149"/>
        <v>150.42191275035253</v>
      </c>
      <c r="M229">
        <f t="shared" si="151"/>
        <v>0.94808724964747171</v>
      </c>
      <c r="N229">
        <f t="shared" si="152"/>
        <v>0.89886943294410737</v>
      </c>
    </row>
    <row r="230" spans="1:14" x14ac:dyDescent="0.45">
      <c r="A230" s="23">
        <v>42095</v>
      </c>
      <c r="B230">
        <v>151.83000000000001</v>
      </c>
      <c r="C230">
        <v>150.24</v>
      </c>
      <c r="G230">
        <f t="shared" ref="G230:K230" si="187">SUMPRODUCT($B230:$B234,P$2:P$6)</f>
        <v>126.30599190317275</v>
      </c>
      <c r="H230">
        <f t="shared" si="187"/>
        <v>81.663219292920616</v>
      </c>
      <c r="I230">
        <f t="shared" si="187"/>
        <v>50.29762557788321</v>
      </c>
      <c r="J230">
        <f t="shared" si="187"/>
        <v>28.515385197919628</v>
      </c>
      <c r="K230">
        <f t="shared" si="187"/>
        <v>17.549884209294689</v>
      </c>
      <c r="L230">
        <f t="shared" si="149"/>
        <v>151.51731306618473</v>
      </c>
      <c r="M230">
        <f t="shared" si="151"/>
        <v>-1.0473130661847279</v>
      </c>
      <c r="N230">
        <f t="shared" si="152"/>
        <v>1.0968646586012563</v>
      </c>
    </row>
    <row r="231" spans="1:14" x14ac:dyDescent="0.45">
      <c r="A231" s="23">
        <v>42094</v>
      </c>
      <c r="B231">
        <v>151.84</v>
      </c>
      <c r="C231">
        <v>151.5</v>
      </c>
      <c r="G231">
        <f t="shared" ref="G231:K231" si="188">SUMPRODUCT($B231:$B235,P$2:P$6)</f>
        <v>126.52726282943291</v>
      </c>
      <c r="H231">
        <f t="shared" si="188"/>
        <v>81.816300936818138</v>
      </c>
      <c r="I231">
        <f t="shared" si="188"/>
        <v>50.391734653775558</v>
      </c>
      <c r="J231">
        <f t="shared" si="188"/>
        <v>28.576100493813463</v>
      </c>
      <c r="K231">
        <f t="shared" si="188"/>
        <v>17.595088623685491</v>
      </c>
      <c r="L231">
        <f t="shared" si="149"/>
        <v>151.7778880809195</v>
      </c>
      <c r="M231">
        <f t="shared" si="151"/>
        <v>5.21119190805166E-2</v>
      </c>
      <c r="N231">
        <f t="shared" si="152"/>
        <v>2.7156521102543103E-3</v>
      </c>
    </row>
    <row r="232" spans="1:14" x14ac:dyDescent="0.45">
      <c r="A232" s="23">
        <v>42093</v>
      </c>
      <c r="B232">
        <v>150.91</v>
      </c>
      <c r="C232">
        <v>152.36000000000001</v>
      </c>
      <c r="G232">
        <f t="shared" ref="G232:K232" si="189">SUMPRODUCT($B232:$B236,P$2:P$6)</f>
        <v>125.776741366618</v>
      </c>
      <c r="H232">
        <f t="shared" si="189"/>
        <v>81.332785289381775</v>
      </c>
      <c r="I232">
        <f t="shared" si="189"/>
        <v>50.093967582055214</v>
      </c>
      <c r="J232">
        <f t="shared" si="189"/>
        <v>28.408031833958695</v>
      </c>
      <c r="K232">
        <f t="shared" si="189"/>
        <v>17.492527703404441</v>
      </c>
      <c r="L232">
        <f t="shared" si="149"/>
        <v>150.92939977216136</v>
      </c>
      <c r="M232">
        <f t="shared" si="151"/>
        <v>0.9106002278386427</v>
      </c>
      <c r="N232">
        <f t="shared" si="152"/>
        <v>0.82919277493978794</v>
      </c>
    </row>
    <row r="233" spans="1:14" x14ac:dyDescent="0.45">
      <c r="A233" s="23">
        <v>42090</v>
      </c>
      <c r="B233">
        <v>150.21</v>
      </c>
      <c r="C233">
        <v>150.47</v>
      </c>
      <c r="G233">
        <f t="shared" ref="G233:K233" si="190">SUMPRODUCT($B233:$B237,P$2:P$6)</f>
        <v>125.23944029612063</v>
      </c>
      <c r="H233">
        <f t="shared" si="190"/>
        <v>80.987542334382027</v>
      </c>
      <c r="I233">
        <f t="shared" si="190"/>
        <v>49.881292160157237</v>
      </c>
      <c r="J233">
        <f t="shared" si="190"/>
        <v>28.289019595362497</v>
      </c>
      <c r="K233">
        <f t="shared" si="190"/>
        <v>17.420935681095568</v>
      </c>
      <c r="L233">
        <f t="shared" si="149"/>
        <v>150.32297719082345</v>
      </c>
      <c r="M233">
        <f t="shared" si="151"/>
        <v>0.58702280917654548</v>
      </c>
      <c r="N233">
        <f t="shared" si="152"/>
        <v>0.34459577849352291</v>
      </c>
    </row>
    <row r="234" spans="1:14" x14ac:dyDescent="0.45">
      <c r="A234" s="23">
        <v>42089</v>
      </c>
      <c r="B234">
        <v>149.32</v>
      </c>
      <c r="C234">
        <v>150.06</v>
      </c>
      <c r="G234">
        <f t="shared" ref="G234:K234" si="191">SUMPRODUCT($B234:$B238,P$2:P$6)</f>
        <v>124.61483723787316</v>
      </c>
      <c r="H234">
        <f t="shared" si="191"/>
        <v>80.591527198177545</v>
      </c>
      <c r="I234">
        <f t="shared" si="191"/>
        <v>49.637788087511083</v>
      </c>
      <c r="J234">
        <f t="shared" si="191"/>
        <v>28.153671964412538</v>
      </c>
      <c r="K234">
        <f t="shared" si="191"/>
        <v>17.342430846836173</v>
      </c>
      <c r="L234">
        <f t="shared" si="149"/>
        <v>149.62262552399159</v>
      </c>
      <c r="M234">
        <f t="shared" si="151"/>
        <v>0.58737447600842074</v>
      </c>
      <c r="N234">
        <f t="shared" si="152"/>
        <v>0.34500877506616684</v>
      </c>
    </row>
    <row r="235" spans="1:14" x14ac:dyDescent="0.45">
      <c r="A235" s="23">
        <v>42088</v>
      </c>
      <c r="B235">
        <v>153.55000000000001</v>
      </c>
      <c r="C235">
        <v>151.09</v>
      </c>
      <c r="G235">
        <f t="shared" ref="G235:K235" si="192">SUMPRODUCT($B235:$B239,P$2:P$6)</f>
        <v>127.72143872986911</v>
      </c>
      <c r="H235">
        <f t="shared" si="192"/>
        <v>82.577400103838031</v>
      </c>
      <c r="I235">
        <f t="shared" si="192"/>
        <v>50.860637429359237</v>
      </c>
      <c r="J235">
        <f t="shared" si="192"/>
        <v>28.834201154495851</v>
      </c>
      <c r="K235">
        <f t="shared" si="192"/>
        <v>17.745468502412752</v>
      </c>
      <c r="L235">
        <f t="shared" si="149"/>
        <v>153.11956680096745</v>
      </c>
      <c r="M235">
        <f t="shared" si="151"/>
        <v>-3.7995668009674546</v>
      </c>
      <c r="N235">
        <f t="shared" si="152"/>
        <v>14.436707875014056</v>
      </c>
    </row>
    <row r="236" spans="1:14" x14ac:dyDescent="0.45">
      <c r="A236" s="23">
        <v>42087</v>
      </c>
      <c r="B236">
        <v>152.94999999999999</v>
      </c>
      <c r="C236">
        <v>153.13999999999999</v>
      </c>
      <c r="G236">
        <f t="shared" ref="G236:K236" si="193">SUMPRODUCT($B236:$B240,P$2:P$6)</f>
        <v>127.21876479247241</v>
      </c>
      <c r="H236">
        <f t="shared" si="193"/>
        <v>82.252484750128573</v>
      </c>
      <c r="I236">
        <f t="shared" si="193"/>
        <v>50.660586124456593</v>
      </c>
      <c r="J236">
        <f t="shared" si="193"/>
        <v>28.720478258866368</v>
      </c>
      <c r="K236">
        <f t="shared" si="193"/>
        <v>17.675422705565474</v>
      </c>
      <c r="L236">
        <f t="shared" si="149"/>
        <v>152.5502426821302</v>
      </c>
      <c r="M236">
        <f t="shared" si="151"/>
        <v>0.99975731786980759</v>
      </c>
      <c r="N236">
        <f t="shared" si="152"/>
        <v>0.99951469463423148</v>
      </c>
    </row>
    <row r="237" spans="1:14" x14ac:dyDescent="0.45">
      <c r="A237" s="23">
        <v>42086</v>
      </c>
      <c r="B237">
        <v>153.15</v>
      </c>
      <c r="C237">
        <v>152.93</v>
      </c>
      <c r="G237">
        <f t="shared" ref="G237:K237" si="194">SUMPRODUCT($B237:$B241,P$2:P$6)</f>
        <v>127.31057597553126</v>
      </c>
      <c r="H237">
        <f t="shared" si="194"/>
        <v>82.307577636254692</v>
      </c>
      <c r="I237">
        <f t="shared" si="194"/>
        <v>50.694436192291057</v>
      </c>
      <c r="J237">
        <f t="shared" si="194"/>
        <v>28.737442769288574</v>
      </c>
      <c r="K237">
        <f t="shared" si="194"/>
        <v>17.682974335488542</v>
      </c>
      <c r="L237">
        <f t="shared" si="149"/>
        <v>152.65020327180565</v>
      </c>
      <c r="M237">
        <f t="shared" si="151"/>
        <v>0.29979672819433745</v>
      </c>
      <c r="N237">
        <f t="shared" si="152"/>
        <v>8.9878078236029446E-2</v>
      </c>
    </row>
    <row r="238" spans="1:14" x14ac:dyDescent="0.45">
      <c r="A238" s="23">
        <v>42083</v>
      </c>
      <c r="B238">
        <v>152.13</v>
      </c>
      <c r="C238">
        <v>152.59</v>
      </c>
      <c r="G238">
        <f t="shared" ref="G238:K238" si="195">SUMPRODUCT($B238:$B242,P$2:P$6)</f>
        <v>126.53384225947177</v>
      </c>
      <c r="H238">
        <f t="shared" si="195"/>
        <v>81.808908282176489</v>
      </c>
      <c r="I238">
        <f t="shared" si="195"/>
        <v>50.387260582254299</v>
      </c>
      <c r="J238">
        <f t="shared" si="195"/>
        <v>28.565731934375876</v>
      </c>
      <c r="K238">
        <f t="shared" si="195"/>
        <v>17.579955354096427</v>
      </c>
      <c r="L238">
        <f t="shared" si="149"/>
        <v>151.77393379941029</v>
      </c>
      <c r="M238">
        <f t="shared" si="151"/>
        <v>1.3760662005897188</v>
      </c>
      <c r="N238">
        <f t="shared" si="152"/>
        <v>1.8935581884054244</v>
      </c>
    </row>
    <row r="239" spans="1:14" x14ac:dyDescent="0.45">
      <c r="A239" s="23">
        <v>42082</v>
      </c>
      <c r="B239">
        <v>151</v>
      </c>
      <c r="C239">
        <v>151.31</v>
      </c>
      <c r="G239">
        <f t="shared" ref="G239:K239" si="196">SUMPRODUCT($B239:$B243,P$2:P$6)</f>
        <v>125.62383346573871</v>
      </c>
      <c r="H239">
        <f t="shared" si="196"/>
        <v>81.222212359648182</v>
      </c>
      <c r="I239">
        <f t="shared" si="196"/>
        <v>50.025912103034699</v>
      </c>
      <c r="J239">
        <f t="shared" si="196"/>
        <v>28.361855990073952</v>
      </c>
      <c r="K239">
        <f t="shared" si="196"/>
        <v>17.455607313012116</v>
      </c>
      <c r="L239">
        <f t="shared" si="149"/>
        <v>150.74484143749839</v>
      </c>
      <c r="M239">
        <f t="shared" si="151"/>
        <v>1.3851585625016014</v>
      </c>
      <c r="N239">
        <f t="shared" si="152"/>
        <v>1.9186642432715029</v>
      </c>
    </row>
    <row r="240" spans="1:14" x14ac:dyDescent="0.45">
      <c r="A240" s="23">
        <v>42081</v>
      </c>
      <c r="B240">
        <v>150</v>
      </c>
      <c r="C240">
        <v>150.93</v>
      </c>
      <c r="G240">
        <f t="shared" ref="G240:K240" si="197">SUMPRODUCT($B240:$B244,P$2:P$6)</f>
        <v>124.81665180375884</v>
      </c>
      <c r="H240">
        <f t="shared" si="197"/>
        <v>80.701733431158118</v>
      </c>
      <c r="I240">
        <f t="shared" si="197"/>
        <v>49.705367056955581</v>
      </c>
      <c r="J240">
        <f t="shared" si="197"/>
        <v>28.180870100872983</v>
      </c>
      <c r="K240">
        <f t="shared" si="197"/>
        <v>17.345174540205015</v>
      </c>
      <c r="L240">
        <f t="shared" si="149"/>
        <v>149.83194672547629</v>
      </c>
      <c r="M240">
        <f t="shared" si="151"/>
        <v>1.1680532745237144</v>
      </c>
      <c r="N240">
        <f t="shared" si="152"/>
        <v>1.3643484521255718</v>
      </c>
    </row>
    <row r="241" spans="1:14" x14ac:dyDescent="0.45">
      <c r="A241" s="23">
        <v>42080</v>
      </c>
      <c r="B241">
        <v>149.38999999999999</v>
      </c>
      <c r="C241">
        <v>150.03</v>
      </c>
      <c r="G241">
        <f t="shared" ref="G241:K241" si="198">SUMPRODUCT($B241:$B245,P$2:P$6)</f>
        <v>124.36265159851243</v>
      </c>
      <c r="H241">
        <f t="shared" si="198"/>
        <v>80.41118972188552</v>
      </c>
      <c r="I241">
        <f t="shared" si="198"/>
        <v>49.526476564966629</v>
      </c>
      <c r="J241">
        <f t="shared" si="198"/>
        <v>28.081026758819647</v>
      </c>
      <c r="K241">
        <f t="shared" si="198"/>
        <v>17.285804624558381</v>
      </c>
      <c r="L241">
        <f t="shared" si="149"/>
        <v>149.32057408272581</v>
      </c>
      <c r="M241">
        <f t="shared" si="151"/>
        <v>0.67942591727418744</v>
      </c>
      <c r="N241">
        <f t="shared" si="152"/>
        <v>0.46161957706387102</v>
      </c>
    </row>
    <row r="242" spans="1:14" x14ac:dyDescent="0.45">
      <c r="A242" s="23">
        <v>42079</v>
      </c>
      <c r="B242">
        <v>149.72</v>
      </c>
      <c r="C242">
        <v>149.99</v>
      </c>
      <c r="G242">
        <f t="shared" ref="G242:K242" si="199">SUMPRODUCT($B242:$B246,P$2:P$6)</f>
        <v>124.67513131968551</v>
      </c>
      <c r="H242">
        <f t="shared" si="199"/>
        <v>80.614675592562435</v>
      </c>
      <c r="I242">
        <f t="shared" si="199"/>
        <v>49.651704372916136</v>
      </c>
      <c r="J242">
        <f t="shared" si="199"/>
        <v>28.153516804954407</v>
      </c>
      <c r="K242">
        <f t="shared" si="199"/>
        <v>17.331740959041095</v>
      </c>
      <c r="L242">
        <f t="shared" si="149"/>
        <v>149.67603327126511</v>
      </c>
      <c r="M242">
        <f t="shared" si="151"/>
        <v>-0.28603327126512568</v>
      </c>
      <c r="N242">
        <f t="shared" si="152"/>
        <v>8.1815032270628973E-2</v>
      </c>
    </row>
    <row r="243" spans="1:14" x14ac:dyDescent="0.45">
      <c r="A243" s="23">
        <v>42076</v>
      </c>
      <c r="B243">
        <v>149.09</v>
      </c>
      <c r="C243">
        <v>149.28</v>
      </c>
      <c r="G243">
        <f t="shared" ref="G243:K243" si="200">SUMPRODUCT($B243:$B247,P$2:P$6)</f>
        <v>124.185942921852</v>
      </c>
      <c r="H243">
        <f t="shared" si="200"/>
        <v>80.300276791534856</v>
      </c>
      <c r="I243">
        <f t="shared" si="200"/>
        <v>49.458050471540268</v>
      </c>
      <c r="J243">
        <f t="shared" si="200"/>
        <v>28.044927451876937</v>
      </c>
      <c r="K243">
        <f t="shared" si="200"/>
        <v>17.266198096059824</v>
      </c>
      <c r="L243">
        <f t="shared" si="149"/>
        <v>149.12378791973006</v>
      </c>
      <c r="M243">
        <f t="shared" si="151"/>
        <v>0.596212080269936</v>
      </c>
      <c r="N243">
        <f t="shared" si="152"/>
        <v>0.35546884465980461</v>
      </c>
    </row>
    <row r="244" spans="1:14" x14ac:dyDescent="0.45">
      <c r="A244" s="23">
        <v>42075</v>
      </c>
      <c r="B244">
        <v>148.38</v>
      </c>
      <c r="C244">
        <v>149.44</v>
      </c>
      <c r="G244">
        <f t="shared" ref="G244:K244" si="201">SUMPRODUCT($B244:$B248,P$2:P$6)</f>
        <v>123.62234068726877</v>
      </c>
      <c r="H244">
        <f t="shared" si="201"/>
        <v>79.937543076710355</v>
      </c>
      <c r="I244">
        <f t="shared" si="201"/>
        <v>49.234687899238665</v>
      </c>
      <c r="J244">
        <f t="shared" si="201"/>
        <v>27.919055511388397</v>
      </c>
      <c r="K244">
        <f t="shared" si="201"/>
        <v>17.189796968268524</v>
      </c>
      <c r="L244">
        <f t="shared" si="149"/>
        <v>148.48698891984114</v>
      </c>
      <c r="M244">
        <f t="shared" si="151"/>
        <v>0.60301108015886484</v>
      </c>
      <c r="N244">
        <f t="shared" si="152"/>
        <v>0.36362236279436094</v>
      </c>
    </row>
    <row r="245" spans="1:14" x14ac:dyDescent="0.45">
      <c r="A245" s="23">
        <v>42074</v>
      </c>
      <c r="B245">
        <v>148.33000000000001</v>
      </c>
      <c r="C245">
        <v>147.4</v>
      </c>
      <c r="G245">
        <f t="shared" ref="G245:K245" si="202">SUMPRODUCT($B245:$B249,P$2:P$6)</f>
        <v>123.70171054935417</v>
      </c>
      <c r="H245">
        <f t="shared" si="202"/>
        <v>79.995347165471827</v>
      </c>
      <c r="I245">
        <f t="shared" si="202"/>
        <v>49.270366784129884</v>
      </c>
      <c r="J245">
        <f t="shared" si="202"/>
        <v>27.943000397230325</v>
      </c>
      <c r="K245">
        <f t="shared" si="202"/>
        <v>17.209176176881581</v>
      </c>
      <c r="L245">
        <f t="shared" si="149"/>
        <v>148.5830980622143</v>
      </c>
      <c r="M245">
        <f t="shared" si="151"/>
        <v>-0.20309806221430904</v>
      </c>
      <c r="N245">
        <f t="shared" si="152"/>
        <v>4.1248822875207342E-2</v>
      </c>
    </row>
    <row r="246" spans="1:14" x14ac:dyDescent="0.45">
      <c r="A246" s="23">
        <v>42073</v>
      </c>
      <c r="B246">
        <v>149.75</v>
      </c>
      <c r="C246">
        <v>148.16</v>
      </c>
      <c r="G246">
        <f t="shared" ref="G246:K246" si="203">SUMPRODUCT($B246:$B250,P$2:P$6)</f>
        <v>124.60797692791547</v>
      </c>
      <c r="H246">
        <f t="shared" si="203"/>
        <v>80.567225520353134</v>
      </c>
      <c r="I246">
        <f t="shared" si="203"/>
        <v>49.622589158317396</v>
      </c>
      <c r="J246">
        <f t="shared" si="203"/>
        <v>28.133774215539876</v>
      </c>
      <c r="K246">
        <f t="shared" si="203"/>
        <v>17.316223076053852</v>
      </c>
      <c r="L246">
        <f t="shared" si="149"/>
        <v>149.59588611620194</v>
      </c>
      <c r="M246">
        <f t="shared" si="151"/>
        <v>-1.2658861162019264</v>
      </c>
      <c r="N246">
        <f t="shared" si="152"/>
        <v>1.6024676591927971</v>
      </c>
    </row>
    <row r="247" spans="1:14" x14ac:dyDescent="0.45">
      <c r="A247" s="23">
        <v>42072</v>
      </c>
      <c r="B247">
        <v>149.79</v>
      </c>
      <c r="C247">
        <v>150.68</v>
      </c>
      <c r="G247">
        <f>SUMPRODUCT($B247:$B251,P$2:P$6)</f>
        <v>124.63157695959907</v>
      </c>
      <c r="H247">
        <f>SUMPRODUCT($B247:$B251,Q$2:Q$6)</f>
        <v>80.581503688558143</v>
      </c>
      <c r="I247">
        <f>SUMPRODUCT($B247:$B251,R$2:R$6)</f>
        <v>49.63132425645852</v>
      </c>
      <c r="J247">
        <f>SUMPRODUCT($B247:$B251,S$2:S$6)</f>
        <v>28.138515655675686</v>
      </c>
      <c r="K247">
        <f>SUMPRODUCT($B247:$B251,T$2:T$6)</f>
        <v>17.318731993937124</v>
      </c>
      <c r="L247">
        <f>(G247+$P$7)*$U$2+(H247+$Q$7)*$U$3+(I247+$R$7)*$U$4+(J247+$S$7)*$U$5+(K247+$T$7)*$U$6+$U$7</f>
        <v>149.62178153920357</v>
      </c>
      <c r="M247">
        <f>B246-L247</f>
        <v>0.12821846079643251</v>
      </c>
      <c r="N247">
        <f>M247^2</f>
        <v>1.64399736890063E-2</v>
      </c>
    </row>
    <row r="248" spans="1:14" x14ac:dyDescent="0.45">
      <c r="A248" s="23">
        <v>42069</v>
      </c>
      <c r="B248">
        <v>149.29</v>
      </c>
      <c r="C248">
        <v>149.54</v>
      </c>
    </row>
    <row r="249" spans="1:14" x14ac:dyDescent="0.45">
      <c r="A249" s="23">
        <v>42068</v>
      </c>
      <c r="B249">
        <v>150.77000000000001</v>
      </c>
      <c r="C249">
        <v>151.16999999999999</v>
      </c>
    </row>
    <row r="250" spans="1:14" x14ac:dyDescent="0.45">
      <c r="A250" s="23">
        <v>42067</v>
      </c>
      <c r="B250">
        <v>147.84</v>
      </c>
      <c r="C250">
        <v>147.16999999999999</v>
      </c>
    </row>
    <row r="251" spans="1:14" x14ac:dyDescent="0.45">
      <c r="A251" s="23">
        <v>42066</v>
      </c>
      <c r="B251">
        <v>147.94</v>
      </c>
      <c r="C251">
        <v>147.37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W251"/>
  <sheetViews>
    <sheetView zoomScale="80" zoomScaleNormal="80" workbookViewId="0">
      <selection activeCell="R17" sqref="R17"/>
    </sheetView>
  </sheetViews>
  <sheetFormatPr defaultRowHeight="14.25" x14ac:dyDescent="0.45"/>
  <cols>
    <col min="1" max="1" width="9.9296875" bestFit="1" customWidth="1"/>
    <col min="4" max="6" width="0" hidden="1" customWidth="1"/>
  </cols>
  <sheetData>
    <row r="1" spans="1:23" x14ac:dyDescent="0.45">
      <c r="A1" t="s">
        <v>3</v>
      </c>
      <c r="B1" t="s">
        <v>4</v>
      </c>
      <c r="C1" t="s">
        <v>5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</row>
    <row r="2" spans="1:23" x14ac:dyDescent="0.45">
      <c r="A2" s="23">
        <v>42426</v>
      </c>
      <c r="B2">
        <v>33.18</v>
      </c>
      <c r="C2">
        <v>32.47</v>
      </c>
      <c r="G2">
        <f t="shared" ref="G2" si="0">SUMPRODUCT($B2:$B6,P$2:P$6)</f>
        <v>17.898166620138003</v>
      </c>
      <c r="H2">
        <f t="shared" ref="H2" si="1">SUMPRODUCT($B2:$B6,Q$2:Q$6)</f>
        <v>14.673540622194979</v>
      </c>
      <c r="I2">
        <f t="shared" ref="I2" si="2">SUMPRODUCT($B2:$B6,R$2:R$6)</f>
        <v>12.579644613434059</v>
      </c>
      <c r="J2">
        <f t="shared" ref="J2" si="3">SUMPRODUCT($B2:$B6,S$2:S$6)</f>
        <v>10.584729464426447</v>
      </c>
      <c r="K2">
        <f t="shared" ref="K2" si="4">SUMPRODUCT($B2:$B6,T$2:T$6)</f>
        <v>5.4869876975898784</v>
      </c>
      <c r="L2">
        <f t="shared" ref="L2" si="5">(G2+$P$7)*$U$2+(H2+$Q$7)*$U$3+(I2+$R$7)*$U$4+(J2+$S$7)*$U$5+(K2+$T$7)*$U$6+$U$7</f>
        <v>33.181936764875182</v>
      </c>
      <c r="P2">
        <v>0.5394261441623015</v>
      </c>
      <c r="Q2">
        <v>0.44224028563685275</v>
      </c>
      <c r="R2">
        <v>0.37913272374127455</v>
      </c>
      <c r="S2">
        <v>0.3190092727424147</v>
      </c>
      <c r="T2">
        <v>0.16537008064645869</v>
      </c>
      <c r="U2">
        <v>0.57193180989200909</v>
      </c>
      <c r="W2" t="s">
        <v>31</v>
      </c>
    </row>
    <row r="3" spans="1:23" x14ac:dyDescent="0.45">
      <c r="A3" s="23">
        <v>42425</v>
      </c>
      <c r="B3">
        <v>32.17</v>
      </c>
      <c r="C3">
        <v>33.14</v>
      </c>
      <c r="G3">
        <f t="shared" ref="G3:G65" si="6">SUMPRODUCT($B3:$B7,P$2:P$6)</f>
        <v>17.353346102683599</v>
      </c>
      <c r="H3">
        <f t="shared" ref="H3:H65" si="7">SUMPRODUCT($B3:$B7,Q$2:Q$6)</f>
        <v>14.22687786769381</v>
      </c>
      <c r="I3">
        <f t="shared" ref="I3:I65" si="8">SUMPRODUCT($B3:$B7,R$2:R$6)</f>
        <v>12.196720903839026</v>
      </c>
      <c r="J3">
        <f t="shared" ref="J3:J65" si="9">SUMPRODUCT($B3:$B7,S$2:S$6)</f>
        <v>10.262530077653443</v>
      </c>
      <c r="K3">
        <f t="shared" ref="K3:K65" si="10">SUMPRODUCT($B3:$B7,T$2:T$6)</f>
        <v>5.3199639797926324</v>
      </c>
      <c r="L3">
        <f t="shared" ref="L3:L65" si="11">(G3+$P$7)*$U$2+(H3+$Q$7)*$U$3+(I3+$R$7)*$U$4+(J3+$S$7)*$U$5+(K3+$T$7)*$U$6+$U$7</f>
        <v>32.175657591487116</v>
      </c>
      <c r="M3">
        <f t="shared" ref="M3:M66" si="12">B2-L3</f>
        <v>1.0043424085128834</v>
      </c>
      <c r="N3">
        <f t="shared" ref="N3:N66" si="13">M3^2</f>
        <v>1.0087036735374595</v>
      </c>
      <c r="P3">
        <v>6.7628514210922943E-8</v>
      </c>
      <c r="Q3">
        <v>1.1363203300020976E-7</v>
      </c>
      <c r="R3">
        <v>4.9306645283357894E-8</v>
      </c>
      <c r="S3">
        <v>2.1559856261629839E-8</v>
      </c>
      <c r="T3">
        <v>0</v>
      </c>
      <c r="U3">
        <v>0.54503430401327124</v>
      </c>
      <c r="V3" t="s">
        <v>29</v>
      </c>
      <c r="W3">
        <f>SUM(N3:N251)</f>
        <v>72.18436813284346</v>
      </c>
    </row>
    <row r="4" spans="1:23" x14ac:dyDescent="0.45">
      <c r="A4" s="23">
        <v>42424</v>
      </c>
      <c r="B4">
        <v>31.7</v>
      </c>
      <c r="C4">
        <v>32.32</v>
      </c>
      <c r="G4">
        <f t="shared" si="6"/>
        <v>17.09981585288266</v>
      </c>
      <c r="H4">
        <f t="shared" si="7"/>
        <v>14.01902496598786</v>
      </c>
      <c r="I4">
        <f t="shared" si="8"/>
        <v>12.018528216330823</v>
      </c>
      <c r="J4">
        <f t="shared" si="9"/>
        <v>10.112595754273325</v>
      </c>
      <c r="K4">
        <f t="shared" si="10"/>
        <v>5.2422399694845279</v>
      </c>
      <c r="L4">
        <f t="shared" si="11"/>
        <v>31.707388884112277</v>
      </c>
      <c r="M4">
        <f t="shared" si="12"/>
        <v>0.46261111588772508</v>
      </c>
      <c r="N4">
        <f t="shared" si="13"/>
        <v>0.21400904454288619</v>
      </c>
      <c r="P4">
        <v>0</v>
      </c>
      <c r="Q4">
        <v>4.9111258860525393E-8</v>
      </c>
      <c r="R4">
        <v>5.7286238115624948E-7</v>
      </c>
      <c r="S4">
        <v>2.807525092954539E-9</v>
      </c>
      <c r="T4">
        <v>1.6562535917981232E-7</v>
      </c>
      <c r="U4">
        <v>0.50696098191246164</v>
      </c>
      <c r="V4" t="s">
        <v>30</v>
      </c>
      <c r="W4">
        <f>MAX(N3:N251)</f>
        <v>4.3298373124781833</v>
      </c>
    </row>
    <row r="5" spans="1:23" x14ac:dyDescent="0.45">
      <c r="A5" s="23">
        <v>42423</v>
      </c>
      <c r="B5">
        <v>32.369999999999997</v>
      </c>
      <c r="C5">
        <v>31.97</v>
      </c>
      <c r="G5">
        <f t="shared" si="6"/>
        <v>17.461231347444915</v>
      </c>
      <c r="H5">
        <f t="shared" si="7"/>
        <v>14.315325900119777</v>
      </c>
      <c r="I5">
        <f t="shared" si="8"/>
        <v>12.272546901573872</v>
      </c>
      <c r="J5">
        <f t="shared" si="9"/>
        <v>10.3263319191921</v>
      </c>
      <c r="K5">
        <f t="shared" si="10"/>
        <v>5.3530378232040068</v>
      </c>
      <c r="L5">
        <f t="shared" si="11"/>
        <v>32.374920432985796</v>
      </c>
      <c r="M5">
        <f t="shared" si="12"/>
        <v>-0.67492043298579674</v>
      </c>
      <c r="N5">
        <f t="shared" si="13"/>
        <v>0.45551759086173532</v>
      </c>
      <c r="P5">
        <v>1.0377763845145263E-7</v>
      </c>
      <c r="Q5">
        <v>6.7319890555598683E-8</v>
      </c>
      <c r="R5">
        <v>3.3789505956846472E-8</v>
      </c>
      <c r="S5">
        <v>0</v>
      </c>
      <c r="T5">
        <v>4.2082810846700162E-8</v>
      </c>
      <c r="U5">
        <v>0.52291428951286223</v>
      </c>
    </row>
    <row r="6" spans="1:23" x14ac:dyDescent="0.45">
      <c r="A6" s="23">
        <v>42422</v>
      </c>
      <c r="B6">
        <v>31.8</v>
      </c>
      <c r="C6">
        <v>32.4</v>
      </c>
      <c r="G6">
        <f t="shared" si="6"/>
        <v>17.153758294243886</v>
      </c>
      <c r="H6">
        <f t="shared" si="7"/>
        <v>14.063248848071412</v>
      </c>
      <c r="I6">
        <f t="shared" si="8"/>
        <v>12.056441587607997</v>
      </c>
      <c r="J6">
        <f t="shared" si="9"/>
        <v>10.144496619823562</v>
      </c>
      <c r="K6">
        <f t="shared" si="10"/>
        <v>5.2587769335511387</v>
      </c>
      <c r="L6">
        <f t="shared" si="11"/>
        <v>31.807020310624679</v>
      </c>
      <c r="M6">
        <f t="shared" si="12"/>
        <v>0.56297968937531806</v>
      </c>
      <c r="N6">
        <f t="shared" si="13"/>
        <v>0.31694613064912963</v>
      </c>
      <c r="P6">
        <v>5.100444589851386E-8</v>
      </c>
      <c r="Q6">
        <v>1.7397796855117965E-8</v>
      </c>
      <c r="R6">
        <v>0</v>
      </c>
      <c r="S6">
        <v>3.1831886977171195E-8</v>
      </c>
      <c r="T6">
        <v>5.6892953011924947E-8</v>
      </c>
      <c r="U6">
        <v>0.5305978287688794</v>
      </c>
    </row>
    <row r="7" spans="1:23" x14ac:dyDescent="0.45">
      <c r="A7" s="23">
        <v>42419</v>
      </c>
      <c r="B7">
        <v>31.39</v>
      </c>
      <c r="C7">
        <v>31.79</v>
      </c>
      <c r="G7">
        <f t="shared" si="6"/>
        <v>16.932593547455447</v>
      </c>
      <c r="H7">
        <f t="shared" si="7"/>
        <v>13.881930323944095</v>
      </c>
      <c r="I7">
        <f t="shared" si="8"/>
        <v>11.900996578770597</v>
      </c>
      <c r="J7">
        <f t="shared" si="9"/>
        <v>10.01370279769314</v>
      </c>
      <c r="K7">
        <f t="shared" si="10"/>
        <v>5.1909749548906028</v>
      </c>
      <c r="L7">
        <f t="shared" si="11"/>
        <v>31.398530245558103</v>
      </c>
      <c r="M7">
        <f t="shared" si="12"/>
        <v>0.40146975444189792</v>
      </c>
      <c r="N7">
        <f t="shared" si="13"/>
        <v>0.16117796373163781</v>
      </c>
      <c r="O7" t="s">
        <v>28</v>
      </c>
      <c r="P7">
        <v>2.9178768136640075E-2</v>
      </c>
      <c r="Q7">
        <v>2.779864605620538E-2</v>
      </c>
      <c r="R7">
        <v>2.5853274213716367E-2</v>
      </c>
      <c r="S7">
        <v>2.6658913436158182E-2</v>
      </c>
      <c r="T7">
        <v>2.7033281157582589E-2</v>
      </c>
      <c r="U7">
        <v>5.0913694183946624E-2</v>
      </c>
    </row>
    <row r="8" spans="1:23" x14ac:dyDescent="0.45">
      <c r="A8" s="23">
        <v>42418</v>
      </c>
      <c r="B8">
        <v>32.08</v>
      </c>
      <c r="C8">
        <v>31.47</v>
      </c>
      <c r="G8">
        <f t="shared" si="6"/>
        <v>17.304797420804245</v>
      </c>
      <c r="H8">
        <f t="shared" si="7"/>
        <v>14.187075923514854</v>
      </c>
      <c r="I8">
        <f t="shared" si="8"/>
        <v>12.162597944743775</v>
      </c>
      <c r="J8">
        <f t="shared" si="9"/>
        <v>10.233819179304438</v>
      </c>
      <c r="K8">
        <f t="shared" si="10"/>
        <v>5.3050802446808198</v>
      </c>
      <c r="L8">
        <f t="shared" si="11"/>
        <v>32.085988005653604</v>
      </c>
      <c r="M8">
        <f t="shared" si="12"/>
        <v>-0.69598800565360364</v>
      </c>
      <c r="N8">
        <f t="shared" si="13"/>
        <v>0.48439930401368059</v>
      </c>
    </row>
    <row r="9" spans="1:23" x14ac:dyDescent="0.45">
      <c r="A9" s="23">
        <v>42417</v>
      </c>
      <c r="B9">
        <v>31</v>
      </c>
      <c r="C9">
        <v>31.91</v>
      </c>
      <c r="G9">
        <f t="shared" si="6"/>
        <v>16.722217266525856</v>
      </c>
      <c r="H9">
        <f t="shared" si="7"/>
        <v>13.709456380614082</v>
      </c>
      <c r="I9">
        <f t="shared" si="8"/>
        <v>11.753134021436317</v>
      </c>
      <c r="J9">
        <f t="shared" si="9"/>
        <v>9.8892892023651431</v>
      </c>
      <c r="K9">
        <f t="shared" si="10"/>
        <v>5.1264804807680715</v>
      </c>
      <c r="L9">
        <f t="shared" si="11"/>
        <v>31.009966320786429</v>
      </c>
      <c r="M9">
        <f t="shared" si="12"/>
        <v>1.0700336792135694</v>
      </c>
      <c r="N9">
        <f t="shared" si="13"/>
        <v>1.1449720746513279</v>
      </c>
    </row>
    <row r="10" spans="1:23" x14ac:dyDescent="0.45">
      <c r="A10" s="23">
        <v>42416</v>
      </c>
      <c r="B10">
        <v>30.78</v>
      </c>
      <c r="C10">
        <v>30.35</v>
      </c>
      <c r="G10">
        <f t="shared" si="6"/>
        <v>16.603543606110669</v>
      </c>
      <c r="H10">
        <f t="shared" si="7"/>
        <v>13.612163514070927</v>
      </c>
      <c r="I10">
        <f t="shared" si="8"/>
        <v>11.669724952152974</v>
      </c>
      <c r="J10">
        <f t="shared" si="9"/>
        <v>9.8191071488717405</v>
      </c>
      <c r="K10">
        <f t="shared" si="10"/>
        <v>5.0900991745315833</v>
      </c>
      <c r="L10">
        <f t="shared" si="11"/>
        <v>30.790776945196654</v>
      </c>
      <c r="M10">
        <f t="shared" si="12"/>
        <v>0.20922305480334558</v>
      </c>
      <c r="N10">
        <f t="shared" si="13"/>
        <v>4.377428666124375E-2</v>
      </c>
    </row>
    <row r="11" spans="1:23" x14ac:dyDescent="0.45">
      <c r="A11" s="23">
        <v>42412</v>
      </c>
      <c r="B11">
        <v>29.77</v>
      </c>
      <c r="C11">
        <v>30.76</v>
      </c>
      <c r="G11">
        <f t="shared" si="6"/>
        <v>16.05872323586749</v>
      </c>
      <c r="H11">
        <f t="shared" si="7"/>
        <v>13.165500935868055</v>
      </c>
      <c r="I11">
        <f t="shared" si="8"/>
        <v>11.286801734088876</v>
      </c>
      <c r="J11">
        <f t="shared" si="9"/>
        <v>9.4969077891641636</v>
      </c>
      <c r="K11">
        <f t="shared" si="10"/>
        <v>4.92307563267725</v>
      </c>
      <c r="L11">
        <f t="shared" si="11"/>
        <v>29.784498308786826</v>
      </c>
      <c r="M11">
        <f t="shared" si="12"/>
        <v>0.99550169121317467</v>
      </c>
      <c r="N11">
        <f t="shared" si="13"/>
        <v>0.99102361720829091</v>
      </c>
    </row>
    <row r="12" spans="1:23" x14ac:dyDescent="0.45">
      <c r="A12" s="23">
        <v>42411</v>
      </c>
      <c r="B12">
        <v>30</v>
      </c>
      <c r="C12">
        <v>29.96</v>
      </c>
      <c r="G12">
        <f t="shared" si="6"/>
        <v>16.182791367832433</v>
      </c>
      <c r="H12">
        <f t="shared" si="7"/>
        <v>13.267216379285296</v>
      </c>
      <c r="I12">
        <f t="shared" si="8"/>
        <v>11.374002464672827</v>
      </c>
      <c r="J12">
        <f t="shared" si="9"/>
        <v>9.5702799738744488</v>
      </c>
      <c r="K12">
        <f t="shared" si="10"/>
        <v>4.96111082374816</v>
      </c>
      <c r="L12">
        <f t="shared" si="11"/>
        <v>30.01365134759892</v>
      </c>
      <c r="M12">
        <f t="shared" si="12"/>
        <v>-0.24365134759892015</v>
      </c>
      <c r="N12">
        <f t="shared" si="13"/>
        <v>5.9365979186769814E-2</v>
      </c>
    </row>
    <row r="13" spans="1:23" x14ac:dyDescent="0.45">
      <c r="A13" s="23">
        <v>42410</v>
      </c>
      <c r="B13">
        <v>31.42</v>
      </c>
      <c r="C13">
        <v>30.25</v>
      </c>
      <c r="G13">
        <f t="shared" si="6"/>
        <v>16.948776554807342</v>
      </c>
      <c r="H13">
        <f t="shared" si="7"/>
        <v>13.895197643701046</v>
      </c>
      <c r="I13">
        <f t="shared" si="8"/>
        <v>11.912370908895973</v>
      </c>
      <c r="J13">
        <f t="shared" si="9"/>
        <v>10.0232731326929</v>
      </c>
      <c r="K13">
        <f t="shared" si="10"/>
        <v>5.1959363251623811</v>
      </c>
      <c r="L13">
        <f t="shared" si="11"/>
        <v>31.428420265421899</v>
      </c>
      <c r="M13">
        <f t="shared" si="12"/>
        <v>-1.4284202654218987</v>
      </c>
      <c r="N13">
        <f t="shared" si="13"/>
        <v>2.0403844546679677</v>
      </c>
    </row>
    <row r="14" spans="1:23" x14ac:dyDescent="0.45">
      <c r="A14" s="23">
        <v>42409</v>
      </c>
      <c r="B14">
        <v>31.66</v>
      </c>
      <c r="C14">
        <v>31.17</v>
      </c>
      <c r="G14">
        <f t="shared" si="6"/>
        <v>17.078238718361547</v>
      </c>
      <c r="H14">
        <f t="shared" si="7"/>
        <v>14.001335283835271</v>
      </c>
      <c r="I14">
        <f t="shared" si="8"/>
        <v>12.003363115832171</v>
      </c>
      <c r="J14">
        <f t="shared" si="9"/>
        <v>10.099835319940038</v>
      </c>
      <c r="K14">
        <f t="shared" si="10"/>
        <v>5.2356251667966198</v>
      </c>
      <c r="L14">
        <f t="shared" si="11"/>
        <v>31.667536223276279</v>
      </c>
      <c r="M14">
        <f t="shared" si="12"/>
        <v>-0.24753622327627767</v>
      </c>
      <c r="N14">
        <f t="shared" si="13"/>
        <v>6.1274181833883189E-2</v>
      </c>
    </row>
    <row r="15" spans="1:23" x14ac:dyDescent="0.45">
      <c r="A15" s="23">
        <v>42408</v>
      </c>
      <c r="B15">
        <v>31.56</v>
      </c>
      <c r="C15">
        <v>31.96</v>
      </c>
      <c r="G15">
        <f t="shared" si="6"/>
        <v>17.024295917299124</v>
      </c>
      <c r="H15">
        <f t="shared" si="7"/>
        <v>13.957111191859633</v>
      </c>
      <c r="I15">
        <f t="shared" si="8"/>
        <v>11.965449594695651</v>
      </c>
      <c r="J15">
        <f t="shared" si="9"/>
        <v>10.067934338653581</v>
      </c>
      <c r="K15">
        <f t="shared" si="10"/>
        <v>5.2190879196155775</v>
      </c>
      <c r="L15">
        <f t="shared" si="11"/>
        <v>31.567904189928068</v>
      </c>
      <c r="M15">
        <f t="shared" si="12"/>
        <v>9.2095810071931794E-2</v>
      </c>
      <c r="N15">
        <f t="shared" si="13"/>
        <v>8.4816382328053337E-3</v>
      </c>
    </row>
    <row r="16" spans="1:23" x14ac:dyDescent="0.45">
      <c r="A16" s="23">
        <v>42405</v>
      </c>
      <c r="B16">
        <v>32.21</v>
      </c>
      <c r="C16">
        <v>31.81</v>
      </c>
      <c r="G16">
        <f t="shared" si="6"/>
        <v>17.374922623864048</v>
      </c>
      <c r="H16">
        <f t="shared" si="7"/>
        <v>14.244567116065731</v>
      </c>
      <c r="I16">
        <f t="shared" si="8"/>
        <v>12.211885091754491</v>
      </c>
      <c r="J16">
        <f t="shared" si="9"/>
        <v>10.275290328074544</v>
      </c>
      <c r="K16">
        <f t="shared" si="10"/>
        <v>5.326578141053333</v>
      </c>
      <c r="L16">
        <f t="shared" si="11"/>
        <v>32.215508765954475</v>
      </c>
      <c r="M16">
        <f t="shared" si="12"/>
        <v>-0.65550876595447605</v>
      </c>
      <c r="N16">
        <f t="shared" si="13"/>
        <v>0.42969174224316004</v>
      </c>
    </row>
    <row r="17" spans="1:14" x14ac:dyDescent="0.45">
      <c r="A17" s="23">
        <v>42404</v>
      </c>
      <c r="B17">
        <v>31.79</v>
      </c>
      <c r="C17">
        <v>32.29</v>
      </c>
      <c r="G17">
        <f t="shared" si="6"/>
        <v>17.148363460944193</v>
      </c>
      <c r="H17">
        <f t="shared" si="7"/>
        <v>14.05882589744939</v>
      </c>
      <c r="I17">
        <f t="shared" si="8"/>
        <v>12.052648059065639</v>
      </c>
      <c r="J17">
        <f t="shared" si="9"/>
        <v>10.141306390192899</v>
      </c>
      <c r="K17">
        <f t="shared" si="10"/>
        <v>5.2571223046519249</v>
      </c>
      <c r="L17">
        <f t="shared" si="11"/>
        <v>31.797054843920776</v>
      </c>
      <c r="M17">
        <f t="shared" si="12"/>
        <v>0.41294515607922477</v>
      </c>
      <c r="N17">
        <f t="shared" si="13"/>
        <v>0.17052370192929531</v>
      </c>
    </row>
    <row r="18" spans="1:14" x14ac:dyDescent="0.45">
      <c r="A18" s="23">
        <v>42403</v>
      </c>
      <c r="B18">
        <v>30.6</v>
      </c>
      <c r="C18">
        <v>31.76</v>
      </c>
      <c r="G18">
        <f t="shared" si="6"/>
        <v>16.506446161832823</v>
      </c>
      <c r="H18">
        <f t="shared" si="7"/>
        <v>13.532559652281211</v>
      </c>
      <c r="I18">
        <f t="shared" si="8"/>
        <v>11.601479543477547</v>
      </c>
      <c r="J18">
        <f t="shared" si="9"/>
        <v>9.7616853036512463</v>
      </c>
      <c r="K18">
        <f t="shared" si="10"/>
        <v>5.0603317526466984</v>
      </c>
      <c r="L18">
        <f t="shared" si="11"/>
        <v>30.611438000538342</v>
      </c>
      <c r="M18">
        <f t="shared" si="12"/>
        <v>1.1785619994616567</v>
      </c>
      <c r="N18">
        <f t="shared" si="13"/>
        <v>1.3890083865750582</v>
      </c>
    </row>
    <row r="19" spans="1:14" x14ac:dyDescent="0.45">
      <c r="A19" s="23">
        <v>42402</v>
      </c>
      <c r="B19">
        <v>28.5</v>
      </c>
      <c r="C19">
        <v>30.46</v>
      </c>
      <c r="G19">
        <f t="shared" si="6"/>
        <v>15.37365118586991</v>
      </c>
      <c r="H19">
        <f t="shared" si="7"/>
        <v>12.603854932376441</v>
      </c>
      <c r="I19">
        <f t="shared" si="8"/>
        <v>10.805300567485943</v>
      </c>
      <c r="J19">
        <f t="shared" si="9"/>
        <v>9.091765809740636</v>
      </c>
      <c r="K19">
        <f t="shared" si="10"/>
        <v>4.713054510995792</v>
      </c>
      <c r="L19">
        <f t="shared" si="11"/>
        <v>28.519173887015501</v>
      </c>
      <c r="M19">
        <f t="shared" si="12"/>
        <v>2.0808261129845</v>
      </c>
      <c r="N19">
        <f t="shared" si="13"/>
        <v>4.3298373124781833</v>
      </c>
    </row>
    <row r="20" spans="1:14" x14ac:dyDescent="0.45">
      <c r="A20" s="23">
        <v>42401</v>
      </c>
      <c r="B20">
        <v>27.7</v>
      </c>
      <c r="C20">
        <v>26.76</v>
      </c>
      <c r="G20">
        <f t="shared" si="6"/>
        <v>14.94211021781593</v>
      </c>
      <c r="H20">
        <f t="shared" si="7"/>
        <v>12.250062642625533</v>
      </c>
      <c r="I20">
        <f t="shared" si="8"/>
        <v>10.501994287007676</v>
      </c>
      <c r="J20">
        <f t="shared" si="9"/>
        <v>8.8365583717170235</v>
      </c>
      <c r="K20">
        <f t="shared" si="10"/>
        <v>4.5807583990221588</v>
      </c>
      <c r="L20">
        <f t="shared" si="11"/>
        <v>27.722120850032422</v>
      </c>
      <c r="M20">
        <f t="shared" si="12"/>
        <v>0.77787914996757834</v>
      </c>
      <c r="N20">
        <f t="shared" si="13"/>
        <v>0.60509597195428222</v>
      </c>
    </row>
    <row r="21" spans="1:14" x14ac:dyDescent="0.45">
      <c r="A21" s="23">
        <v>42398</v>
      </c>
      <c r="B21">
        <v>27.33</v>
      </c>
      <c r="C21">
        <v>27.59</v>
      </c>
      <c r="G21">
        <f t="shared" si="6"/>
        <v>14.74252251855976</v>
      </c>
      <c r="H21">
        <f t="shared" si="7"/>
        <v>12.086433699509335</v>
      </c>
      <c r="I21">
        <f t="shared" si="8"/>
        <v>10.361715108598636</v>
      </c>
      <c r="J21">
        <f t="shared" si="9"/>
        <v>8.7185249505823474</v>
      </c>
      <c r="K21">
        <f t="shared" si="10"/>
        <v>4.5195714624529852</v>
      </c>
      <c r="L21">
        <f t="shared" si="11"/>
        <v>27.353483820564744</v>
      </c>
      <c r="M21">
        <f t="shared" si="12"/>
        <v>0.34651617943525537</v>
      </c>
      <c r="N21">
        <f t="shared" si="13"/>
        <v>0.12007346261040609</v>
      </c>
    </row>
    <row r="22" spans="1:14" x14ac:dyDescent="0.45">
      <c r="A22" s="23">
        <v>42397</v>
      </c>
      <c r="B22">
        <v>27.19</v>
      </c>
      <c r="C22">
        <v>27.18</v>
      </c>
      <c r="G22">
        <f t="shared" si="6"/>
        <v>14.66700284179468</v>
      </c>
      <c r="H22">
        <f t="shared" si="7"/>
        <v>12.024520041120686</v>
      </c>
      <c r="I22">
        <f t="shared" si="8"/>
        <v>10.308636330460502</v>
      </c>
      <c r="J22">
        <f t="shared" si="9"/>
        <v>8.6738636163421496</v>
      </c>
      <c r="K22">
        <f t="shared" si="10"/>
        <v>4.4964195496226349</v>
      </c>
      <c r="L22">
        <f t="shared" si="11"/>
        <v>27.213999373415096</v>
      </c>
      <c r="M22">
        <f t="shared" si="12"/>
        <v>0.11600062658490273</v>
      </c>
      <c r="N22">
        <f t="shared" si="13"/>
        <v>1.3456145368090042E-2</v>
      </c>
    </row>
    <row r="23" spans="1:14" x14ac:dyDescent="0.45">
      <c r="A23" s="23">
        <v>42396</v>
      </c>
      <c r="B23">
        <v>27.1</v>
      </c>
      <c r="C23">
        <v>26.97</v>
      </c>
      <c r="G23">
        <f t="shared" si="6"/>
        <v>14.618454306560707</v>
      </c>
      <c r="H23">
        <f t="shared" si="7"/>
        <v>11.984718307578929</v>
      </c>
      <c r="I23">
        <f t="shared" si="8"/>
        <v>10.274514567305886</v>
      </c>
      <c r="J23">
        <f t="shared" si="9"/>
        <v>8.6451527439896214</v>
      </c>
      <c r="K23">
        <f t="shared" si="10"/>
        <v>4.481536210749633</v>
      </c>
      <c r="L23">
        <f t="shared" si="11"/>
        <v>27.124330816389861</v>
      </c>
      <c r="M23">
        <f t="shared" si="12"/>
        <v>6.566918361014018E-2</v>
      </c>
      <c r="N23">
        <f t="shared" si="13"/>
        <v>4.3124416760223034E-3</v>
      </c>
    </row>
    <row r="24" spans="1:14" x14ac:dyDescent="0.45">
      <c r="A24" s="23">
        <v>42395</v>
      </c>
      <c r="B24">
        <v>26.74</v>
      </c>
      <c r="C24">
        <v>27.11</v>
      </c>
      <c r="G24">
        <f t="shared" si="6"/>
        <v>14.42426079212539</v>
      </c>
      <c r="H24">
        <f t="shared" si="7"/>
        <v>11.825511724546825</v>
      </c>
      <c r="I24">
        <f t="shared" si="8"/>
        <v>10.138026178084157</v>
      </c>
      <c r="J24">
        <f t="shared" si="9"/>
        <v>8.5303093938962107</v>
      </c>
      <c r="K24">
        <f t="shared" si="10"/>
        <v>4.422002736365326</v>
      </c>
      <c r="L24">
        <f t="shared" si="11"/>
        <v>26.765656470146091</v>
      </c>
      <c r="M24">
        <f t="shared" si="12"/>
        <v>0.33434352985391058</v>
      </c>
      <c r="N24">
        <f t="shared" si="13"/>
        <v>0.11178559595517279</v>
      </c>
    </row>
    <row r="25" spans="1:14" x14ac:dyDescent="0.45">
      <c r="A25" s="23">
        <v>42394</v>
      </c>
      <c r="B25">
        <v>27.15</v>
      </c>
      <c r="C25">
        <v>26.74</v>
      </c>
      <c r="G25">
        <f t="shared" si="6"/>
        <v>14.64542544755845</v>
      </c>
      <c r="H25">
        <f t="shared" si="7"/>
        <v>12.006830059747651</v>
      </c>
      <c r="I25">
        <f t="shared" si="8"/>
        <v>10.29346996321191</v>
      </c>
      <c r="J25">
        <f t="shared" si="9"/>
        <v>8.6611032109734705</v>
      </c>
      <c r="K25">
        <f t="shared" si="10"/>
        <v>4.4898043558051981</v>
      </c>
      <c r="L25">
        <f t="shared" si="11"/>
        <v>27.174145566375088</v>
      </c>
      <c r="M25">
        <f t="shared" si="12"/>
        <v>-0.43414556637508994</v>
      </c>
      <c r="N25">
        <f t="shared" si="13"/>
        <v>0.18848237280314761</v>
      </c>
    </row>
    <row r="26" spans="1:14" x14ac:dyDescent="0.45">
      <c r="A26" s="23">
        <v>42391</v>
      </c>
      <c r="B26">
        <v>26.11</v>
      </c>
      <c r="C26">
        <v>26.24</v>
      </c>
      <c r="G26">
        <f t="shared" si="6"/>
        <v>14.08442231601069</v>
      </c>
      <c r="H26">
        <f t="shared" si="7"/>
        <v>11.546900106884193</v>
      </c>
      <c r="I26">
        <f t="shared" si="8"/>
        <v>9.8991716043102134</v>
      </c>
      <c r="J26">
        <f t="shared" si="9"/>
        <v>8.3293335401640238</v>
      </c>
      <c r="K26">
        <f t="shared" si="10"/>
        <v>4.3178194246628365</v>
      </c>
      <c r="L26">
        <f t="shared" si="11"/>
        <v>26.137976612306485</v>
      </c>
      <c r="M26">
        <f t="shared" si="12"/>
        <v>1.0120233876935139</v>
      </c>
      <c r="N26">
        <f t="shared" si="13"/>
        <v>1.0241913372386562</v>
      </c>
    </row>
    <row r="27" spans="1:14" x14ac:dyDescent="0.45">
      <c r="A27" s="23">
        <v>42390</v>
      </c>
      <c r="B27">
        <v>25.13</v>
      </c>
      <c r="C27">
        <v>25.82</v>
      </c>
      <c r="G27">
        <f t="shared" si="6"/>
        <v>13.555784675483686</v>
      </c>
      <c r="H27">
        <f t="shared" si="7"/>
        <v>11.113504627581223</v>
      </c>
      <c r="I27">
        <f t="shared" si="8"/>
        <v>9.5276222302367355</v>
      </c>
      <c r="J27">
        <f t="shared" si="9"/>
        <v>8.0167044650592185</v>
      </c>
      <c r="K27">
        <f t="shared" si="10"/>
        <v>4.1557569870623388</v>
      </c>
      <c r="L27">
        <f t="shared" si="11"/>
        <v>25.161587302643884</v>
      </c>
      <c r="M27">
        <f t="shared" si="12"/>
        <v>0.94841269735611533</v>
      </c>
      <c r="N27">
        <f t="shared" si="13"/>
        <v>0.89948664450630245</v>
      </c>
    </row>
    <row r="28" spans="1:14" x14ac:dyDescent="0.45">
      <c r="A28" s="23">
        <v>42389</v>
      </c>
      <c r="B28">
        <v>24.57</v>
      </c>
      <c r="C28">
        <v>24.98</v>
      </c>
      <c r="G28">
        <f t="shared" si="6"/>
        <v>13.253706227879947</v>
      </c>
      <c r="H28">
        <f t="shared" si="7"/>
        <v>10.865850262389904</v>
      </c>
      <c r="I28">
        <f t="shared" si="8"/>
        <v>9.3153079093235078</v>
      </c>
      <c r="J28">
        <f t="shared" si="9"/>
        <v>7.8380593241403043</v>
      </c>
      <c r="K28">
        <f t="shared" si="10"/>
        <v>4.0631497904431022</v>
      </c>
      <c r="L28">
        <f t="shared" si="11"/>
        <v>24.603650553811281</v>
      </c>
      <c r="M28">
        <f t="shared" si="12"/>
        <v>0.52634944618871771</v>
      </c>
      <c r="N28">
        <f t="shared" si="13"/>
        <v>0.27704373950316985</v>
      </c>
    </row>
    <row r="29" spans="1:14" x14ac:dyDescent="0.45">
      <c r="A29" s="23">
        <v>42388</v>
      </c>
      <c r="B29">
        <v>25.84</v>
      </c>
      <c r="C29">
        <v>24.87</v>
      </c>
      <c r="G29">
        <f t="shared" si="6"/>
        <v>13.938777488673434</v>
      </c>
      <c r="H29">
        <f t="shared" si="7"/>
        <v>11.427495488974648</v>
      </c>
      <c r="I29">
        <f t="shared" si="8"/>
        <v>9.796806860288358</v>
      </c>
      <c r="J29">
        <f t="shared" si="9"/>
        <v>8.2432010907350737</v>
      </c>
      <c r="K29">
        <f t="shared" si="10"/>
        <v>4.2731699179840836</v>
      </c>
      <c r="L29">
        <f t="shared" si="11"/>
        <v>25.868972338748751</v>
      </c>
      <c r="M29">
        <f t="shared" si="12"/>
        <v>-1.2989723387487508</v>
      </c>
      <c r="N29">
        <f t="shared" si="13"/>
        <v>1.6873291368343994</v>
      </c>
    </row>
    <row r="30" spans="1:14" x14ac:dyDescent="0.45">
      <c r="A30" s="23">
        <v>42384</v>
      </c>
      <c r="B30">
        <v>25.7</v>
      </c>
      <c r="C30">
        <v>25.69</v>
      </c>
      <c r="G30">
        <f t="shared" si="6"/>
        <v>13.86325785667035</v>
      </c>
      <c r="H30">
        <f t="shared" si="7"/>
        <v>11.365581947152192</v>
      </c>
      <c r="I30">
        <f t="shared" si="8"/>
        <v>9.7437287487233899</v>
      </c>
      <c r="J30">
        <f t="shared" si="9"/>
        <v>8.1985398163945629</v>
      </c>
      <c r="K30">
        <f t="shared" si="10"/>
        <v>4.2500182381733085</v>
      </c>
      <c r="L30">
        <f t="shared" si="11"/>
        <v>25.72948847362116</v>
      </c>
      <c r="M30">
        <f t="shared" si="12"/>
        <v>0.11051152637883987</v>
      </c>
      <c r="N30">
        <f t="shared" si="13"/>
        <v>1.2212797462581021E-2</v>
      </c>
    </row>
    <row r="31" spans="1:14" x14ac:dyDescent="0.45">
      <c r="A31" s="23">
        <v>42383</v>
      </c>
      <c r="B31">
        <v>26.35</v>
      </c>
      <c r="C31">
        <v>26.3</v>
      </c>
      <c r="G31">
        <f t="shared" si="6"/>
        <v>14.213884932623122</v>
      </c>
      <c r="H31">
        <f t="shared" si="7"/>
        <v>11.65303822591167</v>
      </c>
      <c r="I31">
        <f t="shared" si="8"/>
        <v>9.9901649110510409</v>
      </c>
      <c r="J31">
        <f t="shared" si="9"/>
        <v>8.4058958626006604</v>
      </c>
      <c r="K31">
        <f t="shared" si="10"/>
        <v>4.357508761094901</v>
      </c>
      <c r="L31">
        <f t="shared" si="11"/>
        <v>26.377093981081739</v>
      </c>
      <c r="M31">
        <f t="shared" si="12"/>
        <v>-0.67709398108173957</v>
      </c>
      <c r="N31">
        <f t="shared" si="13"/>
        <v>0.45845625921711908</v>
      </c>
    </row>
    <row r="32" spans="1:14" x14ac:dyDescent="0.45">
      <c r="A32" s="23">
        <v>42382</v>
      </c>
      <c r="B32">
        <v>27.13</v>
      </c>
      <c r="C32">
        <v>26.26</v>
      </c>
      <c r="G32">
        <f t="shared" si="6"/>
        <v>14.634637280956937</v>
      </c>
      <c r="H32">
        <f t="shared" si="7"/>
        <v>11.997985623868777</v>
      </c>
      <c r="I32">
        <f t="shared" si="8"/>
        <v>10.285888562784466</v>
      </c>
      <c r="J32">
        <f t="shared" si="9"/>
        <v>8.6547230682283836</v>
      </c>
      <c r="K32">
        <f t="shared" si="10"/>
        <v>4.486497428280539</v>
      </c>
      <c r="L32">
        <f t="shared" si="11"/>
        <v>27.15422055919165</v>
      </c>
      <c r="M32">
        <f t="shared" si="12"/>
        <v>-0.80422055919164848</v>
      </c>
      <c r="N32">
        <f t="shared" si="13"/>
        <v>0.64677070782652779</v>
      </c>
    </row>
    <row r="33" spans="1:14" x14ac:dyDescent="0.45">
      <c r="A33" s="23">
        <v>42381</v>
      </c>
      <c r="B33">
        <v>26.86</v>
      </c>
      <c r="C33">
        <v>27.11</v>
      </c>
      <c r="G33">
        <f t="shared" si="6"/>
        <v>14.48899218297881</v>
      </c>
      <c r="H33">
        <f t="shared" si="7"/>
        <v>11.878580737555097</v>
      </c>
      <c r="I33">
        <f t="shared" si="8"/>
        <v>10.183522767450771</v>
      </c>
      <c r="J33">
        <f t="shared" si="9"/>
        <v>8.5685905802011799</v>
      </c>
      <c r="K33">
        <f t="shared" si="10"/>
        <v>4.4418475105808843</v>
      </c>
      <c r="L33">
        <f t="shared" si="11"/>
        <v>26.885215213311874</v>
      </c>
      <c r="M33">
        <f t="shared" si="12"/>
        <v>0.24478478668812542</v>
      </c>
      <c r="N33">
        <f t="shared" si="13"/>
        <v>5.9919591793951066E-2</v>
      </c>
    </row>
    <row r="34" spans="1:14" x14ac:dyDescent="0.45">
      <c r="A34" s="23">
        <v>42380</v>
      </c>
      <c r="B34">
        <v>27.1</v>
      </c>
      <c r="C34">
        <v>26.7</v>
      </c>
      <c r="G34">
        <f t="shared" si="6"/>
        <v>14.618454537676731</v>
      </c>
      <c r="H34">
        <f t="shared" si="7"/>
        <v>11.984718417908663</v>
      </c>
      <c r="I34">
        <f t="shared" si="8"/>
        <v>10.274514241123878</v>
      </c>
      <c r="J34">
        <f t="shared" si="9"/>
        <v>8.6451528311280637</v>
      </c>
      <c r="K34">
        <f t="shared" si="10"/>
        <v>4.4815362746353973</v>
      </c>
      <c r="L34">
        <f t="shared" si="11"/>
        <v>27.124330922807989</v>
      </c>
      <c r="M34">
        <f t="shared" si="12"/>
        <v>-0.26433092280798931</v>
      </c>
      <c r="N34">
        <f t="shared" si="13"/>
        <v>6.9870836752523202E-2</v>
      </c>
    </row>
    <row r="35" spans="1:14" x14ac:dyDescent="0.45">
      <c r="A35" s="23">
        <v>42377</v>
      </c>
      <c r="B35">
        <v>27.19</v>
      </c>
      <c r="C35">
        <v>26.93</v>
      </c>
      <c r="G35">
        <f t="shared" si="6"/>
        <v>14.66700288059573</v>
      </c>
      <c r="H35">
        <f t="shared" si="7"/>
        <v>12.024520018949394</v>
      </c>
      <c r="I35">
        <f t="shared" si="8"/>
        <v>10.308636362586572</v>
      </c>
      <c r="J35">
        <f t="shared" si="9"/>
        <v>8.6738636227299715</v>
      </c>
      <c r="K35">
        <f t="shared" si="10"/>
        <v>4.4964196167873558</v>
      </c>
      <c r="L35">
        <f t="shared" si="11"/>
        <v>27.213999438786935</v>
      </c>
      <c r="M35">
        <f t="shared" si="12"/>
        <v>-0.11399943878693364</v>
      </c>
      <c r="N35">
        <f t="shared" si="13"/>
        <v>1.299587204373583E-2</v>
      </c>
    </row>
    <row r="36" spans="1:14" x14ac:dyDescent="0.45">
      <c r="A36" s="23">
        <v>42376</v>
      </c>
      <c r="B36">
        <v>26.5</v>
      </c>
      <c r="C36">
        <v>27.06</v>
      </c>
      <c r="G36">
        <f t="shared" si="6"/>
        <v>14.294798804030327</v>
      </c>
      <c r="H36">
        <f t="shared" si="7"/>
        <v>11.719374248428581</v>
      </c>
      <c r="I36">
        <f t="shared" si="8"/>
        <v>10.047035226524674</v>
      </c>
      <c r="J36">
        <f t="shared" si="9"/>
        <v>8.4537472559651992</v>
      </c>
      <c r="K36">
        <f t="shared" si="10"/>
        <v>4.3823143951712948</v>
      </c>
      <c r="L36">
        <f t="shared" si="11"/>
        <v>26.526541629784319</v>
      </c>
      <c r="M36">
        <f t="shared" si="12"/>
        <v>0.66345837021568244</v>
      </c>
      <c r="N36">
        <f t="shared" si="13"/>
        <v>0.44017700900924955</v>
      </c>
    </row>
    <row r="37" spans="1:14" x14ac:dyDescent="0.45">
      <c r="A37" s="23">
        <v>42375</v>
      </c>
      <c r="B37">
        <v>26.82</v>
      </c>
      <c r="C37">
        <v>26.92</v>
      </c>
      <c r="G37">
        <f t="shared" si="6"/>
        <v>14.46741531170071</v>
      </c>
      <c r="H37">
        <f t="shared" si="7"/>
        <v>11.860891238216039</v>
      </c>
      <c r="I37">
        <f t="shared" si="8"/>
        <v>10.168357239915087</v>
      </c>
      <c r="J37">
        <f t="shared" si="9"/>
        <v>8.5558302471670569</v>
      </c>
      <c r="K37">
        <f t="shared" si="10"/>
        <v>4.4352327162160101</v>
      </c>
      <c r="L37">
        <f t="shared" si="11"/>
        <v>26.845362643568425</v>
      </c>
      <c r="M37">
        <f t="shared" si="12"/>
        <v>-0.34536264356842494</v>
      </c>
      <c r="N37">
        <f t="shared" si="13"/>
        <v>0.11927535557257093</v>
      </c>
    </row>
    <row r="38" spans="1:14" x14ac:dyDescent="0.45">
      <c r="A38" s="23">
        <v>42374</v>
      </c>
      <c r="B38">
        <v>27.62</v>
      </c>
      <c r="C38">
        <v>27.26</v>
      </c>
      <c r="G38">
        <f t="shared" si="6"/>
        <v>14.898956194564029</v>
      </c>
      <c r="H38">
        <f t="shared" si="7"/>
        <v>12.214683416873067</v>
      </c>
      <c r="I38">
        <f t="shared" si="8"/>
        <v>10.471663784841681</v>
      </c>
      <c r="J38">
        <f t="shared" si="9"/>
        <v>8.8110376470701492</v>
      </c>
      <c r="K38">
        <f t="shared" si="10"/>
        <v>4.567528907737084</v>
      </c>
      <c r="L38">
        <f t="shared" si="11"/>
        <v>27.642415727617195</v>
      </c>
      <c r="M38">
        <f t="shared" si="12"/>
        <v>-0.82241572761719439</v>
      </c>
      <c r="N38">
        <f t="shared" si="13"/>
        <v>0.67636762903211933</v>
      </c>
    </row>
    <row r="39" spans="1:14" x14ac:dyDescent="0.45">
      <c r="A39" s="23">
        <v>42373</v>
      </c>
      <c r="B39">
        <v>26.71</v>
      </c>
      <c r="C39">
        <v>27.43</v>
      </c>
      <c r="G39">
        <f t="shared" si="6"/>
        <v>14.408078443540298</v>
      </c>
      <c r="H39">
        <f t="shared" si="7"/>
        <v>11.812244847642042</v>
      </c>
      <c r="I39">
        <f t="shared" si="8"/>
        <v>10.126653206206074</v>
      </c>
      <c r="J39">
        <f t="shared" si="9"/>
        <v>8.5207392215974451</v>
      </c>
      <c r="K39">
        <f t="shared" si="10"/>
        <v>4.4170421758492084</v>
      </c>
      <c r="L39">
        <f t="shared" si="11"/>
        <v>26.73576827173326</v>
      </c>
      <c r="M39">
        <f t="shared" si="12"/>
        <v>0.8842317282667409</v>
      </c>
      <c r="N39">
        <f t="shared" si="13"/>
        <v>0.78186574927358754</v>
      </c>
    </row>
    <row r="40" spans="1:14" x14ac:dyDescent="0.45">
      <c r="A40" s="23">
        <v>42369</v>
      </c>
      <c r="B40">
        <v>27.41</v>
      </c>
      <c r="C40">
        <v>27.17</v>
      </c>
      <c r="G40">
        <f t="shared" si="6"/>
        <v>14.785676757258726</v>
      </c>
      <c r="H40">
        <f t="shared" si="7"/>
        <v>12.121813074044759</v>
      </c>
      <c r="I40">
        <f t="shared" si="8"/>
        <v>10.392046112287694</v>
      </c>
      <c r="J40">
        <f t="shared" si="9"/>
        <v>8.7440457209415747</v>
      </c>
      <c r="K40">
        <f t="shared" si="10"/>
        <v>4.5328012287634492</v>
      </c>
      <c r="L40">
        <f t="shared" si="11"/>
        <v>27.433189571376957</v>
      </c>
      <c r="M40">
        <f t="shared" si="12"/>
        <v>-0.72318957137695605</v>
      </c>
      <c r="N40">
        <f t="shared" si="13"/>
        <v>0.52300315614838544</v>
      </c>
    </row>
    <row r="41" spans="1:14" x14ac:dyDescent="0.45">
      <c r="A41" s="23">
        <v>42368</v>
      </c>
      <c r="B41">
        <v>27.7</v>
      </c>
      <c r="C41">
        <v>27.44</v>
      </c>
      <c r="G41">
        <f t="shared" si="6"/>
        <v>14.942110323555791</v>
      </c>
      <c r="H41">
        <f t="shared" si="7"/>
        <v>12.250062747100998</v>
      </c>
      <c r="I41">
        <f t="shared" si="8"/>
        <v>10.501994546265559</v>
      </c>
      <c r="J41">
        <f t="shared" si="9"/>
        <v>8.8365583959555316</v>
      </c>
      <c r="K41">
        <f t="shared" si="10"/>
        <v>4.5807585146391423</v>
      </c>
      <c r="L41">
        <f t="shared" si="11"/>
        <v>27.722121172905542</v>
      </c>
      <c r="M41">
        <f t="shared" si="12"/>
        <v>-0.31212117290554175</v>
      </c>
      <c r="N41">
        <f t="shared" si="13"/>
        <v>9.741962657593109E-2</v>
      </c>
    </row>
    <row r="42" spans="1:14" x14ac:dyDescent="0.45">
      <c r="A42" s="23">
        <v>42367</v>
      </c>
      <c r="B42">
        <v>27.68</v>
      </c>
      <c r="C42">
        <v>27.68</v>
      </c>
      <c r="G42">
        <f t="shared" si="6"/>
        <v>14.931321712069751</v>
      </c>
      <c r="H42">
        <f t="shared" si="7"/>
        <v>12.241217892140144</v>
      </c>
      <c r="I42">
        <f t="shared" si="8"/>
        <v>10.494411912768843</v>
      </c>
      <c r="J42">
        <f t="shared" si="9"/>
        <v>8.8301781846673109</v>
      </c>
      <c r="K42">
        <f t="shared" si="10"/>
        <v>4.5774510642754924</v>
      </c>
      <c r="L42">
        <f t="shared" si="11"/>
        <v>27.702194744487006</v>
      </c>
      <c r="M42">
        <f t="shared" si="12"/>
        <v>-2.1947444870065169E-3</v>
      </c>
      <c r="N42">
        <f t="shared" si="13"/>
        <v>4.816903363245499E-6</v>
      </c>
    </row>
    <row r="43" spans="1:14" x14ac:dyDescent="0.45">
      <c r="A43" s="23">
        <v>42366</v>
      </c>
      <c r="B43">
        <v>27.58</v>
      </c>
      <c r="C43">
        <v>27.47</v>
      </c>
      <c r="G43">
        <f t="shared" si="6"/>
        <v>14.87737901588353</v>
      </c>
      <c r="H43">
        <f t="shared" si="7"/>
        <v>12.196993797456427</v>
      </c>
      <c r="I43">
        <f t="shared" si="8"/>
        <v>10.45649837790185</v>
      </c>
      <c r="J43">
        <f t="shared" si="9"/>
        <v>8.7982772523116761</v>
      </c>
      <c r="K43">
        <f t="shared" si="10"/>
        <v>4.5609139454142857</v>
      </c>
      <c r="L43">
        <f t="shared" si="11"/>
        <v>27.602562856356876</v>
      </c>
      <c r="M43">
        <f t="shared" si="12"/>
        <v>7.7437143643123818E-2</v>
      </c>
      <c r="N43">
        <f t="shared" si="13"/>
        <v>5.9965112156057914E-3</v>
      </c>
    </row>
    <row r="44" spans="1:14" x14ac:dyDescent="0.45">
      <c r="A44" s="23">
        <v>42362</v>
      </c>
      <c r="B44">
        <v>27.65</v>
      </c>
      <c r="C44">
        <v>27.69</v>
      </c>
      <c r="G44">
        <f t="shared" si="6"/>
        <v>14.915138816760184</v>
      </c>
      <c r="H44">
        <f t="shared" si="7"/>
        <v>12.227950527189</v>
      </c>
      <c r="I44">
        <f t="shared" si="8"/>
        <v>10.483037212463946</v>
      </c>
      <c r="J44">
        <f t="shared" si="9"/>
        <v>8.8206079007473868</v>
      </c>
      <c r="K44">
        <f t="shared" si="10"/>
        <v>4.5724897384611154</v>
      </c>
      <c r="L44">
        <f t="shared" si="11"/>
        <v>27.672304626704197</v>
      </c>
      <c r="M44">
        <f t="shared" si="12"/>
        <v>-9.2304626704198256E-2</v>
      </c>
      <c r="N44">
        <f t="shared" si="13"/>
        <v>8.520144111001389E-3</v>
      </c>
    </row>
    <row r="45" spans="1:14" x14ac:dyDescent="0.45">
      <c r="A45" s="23">
        <v>42361</v>
      </c>
      <c r="B45">
        <v>27.23</v>
      </c>
      <c r="C45">
        <v>27.66</v>
      </c>
      <c r="G45">
        <f t="shared" si="6"/>
        <v>14.688579868701522</v>
      </c>
      <c r="H45">
        <f t="shared" si="7"/>
        <v>12.042209552566032</v>
      </c>
      <c r="I45">
        <f t="shared" si="8"/>
        <v>10.323801345276559</v>
      </c>
      <c r="J45">
        <f t="shared" si="9"/>
        <v>8.6866240201070113</v>
      </c>
      <c r="K45">
        <f t="shared" si="10"/>
        <v>4.5030343449378547</v>
      </c>
      <c r="L45">
        <f t="shared" si="11"/>
        <v>27.253851816327437</v>
      </c>
      <c r="M45">
        <f t="shared" si="12"/>
        <v>0.39614818367256177</v>
      </c>
      <c r="N45">
        <f t="shared" si="13"/>
        <v>0.15693338342706975</v>
      </c>
    </row>
    <row r="46" spans="1:14" x14ac:dyDescent="0.45">
      <c r="A46" s="23">
        <v>42360</v>
      </c>
      <c r="B46">
        <v>26.48</v>
      </c>
      <c r="C46">
        <v>27.02</v>
      </c>
      <c r="G46">
        <f t="shared" si="6"/>
        <v>14.284010339018636</v>
      </c>
      <c r="H46">
        <f t="shared" si="7"/>
        <v>11.710529396549177</v>
      </c>
      <c r="I46">
        <f t="shared" si="8"/>
        <v>10.039452015570985</v>
      </c>
      <c r="J46">
        <f t="shared" si="9"/>
        <v>8.4473670567634507</v>
      </c>
      <c r="K46">
        <f t="shared" si="10"/>
        <v>4.3790068686992161</v>
      </c>
      <c r="L46">
        <f t="shared" si="11"/>
        <v>26.506614960007685</v>
      </c>
      <c r="M46">
        <f t="shared" si="12"/>
        <v>0.72338503999231563</v>
      </c>
      <c r="N46">
        <f t="shared" si="13"/>
        <v>0.52328591608468411</v>
      </c>
    </row>
    <row r="47" spans="1:14" x14ac:dyDescent="0.45">
      <c r="A47" s="23">
        <v>42359</v>
      </c>
      <c r="B47">
        <v>26.31</v>
      </c>
      <c r="C47">
        <v>26.38</v>
      </c>
      <c r="G47">
        <f t="shared" si="6"/>
        <v>14.192307889970081</v>
      </c>
      <c r="H47">
        <f t="shared" si="7"/>
        <v>11.63534861740982</v>
      </c>
      <c r="I47">
        <f t="shared" si="8"/>
        <v>9.975000012334041</v>
      </c>
      <c r="J47">
        <f t="shared" si="9"/>
        <v>8.3931354857507525</v>
      </c>
      <c r="K47">
        <f t="shared" si="10"/>
        <v>4.350894098028915</v>
      </c>
      <c r="L47">
        <f t="shared" si="11"/>
        <v>26.337241619367582</v>
      </c>
      <c r="M47">
        <f t="shared" si="12"/>
        <v>0.14275838063241864</v>
      </c>
      <c r="N47">
        <f t="shared" si="13"/>
        <v>2.0379955240790521E-2</v>
      </c>
    </row>
    <row r="48" spans="1:14" x14ac:dyDescent="0.45">
      <c r="A48" s="23">
        <v>42356</v>
      </c>
      <c r="B48">
        <v>26.64</v>
      </c>
      <c r="C48">
        <v>26.19</v>
      </c>
      <c r="G48">
        <f t="shared" si="6"/>
        <v>14.370318552126765</v>
      </c>
      <c r="H48">
        <f t="shared" si="7"/>
        <v>11.781287996607492</v>
      </c>
      <c r="I48">
        <f t="shared" si="8"/>
        <v>10.100113744928658</v>
      </c>
      <c r="J48">
        <f t="shared" si="9"/>
        <v>8.4984085560518956</v>
      </c>
      <c r="K48">
        <f t="shared" si="10"/>
        <v>4.4054661696450204</v>
      </c>
      <c r="L48">
        <f t="shared" si="11"/>
        <v>26.666025943723248</v>
      </c>
      <c r="M48">
        <f t="shared" si="12"/>
        <v>-0.35602594372324958</v>
      </c>
      <c r="N48">
        <f t="shared" si="13"/>
        <v>0.12675447260403047</v>
      </c>
    </row>
    <row r="49" spans="1:14" x14ac:dyDescent="0.45">
      <c r="A49" s="23">
        <v>42355</v>
      </c>
      <c r="B49">
        <v>27.6</v>
      </c>
      <c r="C49">
        <v>26.85</v>
      </c>
      <c r="G49">
        <f t="shared" si="6"/>
        <v>14.888167520324666</v>
      </c>
      <c r="H49">
        <f t="shared" si="7"/>
        <v>12.205838592429723</v>
      </c>
      <c r="I49">
        <f t="shared" si="8"/>
        <v>10.464081059676539</v>
      </c>
      <c r="J49">
        <f t="shared" si="9"/>
        <v>8.8046574002359357</v>
      </c>
      <c r="K49">
        <f t="shared" si="10"/>
        <v>4.5642213158211673</v>
      </c>
      <c r="L49">
        <f t="shared" si="11"/>
        <v>27.622489139773982</v>
      </c>
      <c r="M49">
        <f t="shared" si="12"/>
        <v>-0.98248913977398189</v>
      </c>
      <c r="N49">
        <f t="shared" si="13"/>
        <v>0.96528490977381898</v>
      </c>
    </row>
    <row r="50" spans="1:14" x14ac:dyDescent="0.45">
      <c r="A50" s="23">
        <v>42354</v>
      </c>
      <c r="B50">
        <v>27.41</v>
      </c>
      <c r="C50">
        <v>27.53</v>
      </c>
      <c r="G50">
        <f t="shared" si="6"/>
        <v>14.785676370667225</v>
      </c>
      <c r="H50">
        <f t="shared" si="7"/>
        <v>12.121812794775506</v>
      </c>
      <c r="I50">
        <f t="shared" si="8"/>
        <v>10.392045601246952</v>
      </c>
      <c r="J50">
        <f t="shared" si="9"/>
        <v>8.7440456348444844</v>
      </c>
      <c r="K50">
        <f t="shared" si="10"/>
        <v>4.5328008794451149</v>
      </c>
      <c r="L50">
        <f t="shared" si="11"/>
        <v>27.433188708614995</v>
      </c>
      <c r="M50">
        <f t="shared" si="12"/>
        <v>0.16681129138500594</v>
      </c>
      <c r="N50">
        <f t="shared" si="13"/>
        <v>2.7826006933533359E-2</v>
      </c>
    </row>
    <row r="51" spans="1:14" x14ac:dyDescent="0.45">
      <c r="A51" s="23">
        <v>42353</v>
      </c>
      <c r="B51">
        <v>27.27</v>
      </c>
      <c r="C51">
        <v>27.09</v>
      </c>
      <c r="G51">
        <f t="shared" si="6"/>
        <v>14.71015667933646</v>
      </c>
      <c r="H51">
        <f t="shared" si="7"/>
        <v>12.059899034390297</v>
      </c>
      <c r="I51">
        <f t="shared" si="8"/>
        <v>10.338966048295832</v>
      </c>
      <c r="J51">
        <f t="shared" si="9"/>
        <v>8.6993843182854089</v>
      </c>
      <c r="K51">
        <f t="shared" si="10"/>
        <v>4.509648779464638</v>
      </c>
      <c r="L51">
        <f t="shared" si="11"/>
        <v>27.293703714687453</v>
      </c>
      <c r="M51">
        <f t="shared" si="12"/>
        <v>0.1162962853125471</v>
      </c>
      <c r="N51">
        <f t="shared" si="13"/>
        <v>1.3524825977497358E-2</v>
      </c>
    </row>
    <row r="52" spans="1:14" x14ac:dyDescent="0.45">
      <c r="A52" s="23">
        <v>42352</v>
      </c>
      <c r="B52">
        <v>26.96</v>
      </c>
      <c r="C52">
        <v>27.07</v>
      </c>
      <c r="G52">
        <f t="shared" si="6"/>
        <v>14.542934455196871</v>
      </c>
      <c r="H52">
        <f t="shared" si="7"/>
        <v>11.92280434732541</v>
      </c>
      <c r="I52">
        <f t="shared" si="8"/>
        <v>10.221434819888874</v>
      </c>
      <c r="J52">
        <f t="shared" si="9"/>
        <v>8.6004914179445802</v>
      </c>
      <c r="K52">
        <f t="shared" si="10"/>
        <v>4.4583840650680173</v>
      </c>
      <c r="L52">
        <f t="shared" si="11"/>
        <v>26.984845494203338</v>
      </c>
      <c r="M52">
        <f t="shared" si="12"/>
        <v>0.28515450579666179</v>
      </c>
      <c r="N52">
        <f t="shared" si="13"/>
        <v>8.1313092176138427E-2</v>
      </c>
    </row>
    <row r="53" spans="1:14" x14ac:dyDescent="0.45">
      <c r="A53" s="23">
        <v>42349</v>
      </c>
      <c r="B53">
        <v>25.29</v>
      </c>
      <c r="C53">
        <v>26.25</v>
      </c>
      <c r="G53">
        <f t="shared" si="6"/>
        <v>13.642092831391222</v>
      </c>
      <c r="H53">
        <f t="shared" si="7"/>
        <v>11.18426308322994</v>
      </c>
      <c r="I53">
        <f t="shared" si="8"/>
        <v>9.5882830565169286</v>
      </c>
      <c r="J53">
        <f t="shared" si="9"/>
        <v>8.0677459339726045</v>
      </c>
      <c r="K53">
        <f t="shared" si="10"/>
        <v>4.1822160108309276</v>
      </c>
      <c r="L53">
        <f t="shared" si="11"/>
        <v>25.320997554158193</v>
      </c>
      <c r="M53">
        <f t="shared" si="12"/>
        <v>1.6390024458418075</v>
      </c>
      <c r="N53">
        <f t="shared" si="13"/>
        <v>2.6863290174754271</v>
      </c>
    </row>
    <row r="54" spans="1:14" x14ac:dyDescent="0.45">
      <c r="A54" s="23">
        <v>42348</v>
      </c>
      <c r="B54">
        <v>25.3</v>
      </c>
      <c r="C54">
        <v>25.57</v>
      </c>
      <c r="G54">
        <f t="shared" si="6"/>
        <v>13.647487059189055</v>
      </c>
      <c r="H54">
        <f t="shared" si="7"/>
        <v>11.188685472317141</v>
      </c>
      <c r="I54">
        <f t="shared" si="8"/>
        <v>9.5920745582502125</v>
      </c>
      <c r="J54">
        <f t="shared" si="9"/>
        <v>8.0709360072576413</v>
      </c>
      <c r="K54">
        <f t="shared" si="10"/>
        <v>4.183869739284928</v>
      </c>
      <c r="L54">
        <f t="shared" si="11"/>
        <v>25.330960781457829</v>
      </c>
      <c r="M54">
        <f t="shared" si="12"/>
        <v>-4.0960781457830109E-2</v>
      </c>
      <c r="N54">
        <f t="shared" si="13"/>
        <v>1.6777856176361189E-3</v>
      </c>
    </row>
    <row r="55" spans="1:14" x14ac:dyDescent="0.45">
      <c r="A55" s="23">
        <v>42347</v>
      </c>
      <c r="B55">
        <v>25.08</v>
      </c>
      <c r="C55">
        <v>25.31</v>
      </c>
      <c r="G55">
        <f t="shared" si="6"/>
        <v>13.528813258881739</v>
      </c>
      <c r="H55">
        <f t="shared" si="7"/>
        <v>11.091392609188045</v>
      </c>
      <c r="I55">
        <f t="shared" si="8"/>
        <v>9.5086653926201432</v>
      </c>
      <c r="J55">
        <f t="shared" si="9"/>
        <v>8.000753962225799</v>
      </c>
      <c r="K55">
        <f t="shared" si="10"/>
        <v>4.1474882892403304</v>
      </c>
      <c r="L55">
        <f t="shared" si="11"/>
        <v>25.111771206996448</v>
      </c>
      <c r="M55">
        <f t="shared" si="12"/>
        <v>0.18822879300355311</v>
      </c>
      <c r="N55">
        <f t="shared" si="13"/>
        <v>3.5430078515574441E-2</v>
      </c>
    </row>
    <row r="56" spans="1:14" x14ac:dyDescent="0.45">
      <c r="A56" s="23">
        <v>42346</v>
      </c>
      <c r="B56">
        <v>25.4</v>
      </c>
      <c r="C56">
        <v>25.38</v>
      </c>
      <c r="G56">
        <f t="shared" si="6"/>
        <v>13.701429599836771</v>
      </c>
      <c r="H56">
        <f t="shared" si="7"/>
        <v>11.232909461243246</v>
      </c>
      <c r="I56">
        <f t="shared" si="8"/>
        <v>9.629987573633171</v>
      </c>
      <c r="J56">
        <f t="shared" si="9"/>
        <v>8.1028369357876535</v>
      </c>
      <c r="K56">
        <f t="shared" si="10"/>
        <v>4.200406629277893</v>
      </c>
      <c r="L56">
        <f t="shared" si="11"/>
        <v>25.430592136193418</v>
      </c>
      <c r="M56">
        <f t="shared" si="12"/>
        <v>-0.35059213619341989</v>
      </c>
      <c r="N56">
        <f t="shared" si="13"/>
        <v>0.12291484596066549</v>
      </c>
    </row>
    <row r="57" spans="1:14" x14ac:dyDescent="0.45">
      <c r="A57" s="23">
        <v>42345</v>
      </c>
      <c r="B57">
        <v>25.46</v>
      </c>
      <c r="C57">
        <v>25.75</v>
      </c>
      <c r="G57">
        <f t="shared" si="6"/>
        <v>13.733795163244691</v>
      </c>
      <c r="H57">
        <f t="shared" si="7"/>
        <v>11.259443819939154</v>
      </c>
      <c r="I57">
        <f t="shared" si="8"/>
        <v>9.6527353019675886</v>
      </c>
      <c r="J57">
        <f t="shared" si="9"/>
        <v>8.1219774849774726</v>
      </c>
      <c r="K57">
        <f t="shared" si="10"/>
        <v>4.210328787560619</v>
      </c>
      <c r="L57">
        <f t="shared" si="11"/>
        <v>25.490370920190436</v>
      </c>
      <c r="M57">
        <f t="shared" si="12"/>
        <v>-9.0370920190437687E-2</v>
      </c>
      <c r="N57">
        <f t="shared" si="13"/>
        <v>8.1669032160664578E-3</v>
      </c>
    </row>
    <row r="58" spans="1:14" x14ac:dyDescent="0.45">
      <c r="A58" s="23">
        <v>42342</v>
      </c>
      <c r="B58">
        <v>24.97</v>
      </c>
      <c r="C58">
        <v>25.54</v>
      </c>
      <c r="G58">
        <f t="shared" si="6"/>
        <v>13.469476322563551</v>
      </c>
      <c r="H58">
        <f t="shared" si="7"/>
        <v>11.042746049606773</v>
      </c>
      <c r="I58">
        <f t="shared" si="8"/>
        <v>9.4669603679008443</v>
      </c>
      <c r="J58">
        <f t="shared" si="9"/>
        <v>7.9656629219246504</v>
      </c>
      <c r="K58">
        <f t="shared" si="10"/>
        <v>4.1292974660101276</v>
      </c>
      <c r="L58">
        <f t="shared" si="11"/>
        <v>25.002176043871334</v>
      </c>
      <c r="M58">
        <f t="shared" si="12"/>
        <v>0.45782395612866722</v>
      </c>
      <c r="N58">
        <f t="shared" si="13"/>
        <v>0.20960277480530382</v>
      </c>
    </row>
    <row r="59" spans="1:14" x14ac:dyDescent="0.45">
      <c r="A59" s="23">
        <v>42341</v>
      </c>
      <c r="B59">
        <v>24.59</v>
      </c>
      <c r="C59">
        <v>24.48</v>
      </c>
      <c r="G59">
        <f t="shared" si="6"/>
        <v>13.264494374640876</v>
      </c>
      <c r="H59">
        <f t="shared" si="7"/>
        <v>10.874694749759888</v>
      </c>
      <c r="I59">
        <f t="shared" si="8"/>
        <v>9.3228900104391066</v>
      </c>
      <c r="J59">
        <f t="shared" si="9"/>
        <v>7.844439410308893</v>
      </c>
      <c r="K59">
        <f t="shared" si="10"/>
        <v>4.0664568560667629</v>
      </c>
      <c r="L59">
        <f t="shared" si="11"/>
        <v>24.623575976623606</v>
      </c>
      <c r="M59">
        <f t="shared" si="12"/>
        <v>0.34642402337639311</v>
      </c>
      <c r="N59">
        <f t="shared" si="13"/>
        <v>0.12000960397228776</v>
      </c>
    </row>
    <row r="60" spans="1:14" x14ac:dyDescent="0.45">
      <c r="A60" s="23">
        <v>42340</v>
      </c>
      <c r="B60">
        <v>24.79</v>
      </c>
      <c r="C60">
        <v>24.62</v>
      </c>
      <c r="G60">
        <f t="shared" si="6"/>
        <v>13.372379618448583</v>
      </c>
      <c r="H60">
        <f t="shared" si="7"/>
        <v>10.963142813844945</v>
      </c>
      <c r="I60">
        <f t="shared" si="8"/>
        <v>9.3987163579027957</v>
      </c>
      <c r="J60">
        <f t="shared" si="9"/>
        <v>7.908241255377491</v>
      </c>
      <c r="K60">
        <f t="shared" si="10"/>
        <v>4.0995308001122543</v>
      </c>
      <c r="L60">
        <f t="shared" si="11"/>
        <v>24.822839067373152</v>
      </c>
      <c r="M60">
        <f t="shared" si="12"/>
        <v>-0.23283906737315263</v>
      </c>
      <c r="N60">
        <f t="shared" si="13"/>
        <v>5.4214031295199507E-2</v>
      </c>
    </row>
    <row r="61" spans="1:14" x14ac:dyDescent="0.45">
      <c r="A61" s="23">
        <v>42339</v>
      </c>
      <c r="B61">
        <v>24.93</v>
      </c>
      <c r="C61">
        <v>24.83</v>
      </c>
      <c r="G61">
        <f t="shared" si="6"/>
        <v>13.447899166774494</v>
      </c>
      <c r="H61">
        <f t="shared" si="7"/>
        <v>11.025056381974817</v>
      </c>
      <c r="I61">
        <f t="shared" si="8"/>
        <v>9.4517950405772417</v>
      </c>
      <c r="J61">
        <f t="shared" si="9"/>
        <v>7.9529025153530837</v>
      </c>
      <c r="K61">
        <f t="shared" si="10"/>
        <v>4.1226825791606165</v>
      </c>
      <c r="L61">
        <f t="shared" si="11"/>
        <v>24.9623232336554</v>
      </c>
      <c r="M61">
        <f t="shared" si="12"/>
        <v>-0.17232323365540125</v>
      </c>
      <c r="N61">
        <f t="shared" si="13"/>
        <v>2.9695296857454014E-2</v>
      </c>
    </row>
    <row r="62" spans="1:14" x14ac:dyDescent="0.45">
      <c r="A62" s="23">
        <v>42338</v>
      </c>
      <c r="B62">
        <v>24.56</v>
      </c>
      <c r="C62">
        <v>24.86</v>
      </c>
      <c r="G62">
        <f t="shared" si="6"/>
        <v>13.248311445047893</v>
      </c>
      <c r="H62">
        <f t="shared" si="7"/>
        <v>10.861427431970615</v>
      </c>
      <c r="I62">
        <f t="shared" si="8"/>
        <v>9.3115157051272206</v>
      </c>
      <c r="J62">
        <f t="shared" si="9"/>
        <v>7.8348691113054052</v>
      </c>
      <c r="K62">
        <f t="shared" si="10"/>
        <v>4.0614955898388967</v>
      </c>
      <c r="L62">
        <f t="shared" si="11"/>
        <v>24.593686088912968</v>
      </c>
      <c r="M62">
        <f t="shared" si="12"/>
        <v>0.33631391108703212</v>
      </c>
      <c r="N62">
        <f t="shared" si="13"/>
        <v>0.11310704679065615</v>
      </c>
    </row>
    <row r="63" spans="1:14" x14ac:dyDescent="0.45">
      <c r="A63" s="23">
        <v>42335</v>
      </c>
      <c r="B63">
        <v>24.79</v>
      </c>
      <c r="C63">
        <v>24.48</v>
      </c>
      <c r="G63">
        <f t="shared" si="6"/>
        <v>13.372379525410324</v>
      </c>
      <c r="H63">
        <f t="shared" si="7"/>
        <v>10.963142663333233</v>
      </c>
      <c r="I63">
        <f t="shared" si="8"/>
        <v>9.3987156824892573</v>
      </c>
      <c r="J63">
        <f t="shared" si="9"/>
        <v>7.9082412440558363</v>
      </c>
      <c r="K63">
        <f t="shared" si="10"/>
        <v>4.0995305968052813</v>
      </c>
      <c r="L63">
        <f t="shared" si="11"/>
        <v>24.822838475924762</v>
      </c>
      <c r="M63">
        <f t="shared" si="12"/>
        <v>-0.26283847592476306</v>
      </c>
      <c r="N63">
        <f t="shared" si="13"/>
        <v>6.9084064426452249E-2</v>
      </c>
    </row>
    <row r="64" spans="1:14" x14ac:dyDescent="0.45">
      <c r="A64" s="23">
        <v>42333</v>
      </c>
      <c r="B64">
        <v>24.43</v>
      </c>
      <c r="C64">
        <v>24.81</v>
      </c>
      <c r="G64">
        <f t="shared" si="6"/>
        <v>13.178186073488101</v>
      </c>
      <c r="H64">
        <f t="shared" si="7"/>
        <v>10.803936104898941</v>
      </c>
      <c r="I64">
        <f t="shared" si="8"/>
        <v>9.2622282777264022</v>
      </c>
      <c r="J64">
        <f t="shared" si="9"/>
        <v>7.7933978815655038</v>
      </c>
      <c r="K64">
        <f t="shared" si="10"/>
        <v>4.0399974912383412</v>
      </c>
      <c r="L64">
        <f t="shared" si="11"/>
        <v>24.464164867134283</v>
      </c>
      <c r="M64">
        <f t="shared" si="12"/>
        <v>0.3258351328657163</v>
      </c>
      <c r="N64">
        <f t="shared" si="13"/>
        <v>0.10616853380961899</v>
      </c>
    </row>
    <row r="65" spans="1:14" x14ac:dyDescent="0.45">
      <c r="A65" s="23">
        <v>42332</v>
      </c>
      <c r="B65">
        <v>23.46</v>
      </c>
      <c r="C65">
        <v>24.37</v>
      </c>
      <c r="G65">
        <f t="shared" si="6"/>
        <v>12.654942765612823</v>
      </c>
      <c r="H65">
        <f t="shared" si="7"/>
        <v>10.374963121541688</v>
      </c>
      <c r="I65">
        <f t="shared" si="8"/>
        <v>8.8944697544985214</v>
      </c>
      <c r="J65">
        <f t="shared" si="9"/>
        <v>7.4839589165060163</v>
      </c>
      <c r="K65">
        <f t="shared" si="10"/>
        <v>3.879588583839678</v>
      </c>
      <c r="L65">
        <f t="shared" si="11"/>
        <v>23.497738487037793</v>
      </c>
      <c r="M65">
        <f t="shared" si="12"/>
        <v>0.9322615129622065</v>
      </c>
      <c r="N65">
        <f t="shared" si="13"/>
        <v>0.86911152855058227</v>
      </c>
    </row>
    <row r="66" spans="1:14" x14ac:dyDescent="0.45">
      <c r="A66" s="23">
        <v>42331</v>
      </c>
      <c r="B66">
        <v>24.18</v>
      </c>
      <c r="C66">
        <v>23.55</v>
      </c>
      <c r="G66">
        <f t="shared" ref="G66:K66" si="14">SUMPRODUCT($B66:$B70,P$2:P$6)</f>
        <v>13.043329609902052</v>
      </c>
      <c r="H66">
        <f t="shared" si="14"/>
        <v>10.69337616881495</v>
      </c>
      <c r="I66">
        <f t="shared" si="14"/>
        <v>9.1674452483305249</v>
      </c>
      <c r="J66">
        <f t="shared" si="14"/>
        <v>7.7136455718242862</v>
      </c>
      <c r="K66">
        <f t="shared" si="14"/>
        <v>3.9986549815059003</v>
      </c>
      <c r="L66">
        <f t="shared" ref="L66:L129" si="15">(G66+$P$7)*$U$2+(H66+$Q$7)*$U$3+(I66+$R$7)*$U$4+(J66+$S$7)*$U$5+(K66+$T$7)*$U$6+$U$7</f>
        <v>24.215086042088185</v>
      </c>
      <c r="M66">
        <f t="shared" si="12"/>
        <v>-0.75508604208818397</v>
      </c>
      <c r="N66">
        <f t="shared" si="13"/>
        <v>0.57015493095639869</v>
      </c>
    </row>
    <row r="67" spans="1:14" x14ac:dyDescent="0.45">
      <c r="A67" s="23">
        <v>42328</v>
      </c>
      <c r="B67">
        <v>24.51</v>
      </c>
      <c r="C67">
        <v>24.54</v>
      </c>
      <c r="G67">
        <f t="shared" ref="G67:K67" si="16">SUMPRODUCT($B67:$B71,P$2:P$6)</f>
        <v>13.221340094888665</v>
      </c>
      <c r="H67">
        <f t="shared" si="16"/>
        <v>10.839315391406741</v>
      </c>
      <c r="I67">
        <f t="shared" si="16"/>
        <v>9.2925592442597207</v>
      </c>
      <c r="J67">
        <f t="shared" si="16"/>
        <v>7.8189186038496832</v>
      </c>
      <c r="K67">
        <f t="shared" si="16"/>
        <v>4.0532270938992214</v>
      </c>
      <c r="L67">
        <f t="shared" si="15"/>
        <v>24.543870314880799</v>
      </c>
      <c r="M67">
        <f t="shared" ref="M67:M130" si="17">B66-L67</f>
        <v>-0.36387031488079913</v>
      </c>
      <c r="N67">
        <f t="shared" ref="N67:N130" si="18">M67^2</f>
        <v>0.1324016060514519</v>
      </c>
    </row>
    <row r="68" spans="1:14" x14ac:dyDescent="0.45">
      <c r="A68" s="23">
        <v>42327</v>
      </c>
      <c r="B68">
        <v>24.34</v>
      </c>
      <c r="C68">
        <v>24.4</v>
      </c>
      <c r="G68">
        <f t="shared" ref="G68:K68" si="19">SUMPRODUCT($B68:$B72,P$2:P$6)</f>
        <v>13.129637608857852</v>
      </c>
      <c r="H68">
        <f t="shared" si="19"/>
        <v>10.764134497552304</v>
      </c>
      <c r="I68">
        <f t="shared" si="19"/>
        <v>9.2281061760175529</v>
      </c>
      <c r="J68">
        <f t="shared" si="19"/>
        <v>7.7646870424750771</v>
      </c>
      <c r="K68">
        <f t="shared" si="19"/>
        <v>4.0251140177901084</v>
      </c>
      <c r="L68">
        <f t="shared" si="15"/>
        <v>24.374496193624342</v>
      </c>
      <c r="M68">
        <f t="shared" si="17"/>
        <v>0.13550380637565951</v>
      </c>
      <c r="N68">
        <f t="shared" si="18"/>
        <v>1.8361281542292222E-2</v>
      </c>
    </row>
    <row r="69" spans="1:14" x14ac:dyDescent="0.45">
      <c r="A69" s="23">
        <v>42326</v>
      </c>
      <c r="B69">
        <v>24.75</v>
      </c>
      <c r="C69">
        <v>24.35</v>
      </c>
      <c r="G69">
        <f t="shared" ref="G69:K69" si="20">SUMPRODUCT($B69:$B73,P$2:P$6)</f>
        <v>13.350802323669864</v>
      </c>
      <c r="H69">
        <f t="shared" si="20"/>
        <v>10.945452903737765</v>
      </c>
      <c r="I69">
        <f t="shared" si="20"/>
        <v>9.3835501006879554</v>
      </c>
      <c r="J69">
        <f t="shared" si="20"/>
        <v>7.8954808398489531</v>
      </c>
      <c r="K69">
        <f t="shared" si="20"/>
        <v>4.0929156593015641</v>
      </c>
      <c r="L69">
        <f t="shared" si="15"/>
        <v>24.782985434653742</v>
      </c>
      <c r="M69">
        <f t="shared" si="17"/>
        <v>-0.44298543465374252</v>
      </c>
      <c r="N69">
        <f t="shared" si="18"/>
        <v>0.19623609531536518</v>
      </c>
    </row>
    <row r="70" spans="1:14" x14ac:dyDescent="0.45">
      <c r="A70" s="23">
        <v>42325</v>
      </c>
      <c r="B70">
        <v>23.88</v>
      </c>
      <c r="C70">
        <v>24.71</v>
      </c>
      <c r="G70">
        <f t="shared" ref="G70:K70" si="21">SUMPRODUCT($B70:$B74,P$2:P$6)</f>
        <v>12.881501586780978</v>
      </c>
      <c r="H70">
        <f t="shared" si="21"/>
        <v>10.560703815552085</v>
      </c>
      <c r="I70">
        <f t="shared" si="21"/>
        <v>9.0537047638311154</v>
      </c>
      <c r="J70">
        <f t="shared" si="21"/>
        <v>7.6179427614846196</v>
      </c>
      <c r="K70">
        <f t="shared" si="21"/>
        <v>3.949043765412855</v>
      </c>
      <c r="L70">
        <f t="shared" si="15"/>
        <v>23.916190505891151</v>
      </c>
      <c r="M70">
        <f t="shared" si="17"/>
        <v>0.83380949410884853</v>
      </c>
      <c r="N70">
        <f t="shared" si="18"/>
        <v>0.69523827246605385</v>
      </c>
    </row>
    <row r="71" spans="1:14" x14ac:dyDescent="0.45">
      <c r="A71" s="23">
        <v>42324</v>
      </c>
      <c r="B71">
        <v>23.08</v>
      </c>
      <c r="C71">
        <v>23.78</v>
      </c>
      <c r="G71">
        <f t="shared" ref="G71:K71" si="22">SUMPRODUCT($B71:$B75,P$2:P$6)</f>
        <v>12.449960739995877</v>
      </c>
      <c r="H71">
        <f t="shared" si="22"/>
        <v>10.206911665840074</v>
      </c>
      <c r="I71">
        <f t="shared" si="22"/>
        <v>8.7503989017835426</v>
      </c>
      <c r="J71">
        <f t="shared" si="22"/>
        <v>7.3627353709441694</v>
      </c>
      <c r="K71">
        <f t="shared" si="22"/>
        <v>3.8167478305864435</v>
      </c>
      <c r="L71">
        <f t="shared" si="15"/>
        <v>23.119137945543194</v>
      </c>
      <c r="M71">
        <f t="shared" si="17"/>
        <v>0.76086205445680477</v>
      </c>
      <c r="N71">
        <f t="shared" si="18"/>
        <v>0.57891106591222974</v>
      </c>
    </row>
    <row r="72" spans="1:14" x14ac:dyDescent="0.45">
      <c r="A72" s="23">
        <v>42321</v>
      </c>
      <c r="B72">
        <v>23.35</v>
      </c>
      <c r="C72">
        <v>23.2</v>
      </c>
      <c r="G72">
        <f t="shared" ref="G72:K72" si="23">SUMPRODUCT($B72:$B76,P$2:P$6)</f>
        <v>12.595605895913815</v>
      </c>
      <c r="H72">
        <f t="shared" si="23"/>
        <v>10.326316651918528</v>
      </c>
      <c r="I72">
        <f t="shared" si="23"/>
        <v>8.8527648818450331</v>
      </c>
      <c r="J72">
        <f t="shared" si="23"/>
        <v>7.4488678834081563</v>
      </c>
      <c r="K72">
        <f t="shared" si="23"/>
        <v>3.861397802329932</v>
      </c>
      <c r="L72">
        <f t="shared" si="15"/>
        <v>23.388143514039488</v>
      </c>
      <c r="M72">
        <f t="shared" si="17"/>
        <v>-0.30814351403948947</v>
      </c>
      <c r="N72">
        <f t="shared" si="18"/>
        <v>9.4952425244605052E-2</v>
      </c>
    </row>
    <row r="73" spans="1:14" x14ac:dyDescent="0.45">
      <c r="A73" s="23">
        <v>42320</v>
      </c>
      <c r="B73">
        <v>23.87</v>
      </c>
      <c r="C73">
        <v>23.46</v>
      </c>
      <c r="G73">
        <f t="shared" ref="G73:K73" si="24">SUMPRODUCT($B73:$B77,P$2:P$6)</f>
        <v>12.876107497625473</v>
      </c>
      <c r="H73">
        <f t="shared" si="24"/>
        <v>10.556281646705351</v>
      </c>
      <c r="I73">
        <f t="shared" si="24"/>
        <v>9.0499142701634945</v>
      </c>
      <c r="J73">
        <f t="shared" si="24"/>
        <v>7.6147527135610735</v>
      </c>
      <c r="K73">
        <f t="shared" si="24"/>
        <v>3.9473903515992332</v>
      </c>
      <c r="L73">
        <f t="shared" si="15"/>
        <v>23.906228169183429</v>
      </c>
      <c r="M73">
        <f t="shared" si="17"/>
        <v>-0.55622816918342721</v>
      </c>
      <c r="N73">
        <f t="shared" si="18"/>
        <v>0.30938977619314734</v>
      </c>
    </row>
    <row r="74" spans="1:14" x14ac:dyDescent="0.45">
      <c r="A74" s="23">
        <v>42319</v>
      </c>
      <c r="B74">
        <v>24.04</v>
      </c>
      <c r="C74">
        <v>24.04</v>
      </c>
      <c r="G74">
        <f t="shared" ref="G74:K74" si="25">SUMPRODUCT($B74:$B78,P$2:P$6)</f>
        <v>12.967810005976277</v>
      </c>
      <c r="H74">
        <f t="shared" si="25"/>
        <v>10.63146257345441</v>
      </c>
      <c r="I74">
        <f t="shared" si="25"/>
        <v>9.1143668162392046</v>
      </c>
      <c r="J74">
        <f t="shared" si="25"/>
        <v>7.6689843104759294</v>
      </c>
      <c r="K74">
        <f t="shared" si="25"/>
        <v>3.9755032667067511</v>
      </c>
      <c r="L74">
        <f t="shared" si="15"/>
        <v>24.075601989573482</v>
      </c>
      <c r="M74">
        <f t="shared" si="17"/>
        <v>-0.20560198957348064</v>
      </c>
      <c r="N74">
        <f t="shared" si="18"/>
        <v>4.227217811657364E-2</v>
      </c>
    </row>
    <row r="75" spans="1:14" x14ac:dyDescent="0.45">
      <c r="A75" s="23">
        <v>42318</v>
      </c>
      <c r="B75">
        <v>24.68</v>
      </c>
      <c r="C75">
        <v>24.34</v>
      </c>
      <c r="G75">
        <f t="shared" ref="G75:K75" si="26">SUMPRODUCT($B75:$B79,P$2:P$6)</f>
        <v>13.313042777936667</v>
      </c>
      <c r="H75">
        <f t="shared" si="26"/>
        <v>10.91449637309451</v>
      </c>
      <c r="I75">
        <f t="shared" si="26"/>
        <v>9.3570118139873273</v>
      </c>
      <c r="J75">
        <f t="shared" si="26"/>
        <v>7.8731502576677137</v>
      </c>
      <c r="K75">
        <f t="shared" si="26"/>
        <v>4.0813401680868138</v>
      </c>
      <c r="L75">
        <f t="shared" si="15"/>
        <v>24.713244391282828</v>
      </c>
      <c r="M75">
        <f t="shared" si="17"/>
        <v>-0.67324439128282876</v>
      </c>
      <c r="N75">
        <f t="shared" si="18"/>
        <v>0.4532580103937866</v>
      </c>
    </row>
    <row r="76" spans="1:14" x14ac:dyDescent="0.45">
      <c r="A76" s="23">
        <v>42317</v>
      </c>
      <c r="B76">
        <v>24.59</v>
      </c>
      <c r="C76">
        <v>24.7</v>
      </c>
      <c r="G76">
        <f t="shared" ref="G76:K76" si="27">SUMPRODUCT($B76:$B80,P$2:P$6)</f>
        <v>13.26449445683674</v>
      </c>
      <c r="H76">
        <f t="shared" si="27"/>
        <v>10.87469479157941</v>
      </c>
      <c r="I76">
        <f t="shared" si="27"/>
        <v>9.3228900145232139</v>
      </c>
      <c r="J76">
        <f t="shared" si="27"/>
        <v>7.8444394126278656</v>
      </c>
      <c r="K76">
        <f t="shared" si="27"/>
        <v>4.0664568928773654</v>
      </c>
      <c r="L76">
        <f t="shared" si="15"/>
        <v>24.623576069241842</v>
      </c>
      <c r="M76">
        <f t="shared" si="17"/>
        <v>5.6423930758157326E-2</v>
      </c>
      <c r="N76">
        <f t="shared" si="18"/>
        <v>3.1836599622013322E-3</v>
      </c>
    </row>
    <row r="77" spans="1:14" x14ac:dyDescent="0.45">
      <c r="A77" s="23">
        <v>42314</v>
      </c>
      <c r="B77">
        <v>24.68</v>
      </c>
      <c r="C77">
        <v>24.62</v>
      </c>
      <c r="G77">
        <f t="shared" ref="G77:K77" si="28">SUMPRODUCT($B77:$B81,P$2:P$6)</f>
        <v>13.313042765309319</v>
      </c>
      <c r="H77">
        <f t="shared" si="28"/>
        <v>10.914496431043412</v>
      </c>
      <c r="I77">
        <f t="shared" si="28"/>
        <v>9.3570122144417631</v>
      </c>
      <c r="J77">
        <f t="shared" si="28"/>
        <v>7.873150242676715</v>
      </c>
      <c r="K77">
        <f t="shared" si="28"/>
        <v>4.0813402386383322</v>
      </c>
      <c r="L77">
        <f t="shared" si="15"/>
        <v>24.713244648255237</v>
      </c>
      <c r="M77">
        <f t="shared" si="17"/>
        <v>-0.12324464825523762</v>
      </c>
      <c r="N77">
        <f t="shared" si="18"/>
        <v>1.5189243323557245E-2</v>
      </c>
    </row>
    <row r="78" spans="1:14" x14ac:dyDescent="0.45">
      <c r="A78" s="23">
        <v>42313</v>
      </c>
      <c r="B78">
        <v>24.9</v>
      </c>
      <c r="C78">
        <v>24.79</v>
      </c>
      <c r="G78">
        <f t="shared" ref="G78:K78" si="29">SUMPRODUCT($B78:$B82,P$2:P$6)</f>
        <v>13.43171651576146</v>
      </c>
      <c r="H78">
        <f t="shared" si="29"/>
        <v>11.011789303536641</v>
      </c>
      <c r="I78">
        <f t="shared" si="29"/>
        <v>9.4404211898287222</v>
      </c>
      <c r="J78">
        <f t="shared" si="29"/>
        <v>7.9433322928224896</v>
      </c>
      <c r="K78">
        <f t="shared" si="29"/>
        <v>4.1177215774314755</v>
      </c>
      <c r="L78">
        <f t="shared" si="15"/>
        <v>24.932434046505165</v>
      </c>
      <c r="M78">
        <f t="shared" si="17"/>
        <v>-0.2524340465051651</v>
      </c>
      <c r="N78">
        <f t="shared" si="18"/>
        <v>6.3722947834971858E-2</v>
      </c>
    </row>
    <row r="79" spans="1:14" x14ac:dyDescent="0.45">
      <c r="A79" s="23">
        <v>42312</v>
      </c>
      <c r="B79">
        <v>25.35</v>
      </c>
      <c r="C79">
        <v>24.87</v>
      </c>
      <c r="G79">
        <f t="shared" ref="G79:K79" si="30">SUMPRODUCT($B79:$B83,P$2:P$6)</f>
        <v>13.674458244834533</v>
      </c>
      <c r="H79">
        <f t="shared" si="30"/>
        <v>11.210797368119945</v>
      </c>
      <c r="I79">
        <f t="shared" si="30"/>
        <v>9.6110307079414614</v>
      </c>
      <c r="J79">
        <f t="shared" si="30"/>
        <v>8.0868864475142654</v>
      </c>
      <c r="K79">
        <f t="shared" si="30"/>
        <v>4.1921380463779867</v>
      </c>
      <c r="L79">
        <f t="shared" si="15"/>
        <v>25.380776089404414</v>
      </c>
      <c r="M79">
        <f t="shared" si="17"/>
        <v>-0.48077608940441507</v>
      </c>
      <c r="N79">
        <f t="shared" si="18"/>
        <v>0.23114564814300212</v>
      </c>
    </row>
    <row r="80" spans="1:14" x14ac:dyDescent="0.45">
      <c r="A80" s="23">
        <v>42311</v>
      </c>
      <c r="B80">
        <v>24.94</v>
      </c>
      <c r="C80">
        <v>25.32</v>
      </c>
      <c r="G80">
        <f t="shared" ref="G80:K80" si="31">SUMPRODUCT($B80:$B84,P$2:P$6)</f>
        <v>13.453293461127059</v>
      </c>
      <c r="H80">
        <f t="shared" si="31"/>
        <v>11.029478793243319</v>
      </c>
      <c r="I80">
        <f t="shared" si="31"/>
        <v>9.4555862947941929</v>
      </c>
      <c r="J80">
        <f t="shared" si="31"/>
        <v>7.9560926291659309</v>
      </c>
      <c r="K80">
        <f t="shared" si="31"/>
        <v>4.1243362935847898</v>
      </c>
      <c r="L80">
        <f t="shared" si="15"/>
        <v>24.972286399376628</v>
      </c>
      <c r="M80">
        <f t="shared" si="17"/>
        <v>0.37771360062337322</v>
      </c>
      <c r="N80">
        <f t="shared" si="18"/>
        <v>0.14266756409587308</v>
      </c>
    </row>
    <row r="81" spans="1:14" x14ac:dyDescent="0.45">
      <c r="A81" s="23">
        <v>42310</v>
      </c>
      <c r="B81">
        <v>24.61</v>
      </c>
      <c r="C81">
        <v>24.96</v>
      </c>
      <c r="G81">
        <f t="shared" ref="G81:K81" si="32">SUMPRODUCT($B81:$B85,P$2:P$6)</f>
        <v>13.2752828134523</v>
      </c>
      <c r="H81">
        <f t="shared" si="32"/>
        <v>10.883539474309533</v>
      </c>
      <c r="I81">
        <f t="shared" si="32"/>
        <v>9.3304723393438316</v>
      </c>
      <c r="J81">
        <f t="shared" si="32"/>
        <v>7.8508195742837525</v>
      </c>
      <c r="K81">
        <f t="shared" si="32"/>
        <v>4.0697641198179646</v>
      </c>
      <c r="L81">
        <f t="shared" si="15"/>
        <v>24.643501957032203</v>
      </c>
      <c r="M81">
        <f t="shared" si="17"/>
        <v>0.29649804296779791</v>
      </c>
      <c r="N81">
        <f t="shared" si="18"/>
        <v>8.7911089483734134E-2</v>
      </c>
    </row>
    <row r="82" spans="1:14" x14ac:dyDescent="0.45">
      <c r="A82" s="23">
        <v>42307</v>
      </c>
      <c r="B82">
        <v>24.66</v>
      </c>
      <c r="C82">
        <v>24.58</v>
      </c>
      <c r="G82">
        <f t="shared" ref="G82:K82" si="33">SUMPRODUCT($B82:$B86,P$2:P$6)</f>
        <v>13.302254146186048</v>
      </c>
      <c r="H82">
        <f t="shared" si="33"/>
        <v>10.905651463806462</v>
      </c>
      <c r="I82">
        <f t="shared" si="33"/>
        <v>9.3494287959208808</v>
      </c>
      <c r="J82">
        <f t="shared" si="33"/>
        <v>7.8667700486622723</v>
      </c>
      <c r="K82">
        <f t="shared" si="33"/>
        <v>4.0780326111972967</v>
      </c>
      <c r="L82">
        <f t="shared" si="15"/>
        <v>24.69331767137361</v>
      </c>
      <c r="M82">
        <f t="shared" si="17"/>
        <v>-8.3317671373610125E-2</v>
      </c>
      <c r="N82">
        <f t="shared" si="18"/>
        <v>6.9418343631208919E-3</v>
      </c>
    </row>
    <row r="83" spans="1:14" x14ac:dyDescent="0.45">
      <c r="A83" s="23">
        <v>42306</v>
      </c>
      <c r="B83">
        <v>24.4</v>
      </c>
      <c r="C83">
        <v>24.63</v>
      </c>
      <c r="G83">
        <f t="shared" ref="G83:K83" si="34">SUMPRODUCT($B83:$B87,P$2:P$6)</f>
        <v>13.16200337884473</v>
      </c>
      <c r="H83">
        <f t="shared" si="34"/>
        <v>10.790668997256942</v>
      </c>
      <c r="I83">
        <f t="shared" si="34"/>
        <v>9.2508543771318461</v>
      </c>
      <c r="J83">
        <f t="shared" si="34"/>
        <v>7.7838276282009087</v>
      </c>
      <c r="K83">
        <f t="shared" si="34"/>
        <v>4.0350364315395124</v>
      </c>
      <c r="L83">
        <f t="shared" si="15"/>
        <v>24.434275566961251</v>
      </c>
      <c r="M83">
        <f t="shared" si="17"/>
        <v>0.22572443303874934</v>
      </c>
      <c r="N83">
        <f t="shared" si="18"/>
        <v>5.0951519670664837E-2</v>
      </c>
    </row>
    <row r="84" spans="1:14" x14ac:dyDescent="0.45">
      <c r="A84" s="23">
        <v>42305</v>
      </c>
      <c r="B84">
        <v>24.1</v>
      </c>
      <c r="C84">
        <v>24.44</v>
      </c>
      <c r="G84">
        <f t="shared" ref="G84:K84" si="35">SUMPRODUCT($B84:$B88,P$2:P$6)</f>
        <v>13.000175497601576</v>
      </c>
      <c r="H84">
        <f t="shared" si="35"/>
        <v>10.65799693519917</v>
      </c>
      <c r="I84">
        <f t="shared" si="35"/>
        <v>9.1371148730343013</v>
      </c>
      <c r="J84">
        <f t="shared" si="35"/>
        <v>7.6881248282092685</v>
      </c>
      <c r="K84">
        <f t="shared" si="35"/>
        <v>3.9854254511912348</v>
      </c>
      <c r="L84">
        <f t="shared" si="15"/>
        <v>24.135380898147766</v>
      </c>
      <c r="M84">
        <f t="shared" si="17"/>
        <v>0.26461910185223303</v>
      </c>
      <c r="N84">
        <f t="shared" si="18"/>
        <v>7.002326906508248E-2</v>
      </c>
    </row>
    <row r="85" spans="1:14" x14ac:dyDescent="0.45">
      <c r="A85" s="23">
        <v>42304</v>
      </c>
      <c r="B85">
        <v>24.25</v>
      </c>
      <c r="C85">
        <v>23.89</v>
      </c>
      <c r="G85">
        <f t="shared" ref="G85:K85" si="36">SUMPRODUCT($B85:$B89,P$2:P$6)</f>
        <v>13.081089371334576</v>
      </c>
      <c r="H85">
        <f t="shared" si="36"/>
        <v>10.724332982227855</v>
      </c>
      <c r="I85">
        <f t="shared" si="36"/>
        <v>9.1939847208777721</v>
      </c>
      <c r="J85">
        <f t="shared" si="36"/>
        <v>7.7359762244060652</v>
      </c>
      <c r="K85">
        <f t="shared" si="36"/>
        <v>4.0102309039601289</v>
      </c>
      <c r="L85">
        <f t="shared" si="15"/>
        <v>24.284828229749706</v>
      </c>
      <c r="M85">
        <f t="shared" si="17"/>
        <v>-0.18482822974970503</v>
      </c>
      <c r="N85">
        <f t="shared" si="18"/>
        <v>3.4161474512409751E-2</v>
      </c>
    </row>
    <row r="86" spans="1:14" x14ac:dyDescent="0.45">
      <c r="A86" s="23">
        <v>42303</v>
      </c>
      <c r="B86">
        <v>24.79</v>
      </c>
      <c r="C86">
        <v>24.49</v>
      </c>
      <c r="G86">
        <f t="shared" ref="G86:K86" si="37">SUMPRODUCT($B86:$B90,P$2:P$6)</f>
        <v>13.372379425812174</v>
      </c>
      <c r="H86">
        <f t="shared" si="37"/>
        <v>10.96314266346891</v>
      </c>
      <c r="I86">
        <f t="shared" si="37"/>
        <v>9.3987159673934109</v>
      </c>
      <c r="J86">
        <f t="shared" si="37"/>
        <v>7.9082412046933275</v>
      </c>
      <c r="K86">
        <f t="shared" si="37"/>
        <v>4.099530579869227</v>
      </c>
      <c r="L86">
        <f t="shared" si="15"/>
        <v>24.822838533901201</v>
      </c>
      <c r="M86">
        <f t="shared" si="17"/>
        <v>-0.57283853390120143</v>
      </c>
      <c r="N86">
        <f t="shared" si="18"/>
        <v>0.32814398592207789</v>
      </c>
    </row>
    <row r="87" spans="1:14" x14ac:dyDescent="0.45">
      <c r="A87" s="23">
        <v>42300</v>
      </c>
      <c r="B87">
        <v>24.68</v>
      </c>
      <c r="C87">
        <v>24.74</v>
      </c>
      <c r="G87">
        <f t="shared" ref="G87:K87" si="38">SUMPRODUCT($B87:$B91,P$2:P$6)</f>
        <v>13.313042467873178</v>
      </c>
      <c r="H87">
        <f t="shared" si="38"/>
        <v>10.914496106849793</v>
      </c>
      <c r="I87">
        <f t="shared" si="38"/>
        <v>9.3570111994466849</v>
      </c>
      <c r="J87">
        <f t="shared" si="38"/>
        <v>7.8731501937823269</v>
      </c>
      <c r="K87">
        <f t="shared" si="38"/>
        <v>4.0813398545959361</v>
      </c>
      <c r="L87">
        <f t="shared" si="15"/>
        <v>24.713243557542864</v>
      </c>
      <c r="M87">
        <f t="shared" si="17"/>
        <v>7.6756442457135421E-2</v>
      </c>
      <c r="N87">
        <f t="shared" si="18"/>
        <v>5.8915514586755412E-3</v>
      </c>
    </row>
    <row r="88" spans="1:14" x14ac:dyDescent="0.45">
      <c r="A88" s="23">
        <v>42299</v>
      </c>
      <c r="B88">
        <v>23.96</v>
      </c>
      <c r="C88">
        <v>24.49</v>
      </c>
      <c r="G88">
        <f t="shared" ref="G88:K88" si="39">SUMPRODUCT($B88:$B92,P$2:P$6)</f>
        <v>12.924655726472395</v>
      </c>
      <c r="H88">
        <f t="shared" si="39"/>
        <v>10.596083102438318</v>
      </c>
      <c r="I88">
        <f t="shared" si="39"/>
        <v>9.0840352489461225</v>
      </c>
      <c r="J88">
        <f t="shared" si="39"/>
        <v>7.6434635195943637</v>
      </c>
      <c r="K88">
        <f t="shared" si="39"/>
        <v>3.9622733269740689</v>
      </c>
      <c r="L88">
        <f t="shared" si="15"/>
        <v>23.995895774364239</v>
      </c>
      <c r="M88">
        <f t="shared" si="17"/>
        <v>0.68410422563576034</v>
      </c>
      <c r="N88">
        <f t="shared" si="18"/>
        <v>0.46799859153270329</v>
      </c>
    </row>
    <row r="89" spans="1:14" x14ac:dyDescent="0.45">
      <c r="A89" s="23">
        <v>42298</v>
      </c>
      <c r="B89">
        <v>23.77</v>
      </c>
      <c r="C89">
        <v>23.85</v>
      </c>
      <c r="G89">
        <f t="shared" ref="G89:K89" si="40">SUMPRODUCT($B89:$B93,P$2:P$6)</f>
        <v>12.822164649809805</v>
      </c>
      <c r="H89">
        <f t="shared" si="40"/>
        <v>10.51205739369145</v>
      </c>
      <c r="I89">
        <f t="shared" si="40"/>
        <v>9.0120004577741142</v>
      </c>
      <c r="J89">
        <f t="shared" si="40"/>
        <v>7.5828516896145866</v>
      </c>
      <c r="K89">
        <f t="shared" si="40"/>
        <v>3.9308530550119976</v>
      </c>
      <c r="L89">
        <f t="shared" si="15"/>
        <v>23.806595825147973</v>
      </c>
      <c r="M89">
        <f t="shared" si="17"/>
        <v>0.15340417485202806</v>
      </c>
      <c r="N89">
        <f t="shared" si="18"/>
        <v>2.3532840862031598E-2</v>
      </c>
    </row>
    <row r="90" spans="1:14" x14ac:dyDescent="0.45">
      <c r="A90" s="23">
        <v>42297</v>
      </c>
      <c r="B90">
        <v>23.06</v>
      </c>
      <c r="C90">
        <v>23.78</v>
      </c>
      <c r="G90">
        <f t="shared" ref="G90:K90" si="41">SUMPRODUCT($B90:$B94,P$2:P$6)</f>
        <v>12.439171966446228</v>
      </c>
      <c r="H90">
        <f t="shared" si="41"/>
        <v>10.198066778703886</v>
      </c>
      <c r="I90">
        <f t="shared" si="41"/>
        <v>8.7428163533584353</v>
      </c>
      <c r="J90">
        <f t="shared" si="41"/>
        <v>7.3563551269129039</v>
      </c>
      <c r="K90">
        <f t="shared" si="41"/>
        <v>3.8134402737016377</v>
      </c>
      <c r="L90">
        <f t="shared" si="15"/>
        <v>23.099211376384954</v>
      </c>
      <c r="M90">
        <f t="shared" si="17"/>
        <v>0.67078862361504576</v>
      </c>
      <c r="N90">
        <f t="shared" si="18"/>
        <v>0.44995737757136756</v>
      </c>
    </row>
    <row r="91" spans="1:14" x14ac:dyDescent="0.45">
      <c r="A91" s="23">
        <v>42296</v>
      </c>
      <c r="B91">
        <v>23.85</v>
      </c>
      <c r="C91">
        <v>23.14</v>
      </c>
      <c r="G91">
        <f t="shared" ref="G91:K91" si="42">SUMPRODUCT($B91:$B95,P$2:P$6)</f>
        <v>12.865318642685136</v>
      </c>
      <c r="H91">
        <f t="shared" si="42"/>
        <v>10.547436553757084</v>
      </c>
      <c r="I91">
        <f t="shared" si="42"/>
        <v>9.0423302302608004</v>
      </c>
      <c r="J91">
        <f t="shared" si="42"/>
        <v>7.6083724496264482</v>
      </c>
      <c r="K91">
        <f t="shared" si="42"/>
        <v>3.9440823488305252</v>
      </c>
      <c r="L91">
        <f t="shared" si="15"/>
        <v>23.886300438186897</v>
      </c>
      <c r="M91">
        <f t="shared" si="17"/>
        <v>-0.82630043818689813</v>
      </c>
      <c r="N91">
        <f t="shared" si="18"/>
        <v>0.68277241414785983</v>
      </c>
    </row>
    <row r="92" spans="1:14" x14ac:dyDescent="0.45">
      <c r="A92" s="23">
        <v>42293</v>
      </c>
      <c r="B92">
        <v>24.11</v>
      </c>
      <c r="C92">
        <v>23.89</v>
      </c>
      <c r="G92">
        <f t="shared" ref="G92:K92" si="43">SUMPRODUCT($B92:$B96,P$2:P$6)</f>
        <v>13.005569337256688</v>
      </c>
      <c r="H92">
        <f t="shared" si="43"/>
        <v>10.662418837644081</v>
      </c>
      <c r="I92">
        <f t="shared" si="43"/>
        <v>9.1409047067024289</v>
      </c>
      <c r="J92">
        <f t="shared" si="43"/>
        <v>7.691314839437621</v>
      </c>
      <c r="K92">
        <f t="shared" si="43"/>
        <v>3.9870786101785072</v>
      </c>
      <c r="L92">
        <f t="shared" si="15"/>
        <v>24.145342457967402</v>
      </c>
      <c r="M92">
        <f t="shared" si="17"/>
        <v>-0.29534245796740066</v>
      </c>
      <c r="N92">
        <f t="shared" si="18"/>
        <v>8.7227167478225828E-2</v>
      </c>
    </row>
    <row r="93" spans="1:14" x14ac:dyDescent="0.45">
      <c r="A93" s="23">
        <v>42292</v>
      </c>
      <c r="B93">
        <v>22.38</v>
      </c>
      <c r="C93">
        <v>22.53</v>
      </c>
      <c r="G93">
        <f t="shared" ref="G93:K93" si="44">SUMPRODUCT($B93:$B97,P$2:P$6)</f>
        <v>12.072362133864729</v>
      </c>
      <c r="H93">
        <f t="shared" si="44"/>
        <v>9.8973431719786475</v>
      </c>
      <c r="I93">
        <f t="shared" si="44"/>
        <v>8.4850050534405774</v>
      </c>
      <c r="J93">
        <f t="shared" si="44"/>
        <v>7.1394287790679929</v>
      </c>
      <c r="K93">
        <f t="shared" si="44"/>
        <v>3.7009883370712595</v>
      </c>
      <c r="L93">
        <f t="shared" si="15"/>
        <v>22.421715573027221</v>
      </c>
      <c r="M93">
        <f t="shared" si="17"/>
        <v>1.6882844269727784</v>
      </c>
      <c r="N93">
        <f t="shared" si="18"/>
        <v>2.8503043063588027</v>
      </c>
    </row>
    <row r="94" spans="1:14" x14ac:dyDescent="0.45">
      <c r="A94" s="23">
        <v>42291</v>
      </c>
      <c r="B94">
        <v>22.48</v>
      </c>
      <c r="C94">
        <v>22.52</v>
      </c>
      <c r="G94">
        <f t="shared" ref="G94:K94" si="45">SUMPRODUCT($B94:$B98,P$2:P$6)</f>
        <v>12.126304657082624</v>
      </c>
      <c r="H94">
        <f t="shared" si="45"/>
        <v>9.9415671635984602</v>
      </c>
      <c r="I94">
        <f t="shared" si="45"/>
        <v>8.5229185851968818</v>
      </c>
      <c r="J94">
        <f t="shared" si="45"/>
        <v>7.1713296945515719</v>
      </c>
      <c r="K94">
        <f t="shared" si="45"/>
        <v>3.7175253816719827</v>
      </c>
      <c r="L94">
        <f t="shared" si="15"/>
        <v>22.521347256255819</v>
      </c>
      <c r="M94">
        <f t="shared" si="17"/>
        <v>-0.14134725625581979</v>
      </c>
      <c r="N94">
        <f t="shared" si="18"/>
        <v>1.9979046851048385E-2</v>
      </c>
    </row>
    <row r="95" spans="1:14" x14ac:dyDescent="0.45">
      <c r="A95" s="23">
        <v>42290</v>
      </c>
      <c r="B95">
        <v>22.37</v>
      </c>
      <c r="C95">
        <v>22.47</v>
      </c>
      <c r="G95">
        <f t="shared" ref="G95:K95" si="46">SUMPRODUCT($B95:$B99,P$2:P$6)</f>
        <v>12.066967777204409</v>
      </c>
      <c r="H95">
        <f t="shared" si="46"/>
        <v>9.8929207338045622</v>
      </c>
      <c r="I95">
        <f t="shared" si="46"/>
        <v>8.48121363211831</v>
      </c>
      <c r="J95">
        <f t="shared" si="46"/>
        <v>7.1362386819414247</v>
      </c>
      <c r="K95">
        <f t="shared" si="46"/>
        <v>3.6993345496478391</v>
      </c>
      <c r="L95">
        <f t="shared" si="15"/>
        <v>22.411752242282116</v>
      </c>
      <c r="M95">
        <f t="shared" si="17"/>
        <v>6.8247757717884383E-2</v>
      </c>
      <c r="N95">
        <f t="shared" si="18"/>
        <v>4.6577564335190478E-3</v>
      </c>
    </row>
    <row r="96" spans="1:14" x14ac:dyDescent="0.45">
      <c r="A96" s="23">
        <v>42289</v>
      </c>
      <c r="B96">
        <v>22.87</v>
      </c>
      <c r="C96">
        <v>22.49</v>
      </c>
      <c r="G96">
        <f t="shared" ref="G96:K96" si="47">SUMPRODUCT($B96:$B100,P$2:P$6)</f>
        <v>12.336680786533185</v>
      </c>
      <c r="H96">
        <f t="shared" si="47"/>
        <v>10.114040778963282</v>
      </c>
      <c r="I96">
        <f t="shared" si="47"/>
        <v>8.6707797659700088</v>
      </c>
      <c r="J96">
        <f t="shared" si="47"/>
        <v>7.2957432946468375</v>
      </c>
      <c r="K96">
        <f t="shared" si="47"/>
        <v>3.7820195156242788</v>
      </c>
      <c r="L96">
        <f t="shared" si="15"/>
        <v>22.909910039776022</v>
      </c>
      <c r="M96">
        <f t="shared" si="17"/>
        <v>-0.53991003977602148</v>
      </c>
      <c r="N96">
        <f t="shared" si="18"/>
        <v>0.29150285105094509</v>
      </c>
    </row>
    <row r="97" spans="1:14" x14ac:dyDescent="0.45">
      <c r="A97" s="23">
        <v>42286</v>
      </c>
      <c r="B97">
        <v>22.23</v>
      </c>
      <c r="C97">
        <v>22.35</v>
      </c>
      <c r="G97">
        <f t="shared" ref="G97:K97" si="48">SUMPRODUCT($B97:$B101,P$2:P$6)</f>
        <v>11.991447923671032</v>
      </c>
      <c r="H97">
        <f t="shared" si="48"/>
        <v>9.831006909423067</v>
      </c>
      <c r="I97">
        <f t="shared" si="48"/>
        <v>8.4281347679071512</v>
      </c>
      <c r="J97">
        <f t="shared" si="48"/>
        <v>7.0915773035998582</v>
      </c>
      <c r="K97">
        <f t="shared" si="48"/>
        <v>3.6761825563309425</v>
      </c>
      <c r="L97">
        <f t="shared" si="15"/>
        <v>22.272267494158374</v>
      </c>
      <c r="M97">
        <f t="shared" si="17"/>
        <v>0.59773250584162696</v>
      </c>
      <c r="N97">
        <f t="shared" si="18"/>
        <v>0.35728414853971063</v>
      </c>
    </row>
    <row r="98" spans="1:14" x14ac:dyDescent="0.45">
      <c r="A98" s="23">
        <v>42285</v>
      </c>
      <c r="B98">
        <v>21.89</v>
      </c>
      <c r="C98">
        <v>22.33</v>
      </c>
      <c r="G98">
        <f t="shared" ref="G98:K98" si="49">SUMPRODUCT($B98:$B102,P$2:P$6)</f>
        <v>11.80804285207517</v>
      </c>
      <c r="H98">
        <f t="shared" si="49"/>
        <v>9.6806450825899883</v>
      </c>
      <c r="I98">
        <f t="shared" si="49"/>
        <v>8.2992294269324809</v>
      </c>
      <c r="J98">
        <f t="shared" si="49"/>
        <v>6.9831141369072203</v>
      </c>
      <c r="K98">
        <f t="shared" si="49"/>
        <v>3.6199565961091951</v>
      </c>
      <c r="L98">
        <f t="shared" si="15"/>
        <v>21.933519655581271</v>
      </c>
      <c r="M98">
        <f t="shared" si="17"/>
        <v>0.29648034441872895</v>
      </c>
      <c r="N98">
        <f t="shared" si="18"/>
        <v>8.7900594626648135E-2</v>
      </c>
    </row>
    <row r="99" spans="1:14" x14ac:dyDescent="0.45">
      <c r="A99" s="23">
        <v>42284</v>
      </c>
      <c r="B99">
        <v>21.84</v>
      </c>
      <c r="C99">
        <v>21.82</v>
      </c>
      <c r="G99">
        <f t="shared" ref="G99:K99" si="50">SUMPRODUCT($B99:$B103,P$2:P$6)</f>
        <v>11.781071545660724</v>
      </c>
      <c r="H99">
        <f t="shared" si="50"/>
        <v>9.658532955459723</v>
      </c>
      <c r="I99">
        <f t="shared" si="50"/>
        <v>8.2802718818914762</v>
      </c>
      <c r="J99">
        <f t="shared" si="50"/>
        <v>6.9671636998347406</v>
      </c>
      <c r="K99">
        <f t="shared" si="50"/>
        <v>3.6116878870181766</v>
      </c>
      <c r="L99">
        <f t="shared" si="15"/>
        <v>21.883703233459578</v>
      </c>
      <c r="M99">
        <f t="shared" si="17"/>
        <v>6.2967665404229933E-3</v>
      </c>
      <c r="N99">
        <f t="shared" si="18"/>
        <v>3.964926886459055E-5</v>
      </c>
    </row>
    <row r="100" spans="1:14" x14ac:dyDescent="0.45">
      <c r="A100" s="23">
        <v>42283</v>
      </c>
      <c r="B100">
        <v>21.56</v>
      </c>
      <c r="C100">
        <v>21.7</v>
      </c>
      <c r="G100">
        <f t="shared" ref="G100:K100" si="51">SUMPRODUCT($B100:$B104,P$2:P$6)</f>
        <v>11.630032259380986</v>
      </c>
      <c r="H100">
        <f t="shared" si="51"/>
        <v>9.5347055660060978</v>
      </c>
      <c r="I100">
        <f t="shared" si="51"/>
        <v>8.174114464819807</v>
      </c>
      <c r="J100">
        <f t="shared" si="51"/>
        <v>6.8778410803389853</v>
      </c>
      <c r="K100">
        <f t="shared" si="51"/>
        <v>3.5653842702281255</v>
      </c>
      <c r="L100">
        <f t="shared" si="15"/>
        <v>21.604734545024229</v>
      </c>
      <c r="M100">
        <f t="shared" si="17"/>
        <v>0.23526545497577089</v>
      </c>
      <c r="N100">
        <f t="shared" si="18"/>
        <v>5.5349834304956484E-2</v>
      </c>
    </row>
    <row r="101" spans="1:14" x14ac:dyDescent="0.45">
      <c r="A101" s="23">
        <v>42282</v>
      </c>
      <c r="B101">
        <v>20.02</v>
      </c>
      <c r="C101">
        <v>21.62</v>
      </c>
      <c r="G101">
        <f t="shared" ref="G101:K101" si="52">SUMPRODUCT($B101:$B105,P$2:P$6)</f>
        <v>10.799316030946381</v>
      </c>
      <c r="H101">
        <f t="shared" si="52"/>
        <v>8.8536555713052021</v>
      </c>
      <c r="I101">
        <f t="shared" si="52"/>
        <v>7.5902507278684093</v>
      </c>
      <c r="J101">
        <f t="shared" si="52"/>
        <v>6.386566809704</v>
      </c>
      <c r="K101">
        <f t="shared" si="52"/>
        <v>3.3107145784888083</v>
      </c>
      <c r="L101">
        <f t="shared" si="15"/>
        <v>20.070408244065792</v>
      </c>
      <c r="M101">
        <f t="shared" si="17"/>
        <v>1.4895917559342067</v>
      </c>
      <c r="N101">
        <f t="shared" si="18"/>
        <v>2.2188835993471532</v>
      </c>
    </row>
    <row r="102" spans="1:14" x14ac:dyDescent="0.45">
      <c r="A102" s="23">
        <v>42279</v>
      </c>
      <c r="B102">
        <v>19.64</v>
      </c>
      <c r="C102">
        <v>19.93</v>
      </c>
      <c r="G102">
        <f t="shared" ref="G102:K102" si="53">SUMPRODUCT($B102:$B106,P$2:P$6)</f>
        <v>10.594334260587141</v>
      </c>
      <c r="H102">
        <f t="shared" si="53"/>
        <v>8.685604455455552</v>
      </c>
      <c r="I102">
        <f t="shared" si="53"/>
        <v>7.4461805657495441</v>
      </c>
      <c r="J102">
        <f t="shared" si="53"/>
        <v>6.2653433365645022</v>
      </c>
      <c r="K102">
        <f t="shared" si="53"/>
        <v>3.2478740685568686</v>
      </c>
      <c r="L102">
        <f t="shared" si="15"/>
        <v>19.69180855087389</v>
      </c>
      <c r="M102">
        <f t="shared" si="17"/>
        <v>0.32819144912610909</v>
      </c>
      <c r="N102">
        <f t="shared" si="18"/>
        <v>0.10770962727949546</v>
      </c>
    </row>
    <row r="103" spans="1:14" x14ac:dyDescent="0.45">
      <c r="A103" s="23">
        <v>42278</v>
      </c>
      <c r="B103">
        <v>20.8</v>
      </c>
      <c r="C103">
        <v>19.829999999999998</v>
      </c>
      <c r="G103">
        <f t="shared" ref="G103:K103" si="54">SUMPRODUCT($B103:$B107,P$2:P$6)</f>
        <v>11.220068717916487</v>
      </c>
      <c r="H103">
        <f t="shared" si="54"/>
        <v>9.1986033095487496</v>
      </c>
      <c r="I103">
        <f t="shared" si="54"/>
        <v>7.8859748263527401</v>
      </c>
      <c r="J103">
        <f t="shared" si="54"/>
        <v>6.6353941183076195</v>
      </c>
      <c r="K103">
        <f t="shared" si="54"/>
        <v>3.4397034986262724</v>
      </c>
      <c r="L103">
        <f t="shared" si="15"/>
        <v>20.847535615868892</v>
      </c>
      <c r="M103">
        <f t="shared" si="17"/>
        <v>-1.2075356158688919</v>
      </c>
      <c r="N103">
        <f t="shared" si="18"/>
        <v>1.4581422635918642</v>
      </c>
    </row>
    <row r="104" spans="1:14" x14ac:dyDescent="0.45">
      <c r="A104" s="23">
        <v>42277</v>
      </c>
      <c r="B104">
        <v>21.15</v>
      </c>
      <c r="C104">
        <v>21.06</v>
      </c>
      <c r="G104">
        <f t="shared" ref="G104:K104" si="55">SUMPRODUCT($B104:$B108,P$2:P$6)</f>
        <v>11.408867932368715</v>
      </c>
      <c r="H104">
        <f t="shared" si="55"/>
        <v>9.3533875265189543</v>
      </c>
      <c r="I104">
        <f t="shared" si="55"/>
        <v>8.0186717605247502</v>
      </c>
      <c r="J104">
        <f t="shared" si="55"/>
        <v>6.7470473628984395</v>
      </c>
      <c r="K104">
        <f t="shared" si="55"/>
        <v>3.4975831535099395</v>
      </c>
      <c r="L104">
        <f t="shared" si="15"/>
        <v>21.196246664588134</v>
      </c>
      <c r="M104">
        <f t="shared" si="17"/>
        <v>-0.39624666458813351</v>
      </c>
      <c r="N104">
        <f t="shared" si="18"/>
        <v>0.15701141919722078</v>
      </c>
    </row>
    <row r="105" spans="1:14" x14ac:dyDescent="0.45">
      <c r="A105" s="23">
        <v>42276</v>
      </c>
      <c r="B105">
        <v>21.6</v>
      </c>
      <c r="C105">
        <v>21.03</v>
      </c>
      <c r="G105">
        <f t="shared" ref="G105:K105" si="56">SUMPRODUCT($B105:$B109,P$2:P$6)</f>
        <v>11.651609730756654</v>
      </c>
      <c r="H105">
        <f t="shared" si="56"/>
        <v>9.5523957489911133</v>
      </c>
      <c r="I105">
        <f t="shared" si="56"/>
        <v>8.1892818085470793</v>
      </c>
      <c r="J105">
        <f t="shared" si="56"/>
        <v>6.8906015680178783</v>
      </c>
      <c r="K105">
        <f t="shared" si="56"/>
        <v>3.5719997846947376</v>
      </c>
      <c r="L105">
        <f t="shared" si="15"/>
        <v>21.644589214281719</v>
      </c>
      <c r="M105">
        <f t="shared" si="17"/>
        <v>-0.49458921428172076</v>
      </c>
      <c r="N105">
        <f t="shared" si="18"/>
        <v>0.24461849088380988</v>
      </c>
    </row>
    <row r="106" spans="1:14" x14ac:dyDescent="0.45">
      <c r="A106" s="23">
        <v>42275</v>
      </c>
      <c r="B106">
        <v>22.37</v>
      </c>
      <c r="C106">
        <v>21.61</v>
      </c>
      <c r="G106">
        <f t="shared" ref="G106:K106" si="57">SUMPRODUCT($B106:$B110,P$2:P$6)</f>
        <v>12.066967943118348</v>
      </c>
      <c r="H106">
        <f t="shared" si="57"/>
        <v>9.8929208384956144</v>
      </c>
      <c r="I106">
        <f t="shared" si="57"/>
        <v>8.4812138175276406</v>
      </c>
      <c r="J106">
        <f t="shared" si="57"/>
        <v>7.1362387177993343</v>
      </c>
      <c r="K106">
        <f t="shared" si="57"/>
        <v>3.6993346989107025</v>
      </c>
      <c r="L106">
        <f t="shared" si="15"/>
        <v>22.411752586178249</v>
      </c>
      <c r="M106">
        <f t="shared" si="17"/>
        <v>-0.81175258617824753</v>
      </c>
      <c r="N106">
        <f t="shared" si="18"/>
        <v>0.65894226116707322</v>
      </c>
    </row>
    <row r="107" spans="1:14" x14ac:dyDescent="0.45">
      <c r="A107" s="23">
        <v>42272</v>
      </c>
      <c r="B107">
        <v>22.89</v>
      </c>
      <c r="C107">
        <v>22.63</v>
      </c>
      <c r="G107">
        <f t="shared" ref="G107:K107" si="58">SUMPRODUCT($B107:$B111,P$2:P$6)</f>
        <v>12.347469520704493</v>
      </c>
      <c r="H107">
        <f t="shared" si="58"/>
        <v>10.12288576665437</v>
      </c>
      <c r="I107">
        <f t="shared" si="58"/>
        <v>8.6783630716006215</v>
      </c>
      <c r="J107">
        <f t="shared" si="58"/>
        <v>7.3021235389495303</v>
      </c>
      <c r="K107">
        <f t="shared" si="58"/>
        <v>3.7853272269049651</v>
      </c>
      <c r="L107">
        <f t="shared" si="15"/>
        <v>22.929837107156104</v>
      </c>
      <c r="M107">
        <f t="shared" si="17"/>
        <v>-0.55983710715610258</v>
      </c>
      <c r="N107">
        <f t="shared" si="18"/>
        <v>0.3134175865489135</v>
      </c>
    </row>
    <row r="108" spans="1:14" x14ac:dyDescent="0.45">
      <c r="A108" s="23">
        <v>42271</v>
      </c>
      <c r="B108">
        <v>22.49</v>
      </c>
      <c r="C108">
        <v>22.6</v>
      </c>
      <c r="G108">
        <f t="shared" ref="G108:K108" si="59">SUMPRODUCT($B108:$B112,P$2:P$6)</f>
        <v>12.131699135667485</v>
      </c>
      <c r="H108">
        <f t="shared" si="59"/>
        <v>9.9459897241392259</v>
      </c>
      <c r="I108">
        <f t="shared" si="59"/>
        <v>8.5267100056592753</v>
      </c>
      <c r="J108">
        <f t="shared" si="59"/>
        <v>7.174519852259178</v>
      </c>
      <c r="K108">
        <f t="shared" si="59"/>
        <v>3.7191792245846989</v>
      </c>
      <c r="L108">
        <f t="shared" si="15"/>
        <v>22.531310784112744</v>
      </c>
      <c r="M108">
        <f t="shared" si="17"/>
        <v>0.35868921588725655</v>
      </c>
      <c r="N108">
        <f t="shared" si="18"/>
        <v>0.12865795359381493</v>
      </c>
    </row>
    <row r="109" spans="1:14" x14ac:dyDescent="0.45">
      <c r="A109" s="23">
        <v>42270</v>
      </c>
      <c r="B109">
        <v>22.94</v>
      </c>
      <c r="C109">
        <v>22.72</v>
      </c>
      <c r="G109">
        <f t="shared" ref="G109:K109" si="60">SUMPRODUCT($B109:$B113,P$2:P$6)</f>
        <v>12.374440968407649</v>
      </c>
      <c r="H109">
        <f t="shared" si="60"/>
        <v>10.144997898001645</v>
      </c>
      <c r="I109">
        <f t="shared" si="60"/>
        <v>8.6973198646666852</v>
      </c>
      <c r="J109">
        <f t="shared" si="60"/>
        <v>7.3180740422381474</v>
      </c>
      <c r="K109">
        <f t="shared" si="60"/>
        <v>3.7935958426433207</v>
      </c>
      <c r="L109">
        <f t="shared" si="15"/>
        <v>22.979653216254409</v>
      </c>
      <c r="M109">
        <f t="shared" si="17"/>
        <v>-0.48965321625441049</v>
      </c>
      <c r="N109">
        <f t="shared" si="18"/>
        <v>0.23976027218828849</v>
      </c>
    </row>
    <row r="110" spans="1:14" x14ac:dyDescent="0.45">
      <c r="A110" s="23">
        <v>42269</v>
      </c>
      <c r="B110">
        <v>22.93</v>
      </c>
      <c r="C110">
        <v>22.87</v>
      </c>
      <c r="G110">
        <f t="shared" ref="G110:K110" si="61">SUMPRODUCT($B110:$B114,P$2:P$6)</f>
        <v>12.369046728225984</v>
      </c>
      <c r="H110">
        <f t="shared" si="61"/>
        <v>10.140575557978117</v>
      </c>
      <c r="I110">
        <f t="shared" si="61"/>
        <v>8.693528794837059</v>
      </c>
      <c r="J110">
        <f t="shared" si="61"/>
        <v>7.3148839252393287</v>
      </c>
      <c r="K110">
        <f t="shared" si="61"/>
        <v>3.7919421769115131</v>
      </c>
      <c r="L110">
        <f t="shared" si="15"/>
        <v>22.969690237993447</v>
      </c>
      <c r="M110">
        <f t="shared" si="17"/>
        <v>-2.9690237993445834E-2</v>
      </c>
      <c r="N110">
        <f t="shared" si="18"/>
        <v>8.8151023210745452E-4</v>
      </c>
    </row>
    <row r="111" spans="1:14" x14ac:dyDescent="0.45">
      <c r="A111" s="23">
        <v>42268</v>
      </c>
      <c r="B111">
        <v>23.14</v>
      </c>
      <c r="C111">
        <v>23.19</v>
      </c>
      <c r="G111">
        <f t="shared" ref="G111:K111" si="62">SUMPRODUCT($B111:$B115,P$2:P$6)</f>
        <v>12.482326131169025</v>
      </c>
      <c r="H111">
        <f t="shared" si="62"/>
        <v>10.233446020421669</v>
      </c>
      <c r="I111">
        <f t="shared" si="62"/>
        <v>8.7731469584003108</v>
      </c>
      <c r="J111">
        <f t="shared" si="62"/>
        <v>7.3818758721226443</v>
      </c>
      <c r="K111">
        <f t="shared" si="62"/>
        <v>3.8266699232961936</v>
      </c>
      <c r="L111">
        <f t="shared" si="15"/>
        <v>23.178916735318872</v>
      </c>
      <c r="M111">
        <f t="shared" si="17"/>
        <v>-0.24891673531887193</v>
      </c>
      <c r="N111">
        <f t="shared" si="18"/>
        <v>6.1959541121805344E-2</v>
      </c>
    </row>
    <row r="112" spans="1:14" x14ac:dyDescent="0.45">
      <c r="A112" s="23">
        <v>42265</v>
      </c>
      <c r="B112">
        <v>23.54</v>
      </c>
      <c r="C112">
        <v>23.04</v>
      </c>
      <c r="G112">
        <f t="shared" ref="G112:K112" si="63">SUMPRODUCT($B112:$B116,P$2:P$6)</f>
        <v>12.698096582779771</v>
      </c>
      <c r="H112">
        <f t="shared" si="63"/>
        <v>10.410342123911569</v>
      </c>
      <c r="I112">
        <f t="shared" si="63"/>
        <v>8.9247995243881668</v>
      </c>
      <c r="J112">
        <f t="shared" si="63"/>
        <v>7.5094795852324783</v>
      </c>
      <c r="K112">
        <f t="shared" si="63"/>
        <v>3.8928177774456683</v>
      </c>
      <c r="L112">
        <f t="shared" si="15"/>
        <v>23.577442811410315</v>
      </c>
      <c r="M112">
        <f t="shared" si="17"/>
        <v>-0.43744281141031394</v>
      </c>
      <c r="N112">
        <f t="shared" si="18"/>
        <v>0.19135621325455948</v>
      </c>
    </row>
    <row r="113" spans="1:14" x14ac:dyDescent="0.45">
      <c r="A113" s="23">
        <v>42264</v>
      </c>
      <c r="B113">
        <v>24.07</v>
      </c>
      <c r="C113">
        <v>23.83</v>
      </c>
      <c r="G113">
        <f t="shared" ref="G113:K113" si="64">SUMPRODUCT($B113:$B117,P$2:P$6)</f>
        <v>12.983992359028253</v>
      </c>
      <c r="H113">
        <f t="shared" si="64"/>
        <v>10.644729341832335</v>
      </c>
      <c r="I113">
        <f t="shared" si="64"/>
        <v>9.125739627509784</v>
      </c>
      <c r="J113">
        <f t="shared" si="64"/>
        <v>7.6785544779565722</v>
      </c>
      <c r="K113">
        <f t="shared" si="64"/>
        <v>3.9804638580816425</v>
      </c>
      <c r="L113">
        <f t="shared" si="15"/>
        <v>24.1054900638226</v>
      </c>
      <c r="M113">
        <f t="shared" si="17"/>
        <v>-0.56549006382260103</v>
      </c>
      <c r="N113">
        <f t="shared" si="18"/>
        <v>0.31977901228208938</v>
      </c>
    </row>
    <row r="114" spans="1:14" x14ac:dyDescent="0.45">
      <c r="A114" s="23">
        <v>42263</v>
      </c>
      <c r="B114">
        <v>23.13</v>
      </c>
      <c r="C114">
        <v>24.02</v>
      </c>
      <c r="G114">
        <f t="shared" ref="G114:K114" si="65">SUMPRODUCT($B114:$B118,P$2:P$6)</f>
        <v>12.476931763713125</v>
      </c>
      <c r="H114">
        <f t="shared" si="65"/>
        <v>10.229023428687835</v>
      </c>
      <c r="I114">
        <f t="shared" si="65"/>
        <v>8.7693547643166454</v>
      </c>
      <c r="J114">
        <f t="shared" si="65"/>
        <v>7.3786857569076902</v>
      </c>
      <c r="K114">
        <f t="shared" si="65"/>
        <v>3.8250159617088766</v>
      </c>
      <c r="L114">
        <f t="shared" si="15"/>
        <v>23.168952821074566</v>
      </c>
      <c r="M114">
        <f t="shared" si="17"/>
        <v>0.90104717892543462</v>
      </c>
      <c r="N114">
        <f t="shared" si="18"/>
        <v>0.81188601864948418</v>
      </c>
    </row>
    <row r="115" spans="1:14" x14ac:dyDescent="0.45">
      <c r="A115" s="23">
        <v>42262</v>
      </c>
      <c r="B115">
        <v>22.8</v>
      </c>
      <c r="C115">
        <v>23.12</v>
      </c>
      <c r="G115">
        <f t="shared" ref="G115:K115" si="66">SUMPRODUCT($B115:$B119,P$2:P$6)</f>
        <v>12.298921161347545</v>
      </c>
      <c r="H115">
        <f t="shared" si="66"/>
        <v>10.083084131332313</v>
      </c>
      <c r="I115">
        <f t="shared" si="66"/>
        <v>8.644240949669836</v>
      </c>
      <c r="J115">
        <f t="shared" si="66"/>
        <v>7.2734127098468271</v>
      </c>
      <c r="K115">
        <f t="shared" si="66"/>
        <v>3.7704438645858973</v>
      </c>
      <c r="L115">
        <f t="shared" si="15"/>
        <v>22.840168532543636</v>
      </c>
      <c r="M115">
        <f t="shared" si="17"/>
        <v>0.2898314674563629</v>
      </c>
      <c r="N115">
        <f t="shared" si="18"/>
        <v>8.4002279527908744E-2</v>
      </c>
    </row>
    <row r="116" spans="1:14" x14ac:dyDescent="0.45">
      <c r="A116" s="23">
        <v>42261</v>
      </c>
      <c r="B116">
        <v>22.65</v>
      </c>
      <c r="C116">
        <v>22.72</v>
      </c>
      <c r="G116">
        <f t="shared" ref="G116:K116" si="67">SUMPRODUCT($B116:$B120,P$2:P$6)</f>
        <v>12.21800728823696</v>
      </c>
      <c r="H116">
        <f t="shared" si="67"/>
        <v>10.016748123923433</v>
      </c>
      <c r="I116">
        <f t="shared" si="67"/>
        <v>8.5873711089127749</v>
      </c>
      <c r="J116">
        <f t="shared" si="67"/>
        <v>7.2255613168470321</v>
      </c>
      <c r="K116">
        <f t="shared" si="67"/>
        <v>3.7456383854438671</v>
      </c>
      <c r="L116">
        <f t="shared" si="15"/>
        <v>22.690721214162583</v>
      </c>
      <c r="M116">
        <f t="shared" si="17"/>
        <v>0.10927878583741801</v>
      </c>
      <c r="N116">
        <f t="shared" si="18"/>
        <v>1.1941853034100272E-2</v>
      </c>
    </row>
    <row r="117" spans="1:14" x14ac:dyDescent="0.45">
      <c r="A117" s="23">
        <v>42258</v>
      </c>
      <c r="B117">
        <v>22.63</v>
      </c>
      <c r="C117">
        <v>22.6</v>
      </c>
      <c r="G117">
        <f t="shared" ref="G117:K117" si="68">SUMPRODUCT($B117:$B121,P$2:P$6)</f>
        <v>12.207218746852021</v>
      </c>
      <c r="H117">
        <f t="shared" si="68"/>
        <v>10.007903343181919</v>
      </c>
      <c r="I117">
        <f t="shared" si="68"/>
        <v>8.5797887490079923</v>
      </c>
      <c r="J117">
        <f t="shared" si="68"/>
        <v>7.2191811233049288</v>
      </c>
      <c r="K117">
        <f t="shared" si="68"/>
        <v>3.7423310452934397</v>
      </c>
      <c r="L117">
        <f t="shared" si="15"/>
        <v>22.670795072748213</v>
      </c>
      <c r="M117">
        <f t="shared" si="17"/>
        <v>-2.0795072748214238E-2</v>
      </c>
      <c r="N117">
        <f t="shared" si="18"/>
        <v>4.3243505060352246E-4</v>
      </c>
    </row>
    <row r="118" spans="1:14" x14ac:dyDescent="0.45">
      <c r="A118" s="23">
        <v>42257</v>
      </c>
      <c r="B118">
        <v>22.72</v>
      </c>
      <c r="C118">
        <v>22.76</v>
      </c>
      <c r="G118">
        <f t="shared" ref="G118:K118" si="69">SUMPRODUCT($B118:$B122,P$2:P$6)</f>
        <v>12.255767109198286</v>
      </c>
      <c r="H118">
        <f t="shared" si="69"/>
        <v>10.04770500383521</v>
      </c>
      <c r="I118">
        <f t="shared" si="69"/>
        <v>8.6139106727551287</v>
      </c>
      <c r="J118">
        <f t="shared" si="69"/>
        <v>7.2478919763184733</v>
      </c>
      <c r="K118">
        <f t="shared" si="69"/>
        <v>3.7572143411185963</v>
      </c>
      <c r="L118">
        <f t="shared" si="15"/>
        <v>22.760463539627178</v>
      </c>
      <c r="M118">
        <f t="shared" si="17"/>
        <v>-0.13046353962717916</v>
      </c>
      <c r="N118">
        <f t="shared" si="18"/>
        <v>1.7020735172052548E-2</v>
      </c>
    </row>
    <row r="119" spans="1:14" x14ac:dyDescent="0.45">
      <c r="A119" s="23">
        <v>42256</v>
      </c>
      <c r="B119">
        <v>23.23</v>
      </c>
      <c r="C119">
        <v>22.81</v>
      </c>
      <c r="G119">
        <f t="shared" ref="G119:K119" si="70">SUMPRODUCT($B119:$B123,P$2:P$6)</f>
        <v>12.53087445183896</v>
      </c>
      <c r="H119">
        <f t="shared" si="70"/>
        <v>10.273247537167309</v>
      </c>
      <c r="I119">
        <f t="shared" si="70"/>
        <v>8.8072681607838064</v>
      </c>
      <c r="J119">
        <f t="shared" si="70"/>
        <v>7.410586695791471</v>
      </c>
      <c r="K119">
        <f t="shared" si="70"/>
        <v>3.8415530196376562</v>
      </c>
      <c r="L119">
        <f t="shared" si="15"/>
        <v>23.2685846130336</v>
      </c>
      <c r="M119">
        <f t="shared" si="17"/>
        <v>-0.54858461303360073</v>
      </c>
      <c r="N119">
        <f t="shared" si="18"/>
        <v>0.30094507765722545</v>
      </c>
    </row>
    <row r="120" spans="1:14" x14ac:dyDescent="0.45">
      <c r="A120" s="23">
        <v>42255</v>
      </c>
      <c r="B120">
        <v>23.17</v>
      </c>
      <c r="C120">
        <v>23</v>
      </c>
      <c r="G120">
        <f t="shared" ref="G120:K120" si="71">SUMPRODUCT($B120:$B124,P$2:P$6)</f>
        <v>12.498508828343523</v>
      </c>
      <c r="H120">
        <f t="shared" si="71"/>
        <v>10.246713073162983</v>
      </c>
      <c r="I120">
        <f t="shared" si="71"/>
        <v>8.7845203093243214</v>
      </c>
      <c r="J120">
        <f t="shared" si="71"/>
        <v>7.3914461282010393</v>
      </c>
      <c r="K120">
        <f t="shared" si="71"/>
        <v>3.8316308374738246</v>
      </c>
      <c r="L120">
        <f t="shared" si="15"/>
        <v>23.208805652561107</v>
      </c>
      <c r="M120">
        <f t="shared" si="17"/>
        <v>2.1194347438893146E-2</v>
      </c>
      <c r="N120">
        <f t="shared" si="18"/>
        <v>4.4920036336051645E-4</v>
      </c>
    </row>
    <row r="121" spans="1:14" x14ac:dyDescent="0.45">
      <c r="A121" s="23">
        <v>42251</v>
      </c>
      <c r="B121">
        <v>22.81</v>
      </c>
      <c r="C121">
        <v>22.82</v>
      </c>
      <c r="G121">
        <f t="shared" ref="G121:K121" si="72">SUMPRODUCT($B121:$B125,P$2:P$6)</f>
        <v>12.304315436526355</v>
      </c>
      <c r="H121">
        <f t="shared" si="72"/>
        <v>10.087506583473477</v>
      </c>
      <c r="I121">
        <f t="shared" si="72"/>
        <v>8.6480324044600732</v>
      </c>
      <c r="J121">
        <f t="shared" si="72"/>
        <v>7.2766028053652461</v>
      </c>
      <c r="K121">
        <f t="shared" si="72"/>
        <v>3.7720975842201048</v>
      </c>
      <c r="L121">
        <f t="shared" si="15"/>
        <v>22.85013180445663</v>
      </c>
      <c r="M121">
        <f t="shared" si="17"/>
        <v>0.31986819554337131</v>
      </c>
      <c r="N121">
        <f t="shared" si="18"/>
        <v>0.10231566252017243</v>
      </c>
    </row>
    <row r="122" spans="1:14" x14ac:dyDescent="0.45">
      <c r="A122" s="23">
        <v>42250</v>
      </c>
      <c r="B122">
        <v>23.05</v>
      </c>
      <c r="C122">
        <v>23.1</v>
      </c>
      <c r="G122">
        <f t="shared" ref="G122:K122" si="73">SUMPRODUCT($B122:$B126,P$2:P$6)</f>
        <v>12.433777713513635</v>
      </c>
      <c r="H122">
        <f t="shared" si="73"/>
        <v>10.193644236480003</v>
      </c>
      <c r="I122">
        <f t="shared" si="73"/>
        <v>8.7390241838337754</v>
      </c>
      <c r="J122">
        <f t="shared" si="73"/>
        <v>7.353165014676839</v>
      </c>
      <c r="K122">
        <f t="shared" si="73"/>
        <v>3.8117863770085103</v>
      </c>
      <c r="L122">
        <f t="shared" si="15"/>
        <v>23.089247603065665</v>
      </c>
      <c r="M122">
        <f t="shared" si="17"/>
        <v>-0.27924760306566654</v>
      </c>
      <c r="N122">
        <f t="shared" si="18"/>
        <v>7.7979223817920051E-2</v>
      </c>
    </row>
    <row r="123" spans="1:14" x14ac:dyDescent="0.45">
      <c r="A123" s="23">
        <v>42249</v>
      </c>
      <c r="B123">
        <v>22.82</v>
      </c>
      <c r="C123">
        <v>22.93</v>
      </c>
      <c r="G123">
        <f t="shared" ref="G123:K123" si="74">SUMPRODUCT($B123:$B127,P$2:P$6)</f>
        <v>12.309709621597179</v>
      </c>
      <c r="H123">
        <f t="shared" si="74"/>
        <v>10.091928937989925</v>
      </c>
      <c r="I123">
        <f t="shared" si="74"/>
        <v>8.6518238342481943</v>
      </c>
      <c r="J123">
        <f t="shared" si="74"/>
        <v>7.2797928584521765</v>
      </c>
      <c r="K123">
        <f t="shared" si="74"/>
        <v>3.773751261777083</v>
      </c>
      <c r="L123">
        <f t="shared" si="15"/>
        <v>22.860094914435965</v>
      </c>
      <c r="M123">
        <f t="shared" si="17"/>
        <v>0.1899050855640354</v>
      </c>
      <c r="N123">
        <f t="shared" si="18"/>
        <v>3.6063941523083606E-2</v>
      </c>
    </row>
    <row r="124" spans="1:14" x14ac:dyDescent="0.45">
      <c r="A124" s="23">
        <v>42248</v>
      </c>
      <c r="B124">
        <v>22.69</v>
      </c>
      <c r="C124">
        <v>22.57</v>
      </c>
      <c r="G124">
        <f t="shared" ref="G124:K124" si="75">SUMPRODUCT($B124:$B128,P$2:P$6)</f>
        <v>12.239584163549958</v>
      </c>
      <c r="H124">
        <f t="shared" si="75"/>
        <v>10.034437673015178</v>
      </c>
      <c r="I124">
        <f t="shared" si="75"/>
        <v>8.6025363791760157</v>
      </c>
      <c r="J124">
        <f t="shared" si="75"/>
        <v>7.2383216520501223</v>
      </c>
      <c r="K124">
        <f t="shared" si="75"/>
        <v>3.7522530532787308</v>
      </c>
      <c r="L124">
        <f t="shared" si="15"/>
        <v>22.730573616901182</v>
      </c>
      <c r="M124">
        <f t="shared" si="17"/>
        <v>8.9426383098818008E-2</v>
      </c>
      <c r="N124">
        <f t="shared" si="18"/>
        <v>7.997077994136563E-3</v>
      </c>
    </row>
    <row r="125" spans="1:14" x14ac:dyDescent="0.45">
      <c r="A125" s="23">
        <v>42247</v>
      </c>
      <c r="B125">
        <v>23.03</v>
      </c>
      <c r="C125">
        <v>23.43</v>
      </c>
      <c r="G125">
        <f t="shared" ref="G125:K125" si="76">SUMPRODUCT($B125:$B129,P$2:P$6)</f>
        <v>12.422989002132276</v>
      </c>
      <c r="H125">
        <f t="shared" si="76"/>
        <v>10.184799281399741</v>
      </c>
      <c r="I125">
        <f t="shared" si="76"/>
        <v>8.7314410911657845</v>
      </c>
      <c r="J125">
        <f t="shared" si="76"/>
        <v>7.3467847933148427</v>
      </c>
      <c r="K125">
        <f t="shared" si="76"/>
        <v>3.8084787544117296</v>
      </c>
      <c r="L125">
        <f t="shared" si="15"/>
        <v>23.069320733509144</v>
      </c>
      <c r="M125">
        <f t="shared" si="17"/>
        <v>-0.37932073350914308</v>
      </c>
      <c r="N125">
        <f t="shared" si="18"/>
        <v>0.14388421886991434</v>
      </c>
    </row>
    <row r="126" spans="1:14" x14ac:dyDescent="0.45">
      <c r="A126" s="23">
        <v>42244</v>
      </c>
      <c r="B126">
        <v>22.69</v>
      </c>
      <c r="C126">
        <v>23.2</v>
      </c>
      <c r="G126">
        <f t="shared" ref="G126:K126" si="77">SUMPRODUCT($B126:$B130,P$2:P$6)</f>
        <v>12.239584042523759</v>
      </c>
      <c r="H126">
        <f t="shared" si="77"/>
        <v>10.034437485090196</v>
      </c>
      <c r="I126">
        <f t="shared" si="77"/>
        <v>8.6025357974416163</v>
      </c>
      <c r="J126">
        <f t="shared" si="77"/>
        <v>7.238321614453147</v>
      </c>
      <c r="K126">
        <f t="shared" si="77"/>
        <v>3.7522528666087003</v>
      </c>
      <c r="L126">
        <f t="shared" si="15"/>
        <v>22.73057303163354</v>
      </c>
      <c r="M126">
        <f t="shared" si="17"/>
        <v>0.29942696836646121</v>
      </c>
      <c r="N126">
        <f t="shared" si="18"/>
        <v>8.9656509385129757E-2</v>
      </c>
    </row>
    <row r="127" spans="1:14" x14ac:dyDescent="0.45">
      <c r="A127" s="23">
        <v>42243</v>
      </c>
      <c r="B127">
        <v>22.01</v>
      </c>
      <c r="C127">
        <v>22.83</v>
      </c>
      <c r="G127">
        <f t="shared" ref="G127:K127" si="78">SUMPRODUCT($B127:$B131,P$2:P$6)</f>
        <v>11.87277427996022</v>
      </c>
      <c r="H127">
        <f t="shared" si="78"/>
        <v>9.7337140610123551</v>
      </c>
      <c r="I127">
        <f t="shared" si="78"/>
        <v>8.344725482368224</v>
      </c>
      <c r="J127">
        <f t="shared" si="78"/>
        <v>7.0213953452144651</v>
      </c>
      <c r="K127">
        <f t="shared" si="78"/>
        <v>3.6398012598280158</v>
      </c>
      <c r="L127">
        <f t="shared" si="15"/>
        <v>22.053078083269973</v>
      </c>
      <c r="M127">
        <f t="shared" si="17"/>
        <v>0.63692191673002796</v>
      </c>
      <c r="N127">
        <f t="shared" si="18"/>
        <v>0.40566952801105266</v>
      </c>
    </row>
    <row r="128" spans="1:14" x14ac:dyDescent="0.45">
      <c r="A128" s="23">
        <v>42242</v>
      </c>
      <c r="B128">
        <v>21.78</v>
      </c>
      <c r="C128">
        <v>21.75</v>
      </c>
      <c r="G128">
        <f t="shared" ref="G128:K128" si="79">SUMPRODUCT($B128:$B132,P$2:P$6)</f>
        <v>11.748706390349243</v>
      </c>
      <c r="H128">
        <f t="shared" si="79"/>
        <v>9.631998855917951</v>
      </c>
      <c r="I128">
        <f t="shared" si="79"/>
        <v>8.2575248016094136</v>
      </c>
      <c r="J128">
        <f t="shared" si="79"/>
        <v>6.9480232058818157</v>
      </c>
      <c r="K128">
        <f t="shared" si="79"/>
        <v>3.601766132278279</v>
      </c>
      <c r="L128">
        <f t="shared" si="15"/>
        <v>21.823925395654154</v>
      </c>
      <c r="M128">
        <f t="shared" si="17"/>
        <v>0.18607460434584766</v>
      </c>
      <c r="N128">
        <f t="shared" si="18"/>
        <v>3.4623758382463746E-2</v>
      </c>
    </row>
    <row r="129" spans="1:14" x14ac:dyDescent="0.45">
      <c r="A129" s="23">
        <v>42241</v>
      </c>
      <c r="B129">
        <v>21.71</v>
      </c>
      <c r="C129">
        <v>21.44</v>
      </c>
      <c r="G129">
        <f t="shared" ref="G129:K129" si="80">SUMPRODUCT($B129:$B133,P$2:P$6)</f>
        <v>11.710946537034252</v>
      </c>
      <c r="H129">
        <f t="shared" si="80"/>
        <v>9.6010420569049586</v>
      </c>
      <c r="I129">
        <f t="shared" si="80"/>
        <v>8.2309862345117235</v>
      </c>
      <c r="J129">
        <f t="shared" si="80"/>
        <v>6.9256925613855689</v>
      </c>
      <c r="K129">
        <f t="shared" si="80"/>
        <v>3.5901904512673961</v>
      </c>
      <c r="L129">
        <f t="shared" si="15"/>
        <v>21.754183754655521</v>
      </c>
      <c r="M129">
        <f t="shared" si="17"/>
        <v>2.5816245344479682E-2</v>
      </c>
      <c r="N129">
        <f t="shared" si="18"/>
        <v>6.6647852368636887E-4</v>
      </c>
    </row>
    <row r="130" spans="1:14" x14ac:dyDescent="0.45">
      <c r="A130" s="23">
        <v>42240</v>
      </c>
      <c r="B130">
        <v>21.37</v>
      </c>
      <c r="C130">
        <v>21.44</v>
      </c>
      <c r="G130">
        <f t="shared" ref="G130:K130" si="81">SUMPRODUCT($B130:$B134,P$2:P$6)</f>
        <v>11.527541797601346</v>
      </c>
      <c r="H130">
        <f t="shared" si="81"/>
        <v>9.4506805304592802</v>
      </c>
      <c r="I130">
        <f t="shared" si="81"/>
        <v>8.1020811068514931</v>
      </c>
      <c r="J130">
        <f t="shared" si="81"/>
        <v>6.8172294579616652</v>
      </c>
      <c r="K130">
        <f t="shared" si="81"/>
        <v>3.5339646519450421</v>
      </c>
      <c r="L130">
        <f t="shared" ref="L130:L193" si="82">(G130+$P$7)*$U$2+(H130+$Q$7)*$U$3+(I130+$R$7)*$U$4+(J130+$S$7)*$U$5+(K130+$T$7)*$U$6+$U$7</f>
        <v>21.415436496373506</v>
      </c>
      <c r="M130">
        <f t="shared" si="17"/>
        <v>0.2945635036264953</v>
      </c>
      <c r="N130">
        <f t="shared" si="18"/>
        <v>8.6767657668716316E-2</v>
      </c>
    </row>
    <row r="131" spans="1:14" x14ac:dyDescent="0.45">
      <c r="A131" s="23">
        <v>42237</v>
      </c>
      <c r="B131">
        <v>22.67</v>
      </c>
      <c r="C131">
        <v>22.58</v>
      </c>
      <c r="G131">
        <f t="shared" ref="G131:K131" si="83">SUMPRODUCT($B131:$B135,P$2:P$6)</f>
        <v>12.228795821287205</v>
      </c>
      <c r="H131">
        <f t="shared" si="83"/>
        <v>10.025592936862582</v>
      </c>
      <c r="I131">
        <f t="shared" si="83"/>
        <v>8.5949538132263683</v>
      </c>
      <c r="J131">
        <f t="shared" si="83"/>
        <v>7.2319414945380363</v>
      </c>
      <c r="K131">
        <f t="shared" si="83"/>
        <v>3.748945800017867</v>
      </c>
      <c r="L131">
        <f t="shared" si="82"/>
        <v>22.710647574160937</v>
      </c>
      <c r="M131">
        <f t="shared" ref="M131:M194" si="84">B130-L131</f>
        <v>-1.3406475741609363</v>
      </c>
      <c r="N131">
        <f t="shared" ref="N131:N194" si="85">M131^2</f>
        <v>1.797335918103603</v>
      </c>
    </row>
    <row r="132" spans="1:14" x14ac:dyDescent="0.45">
      <c r="A132" s="23">
        <v>42236</v>
      </c>
      <c r="B132">
        <v>22.54</v>
      </c>
      <c r="C132">
        <v>22.76</v>
      </c>
      <c r="G132">
        <f t="shared" ref="G132:K132" si="86">SUMPRODUCT($B132:$B136,P$2:P$6)</f>
        <v>12.158670394361231</v>
      </c>
      <c r="H132">
        <f t="shared" si="86"/>
        <v>9.9681017310975619</v>
      </c>
      <c r="I132">
        <f t="shared" si="86"/>
        <v>8.5456669446113978</v>
      </c>
      <c r="J132">
        <f t="shared" si="86"/>
        <v>7.1904703004160284</v>
      </c>
      <c r="K132">
        <f t="shared" si="86"/>
        <v>3.7274477879448202</v>
      </c>
      <c r="L132">
        <f t="shared" si="82"/>
        <v>22.581126734651889</v>
      </c>
      <c r="M132">
        <f t="shared" si="84"/>
        <v>8.8873265348112795E-2</v>
      </c>
      <c r="N132">
        <f t="shared" si="85"/>
        <v>7.8984572936360662E-3</v>
      </c>
    </row>
    <row r="133" spans="1:14" x14ac:dyDescent="0.45">
      <c r="A133" s="23">
        <v>42235</v>
      </c>
      <c r="B133">
        <v>22.8</v>
      </c>
      <c r="C133">
        <v>22.51</v>
      </c>
      <c r="G133">
        <f t="shared" ref="G133:K133" si="87">SUMPRODUCT($B133:$B137,P$2:P$6)</f>
        <v>12.298921266095515</v>
      </c>
      <c r="H133">
        <f t="shared" si="87"/>
        <v>10.083084271549005</v>
      </c>
      <c r="I133">
        <f t="shared" si="87"/>
        <v>8.6442412039361987</v>
      </c>
      <c r="J133">
        <f t="shared" si="87"/>
        <v>7.2734127344538813</v>
      </c>
      <c r="K133">
        <f t="shared" si="87"/>
        <v>3.7704439487869732</v>
      </c>
      <c r="L133">
        <f t="shared" si="82"/>
        <v>22.840168855322656</v>
      </c>
      <c r="M133">
        <f t="shared" si="84"/>
        <v>-0.30016885532265647</v>
      </c>
      <c r="N133">
        <f t="shared" si="85"/>
        <v>9.0101341705713878E-2</v>
      </c>
    </row>
    <row r="134" spans="1:14" x14ac:dyDescent="0.45">
      <c r="A134" s="23">
        <v>42234</v>
      </c>
      <c r="B134">
        <v>23.48</v>
      </c>
      <c r="C134">
        <v>22.9</v>
      </c>
      <c r="G134">
        <f t="shared" ref="G134:K134" si="88">SUMPRODUCT($B134:$B138,P$2:P$6)</f>
        <v>12.665731017490513</v>
      </c>
      <c r="H134">
        <f t="shared" si="88"/>
        <v>10.383807627203643</v>
      </c>
      <c r="I134">
        <f t="shared" si="88"/>
        <v>8.9020515106451743</v>
      </c>
      <c r="J134">
        <f t="shared" si="88"/>
        <v>7.4903390138780734</v>
      </c>
      <c r="K134">
        <f t="shared" si="88"/>
        <v>3.8828956086697324</v>
      </c>
      <c r="L134">
        <f t="shared" si="82"/>
        <v>23.517663789267147</v>
      </c>
      <c r="M134">
        <f t="shared" si="84"/>
        <v>-0.7176637892671458</v>
      </c>
      <c r="N134">
        <f t="shared" si="85"/>
        <v>0.51504131442527823</v>
      </c>
    </row>
    <row r="135" spans="1:14" x14ac:dyDescent="0.45">
      <c r="A135" s="23">
        <v>42233</v>
      </c>
      <c r="B135">
        <v>22.98</v>
      </c>
      <c r="C135">
        <v>23.41</v>
      </c>
      <c r="G135">
        <f t="shared" ref="G135:K135" si="89">SUMPRODUCT($B135:$B139,P$2:P$6)</f>
        <v>12.396017924605653</v>
      </c>
      <c r="H135">
        <f t="shared" si="89"/>
        <v>10.162687487739857</v>
      </c>
      <c r="I135">
        <f t="shared" si="89"/>
        <v>8.7124853157218141</v>
      </c>
      <c r="J135">
        <f t="shared" si="89"/>
        <v>7.3308343946520926</v>
      </c>
      <c r="K135">
        <f t="shared" si="89"/>
        <v>3.8002106235337565</v>
      </c>
      <c r="L135">
        <f t="shared" si="82"/>
        <v>23.019505848048713</v>
      </c>
      <c r="M135">
        <f t="shared" si="84"/>
        <v>0.46049415195128773</v>
      </c>
      <c r="N135">
        <f t="shared" si="85"/>
        <v>0.21205486398133569</v>
      </c>
    </row>
    <row r="136" spans="1:14" x14ac:dyDescent="0.45">
      <c r="A136" s="23">
        <v>42230</v>
      </c>
      <c r="B136">
        <v>23.1</v>
      </c>
      <c r="C136">
        <v>23.09</v>
      </c>
      <c r="G136">
        <f t="shared" ref="G136:K136" si="90">SUMPRODUCT($B136:$B140,P$2:P$6)</f>
        <v>12.460749108112665</v>
      </c>
      <c r="H136">
        <f t="shared" si="90"/>
        <v>10.215756355514083</v>
      </c>
      <c r="I136">
        <f t="shared" si="90"/>
        <v>8.75798099168275</v>
      </c>
      <c r="J136">
        <f t="shared" si="90"/>
        <v>7.3691155005929341</v>
      </c>
      <c r="K136">
        <f t="shared" si="90"/>
        <v>3.8200549485311921</v>
      </c>
      <c r="L136">
        <f t="shared" si="82"/>
        <v>23.139063650030195</v>
      </c>
      <c r="M136">
        <f t="shared" si="84"/>
        <v>-0.15906365003019474</v>
      </c>
      <c r="N136">
        <f t="shared" si="85"/>
        <v>2.5301244760928269E-2</v>
      </c>
    </row>
    <row r="137" spans="1:14" x14ac:dyDescent="0.45">
      <c r="A137" s="23">
        <v>42229</v>
      </c>
      <c r="B137">
        <v>23.41</v>
      </c>
      <c r="C137">
        <v>23.08</v>
      </c>
      <c r="G137">
        <f t="shared" ref="G137:K137" si="91">SUMPRODUCT($B137:$B141,P$2:P$6)</f>
        <v>12.627971122377945</v>
      </c>
      <c r="H137">
        <f t="shared" si="91"/>
        <v>10.352850777828866</v>
      </c>
      <c r="I137">
        <f t="shared" si="91"/>
        <v>8.8755123453730977</v>
      </c>
      <c r="J137">
        <f t="shared" si="91"/>
        <v>7.4680083546448275</v>
      </c>
      <c r="K137">
        <f t="shared" si="91"/>
        <v>3.8713197088464968</v>
      </c>
      <c r="L137">
        <f t="shared" si="82"/>
        <v>23.447921669855631</v>
      </c>
      <c r="M137">
        <f t="shared" si="84"/>
        <v>-0.34792166985563</v>
      </c>
      <c r="N137">
        <f t="shared" si="85"/>
        <v>0.12104948835512999</v>
      </c>
    </row>
    <row r="138" spans="1:14" x14ac:dyDescent="0.45">
      <c r="A138" s="23">
        <v>42228</v>
      </c>
      <c r="B138">
        <v>22.92</v>
      </c>
      <c r="C138">
        <v>23.22</v>
      </c>
      <c r="G138">
        <f t="shared" ref="G138:K138" si="92">SUMPRODUCT($B138:$B142,P$2:P$6)</f>
        <v>12.363652311637127</v>
      </c>
      <c r="H138">
        <f t="shared" si="92"/>
        <v>10.136153046940032</v>
      </c>
      <c r="I138">
        <f t="shared" si="92"/>
        <v>8.689737102427701</v>
      </c>
      <c r="J138">
        <f t="shared" si="92"/>
        <v>7.3116938236613889</v>
      </c>
      <c r="K138">
        <f t="shared" si="92"/>
        <v>3.7902882996281257</v>
      </c>
      <c r="L138">
        <f t="shared" si="82"/>
        <v>22.959726645822162</v>
      </c>
      <c r="M138">
        <f t="shared" si="84"/>
        <v>0.45027335417783831</v>
      </c>
      <c r="N138">
        <f t="shared" si="85"/>
        <v>0.20274609348256104</v>
      </c>
    </row>
    <row r="139" spans="1:14" x14ac:dyDescent="0.45">
      <c r="A139" s="23">
        <v>42227</v>
      </c>
      <c r="B139">
        <v>23.35</v>
      </c>
      <c r="C139">
        <v>23.3</v>
      </c>
      <c r="G139">
        <f t="shared" ref="G139:K139" si="93">SUMPRODUCT($B139:$B143,P$2:P$6)</f>
        <v>12.595605546537307</v>
      </c>
      <c r="H139">
        <f t="shared" si="93"/>
        <v>10.326316320211376</v>
      </c>
      <c r="I139">
        <f t="shared" si="93"/>
        <v>8.8527639591286196</v>
      </c>
      <c r="J139">
        <f t="shared" si="93"/>
        <v>7.4488678043117966</v>
      </c>
      <c r="K139">
        <f t="shared" si="93"/>
        <v>3.8613973867802573</v>
      </c>
      <c r="L139">
        <f t="shared" si="82"/>
        <v>23.388142403796575</v>
      </c>
      <c r="M139">
        <f t="shared" si="84"/>
        <v>-0.46814240379657335</v>
      </c>
      <c r="N139">
        <f t="shared" si="85"/>
        <v>0.21915731023243393</v>
      </c>
    </row>
    <row r="140" spans="1:14" x14ac:dyDescent="0.45">
      <c r="A140" s="23">
        <v>42226</v>
      </c>
      <c r="B140">
        <v>22.97</v>
      </c>
      <c r="C140">
        <v>23.54</v>
      </c>
      <c r="G140">
        <f t="shared" ref="G140:K140" si="94">SUMPRODUCT($B140:$B144,P$2:P$6)</f>
        <v>12.390623575986083</v>
      </c>
      <c r="H140">
        <f t="shared" si="94"/>
        <v>10.158264977200208</v>
      </c>
      <c r="I140">
        <f t="shared" si="94"/>
        <v>8.7086935897535014</v>
      </c>
      <c r="J140">
        <f t="shared" si="94"/>
        <v>7.3276442607840284</v>
      </c>
      <c r="K140">
        <f t="shared" si="94"/>
        <v>3.7985567599315964</v>
      </c>
      <c r="L140">
        <f t="shared" si="82"/>
        <v>23.00954226838407</v>
      </c>
      <c r="M140">
        <f t="shared" si="84"/>
        <v>0.34045773161593118</v>
      </c>
      <c r="N140">
        <f t="shared" si="85"/>
        <v>0.11591146701706542</v>
      </c>
    </row>
    <row r="141" spans="1:14" x14ac:dyDescent="0.45">
      <c r="A141" s="23">
        <v>42223</v>
      </c>
      <c r="B141">
        <v>22.62</v>
      </c>
      <c r="C141">
        <v>22.82</v>
      </c>
      <c r="G141">
        <f t="shared" ref="G141:K141" si="95">SUMPRODUCT($B141:$B145,P$2:P$6)</f>
        <v>12.201824448060973</v>
      </c>
      <c r="H141">
        <f t="shared" si="95"/>
        <v>10.00348088875238</v>
      </c>
      <c r="I141">
        <f t="shared" si="95"/>
        <v>8.5759971756601772</v>
      </c>
      <c r="J141">
        <f t="shared" si="95"/>
        <v>7.2159910526272855</v>
      </c>
      <c r="K141">
        <f t="shared" si="95"/>
        <v>3.7406772889977002</v>
      </c>
      <c r="L141">
        <f t="shared" si="82"/>
        <v>22.660831719516391</v>
      </c>
      <c r="M141">
        <f t="shared" si="84"/>
        <v>0.30916828048360756</v>
      </c>
      <c r="N141">
        <f t="shared" si="85"/>
        <v>9.5585025657190639E-2</v>
      </c>
    </row>
    <row r="142" spans="1:14" x14ac:dyDescent="0.45">
      <c r="A142" s="23">
        <v>42222</v>
      </c>
      <c r="B142">
        <v>22.76</v>
      </c>
      <c r="C142">
        <v>22.63</v>
      </c>
      <c r="G142">
        <f t="shared" ref="G142:K142" si="96">SUMPRODUCT($B142:$B146,P$2:P$6)</f>
        <v>12.277344220615694</v>
      </c>
      <c r="H142">
        <f t="shared" si="96"/>
        <v>10.06539458882806</v>
      </c>
      <c r="I142">
        <f t="shared" si="96"/>
        <v>8.6290755679383064</v>
      </c>
      <c r="J142">
        <f t="shared" si="96"/>
        <v>7.2606523488664507</v>
      </c>
      <c r="K142">
        <f t="shared" si="96"/>
        <v>3.7638290745152321</v>
      </c>
      <c r="L142">
        <f t="shared" si="82"/>
        <v>22.800315961132888</v>
      </c>
      <c r="M142">
        <f t="shared" si="84"/>
        <v>-0.18031596113288728</v>
      </c>
      <c r="N142">
        <f t="shared" si="85"/>
        <v>3.2513845839276918E-2</v>
      </c>
    </row>
    <row r="143" spans="1:14" x14ac:dyDescent="0.45">
      <c r="A143" s="23">
        <v>42221</v>
      </c>
      <c r="B143">
        <v>22.84</v>
      </c>
      <c r="C143">
        <v>22.93</v>
      </c>
      <c r="G143">
        <f t="shared" ref="G143:K143" si="97">SUMPRODUCT($B143:$B147,P$2:P$6)</f>
        <v>12.320498259453551</v>
      </c>
      <c r="H143">
        <f t="shared" si="97"/>
        <v>10.100773807474397</v>
      </c>
      <c r="I143">
        <f t="shared" si="97"/>
        <v>8.6594067763745368</v>
      </c>
      <c r="J143">
        <f t="shared" si="97"/>
        <v>7.2861730742431119</v>
      </c>
      <c r="K143">
        <f t="shared" si="97"/>
        <v>3.7770588354758545</v>
      </c>
      <c r="L143">
        <f t="shared" si="82"/>
        <v>22.880021590111461</v>
      </c>
      <c r="M143">
        <f t="shared" si="84"/>
        <v>-0.12002159011145963</v>
      </c>
      <c r="N143">
        <f t="shared" si="85"/>
        <v>1.4405182092883224E-2</v>
      </c>
    </row>
    <row r="144" spans="1:14" x14ac:dyDescent="0.45">
      <c r="A144" s="23">
        <v>42220</v>
      </c>
      <c r="B144">
        <v>22.44</v>
      </c>
      <c r="C144">
        <v>22.62</v>
      </c>
      <c r="G144">
        <f t="shared" ref="G144:K144" si="98">SUMPRODUCT($B144:$B148,P$2:P$6)</f>
        <v>12.104727831216074</v>
      </c>
      <c r="H144">
        <f t="shared" si="98"/>
        <v>9.9238777853785987</v>
      </c>
      <c r="I144">
        <f t="shared" si="98"/>
        <v>8.5077536823187163</v>
      </c>
      <c r="J144">
        <f t="shared" si="98"/>
        <v>7.1585693832158066</v>
      </c>
      <c r="K144">
        <f t="shared" si="98"/>
        <v>3.7109107671251431</v>
      </c>
      <c r="L144">
        <f t="shared" si="82"/>
        <v>22.481495201933221</v>
      </c>
      <c r="M144">
        <f t="shared" si="84"/>
        <v>0.35850479806677882</v>
      </c>
      <c r="N144">
        <f t="shared" si="85"/>
        <v>0.12852569023690186</v>
      </c>
    </row>
    <row r="145" spans="1:14" x14ac:dyDescent="0.45">
      <c r="A145" s="23">
        <v>42219</v>
      </c>
      <c r="B145">
        <v>23.51</v>
      </c>
      <c r="C145">
        <v>22.51</v>
      </c>
      <c r="G145">
        <f t="shared" ref="G145:K145" si="99">SUMPRODUCT($B145:$B149,P$2:P$6)</f>
        <v>12.681913792653523</v>
      </c>
      <c r="H145">
        <f t="shared" si="99"/>
        <v>10.397074857907306</v>
      </c>
      <c r="I145">
        <f t="shared" si="99"/>
        <v>8.913425492935712</v>
      </c>
      <c r="J145">
        <f t="shared" si="99"/>
        <v>7.4999093074639456</v>
      </c>
      <c r="K145">
        <f t="shared" si="99"/>
        <v>3.8878566998946829</v>
      </c>
      <c r="L145">
        <f t="shared" si="82"/>
        <v>23.547553281741394</v>
      </c>
      <c r="M145">
        <f t="shared" si="84"/>
        <v>-1.1075532817413922</v>
      </c>
      <c r="N145">
        <f t="shared" si="85"/>
        <v>1.2266742718961277</v>
      </c>
    </row>
    <row r="146" spans="1:14" x14ac:dyDescent="0.45">
      <c r="A146" s="23">
        <v>42216</v>
      </c>
      <c r="B146">
        <v>23.43</v>
      </c>
      <c r="C146">
        <v>23.21</v>
      </c>
      <c r="G146">
        <f t="shared" ref="G146:K146" si="100">SUMPRODUCT($B146:$B150,P$2:P$6)</f>
        <v>12.638759692691087</v>
      </c>
      <c r="H146">
        <f t="shared" si="100"/>
        <v>10.36169559913005</v>
      </c>
      <c r="I146">
        <f t="shared" si="100"/>
        <v>8.8830947777491147</v>
      </c>
      <c r="J146">
        <f t="shared" si="100"/>
        <v>7.4743885566197967</v>
      </c>
      <c r="K146">
        <f t="shared" si="100"/>
        <v>3.8746270730566938</v>
      </c>
      <c r="L146">
        <f t="shared" si="82"/>
        <v>23.467847903837182</v>
      </c>
      <c r="M146">
        <f t="shared" si="84"/>
        <v>4.2152096162819674E-2</v>
      </c>
      <c r="N146">
        <f t="shared" si="85"/>
        <v>1.776799210919597E-3</v>
      </c>
    </row>
    <row r="147" spans="1:14" x14ac:dyDescent="0.45">
      <c r="A147" s="23">
        <v>42215</v>
      </c>
      <c r="B147">
        <v>23.09</v>
      </c>
      <c r="C147">
        <v>23.44</v>
      </c>
      <c r="G147">
        <f t="shared" ref="G147:K147" si="101">SUMPRODUCT($B147:$B151,P$2:P$6)</f>
        <v>12.455354813862655</v>
      </c>
      <c r="H147">
        <f t="shared" si="101"/>
        <v>10.211333898484662</v>
      </c>
      <c r="I147">
        <f t="shared" si="101"/>
        <v>8.7541897345874844</v>
      </c>
      <c r="J147">
        <f t="shared" si="101"/>
        <v>7.3659254163819066</v>
      </c>
      <c r="K147">
        <f t="shared" si="101"/>
        <v>3.8184012977622603</v>
      </c>
      <c r="L147">
        <f t="shared" si="82"/>
        <v>23.129100507221708</v>
      </c>
      <c r="M147">
        <f t="shared" si="84"/>
        <v>0.3008994927782922</v>
      </c>
      <c r="N147">
        <f t="shared" si="85"/>
        <v>9.0540504754233517E-2</v>
      </c>
    </row>
    <row r="148" spans="1:14" x14ac:dyDescent="0.45">
      <c r="A148" s="23">
        <v>42214</v>
      </c>
      <c r="B148">
        <v>22.94</v>
      </c>
      <c r="C148">
        <v>23.12</v>
      </c>
      <c r="G148">
        <f t="shared" ref="G148:K148" si="102">SUMPRODUCT($B148:$B152,P$2:P$6)</f>
        <v>12.374440957972585</v>
      </c>
      <c r="H148">
        <f t="shared" si="102"/>
        <v>10.144997905909136</v>
      </c>
      <c r="I148">
        <f t="shared" si="102"/>
        <v>8.6973198272198253</v>
      </c>
      <c r="J148">
        <f t="shared" si="102"/>
        <v>7.31807403199101</v>
      </c>
      <c r="K148">
        <f t="shared" si="102"/>
        <v>3.7935958049293221</v>
      </c>
      <c r="L148">
        <f t="shared" si="82"/>
        <v>22.979653170242681</v>
      </c>
      <c r="M148">
        <f t="shared" si="84"/>
        <v>0.11034682975731869</v>
      </c>
      <c r="N148">
        <f t="shared" si="85"/>
        <v>1.2176422837490673E-2</v>
      </c>
    </row>
    <row r="149" spans="1:14" x14ac:dyDescent="0.45">
      <c r="A149" s="23">
        <v>42213</v>
      </c>
      <c r="B149">
        <v>23.1</v>
      </c>
      <c r="C149">
        <v>23.06</v>
      </c>
      <c r="G149">
        <f t="shared" ref="G149:K149" si="103">SUMPRODUCT($B149:$B153,P$2:P$6)</f>
        <v>12.460749155341755</v>
      </c>
      <c r="H149">
        <f t="shared" si="103"/>
        <v>10.215756379632859</v>
      </c>
      <c r="I149">
        <f t="shared" si="103"/>
        <v>8.7579813393990573</v>
      </c>
      <c r="J149">
        <f t="shared" si="103"/>
        <v>7.3691155202531595</v>
      </c>
      <c r="K149">
        <f t="shared" si="103"/>
        <v>3.8200551089372921</v>
      </c>
      <c r="L149">
        <f t="shared" si="82"/>
        <v>23.139063961857914</v>
      </c>
      <c r="M149">
        <f t="shared" si="84"/>
        <v>-0.19906396185791309</v>
      </c>
      <c r="N149">
        <f t="shared" si="85"/>
        <v>3.9626460910568678E-2</v>
      </c>
    </row>
    <row r="150" spans="1:14" x14ac:dyDescent="0.45">
      <c r="A150" s="23">
        <v>42212</v>
      </c>
      <c r="B150">
        <v>23.06</v>
      </c>
      <c r="C150">
        <v>23.08</v>
      </c>
      <c r="G150">
        <f t="shared" ref="G150:K150" si="104">SUMPRODUCT($B150:$B154,P$2:P$6)</f>
        <v>12.439172162668664</v>
      </c>
      <c r="H150">
        <f t="shared" si="104"/>
        <v>10.19806683884916</v>
      </c>
      <c r="I150">
        <f t="shared" si="104"/>
        <v>8.7428161157954687</v>
      </c>
      <c r="J150">
        <f t="shared" si="104"/>
        <v>7.3563551644294094</v>
      </c>
      <c r="K150">
        <f t="shared" si="104"/>
        <v>3.8134403357097488</v>
      </c>
      <c r="L150">
        <f t="shared" si="82"/>
        <v>23.099211453476173</v>
      </c>
      <c r="M150">
        <f t="shared" si="84"/>
        <v>7.8854652382887025E-4</v>
      </c>
      <c r="N150">
        <f t="shared" si="85"/>
        <v>6.2180562024259508E-7</v>
      </c>
    </row>
    <row r="151" spans="1:14" x14ac:dyDescent="0.45">
      <c r="A151" s="23">
        <v>42209</v>
      </c>
      <c r="B151">
        <v>23.54</v>
      </c>
      <c r="C151">
        <v>23.21</v>
      </c>
      <c r="G151">
        <f t="shared" ref="G151:K151" si="105">SUMPRODUCT($B151:$B155,P$2:P$6)</f>
        <v>12.698096755600245</v>
      </c>
      <c r="H151">
        <f t="shared" si="105"/>
        <v>10.410342210782332</v>
      </c>
      <c r="I151">
        <f t="shared" si="105"/>
        <v>8.9247999073245836</v>
      </c>
      <c r="J151">
        <f t="shared" si="105"/>
        <v>7.5094796318727628</v>
      </c>
      <c r="K151">
        <f t="shared" si="105"/>
        <v>3.8928180268758381</v>
      </c>
      <c r="L151">
        <f t="shared" si="82"/>
        <v>23.577443308469185</v>
      </c>
      <c r="M151">
        <f t="shared" si="84"/>
        <v>-0.51744330846918629</v>
      </c>
      <c r="N151">
        <f t="shared" si="85"/>
        <v>0.26774757747953748</v>
      </c>
    </row>
    <row r="152" spans="1:14" x14ac:dyDescent="0.45">
      <c r="A152" s="23">
        <v>42208</v>
      </c>
      <c r="B152">
        <v>23.64</v>
      </c>
      <c r="C152">
        <v>23.53</v>
      </c>
      <c r="G152">
        <f t="shared" ref="G152:K152" si="106">SUMPRODUCT($B152:$B156,P$2:P$6)</f>
        <v>12.752039496386612</v>
      </c>
      <c r="H152">
        <f t="shared" si="106"/>
        <v>10.454566315145405</v>
      </c>
      <c r="I152">
        <f t="shared" si="106"/>
        <v>8.9627132811766916</v>
      </c>
      <c r="J152">
        <f t="shared" si="106"/>
        <v>7.5413806072258005</v>
      </c>
      <c r="K152">
        <f t="shared" si="106"/>
        <v>3.9093551568635356</v>
      </c>
      <c r="L152">
        <f t="shared" si="82"/>
        <v>23.677075174142526</v>
      </c>
      <c r="M152">
        <f t="shared" si="84"/>
        <v>-0.13707517414252735</v>
      </c>
      <c r="N152">
        <f t="shared" si="85"/>
        <v>1.8789603366204197E-2</v>
      </c>
    </row>
    <row r="153" spans="1:14" x14ac:dyDescent="0.45">
      <c r="A153" s="23">
        <v>42207</v>
      </c>
      <c r="B153">
        <v>23.77</v>
      </c>
      <c r="C153">
        <v>23.7</v>
      </c>
      <c r="G153">
        <f t="shared" ref="G153:K153" si="107">SUMPRODUCT($B153:$B157,P$2:P$6)</f>
        <v>12.822165048371952</v>
      </c>
      <c r="H153">
        <f t="shared" si="107"/>
        <v>10.512057683846791</v>
      </c>
      <c r="I153">
        <f t="shared" si="107"/>
        <v>9.0120008418686393</v>
      </c>
      <c r="J153">
        <f t="shared" si="107"/>
        <v>7.5828518153444104</v>
      </c>
      <c r="K153">
        <f t="shared" si="107"/>
        <v>3.9308533967148485</v>
      </c>
      <c r="L153">
        <f t="shared" si="82"/>
        <v>23.806596653016612</v>
      </c>
      <c r="M153">
        <f t="shared" si="84"/>
        <v>-0.16659665301661164</v>
      </c>
      <c r="N153">
        <f t="shared" si="85"/>
        <v>2.7754444796337298E-2</v>
      </c>
    </row>
    <row r="154" spans="1:14" x14ac:dyDescent="0.45">
      <c r="A154" s="23">
        <v>42206</v>
      </c>
      <c r="B154">
        <v>23.91</v>
      </c>
      <c r="C154">
        <v>23.72</v>
      </c>
      <c r="G154">
        <f t="shared" ref="G154:K154" si="108">SUMPRODUCT($B154:$B158,P$2:P$6)</f>
        <v>12.897684738732826</v>
      </c>
      <c r="H154">
        <f t="shared" si="108"/>
        <v>10.573971441628682</v>
      </c>
      <c r="I154">
        <f t="shared" si="108"/>
        <v>9.0650802509338249</v>
      </c>
      <c r="J154">
        <f t="shared" si="108"/>
        <v>7.6275131304748038</v>
      </c>
      <c r="K154">
        <f t="shared" si="108"/>
        <v>3.9540054456911933</v>
      </c>
      <c r="L154">
        <f t="shared" si="82"/>
        <v>23.946081544216224</v>
      </c>
      <c r="M154">
        <f t="shared" si="84"/>
        <v>-0.17608154421622402</v>
      </c>
      <c r="N154">
        <f t="shared" si="85"/>
        <v>3.1004710213570055E-2</v>
      </c>
    </row>
    <row r="155" spans="1:14" x14ac:dyDescent="0.45">
      <c r="A155" s="23">
        <v>42205</v>
      </c>
      <c r="B155">
        <v>24.35</v>
      </c>
      <c r="C155">
        <v>24.01</v>
      </c>
      <c r="G155">
        <f t="shared" ref="G155:K155" si="109">SUMPRODUCT($B155:$B159,P$2:P$6)</f>
        <v>13.135032361687099</v>
      </c>
      <c r="H155">
        <f t="shared" si="109"/>
        <v>10.768557336829137</v>
      </c>
      <c r="I155">
        <f t="shared" si="109"/>
        <v>9.231898693976083</v>
      </c>
      <c r="J155">
        <f t="shared" si="109"/>
        <v>7.7678772486984586</v>
      </c>
      <c r="K155">
        <f t="shared" si="109"/>
        <v>4.0267682917467154</v>
      </c>
      <c r="L155">
        <f t="shared" si="82"/>
        <v>24.384460840719345</v>
      </c>
      <c r="M155">
        <f t="shared" si="84"/>
        <v>-0.47446084071934536</v>
      </c>
      <c r="N155">
        <f t="shared" si="85"/>
        <v>0.22511308937610799</v>
      </c>
    </row>
    <row r="156" spans="1:14" x14ac:dyDescent="0.45">
      <c r="A156" s="23">
        <v>42202</v>
      </c>
      <c r="B156">
        <v>25.76</v>
      </c>
      <c r="C156">
        <v>24.31</v>
      </c>
      <c r="G156">
        <f t="shared" ref="G156:K156" si="110">SUMPRODUCT($B156:$B160,P$2:P$6)</f>
        <v>13.89562321691626</v>
      </c>
      <c r="H156">
        <f t="shared" si="110"/>
        <v>11.392116145689034</v>
      </c>
      <c r="I156">
        <f t="shared" si="110"/>
        <v>9.7664759034481836</v>
      </c>
      <c r="J156">
        <f t="shared" si="110"/>
        <v>8.2176803033969659</v>
      </c>
      <c r="K156">
        <f t="shared" si="110"/>
        <v>4.2599401000619421</v>
      </c>
      <c r="L156">
        <f t="shared" si="82"/>
        <v>25.78926657354873</v>
      </c>
      <c r="M156">
        <f t="shared" si="84"/>
        <v>-1.4392665735487284</v>
      </c>
      <c r="N156">
        <f t="shared" si="85"/>
        <v>2.0714882697346972</v>
      </c>
    </row>
    <row r="157" spans="1:14" x14ac:dyDescent="0.45">
      <c r="A157" s="23">
        <v>42201</v>
      </c>
      <c r="B157">
        <v>25.71</v>
      </c>
      <c r="C157">
        <v>25.15</v>
      </c>
      <c r="G157">
        <f t="shared" ref="G157:K157" si="111">SUMPRODUCT($B157:$B161,P$2:P$6)</f>
        <v>13.868651881403009</v>
      </c>
      <c r="H157">
        <f t="shared" si="111"/>
        <v>11.370004124839447</v>
      </c>
      <c r="I157">
        <f t="shared" si="111"/>
        <v>9.7475193956267425</v>
      </c>
      <c r="J157">
        <f t="shared" si="111"/>
        <v>8.2017298593858925</v>
      </c>
      <c r="K157">
        <f t="shared" si="111"/>
        <v>4.2516716417706082</v>
      </c>
      <c r="L157">
        <f t="shared" si="82"/>
        <v>25.739450847986447</v>
      </c>
      <c r="M157">
        <f t="shared" si="84"/>
        <v>2.0549152013554561E-2</v>
      </c>
      <c r="N157">
        <f t="shared" si="85"/>
        <v>4.2226764847617346E-4</v>
      </c>
    </row>
    <row r="158" spans="1:14" x14ac:dyDescent="0.45">
      <c r="A158" s="23">
        <v>42200</v>
      </c>
      <c r="B158">
        <v>25.82</v>
      </c>
      <c r="C158">
        <v>25.59</v>
      </c>
      <c r="G158">
        <f t="shared" ref="G158:K158" si="112">SUMPRODUCT($B158:$B162,P$2:P$6)</f>
        <v>13.927988844963831</v>
      </c>
      <c r="H158">
        <f t="shared" si="112"/>
        <v>11.418650595948369</v>
      </c>
      <c r="I158">
        <f t="shared" si="112"/>
        <v>9.7892236814180595</v>
      </c>
      <c r="J158">
        <f t="shared" si="112"/>
        <v>8.23682089359753</v>
      </c>
      <c r="K158">
        <f t="shared" si="112"/>
        <v>4.2698622919242393</v>
      </c>
      <c r="L158">
        <f t="shared" si="82"/>
        <v>25.849045508846022</v>
      </c>
      <c r="M158">
        <f t="shared" si="84"/>
        <v>-0.13904550884602074</v>
      </c>
      <c r="N158">
        <f t="shared" si="85"/>
        <v>1.933365353024883E-2</v>
      </c>
    </row>
    <row r="159" spans="1:14" x14ac:dyDescent="0.45">
      <c r="A159" s="23">
        <v>42199</v>
      </c>
      <c r="B159">
        <v>26.07</v>
      </c>
      <c r="C159">
        <v>25.82</v>
      </c>
      <c r="G159">
        <f t="shared" ref="G159:K159" si="113">SUMPRODUCT($B159:$B163,P$2:P$6)</f>
        <v>14.062845353252049</v>
      </c>
      <c r="H159">
        <f t="shared" si="113"/>
        <v>11.529210639624708</v>
      </c>
      <c r="I159">
        <f t="shared" si="113"/>
        <v>9.8840071418083646</v>
      </c>
      <c r="J159">
        <f t="shared" si="113"/>
        <v>8.3165731869377399</v>
      </c>
      <c r="K159">
        <f t="shared" si="113"/>
        <v>4.3112048882033278</v>
      </c>
      <c r="L159">
        <f t="shared" si="82"/>
        <v>26.098124673942728</v>
      </c>
      <c r="M159">
        <f t="shared" si="84"/>
        <v>-0.27812467394272744</v>
      </c>
      <c r="N159">
        <f t="shared" si="85"/>
        <v>7.7353334255748446E-2</v>
      </c>
    </row>
    <row r="160" spans="1:14" x14ac:dyDescent="0.45">
      <c r="A160" s="23">
        <v>42198</v>
      </c>
      <c r="B160">
        <v>25.47</v>
      </c>
      <c r="C160">
        <v>26.1</v>
      </c>
      <c r="G160">
        <f t="shared" ref="G160:K160" si="114">SUMPRODUCT($B160:$B164,P$2:P$6)</f>
        <v>13.739189655274618</v>
      </c>
      <c r="H160">
        <f t="shared" si="114"/>
        <v>11.263866514219746</v>
      </c>
      <c r="I160">
        <f t="shared" si="114"/>
        <v>9.6565277080560517</v>
      </c>
      <c r="J160">
        <f t="shared" si="114"/>
        <v>8.1251676335199861</v>
      </c>
      <c r="K160">
        <f t="shared" si="114"/>
        <v>4.2119828733834641</v>
      </c>
      <c r="L160">
        <f t="shared" si="82"/>
        <v>25.500335152398812</v>
      </c>
      <c r="M160">
        <f t="shared" si="84"/>
        <v>0.56966484760118874</v>
      </c>
      <c r="N160">
        <f t="shared" si="85"/>
        <v>0.32451803859248557</v>
      </c>
    </row>
    <row r="161" spans="1:14" x14ac:dyDescent="0.45">
      <c r="A161" s="23">
        <v>42195</v>
      </c>
      <c r="B161">
        <v>25.99</v>
      </c>
      <c r="C161">
        <v>25.38</v>
      </c>
      <c r="G161">
        <f t="shared" ref="G161:K161" si="115">SUMPRODUCT($B161:$B165,P$2:P$6)</f>
        <v>14.019691262759457</v>
      </c>
      <c r="H161">
        <f t="shared" si="115"/>
        <v>11.493831474365713</v>
      </c>
      <c r="I161">
        <f t="shared" si="115"/>
        <v>9.8536764980431339</v>
      </c>
      <c r="J161">
        <f t="shared" si="115"/>
        <v>8.291052459053402</v>
      </c>
      <c r="K161">
        <f t="shared" si="115"/>
        <v>4.2979752392494959</v>
      </c>
      <c r="L161">
        <f t="shared" si="82"/>
        <v>26.018419388904523</v>
      </c>
      <c r="M161">
        <f t="shared" si="84"/>
        <v>-0.54841938890452369</v>
      </c>
      <c r="N161">
        <f t="shared" si="85"/>
        <v>0.30076382612641117</v>
      </c>
    </row>
    <row r="162" spans="1:14" x14ac:dyDescent="0.45">
      <c r="A162" s="23">
        <v>42194</v>
      </c>
      <c r="B162">
        <v>26.32</v>
      </c>
      <c r="C162">
        <v>25.78</v>
      </c>
      <c r="G162">
        <f t="shared" ref="G162:K162" si="116">SUMPRODUCT($B162:$B166,P$2:P$6)</f>
        <v>14.197701882207006</v>
      </c>
      <c r="H162">
        <f t="shared" si="116"/>
        <v>11.639770722636163</v>
      </c>
      <c r="I162">
        <f t="shared" si="116"/>
        <v>9.978790239431957</v>
      </c>
      <c r="J162">
        <f t="shared" si="116"/>
        <v>8.3963255270240271</v>
      </c>
      <c r="K162">
        <f t="shared" si="116"/>
        <v>4.3525473837017037</v>
      </c>
      <c r="L162">
        <f t="shared" si="82"/>
        <v>26.347203659359984</v>
      </c>
      <c r="M162">
        <f t="shared" si="84"/>
        <v>-0.35720365935998544</v>
      </c>
      <c r="N162">
        <f t="shared" si="85"/>
        <v>0.12759445426016452</v>
      </c>
    </row>
    <row r="163" spans="1:14" x14ac:dyDescent="0.45">
      <c r="A163" s="23">
        <v>42193</v>
      </c>
      <c r="B163">
        <v>25.9</v>
      </c>
      <c r="C163">
        <v>26.04</v>
      </c>
      <c r="G163">
        <f t="shared" ref="G163:K163" si="117">SUMPRODUCT($B163:$B167,P$2:P$6)</f>
        <v>13.971142935279454</v>
      </c>
      <c r="H163">
        <f t="shared" si="117"/>
        <v>11.454029822502507</v>
      </c>
      <c r="I163">
        <f t="shared" si="117"/>
        <v>9.819554470648189</v>
      </c>
      <c r="J163">
        <f t="shared" si="117"/>
        <v>8.2623416195226156</v>
      </c>
      <c r="K163">
        <f t="shared" si="117"/>
        <v>4.2830919404796699</v>
      </c>
      <c r="L163">
        <f t="shared" si="82"/>
        <v>25.928750899700081</v>
      </c>
      <c r="M163">
        <f t="shared" si="84"/>
        <v>0.39124910029991966</v>
      </c>
      <c r="N163">
        <f t="shared" si="85"/>
        <v>0.1530758584854966</v>
      </c>
    </row>
    <row r="164" spans="1:14" x14ac:dyDescent="0.45">
      <c r="A164" s="23">
        <v>42192</v>
      </c>
      <c r="B164">
        <v>25.84</v>
      </c>
      <c r="C164">
        <v>26.04</v>
      </c>
      <c r="G164">
        <f t="shared" ref="G164:K164" si="118">SUMPRODUCT($B164:$B168,P$2:P$6)</f>
        <v>13.938777329126172</v>
      </c>
      <c r="H164">
        <f t="shared" si="118"/>
        <v>11.427495401260776</v>
      </c>
      <c r="I164">
        <f t="shared" si="118"/>
        <v>9.7968068009537106</v>
      </c>
      <c r="J164">
        <f t="shared" si="118"/>
        <v>8.2432010660298136</v>
      </c>
      <c r="K164">
        <f t="shared" si="118"/>
        <v>4.2731698150491306</v>
      </c>
      <c r="L164">
        <f t="shared" si="82"/>
        <v>25.868972102075382</v>
      </c>
      <c r="M164">
        <f t="shared" si="84"/>
        <v>3.1027897924616354E-2</v>
      </c>
      <c r="N164">
        <f t="shared" si="85"/>
        <v>9.6273044962041183E-4</v>
      </c>
    </row>
    <row r="165" spans="1:14" x14ac:dyDescent="0.45">
      <c r="A165" s="23">
        <v>42191</v>
      </c>
      <c r="B165">
        <v>25.77</v>
      </c>
      <c r="C165">
        <v>25.77</v>
      </c>
      <c r="G165">
        <f t="shared" ref="G165:K165" si="119">SUMPRODUCT($B165:$B169,P$2:P$6)</f>
        <v>13.901017575496862</v>
      </c>
      <c r="H165">
        <f t="shared" si="119"/>
        <v>11.396538641444909</v>
      </c>
      <c r="I165">
        <f t="shared" si="119"/>
        <v>9.7702673337280075</v>
      </c>
      <c r="J165">
        <f t="shared" si="119"/>
        <v>8.2208704466685898</v>
      </c>
      <c r="K165">
        <f t="shared" si="119"/>
        <v>4.2615938877019728</v>
      </c>
      <c r="L165">
        <f t="shared" si="82"/>
        <v>25.799229965562127</v>
      </c>
      <c r="M165">
        <f t="shared" si="84"/>
        <v>4.0770034437873193E-2</v>
      </c>
      <c r="N165">
        <f t="shared" si="85"/>
        <v>1.6621957080653661E-3</v>
      </c>
    </row>
    <row r="166" spans="1:14" x14ac:dyDescent="0.45">
      <c r="A166" s="23">
        <v>42187</v>
      </c>
      <c r="B166">
        <v>26.31</v>
      </c>
      <c r="C166">
        <v>26.07</v>
      </c>
      <c r="G166">
        <f t="shared" ref="G166:K166" si="120">SUMPRODUCT($B166:$B170,P$2:P$6)</f>
        <v>14.192307730244735</v>
      </c>
      <c r="H166">
        <f t="shared" si="120"/>
        <v>11.635348399245267</v>
      </c>
      <c r="I166">
        <f t="shared" si="120"/>
        <v>9.9749990586292228</v>
      </c>
      <c r="J166">
        <f t="shared" si="120"/>
        <v>8.3931354458039849</v>
      </c>
      <c r="K166">
        <f t="shared" si="120"/>
        <v>4.3508937702691712</v>
      </c>
      <c r="L166">
        <f t="shared" si="82"/>
        <v>26.337240730819936</v>
      </c>
      <c r="M166">
        <f t="shared" si="84"/>
        <v>-0.56724073081993609</v>
      </c>
      <c r="N166">
        <f t="shared" si="85"/>
        <v>0.32176204670113517</v>
      </c>
    </row>
    <row r="167" spans="1:14" x14ac:dyDescent="0.45">
      <c r="A167" s="23">
        <v>42186</v>
      </c>
      <c r="B167">
        <v>25.95</v>
      </c>
      <c r="C167">
        <v>26.34</v>
      </c>
      <c r="G167">
        <f t="shared" ref="G167:K167" si="121">SUMPRODUCT($B167:$B171,P$2:P$6)</f>
        <v>13.998114329497941</v>
      </c>
      <c r="H167">
        <f t="shared" si="121"/>
        <v>11.476141937198935</v>
      </c>
      <c r="I167">
        <f t="shared" si="121"/>
        <v>9.8385116255615994</v>
      </c>
      <c r="J167">
        <f t="shared" si="121"/>
        <v>8.2782921156980844</v>
      </c>
      <c r="K167">
        <f t="shared" si="121"/>
        <v>4.2913606477350177</v>
      </c>
      <c r="L167">
        <f t="shared" si="82"/>
        <v>25.97856719741516</v>
      </c>
      <c r="M167">
        <f t="shared" si="84"/>
        <v>0.33143280258483898</v>
      </c>
      <c r="N167">
        <f t="shared" si="85"/>
        <v>0.10984770262924085</v>
      </c>
    </row>
    <row r="168" spans="1:14" x14ac:dyDescent="0.45">
      <c r="A168" s="23">
        <v>42185</v>
      </c>
      <c r="B168">
        <v>26.04</v>
      </c>
      <c r="C168">
        <v>25.69</v>
      </c>
      <c r="G168">
        <f t="shared" ref="G168:K168" si="122">SUMPRODUCT($B168:$B172,P$2:P$6)</f>
        <v>14.046662740128749</v>
      </c>
      <c r="H168">
        <f t="shared" si="122"/>
        <v>11.51594364039792</v>
      </c>
      <c r="I168">
        <f t="shared" si="122"/>
        <v>9.8726335935555856</v>
      </c>
      <c r="J168">
        <f t="shared" si="122"/>
        <v>8.3070029647162578</v>
      </c>
      <c r="K168">
        <f t="shared" si="122"/>
        <v>4.3062439604169347</v>
      </c>
      <c r="L168">
        <f t="shared" si="82"/>
        <v>26.068235744384793</v>
      </c>
      <c r="M168">
        <f t="shared" si="84"/>
        <v>-0.11823574438479412</v>
      </c>
      <c r="N168">
        <f t="shared" si="85"/>
        <v>1.3979691250226373E-2</v>
      </c>
    </row>
    <row r="169" spans="1:14" x14ac:dyDescent="0.45">
      <c r="A169" s="23">
        <v>42184</v>
      </c>
      <c r="B169">
        <v>26.64</v>
      </c>
      <c r="C169">
        <v>25.9</v>
      </c>
      <c r="G169">
        <f t="shared" ref="G169:K169" si="123">SUMPRODUCT($B169:$B173,P$2:P$6)</f>
        <v>14.370318434032754</v>
      </c>
      <c r="H169">
        <f t="shared" si="123"/>
        <v>11.781287820966806</v>
      </c>
      <c r="I169">
        <f t="shared" si="123"/>
        <v>10.100113308704426</v>
      </c>
      <c r="J169">
        <f t="shared" si="123"/>
        <v>8.498408530551794</v>
      </c>
      <c r="K169">
        <f t="shared" si="123"/>
        <v>4.4054660380790072</v>
      </c>
      <c r="L169">
        <f t="shared" si="82"/>
        <v>26.666025476159657</v>
      </c>
      <c r="M169">
        <f t="shared" si="84"/>
        <v>-0.62602547615965776</v>
      </c>
      <c r="N169">
        <f t="shared" si="85"/>
        <v>0.39190789680092625</v>
      </c>
    </row>
    <row r="170" spans="1:14" x14ac:dyDescent="0.45">
      <c r="A170" s="23">
        <v>42181</v>
      </c>
      <c r="B170">
        <v>26.62</v>
      </c>
      <c r="C170">
        <v>26.9</v>
      </c>
      <c r="G170">
        <f t="shared" ref="G170:K170" si="124">SUMPRODUCT($B170:$B174,P$2:P$6)</f>
        <v>14.359529923291532</v>
      </c>
      <c r="H170">
        <f t="shared" si="124"/>
        <v>11.772443036764709</v>
      </c>
      <c r="I170">
        <f t="shared" si="124"/>
        <v>10.092530692140917</v>
      </c>
      <c r="J170">
        <f t="shared" si="124"/>
        <v>8.4920283453908318</v>
      </c>
      <c r="K170">
        <f t="shared" si="124"/>
        <v>4.4021586425727772</v>
      </c>
      <c r="L170">
        <f t="shared" si="82"/>
        <v>26.646099195280257</v>
      </c>
      <c r="M170">
        <f t="shared" si="84"/>
        <v>-6.0991952802567084E-3</v>
      </c>
      <c r="N170">
        <f t="shared" si="85"/>
        <v>3.7200183066705705E-5</v>
      </c>
    </row>
    <row r="171" spans="1:14" x14ac:dyDescent="0.45">
      <c r="A171" s="23">
        <v>42180</v>
      </c>
      <c r="B171">
        <v>26.76</v>
      </c>
      <c r="C171">
        <v>26.62</v>
      </c>
      <c r="G171">
        <f t="shared" ref="G171:K171" si="125">SUMPRODUCT($B171:$B175,P$2:P$6)</f>
        <v>14.435049587206539</v>
      </c>
      <c r="H171">
        <f t="shared" si="125"/>
        <v>11.834356683120049</v>
      </c>
      <c r="I171">
        <f t="shared" si="125"/>
        <v>10.145609312989338</v>
      </c>
      <c r="J171">
        <f t="shared" si="125"/>
        <v>8.5366896508973493</v>
      </c>
      <c r="K171">
        <f t="shared" si="125"/>
        <v>4.4253104724792651</v>
      </c>
      <c r="L171">
        <f t="shared" si="82"/>
        <v>26.785583489757752</v>
      </c>
      <c r="M171">
        <f t="shared" si="84"/>
        <v>-0.16558348975775061</v>
      </c>
      <c r="N171">
        <f t="shared" si="85"/>
        <v>2.74178920803551E-2</v>
      </c>
    </row>
    <row r="172" spans="1:14" x14ac:dyDescent="0.45">
      <c r="A172" s="23">
        <v>42179</v>
      </c>
      <c r="B172">
        <v>26.81</v>
      </c>
      <c r="C172">
        <v>26.74</v>
      </c>
      <c r="G172">
        <f t="shared" ref="G172:K172" si="126">SUMPRODUCT($B172:$B176,P$2:P$6)</f>
        <v>14.462020921926667</v>
      </c>
      <c r="H172">
        <f t="shared" si="126"/>
        <v>11.856468714770768</v>
      </c>
      <c r="I172">
        <f t="shared" si="126"/>
        <v>10.164565907490259</v>
      </c>
      <c r="J172">
        <f t="shared" si="126"/>
        <v>8.5526401177008946</v>
      </c>
      <c r="K172">
        <f t="shared" si="126"/>
        <v>4.4335789730146153</v>
      </c>
      <c r="L172">
        <f t="shared" si="82"/>
        <v>26.835399299029618</v>
      </c>
      <c r="M172">
        <f t="shared" si="84"/>
        <v>-7.5399299029616174E-2</v>
      </c>
      <c r="N172">
        <f t="shared" si="85"/>
        <v>5.685054294157478E-3</v>
      </c>
    </row>
    <row r="173" spans="1:14" x14ac:dyDescent="0.45">
      <c r="A173" s="23">
        <v>42178</v>
      </c>
      <c r="B173">
        <v>26.88</v>
      </c>
      <c r="C173">
        <v>26.8</v>
      </c>
      <c r="G173">
        <f t="shared" ref="G173:K173" si="127">SUMPRODUCT($B173:$B177,P$2:P$6)</f>
        <v>14.499780726655898</v>
      </c>
      <c r="H173">
        <f t="shared" si="127"/>
        <v>11.887425529209898</v>
      </c>
      <c r="I173">
        <f t="shared" si="127"/>
        <v>10.191105304585772</v>
      </c>
      <c r="J173">
        <f t="shared" si="127"/>
        <v>8.5749707494699638</v>
      </c>
      <c r="K173">
        <f t="shared" si="127"/>
        <v>4.4451548842071782</v>
      </c>
      <c r="L173">
        <f t="shared" si="82"/>
        <v>26.905141456903468</v>
      </c>
      <c r="M173">
        <f t="shared" si="84"/>
        <v>-9.5141456903469646E-2</v>
      </c>
      <c r="N173">
        <f t="shared" si="85"/>
        <v>9.0518968217147711E-3</v>
      </c>
    </row>
    <row r="174" spans="1:14" x14ac:dyDescent="0.45">
      <c r="A174" s="23">
        <v>42177</v>
      </c>
      <c r="B174">
        <v>26.79</v>
      </c>
      <c r="C174">
        <v>26.86</v>
      </c>
      <c r="G174">
        <f t="shared" ref="G174:K174" si="128">SUMPRODUCT($B174:$B178,P$2:P$6)</f>
        <v>14.451232303529178</v>
      </c>
      <c r="H174">
        <f t="shared" si="128"/>
        <v>11.847623883766742</v>
      </c>
      <c r="I174">
        <f t="shared" si="128"/>
        <v>10.156983386294307</v>
      </c>
      <c r="J174">
        <f t="shared" si="128"/>
        <v>8.5462598997705186</v>
      </c>
      <c r="K174">
        <f t="shared" si="128"/>
        <v>4.4302715311404119</v>
      </c>
      <c r="L174">
        <f t="shared" si="82"/>
        <v>26.815472937678809</v>
      </c>
      <c r="M174">
        <f t="shared" si="84"/>
        <v>6.4527062321189987E-2</v>
      </c>
      <c r="N174">
        <f t="shared" si="85"/>
        <v>4.1637417718027366E-3</v>
      </c>
    </row>
    <row r="175" spans="1:14" x14ac:dyDescent="0.45">
      <c r="A175" s="23">
        <v>42174</v>
      </c>
      <c r="B175">
        <v>26.98</v>
      </c>
      <c r="C175">
        <v>26.67</v>
      </c>
      <c r="G175">
        <f t="shared" ref="G175:K175" si="129">SUMPRODUCT($B175:$B179,P$2:P$6)</f>
        <v>14.553723216263768</v>
      </c>
      <c r="H175">
        <f t="shared" si="129"/>
        <v>11.931649480800706</v>
      </c>
      <c r="I175">
        <f t="shared" si="129"/>
        <v>10.229018299720762</v>
      </c>
      <c r="J175">
        <f t="shared" si="129"/>
        <v>8.6068716643462775</v>
      </c>
      <c r="K175">
        <f t="shared" si="129"/>
        <v>4.4616917431004115</v>
      </c>
      <c r="L175">
        <f t="shared" si="82"/>
        <v>27.004772728192634</v>
      </c>
      <c r="M175">
        <f t="shared" si="84"/>
        <v>-0.21477272819263504</v>
      </c>
      <c r="N175">
        <f t="shared" si="85"/>
        <v>4.6127324775307489E-2</v>
      </c>
    </row>
    <row r="176" spans="1:14" x14ac:dyDescent="0.45">
      <c r="A176" s="23">
        <v>42173</v>
      </c>
      <c r="B176">
        <v>27.04</v>
      </c>
      <c r="C176">
        <v>27</v>
      </c>
      <c r="G176">
        <f t="shared" ref="G176:K176" si="130">SUMPRODUCT($B176:$B180,P$2:P$6)</f>
        <v>14.586088782371144</v>
      </c>
      <c r="H176">
        <f t="shared" si="130"/>
        <v>11.958183824704875</v>
      </c>
      <c r="I176">
        <f t="shared" si="130"/>
        <v>10.251765892086917</v>
      </c>
      <c r="J176">
        <f t="shared" si="130"/>
        <v>8.6260122219060129</v>
      </c>
      <c r="K176">
        <f t="shared" si="130"/>
        <v>4.4716138751591528</v>
      </c>
      <c r="L176">
        <f t="shared" si="82"/>
        <v>27.064551427203309</v>
      </c>
      <c r="M176">
        <f t="shared" si="84"/>
        <v>-8.4551427203308549E-2</v>
      </c>
      <c r="N176">
        <f t="shared" si="85"/>
        <v>7.1489438421163849E-3</v>
      </c>
    </row>
    <row r="177" spans="1:14" x14ac:dyDescent="0.45">
      <c r="A177" s="23">
        <v>42172</v>
      </c>
      <c r="B177">
        <v>26.54</v>
      </c>
      <c r="C177">
        <v>26.95</v>
      </c>
      <c r="G177">
        <f t="shared" ref="G177:K177" si="131">SUMPRODUCT($B177:$B181,P$2:P$6)</f>
        <v>14.316375707030408</v>
      </c>
      <c r="H177">
        <f t="shared" si="131"/>
        <v>11.737063643676763</v>
      </c>
      <c r="I177">
        <f t="shared" si="131"/>
        <v>10.062199566226329</v>
      </c>
      <c r="J177">
        <f t="shared" si="131"/>
        <v>8.4665075684978284</v>
      </c>
      <c r="K177">
        <f t="shared" si="131"/>
        <v>4.3889288604417294</v>
      </c>
      <c r="L177">
        <f t="shared" si="82"/>
        <v>26.566393373414652</v>
      </c>
      <c r="M177">
        <f t="shared" si="84"/>
        <v>0.47360662658534736</v>
      </c>
      <c r="N177">
        <f t="shared" si="85"/>
        <v>0.22430323674555264</v>
      </c>
    </row>
    <row r="178" spans="1:14" x14ac:dyDescent="0.45">
      <c r="A178" s="23">
        <v>42171</v>
      </c>
      <c r="B178">
        <v>25.93</v>
      </c>
      <c r="C178">
        <v>26.38</v>
      </c>
      <c r="G178">
        <f t="shared" ref="G178:K178" si="132">SUMPRODUCT($B178:$B182,P$2:P$6)</f>
        <v>13.987325741996031</v>
      </c>
      <c r="H178">
        <f t="shared" si="132"/>
        <v>11.467297088725839</v>
      </c>
      <c r="I178">
        <f t="shared" si="132"/>
        <v>9.8309288511199373</v>
      </c>
      <c r="J178">
        <f t="shared" si="132"/>
        <v>8.2719119092245172</v>
      </c>
      <c r="K178">
        <f t="shared" si="132"/>
        <v>4.2880531661858683</v>
      </c>
      <c r="L178">
        <f t="shared" si="82"/>
        <v>25.958640700767067</v>
      </c>
      <c r="M178">
        <f t="shared" si="84"/>
        <v>0.58135929923293261</v>
      </c>
      <c r="N178">
        <f t="shared" si="85"/>
        <v>0.33797863480460649</v>
      </c>
    </row>
    <row r="179" spans="1:14" x14ac:dyDescent="0.45">
      <c r="A179" s="23">
        <v>42170</v>
      </c>
      <c r="B179">
        <v>26.02</v>
      </c>
      <c r="C179">
        <v>25.87</v>
      </c>
      <c r="G179">
        <f t="shared" ref="G179:K179" si="133">SUMPRODUCT($B179:$B183,P$2:P$6)</f>
        <v>14.035874096682484</v>
      </c>
      <c r="H179">
        <f t="shared" si="133"/>
        <v>11.507098741510015</v>
      </c>
      <c r="I179">
        <f t="shared" si="133"/>
        <v>9.8650507365663938</v>
      </c>
      <c r="J179">
        <f t="shared" si="133"/>
        <v>8.3006227479023114</v>
      </c>
      <c r="K179">
        <f t="shared" si="133"/>
        <v>4.3029364353830752</v>
      </c>
      <c r="L179">
        <f t="shared" si="82"/>
        <v>26.048309117934146</v>
      </c>
      <c r="M179">
        <f t="shared" si="84"/>
        <v>-0.118309117934146</v>
      </c>
      <c r="N179">
        <f t="shared" si="85"/>
        <v>1.3997047386355667E-2</v>
      </c>
    </row>
    <row r="180" spans="1:14" x14ac:dyDescent="0.45">
      <c r="A180" s="23">
        <v>42167</v>
      </c>
      <c r="B180">
        <v>26.45</v>
      </c>
      <c r="C180">
        <v>26.13</v>
      </c>
      <c r="G180">
        <f t="shared" ref="G180:K180" si="134">SUMPRODUCT($B180:$B184,P$2:P$6)</f>
        <v>14.267827299012586</v>
      </c>
      <c r="H180">
        <f t="shared" si="134"/>
        <v>11.697262024913238</v>
      </c>
      <c r="I180">
        <f t="shared" si="134"/>
        <v>10.028077687452999</v>
      </c>
      <c r="J180">
        <f t="shared" si="134"/>
        <v>8.4377967222957739</v>
      </c>
      <c r="K180">
        <f t="shared" si="134"/>
        <v>4.3740455152119262</v>
      </c>
      <c r="L180">
        <f t="shared" si="82"/>
        <v>26.476724903393823</v>
      </c>
      <c r="M180">
        <f t="shared" si="84"/>
        <v>-0.45672490339382321</v>
      </c>
      <c r="N180">
        <f t="shared" si="85"/>
        <v>0.20859763738009715</v>
      </c>
    </row>
    <row r="181" spans="1:14" x14ac:dyDescent="0.45">
      <c r="A181" s="23">
        <v>42166</v>
      </c>
      <c r="B181">
        <v>26.32</v>
      </c>
      <c r="C181">
        <v>26.6</v>
      </c>
      <c r="G181">
        <f t="shared" ref="G181:K181" si="135">SUMPRODUCT($B181:$B185,P$2:P$6)</f>
        <v>14.197701837927177</v>
      </c>
      <c r="H181">
        <f t="shared" si="135"/>
        <v>11.639770732364497</v>
      </c>
      <c r="I181">
        <f t="shared" si="135"/>
        <v>9.9787903279321633</v>
      </c>
      <c r="J181">
        <f t="shared" si="135"/>
        <v>8.3963255008622788</v>
      </c>
      <c r="K181">
        <f t="shared" si="135"/>
        <v>4.3525473467777775</v>
      </c>
      <c r="L181">
        <f t="shared" si="82"/>
        <v>26.347203650931263</v>
      </c>
      <c r="M181">
        <f t="shared" si="84"/>
        <v>0.10279634906873625</v>
      </c>
      <c r="N181">
        <f t="shared" si="85"/>
        <v>1.0567089381861471E-2</v>
      </c>
    </row>
    <row r="182" spans="1:14" x14ac:dyDescent="0.45">
      <c r="A182" s="23">
        <v>42165</v>
      </c>
      <c r="B182">
        <v>26.13</v>
      </c>
      <c r="C182">
        <v>26.35</v>
      </c>
      <c r="G182">
        <f t="shared" ref="G182:K182" si="136">SUMPRODUCT($B182:$B186,P$2:P$6)</f>
        <v>14.095210834763137</v>
      </c>
      <c r="H182">
        <f t="shared" si="136"/>
        <v>11.555745026081645</v>
      </c>
      <c r="I182">
        <f t="shared" si="136"/>
        <v>9.9067549190023865</v>
      </c>
      <c r="J182">
        <f t="shared" si="136"/>
        <v>8.3357137422863179</v>
      </c>
      <c r="K182">
        <f t="shared" si="136"/>
        <v>4.3211269797029095</v>
      </c>
      <c r="L182">
        <f t="shared" si="82"/>
        <v>26.157903418786482</v>
      </c>
      <c r="M182">
        <f t="shared" si="84"/>
        <v>0.16209658121351822</v>
      </c>
      <c r="N182">
        <f t="shared" si="85"/>
        <v>2.6275301641110707E-2</v>
      </c>
    </row>
    <row r="183" spans="1:14" x14ac:dyDescent="0.45">
      <c r="A183" s="23">
        <v>42164</v>
      </c>
      <c r="B183">
        <v>25.98</v>
      </c>
      <c r="C183">
        <v>26.01</v>
      </c>
      <c r="G183">
        <f t="shared" ref="G183:K183" si="137">SUMPRODUCT($B183:$B187,P$2:P$6)</f>
        <v>14.014296922329583</v>
      </c>
      <c r="H183">
        <f t="shared" si="137"/>
        <v>11.489408948863787</v>
      </c>
      <c r="I183">
        <f t="shared" si="137"/>
        <v>9.8498847971903327</v>
      </c>
      <c r="J183">
        <f t="shared" si="137"/>
        <v>8.2878623473977981</v>
      </c>
      <c r="K183">
        <f t="shared" si="137"/>
        <v>4.2963214239180827</v>
      </c>
      <c r="L183">
        <f t="shared" si="82"/>
        <v>26.008455855729025</v>
      </c>
      <c r="M183">
        <f t="shared" si="84"/>
        <v>0.12154414427097393</v>
      </c>
      <c r="N183">
        <f t="shared" si="85"/>
        <v>1.4772979006563325E-2</v>
      </c>
    </row>
    <row r="184" spans="1:14" x14ac:dyDescent="0.45">
      <c r="A184" s="23">
        <v>42163</v>
      </c>
      <c r="B184">
        <v>25.68</v>
      </c>
      <c r="C184">
        <v>25.82</v>
      </c>
      <c r="G184">
        <f t="shared" ref="G184:K184" si="138">SUMPRODUCT($B184:$B188,P$2:P$6)</f>
        <v>13.852469067170254</v>
      </c>
      <c r="H184">
        <f t="shared" si="138"/>
        <v>11.356736841313934</v>
      </c>
      <c r="I184">
        <f t="shared" si="138"/>
        <v>9.7361450977927504</v>
      </c>
      <c r="J184">
        <f t="shared" si="138"/>
        <v>8.1921595590958933</v>
      </c>
      <c r="K184">
        <f t="shared" si="138"/>
        <v>4.2467104435849459</v>
      </c>
      <c r="L184">
        <f t="shared" si="82"/>
        <v>25.709561084150224</v>
      </c>
      <c r="M184">
        <f t="shared" si="84"/>
        <v>0.27043891584977686</v>
      </c>
      <c r="N184">
        <f t="shared" si="85"/>
        <v>7.3137207206002697E-2</v>
      </c>
    </row>
    <row r="185" spans="1:14" x14ac:dyDescent="0.45">
      <c r="A185" s="23">
        <v>42160</v>
      </c>
      <c r="B185">
        <v>25.32</v>
      </c>
      <c r="C185">
        <v>25.62</v>
      </c>
      <c r="G185">
        <f t="shared" ref="G185:K185" si="139">SUMPRODUCT($B185:$B189,P$2:P$6)</f>
        <v>13.65827568106265</v>
      </c>
      <c r="H185">
        <f t="shared" si="139"/>
        <v>11.197530374152317</v>
      </c>
      <c r="I185">
        <f t="shared" si="139"/>
        <v>9.5996573922770718</v>
      </c>
      <c r="J185">
        <f t="shared" si="139"/>
        <v>8.0773162312693199</v>
      </c>
      <c r="K185">
        <f t="shared" si="139"/>
        <v>4.1871772427155394</v>
      </c>
      <c r="L185">
        <f t="shared" si="82"/>
        <v>25.350887377836901</v>
      </c>
      <c r="M185">
        <f t="shared" si="84"/>
        <v>0.32911262216309822</v>
      </c>
      <c r="N185">
        <f t="shared" si="85"/>
        <v>0.10831511806707025</v>
      </c>
    </row>
    <row r="186" spans="1:14" x14ac:dyDescent="0.45">
      <c r="A186" s="23">
        <v>42159</v>
      </c>
      <c r="B186">
        <v>25.55</v>
      </c>
      <c r="C186">
        <v>25.35</v>
      </c>
      <c r="G186">
        <f t="shared" ref="G186:K186" si="140">SUMPRODUCT($B186:$B190,P$2:P$6)</f>
        <v>13.782343714693226</v>
      </c>
      <c r="H186">
        <f t="shared" si="140"/>
        <v>11.29924566288388</v>
      </c>
      <c r="I186">
        <f t="shared" si="140"/>
        <v>9.686857941024865</v>
      </c>
      <c r="J186">
        <f t="shared" si="140"/>
        <v>8.1506883641995778</v>
      </c>
      <c r="K186">
        <f t="shared" si="140"/>
        <v>4.2252123673274751</v>
      </c>
      <c r="L186">
        <f t="shared" si="82"/>
        <v>25.580040121576097</v>
      </c>
      <c r="M186">
        <f t="shared" si="84"/>
        <v>-0.26004012157609679</v>
      </c>
      <c r="N186">
        <f t="shared" si="85"/>
        <v>6.7620864829311206E-2</v>
      </c>
    </row>
    <row r="187" spans="1:14" x14ac:dyDescent="0.45">
      <c r="A187" s="23">
        <v>42158</v>
      </c>
      <c r="B187">
        <v>25.66</v>
      </c>
      <c r="C187">
        <v>25.66</v>
      </c>
      <c r="G187">
        <f t="shared" ref="G187:K187" si="141">SUMPRODUCT($B187:$B191,P$2:P$6)</f>
        <v>13.841680601980727</v>
      </c>
      <c r="H187">
        <f t="shared" si="141"/>
        <v>11.347892105637234</v>
      </c>
      <c r="I187">
        <f t="shared" si="141"/>
        <v>9.7285626309152544</v>
      </c>
      <c r="J187">
        <f t="shared" si="141"/>
        <v>8.185779395904488</v>
      </c>
      <c r="K187">
        <f t="shared" si="141"/>
        <v>4.2434031190964507</v>
      </c>
      <c r="L187">
        <f t="shared" si="82"/>
        <v>25.689634980826312</v>
      </c>
      <c r="M187">
        <f t="shared" si="84"/>
        <v>-0.13963498082631176</v>
      </c>
      <c r="N187">
        <f t="shared" si="85"/>
        <v>1.9497927870364452E-2</v>
      </c>
    </row>
    <row r="188" spans="1:14" x14ac:dyDescent="0.45">
      <c r="A188" s="23">
        <v>42157</v>
      </c>
      <c r="B188">
        <v>25.68</v>
      </c>
      <c r="C188">
        <v>25.58</v>
      </c>
      <c r="G188">
        <f t="shared" ref="G188:K188" si="142">SUMPRODUCT($B188:$B192,P$2:P$6)</f>
        <v>13.852469170968932</v>
      </c>
      <c r="H188">
        <f t="shared" si="142"/>
        <v>11.35673694898207</v>
      </c>
      <c r="I188">
        <f t="shared" si="142"/>
        <v>9.7361452646672078</v>
      </c>
      <c r="J188">
        <f t="shared" si="142"/>
        <v>8.1921595846123854</v>
      </c>
      <c r="K188">
        <f t="shared" si="142"/>
        <v>4.2467105234237605</v>
      </c>
      <c r="L188">
        <f t="shared" si="82"/>
        <v>25.709561342502894</v>
      </c>
      <c r="M188">
        <f t="shared" si="84"/>
        <v>-4.9561342502894234E-2</v>
      </c>
      <c r="N188">
        <f t="shared" si="85"/>
        <v>2.4563266706891904E-3</v>
      </c>
    </row>
    <row r="189" spans="1:14" x14ac:dyDescent="0.45">
      <c r="A189" s="23">
        <v>42156</v>
      </c>
      <c r="B189">
        <v>25.84</v>
      </c>
      <c r="C189">
        <v>25.8</v>
      </c>
      <c r="G189">
        <f t="shared" ref="G189:K189" si="143">SUMPRODUCT($B189:$B193,P$2:P$6)</f>
        <v>13.938777357971661</v>
      </c>
      <c r="H189">
        <f t="shared" si="143"/>
        <v>11.427495406385178</v>
      </c>
      <c r="I189">
        <f t="shared" si="143"/>
        <v>9.7968066917875554</v>
      </c>
      <c r="J189">
        <f t="shared" si="143"/>
        <v>8.2432010731079615</v>
      </c>
      <c r="K189">
        <f t="shared" si="143"/>
        <v>4.2731698023116182</v>
      </c>
      <c r="L189">
        <f t="shared" si="82"/>
        <v>25.868972062965796</v>
      </c>
      <c r="M189">
        <f t="shared" si="84"/>
        <v>-0.18897206296579583</v>
      </c>
      <c r="N189">
        <f t="shared" si="85"/>
        <v>3.5710440581548701E-2</v>
      </c>
    </row>
    <row r="190" spans="1:14" x14ac:dyDescent="0.45">
      <c r="A190" s="23">
        <v>42153</v>
      </c>
      <c r="B190">
        <v>25.77</v>
      </c>
      <c r="C190">
        <v>25.81</v>
      </c>
      <c r="G190">
        <f t="shared" ref="G190:K190" si="144">SUMPRODUCT($B190:$B194,P$2:P$6)</f>
        <v>13.901017563925793</v>
      </c>
      <c r="H190">
        <f t="shared" si="144"/>
        <v>11.396538634904068</v>
      </c>
      <c r="I190">
        <f t="shared" si="144"/>
        <v>9.7702674236341398</v>
      </c>
      <c r="J190">
        <f t="shared" si="144"/>
        <v>8.220870428481474</v>
      </c>
      <c r="K190">
        <f t="shared" si="144"/>
        <v>4.2615938987000765</v>
      </c>
      <c r="L190">
        <f t="shared" si="82"/>
        <v>25.799229997283447</v>
      </c>
      <c r="M190">
        <f t="shared" si="84"/>
        <v>4.0770002716552511E-2</v>
      </c>
      <c r="N190">
        <f t="shared" si="85"/>
        <v>1.6621931215076993E-3</v>
      </c>
    </row>
    <row r="191" spans="1:14" x14ac:dyDescent="0.45">
      <c r="A191" s="23">
        <v>42152</v>
      </c>
      <c r="B191">
        <v>26.11</v>
      </c>
      <c r="C191">
        <v>25.86</v>
      </c>
      <c r="G191">
        <f t="shared" ref="G191:K191" si="145">SUMPRODUCT($B191:$B195,P$2:P$6)</f>
        <v>14.084422417078676</v>
      </c>
      <c r="H191">
        <f t="shared" si="145"/>
        <v>11.546900325263868</v>
      </c>
      <c r="I191">
        <f t="shared" si="145"/>
        <v>9.899172644051724</v>
      </c>
      <c r="J191">
        <f t="shared" si="145"/>
        <v>8.329333565138592</v>
      </c>
      <c r="K191">
        <f t="shared" si="145"/>
        <v>4.3178197209043958</v>
      </c>
      <c r="L191">
        <f t="shared" si="82"/>
        <v>26.137977486487959</v>
      </c>
      <c r="M191">
        <f t="shared" si="84"/>
        <v>-0.36797748648795903</v>
      </c>
      <c r="N191">
        <f t="shared" si="85"/>
        <v>0.13540743056199606</v>
      </c>
    </row>
    <row r="192" spans="1:14" x14ac:dyDescent="0.45">
      <c r="A192" s="23">
        <v>42151</v>
      </c>
      <c r="B192">
        <v>26.11</v>
      </c>
      <c r="C192">
        <v>26.11</v>
      </c>
      <c r="G192">
        <f t="shared" ref="G192:K192" si="146">SUMPRODUCT($B192:$B196,P$2:P$6)</f>
        <v>14.084422373591062</v>
      </c>
      <c r="H192">
        <f t="shared" si="146"/>
        <v>11.546900304807</v>
      </c>
      <c r="I192">
        <f t="shared" si="146"/>
        <v>9.8991725833056972</v>
      </c>
      <c r="J192">
        <f t="shared" si="146"/>
        <v>8.3293335679144533</v>
      </c>
      <c r="K192">
        <f t="shared" si="146"/>
        <v>4.3178196829771922</v>
      </c>
      <c r="L192">
        <f t="shared" si="82"/>
        <v>26.137977400997897</v>
      </c>
      <c r="M192">
        <f t="shared" si="84"/>
        <v>-2.7977400997897917E-2</v>
      </c>
      <c r="N192">
        <f t="shared" si="85"/>
        <v>7.8273496659717935E-4</v>
      </c>
    </row>
    <row r="193" spans="1:14" x14ac:dyDescent="0.45">
      <c r="A193" s="23">
        <v>42150</v>
      </c>
      <c r="B193">
        <v>26.28</v>
      </c>
      <c r="C193">
        <v>26.07</v>
      </c>
      <c r="G193">
        <f t="shared" ref="G193:K193" si="147">SUMPRODUCT($B193:$B197,P$2:P$6)</f>
        <v>14.176124841559291</v>
      </c>
      <c r="H193">
        <f t="shared" si="147"/>
        <v>11.622081127040765</v>
      </c>
      <c r="I193">
        <f t="shared" si="147"/>
        <v>9.963624843339888</v>
      </c>
      <c r="J193">
        <f t="shared" si="147"/>
        <v>8.3835651606161345</v>
      </c>
      <c r="K193">
        <f t="shared" si="147"/>
        <v>4.3459325449938788</v>
      </c>
      <c r="L193">
        <f t="shared" si="82"/>
        <v>26.30735096594255</v>
      </c>
      <c r="M193">
        <f t="shared" si="84"/>
        <v>-0.19735096594255097</v>
      </c>
      <c r="N193">
        <f t="shared" si="85"/>
        <v>3.8947403758457913E-2</v>
      </c>
    </row>
    <row r="194" spans="1:14" x14ac:dyDescent="0.45">
      <c r="A194" s="23">
        <v>42146</v>
      </c>
      <c r="B194">
        <v>26.19</v>
      </c>
      <c r="C194">
        <v>26.34</v>
      </c>
      <c r="G194">
        <f t="shared" ref="G194:K194" si="148">SUMPRODUCT($B194:$B198,P$2:P$6)</f>
        <v>14.127576547342571</v>
      </c>
      <c r="H194">
        <f t="shared" si="148"/>
        <v>11.582279493091621</v>
      </c>
      <c r="I194">
        <f t="shared" si="148"/>
        <v>9.9295028820559637</v>
      </c>
      <c r="J194">
        <f t="shared" si="148"/>
        <v>8.3548543332645338</v>
      </c>
      <c r="K194">
        <f t="shared" si="148"/>
        <v>4.3310492935124456</v>
      </c>
      <c r="L194">
        <f t="shared" ref="L194:L246" si="149">(G194+$P$7)*$U$2+(H194+$Q$7)*$U$3+(I194+$R$7)*$U$4+(J194+$S$7)*$U$5+(K194+$T$7)*$U$6+$U$7</f>
        <v>26.217682570501712</v>
      </c>
      <c r="M194">
        <f t="shared" si="84"/>
        <v>6.2317429498289556E-2</v>
      </c>
      <c r="N194">
        <f t="shared" si="85"/>
        <v>3.8834620192742895E-3</v>
      </c>
    </row>
    <row r="195" spans="1:14" x14ac:dyDescent="0.45">
      <c r="A195" s="23">
        <v>42145</v>
      </c>
      <c r="B195">
        <v>25.67</v>
      </c>
      <c r="C195">
        <v>26.12</v>
      </c>
      <c r="G195">
        <f t="shared" ref="G195:K195" si="150">SUMPRODUCT($B195:$B199,P$2:P$6)</f>
        <v>13.847075003565967</v>
      </c>
      <c r="H195">
        <f t="shared" si="150"/>
        <v>11.352314609172664</v>
      </c>
      <c r="I195">
        <f t="shared" si="150"/>
        <v>9.7323542394969582</v>
      </c>
      <c r="J195">
        <f t="shared" si="150"/>
        <v>8.1889695079731659</v>
      </c>
      <c r="K195">
        <f t="shared" si="150"/>
        <v>4.2450569701380969</v>
      </c>
      <c r="L195">
        <f t="shared" si="149"/>
        <v>25.699598509391947</v>
      </c>
      <c r="M195">
        <f t="shared" ref="M195:M246" si="151">B194-L195</f>
        <v>0.49040149060805405</v>
      </c>
      <c r="N195">
        <f t="shared" ref="N195:N246" si="152">M195^2</f>
        <v>0.24049362199060131</v>
      </c>
    </row>
    <row r="196" spans="1:14" x14ac:dyDescent="0.45">
      <c r="A196" s="23">
        <v>42144</v>
      </c>
      <c r="B196">
        <v>25.65</v>
      </c>
      <c r="C196">
        <v>25.76</v>
      </c>
      <c r="G196">
        <f t="shared" ref="G196:K196" si="153">SUMPRODUCT($B196:$B200,P$2:P$6)</f>
        <v>13.836286486133931</v>
      </c>
      <c r="H196">
        <f t="shared" si="153"/>
        <v>11.343469885165238</v>
      </c>
      <c r="I196">
        <f t="shared" si="153"/>
        <v>9.724771942784006</v>
      </c>
      <c r="J196">
        <f t="shared" si="153"/>
        <v>8.1825893244627181</v>
      </c>
      <c r="K196">
        <f t="shared" si="153"/>
        <v>4.2417496349493433</v>
      </c>
      <c r="L196">
        <f t="shared" si="149"/>
        <v>25.679672452513174</v>
      </c>
      <c r="M196">
        <f t="shared" si="151"/>
        <v>-9.6724525131719474E-3</v>
      </c>
      <c r="N196">
        <f t="shared" si="152"/>
        <v>9.355633761956632E-5</v>
      </c>
    </row>
    <row r="197" spans="1:14" x14ac:dyDescent="0.45">
      <c r="A197" s="23">
        <v>42143</v>
      </c>
      <c r="B197">
        <v>26.27</v>
      </c>
      <c r="C197">
        <v>26.01</v>
      </c>
      <c r="G197">
        <f t="shared" ref="G197:K197" si="154">SUMPRODUCT($B197:$B201,P$2:P$6)</f>
        <v>14.170730722282888</v>
      </c>
      <c r="H197">
        <f t="shared" si="154"/>
        <v>11.61765890346352</v>
      </c>
      <c r="I197">
        <f t="shared" si="154"/>
        <v>9.9598341603183957</v>
      </c>
      <c r="J197">
        <f t="shared" si="154"/>
        <v>8.3803751044274168</v>
      </c>
      <c r="K197">
        <f t="shared" si="154"/>
        <v>4.3442790764192347</v>
      </c>
      <c r="L197">
        <f t="shared" si="149"/>
        <v>26.297388452804636</v>
      </c>
      <c r="M197">
        <f t="shared" si="151"/>
        <v>-0.64738845280463764</v>
      </c>
      <c r="N197">
        <f t="shared" si="152"/>
        <v>0.41911180882478255</v>
      </c>
    </row>
    <row r="198" spans="1:14" x14ac:dyDescent="0.45">
      <c r="A198" s="23">
        <v>42142</v>
      </c>
      <c r="B198">
        <v>26.85</v>
      </c>
      <c r="C198">
        <v>26.28</v>
      </c>
      <c r="G198">
        <f t="shared" ref="G198:K198" si="155">SUMPRODUCT($B198:$B202,P$2:P$6)</f>
        <v>14.483597954323065</v>
      </c>
      <c r="H198">
        <f t="shared" si="155"/>
        <v>11.874158277586462</v>
      </c>
      <c r="I198">
        <f t="shared" si="155"/>
        <v>10.179730917754572</v>
      </c>
      <c r="J198">
        <f t="shared" si="155"/>
        <v>8.5654004890557953</v>
      </c>
      <c r="K198">
        <f t="shared" si="155"/>
        <v>4.4401936994602451</v>
      </c>
      <c r="L198">
        <f t="shared" si="149"/>
        <v>26.875251717282964</v>
      </c>
      <c r="M198">
        <f t="shared" si="151"/>
        <v>-0.60525171728296456</v>
      </c>
      <c r="N198">
        <f t="shared" si="152"/>
        <v>0.36632964127397766</v>
      </c>
    </row>
    <row r="199" spans="1:14" x14ac:dyDescent="0.45">
      <c r="A199" s="23">
        <v>42139</v>
      </c>
      <c r="B199">
        <v>26.7</v>
      </c>
      <c r="C199">
        <v>26.95</v>
      </c>
      <c r="G199">
        <f t="shared" ref="G199:K199" si="156">SUMPRODUCT($B199:$B203,P$2:P$6)</f>
        <v>14.4026840331148</v>
      </c>
      <c r="H199">
        <f t="shared" si="156"/>
        <v>11.807822237580513</v>
      </c>
      <c r="I199">
        <f t="shared" si="156"/>
        <v>10.122861338454893</v>
      </c>
      <c r="J199">
        <f t="shared" si="156"/>
        <v>8.517549086504868</v>
      </c>
      <c r="K199">
        <f t="shared" si="156"/>
        <v>4.4153882914253808</v>
      </c>
      <c r="L199">
        <f t="shared" si="149"/>
        <v>26.725804518910373</v>
      </c>
      <c r="M199">
        <f t="shared" si="151"/>
        <v>0.12419548108962886</v>
      </c>
      <c r="N199">
        <f t="shared" si="152"/>
        <v>1.5424517523084359E-2</v>
      </c>
    </row>
    <row r="200" spans="1:14" x14ac:dyDescent="0.45">
      <c r="A200" s="23">
        <v>42138</v>
      </c>
      <c r="B200">
        <v>26.29</v>
      </c>
      <c r="C200">
        <v>26.73</v>
      </c>
      <c r="G200">
        <f t="shared" ref="G200:K200" si="157">SUMPRODUCT($B200:$B204,P$2:P$6)</f>
        <v>14.181519335809901</v>
      </c>
      <c r="H200">
        <f t="shared" si="157"/>
        <v>11.626503793567501</v>
      </c>
      <c r="I200">
        <f t="shared" si="157"/>
        <v>9.9674171408545682</v>
      </c>
      <c r="J200">
        <f t="shared" si="157"/>
        <v>8.3867552961271183</v>
      </c>
      <c r="K200">
        <f t="shared" si="157"/>
        <v>4.3475866047988552</v>
      </c>
      <c r="L200">
        <f t="shared" si="149"/>
        <v>26.31731510863213</v>
      </c>
      <c r="M200">
        <f t="shared" si="151"/>
        <v>0.38268489136786954</v>
      </c>
      <c r="N200">
        <f t="shared" si="152"/>
        <v>0.1464477260812381</v>
      </c>
    </row>
    <row r="201" spans="1:14" x14ac:dyDescent="0.45">
      <c r="A201" s="23">
        <v>42137</v>
      </c>
      <c r="B201">
        <v>26.88</v>
      </c>
      <c r="C201">
        <v>26.17</v>
      </c>
      <c r="G201">
        <f t="shared" ref="G201:K201" si="158">SUMPRODUCT($B201:$B205,P$2:P$6)</f>
        <v>14.499780782205407</v>
      </c>
      <c r="H201">
        <f t="shared" si="158"/>
        <v>11.887425591053924</v>
      </c>
      <c r="I201">
        <f t="shared" si="158"/>
        <v>10.191105382060181</v>
      </c>
      <c r="J201">
        <f t="shared" si="158"/>
        <v>8.5749707774839496</v>
      </c>
      <c r="K201">
        <f t="shared" si="158"/>
        <v>4.4451549325051429</v>
      </c>
      <c r="L201">
        <f t="shared" si="149"/>
        <v>26.90514160193333</v>
      </c>
      <c r="M201">
        <f t="shared" si="151"/>
        <v>-0.61514160193333112</v>
      </c>
      <c r="N201">
        <f t="shared" si="152"/>
        <v>0.3783991904291048</v>
      </c>
    </row>
    <row r="202" spans="1:14" x14ac:dyDescent="0.45">
      <c r="A202" s="23">
        <v>42136</v>
      </c>
      <c r="B202">
        <v>27.22</v>
      </c>
      <c r="C202">
        <v>26.88</v>
      </c>
      <c r="G202">
        <f t="shared" ref="G202:K202" si="159">SUMPRODUCT($B202:$B206,P$2:P$6)</f>
        <v>14.683185698160317</v>
      </c>
      <c r="H202">
        <f t="shared" si="159"/>
        <v>12.037787284754289</v>
      </c>
      <c r="I202">
        <f t="shared" si="159"/>
        <v>10.320010464845765</v>
      </c>
      <c r="J202">
        <f t="shared" si="159"/>
        <v>8.6834339425990876</v>
      </c>
      <c r="K202">
        <f t="shared" si="159"/>
        <v>4.5013807808378195</v>
      </c>
      <c r="L202">
        <f t="shared" si="149"/>
        <v>27.243889087847741</v>
      </c>
      <c r="M202">
        <f t="shared" si="151"/>
        <v>-0.36388908784774188</v>
      </c>
      <c r="N202">
        <f t="shared" si="152"/>
        <v>0.1324152682546616</v>
      </c>
    </row>
    <row r="203" spans="1:14" x14ac:dyDescent="0.45">
      <c r="A203" s="23">
        <v>42135</v>
      </c>
      <c r="B203">
        <v>27.08</v>
      </c>
      <c r="C203">
        <v>27.4</v>
      </c>
      <c r="G203">
        <f t="shared" ref="G203:K203" si="160">SUMPRODUCT($B203:$B207,P$2:P$6)</f>
        <v>14.607666098885931</v>
      </c>
      <c r="H203">
        <f t="shared" si="160"/>
        <v>11.975873680245234</v>
      </c>
      <c r="I203">
        <f t="shared" si="160"/>
        <v>10.266931959642239</v>
      </c>
      <c r="J203">
        <f t="shared" si="160"/>
        <v>8.6387726524460344</v>
      </c>
      <c r="K203">
        <f t="shared" si="160"/>
        <v>4.4782290248856391</v>
      </c>
      <c r="L203">
        <f t="shared" si="149"/>
        <v>27.104404959043922</v>
      </c>
      <c r="M203">
        <f t="shared" si="151"/>
        <v>0.11559504095607664</v>
      </c>
      <c r="N203">
        <f t="shared" si="152"/>
        <v>1.3362213493637037E-2</v>
      </c>
    </row>
    <row r="204" spans="1:14" x14ac:dyDescent="0.45">
      <c r="A204" s="23">
        <v>42132</v>
      </c>
      <c r="B204">
        <v>27.01</v>
      </c>
      <c r="C204">
        <v>27.14</v>
      </c>
      <c r="G204">
        <f t="shared" ref="G204:K204" si="161">SUMPRODUCT($B204:$B208,P$2:P$6)</f>
        <v>14.569906313979891</v>
      </c>
      <c r="H204">
        <f t="shared" si="161"/>
        <v>11.944916918947131</v>
      </c>
      <c r="I204">
        <f t="shared" si="161"/>
        <v>10.240392964905606</v>
      </c>
      <c r="J204">
        <f t="shared" si="161"/>
        <v>8.6164420118761225</v>
      </c>
      <c r="K204">
        <f t="shared" si="161"/>
        <v>4.46665322113477</v>
      </c>
      <c r="L204">
        <f t="shared" si="149"/>
        <v>27.034663097857763</v>
      </c>
      <c r="M204">
        <f t="shared" si="151"/>
        <v>4.5336902142235402E-2</v>
      </c>
      <c r="N204">
        <f t="shared" si="152"/>
        <v>2.0554346958546292E-3</v>
      </c>
    </row>
    <row r="205" spans="1:14" x14ac:dyDescent="0.45">
      <c r="A205" s="23">
        <v>42131</v>
      </c>
      <c r="B205">
        <v>27.12</v>
      </c>
      <c r="C205">
        <v>26.83</v>
      </c>
      <c r="G205">
        <f t="shared" ref="G205:K205" si="162">SUMPRODUCT($B205:$B209,P$2:P$6)</f>
        <v>14.629243243642804</v>
      </c>
      <c r="H205">
        <f t="shared" si="162"/>
        <v>11.993563432126914</v>
      </c>
      <c r="I205">
        <f t="shared" si="162"/>
        <v>10.282097759875919</v>
      </c>
      <c r="J205">
        <f t="shared" si="162"/>
        <v>8.6515330464394857</v>
      </c>
      <c r="K205">
        <f t="shared" si="162"/>
        <v>4.4848439900389518</v>
      </c>
      <c r="L205">
        <f t="shared" si="149"/>
        <v>27.144258083586696</v>
      </c>
      <c r="M205">
        <f t="shared" si="151"/>
        <v>-0.134258083586694</v>
      </c>
      <c r="N205">
        <f t="shared" si="152"/>
        <v>1.8025233008371711E-2</v>
      </c>
    </row>
    <row r="206" spans="1:14" x14ac:dyDescent="0.45">
      <c r="A206" s="23">
        <v>42130</v>
      </c>
      <c r="B206">
        <v>27.61</v>
      </c>
      <c r="C206">
        <v>27.2</v>
      </c>
      <c r="G206">
        <f t="shared" ref="G206:K206" si="163">SUMPRODUCT($B206:$B210,P$2:P$6)</f>
        <v>14.893562090902943</v>
      </c>
      <c r="H206">
        <f t="shared" si="163"/>
        <v>12.210261221402648</v>
      </c>
      <c r="I206">
        <f t="shared" si="163"/>
        <v>10.467872898116378</v>
      </c>
      <c r="J206">
        <f t="shared" si="163"/>
        <v>8.8078476008949025</v>
      </c>
      <c r="K206">
        <f t="shared" si="163"/>
        <v>4.5658753660038869</v>
      </c>
      <c r="L206">
        <f t="shared" si="149"/>
        <v>27.6324531018779</v>
      </c>
      <c r="M206">
        <f t="shared" si="151"/>
        <v>-0.51245310187789883</v>
      </c>
      <c r="N206">
        <f t="shared" si="152"/>
        <v>0.26260818162428018</v>
      </c>
    </row>
    <row r="207" spans="1:14" x14ac:dyDescent="0.45">
      <c r="A207" s="23">
        <v>42129</v>
      </c>
      <c r="B207">
        <v>27.9</v>
      </c>
      <c r="C207">
        <v>27.62</v>
      </c>
      <c r="G207">
        <f t="shared" ref="G207:K207" si="164">SUMPRODUCT($B207:$B211,P$2:P$6)</f>
        <v>15.049995705016135</v>
      </c>
      <c r="H207">
        <f t="shared" si="164"/>
        <v>12.338510937902479</v>
      </c>
      <c r="I207">
        <f t="shared" si="164"/>
        <v>10.577821457076219</v>
      </c>
      <c r="J207">
        <f t="shared" si="164"/>
        <v>8.9003602989163539</v>
      </c>
      <c r="K207">
        <f t="shared" si="164"/>
        <v>4.6138327210964629</v>
      </c>
      <c r="L207">
        <f t="shared" si="149"/>
        <v>27.921384866550561</v>
      </c>
      <c r="M207">
        <f t="shared" si="151"/>
        <v>-0.31138486655056141</v>
      </c>
      <c r="N207">
        <f t="shared" si="152"/>
        <v>9.6960535116710933E-2</v>
      </c>
    </row>
    <row r="208" spans="1:14" x14ac:dyDescent="0.45">
      <c r="A208" s="23">
        <v>42128</v>
      </c>
      <c r="B208">
        <v>28.05</v>
      </c>
      <c r="C208">
        <v>27.84</v>
      </c>
      <c r="G208">
        <f t="shared" ref="G208:K208" si="165">SUMPRODUCT($B208:$B212,P$2:P$6)</f>
        <v>15.130909658696199</v>
      </c>
      <c r="H208">
        <f t="shared" si="165"/>
        <v>12.404847012549725</v>
      </c>
      <c r="I208">
        <f t="shared" si="165"/>
        <v>10.6346914507844</v>
      </c>
      <c r="J208">
        <f t="shared" si="165"/>
        <v>8.9482116971234635</v>
      </c>
      <c r="K208">
        <f t="shared" si="165"/>
        <v>4.6386382704127493</v>
      </c>
      <c r="L208">
        <f t="shared" si="149"/>
        <v>28.070832385156613</v>
      </c>
      <c r="M208">
        <f t="shared" si="151"/>
        <v>-0.17083238515661492</v>
      </c>
      <c r="N208">
        <f t="shared" si="152"/>
        <v>2.9183703818298025E-2</v>
      </c>
    </row>
    <row r="209" spans="1:14" x14ac:dyDescent="0.45">
      <c r="A209" s="23">
        <v>42125</v>
      </c>
      <c r="B209">
        <v>28.15</v>
      </c>
      <c r="C209">
        <v>28.02</v>
      </c>
      <c r="G209">
        <f t="shared" ref="G209:K209" si="166">SUMPRODUCT($B209:$B213,P$2:P$6)</f>
        <v>15.184852381118072</v>
      </c>
      <c r="H209">
        <f t="shared" si="166"/>
        <v>12.44907110286486</v>
      </c>
      <c r="I209">
        <f t="shared" si="166"/>
        <v>10.672604832023421</v>
      </c>
      <c r="J209">
        <f t="shared" si="166"/>
        <v>8.9801126798820601</v>
      </c>
      <c r="K209">
        <f t="shared" si="166"/>
        <v>4.6551754062505699</v>
      </c>
      <c r="L209">
        <f t="shared" si="149"/>
        <v>28.170464243391521</v>
      </c>
      <c r="M209">
        <f t="shared" si="151"/>
        <v>-0.1204642433915204</v>
      </c>
      <c r="N209">
        <f t="shared" si="152"/>
        <v>1.4511633935891466E-2</v>
      </c>
    </row>
    <row r="210" spans="1:14" x14ac:dyDescent="0.45">
      <c r="A210" s="23">
        <v>42124</v>
      </c>
      <c r="B210">
        <v>28.28</v>
      </c>
      <c r="C210">
        <v>28.16</v>
      </c>
      <c r="G210">
        <f t="shared" ref="G210:K210" si="167">SUMPRODUCT($B210:$B214,P$2:P$6)</f>
        <v>15.254977946760059</v>
      </c>
      <c r="H210">
        <f t="shared" si="167"/>
        <v>12.506562472041045</v>
      </c>
      <c r="I210">
        <f t="shared" si="167"/>
        <v>10.721892235836064</v>
      </c>
      <c r="J210">
        <f t="shared" si="167"/>
        <v>9.0215838801936314</v>
      </c>
      <c r="K210">
        <f t="shared" si="167"/>
        <v>4.6766735940952664</v>
      </c>
      <c r="L210">
        <f t="shared" si="149"/>
        <v>28.299985619126357</v>
      </c>
      <c r="M210">
        <f t="shared" si="151"/>
        <v>-0.14998561912635822</v>
      </c>
      <c r="N210">
        <f t="shared" si="152"/>
        <v>2.249568594471699E-2</v>
      </c>
    </row>
    <row r="211" spans="1:14" x14ac:dyDescent="0.45">
      <c r="A211" s="23">
        <v>42123</v>
      </c>
      <c r="B211">
        <v>28.45</v>
      </c>
      <c r="C211">
        <v>28.43</v>
      </c>
      <c r="G211">
        <f t="shared" ref="G211:K211" si="168">SUMPRODUCT($B211:$B215,P$2:P$6)</f>
        <v>15.346680290219341</v>
      </c>
      <c r="H211">
        <f t="shared" si="168"/>
        <v>12.581743371001313</v>
      </c>
      <c r="I211">
        <f t="shared" si="168"/>
        <v>10.786345735963426</v>
      </c>
      <c r="J211">
        <f t="shared" si="168"/>
        <v>9.0758154137854596</v>
      </c>
      <c r="K211">
        <f t="shared" si="168"/>
        <v>4.7047866767669433</v>
      </c>
      <c r="L211">
        <f t="shared" si="149"/>
        <v>28.469359869527487</v>
      </c>
      <c r="M211">
        <f t="shared" si="151"/>
        <v>-0.18935986952748607</v>
      </c>
      <c r="N211">
        <f t="shared" si="152"/>
        <v>3.5857160187466548E-2</v>
      </c>
    </row>
    <row r="212" spans="1:14" x14ac:dyDescent="0.45">
      <c r="A212" s="23">
        <v>42122</v>
      </c>
      <c r="B212">
        <v>28.6</v>
      </c>
      <c r="C212">
        <v>28.62</v>
      </c>
      <c r="G212">
        <f t="shared" ref="G212:K212" si="169">SUMPRODUCT($B212:$B216,P$2:P$6)</f>
        <v>15.427594104193339</v>
      </c>
      <c r="H212">
        <f t="shared" si="169"/>
        <v>12.648079460654801</v>
      </c>
      <c r="I212">
        <f t="shared" si="169"/>
        <v>10.843215505532111</v>
      </c>
      <c r="J212">
        <f t="shared" si="169"/>
        <v>9.123666805817324</v>
      </c>
      <c r="K212">
        <f t="shared" si="169"/>
        <v>4.7295920141832886</v>
      </c>
      <c r="L212">
        <f t="shared" si="149"/>
        <v>28.618807087117361</v>
      </c>
      <c r="M212">
        <f t="shared" si="151"/>
        <v>-0.16880708711736148</v>
      </c>
      <c r="N212">
        <f t="shared" si="152"/>
        <v>2.8495832661048468E-2</v>
      </c>
    </row>
    <row r="213" spans="1:14" x14ac:dyDescent="0.45">
      <c r="A213" s="23">
        <v>42121</v>
      </c>
      <c r="B213">
        <v>30.24</v>
      </c>
      <c r="C213">
        <v>28.8</v>
      </c>
      <c r="G213">
        <f t="shared" ref="G213:K213" si="170">SUMPRODUCT($B213:$B217,P$2:P$6)</f>
        <v>16.312252821438051</v>
      </c>
      <c r="H213">
        <f t="shared" si="170"/>
        <v>13.37335333693448</v>
      </c>
      <c r="I213">
        <f t="shared" si="170"/>
        <v>11.464992211838704</v>
      </c>
      <c r="J213">
        <f t="shared" si="170"/>
        <v>9.6468419832994279</v>
      </c>
      <c r="K213">
        <f t="shared" si="170"/>
        <v>5.0007986047764366</v>
      </c>
      <c r="L213">
        <f t="shared" si="149"/>
        <v>30.252764624684815</v>
      </c>
      <c r="M213">
        <f t="shared" si="151"/>
        <v>-1.6527646246848136</v>
      </c>
      <c r="N213">
        <f t="shared" si="152"/>
        <v>2.7316309046095326</v>
      </c>
    </row>
    <row r="214" spans="1:14" x14ac:dyDescent="0.45">
      <c r="A214" s="23">
        <v>42118</v>
      </c>
      <c r="B214">
        <v>29.95</v>
      </c>
      <c r="C214">
        <v>30.2</v>
      </c>
      <c r="G214">
        <f t="shared" ref="G214:K214" si="171">SUMPRODUCT($B214:$B218,P$2:P$6)</f>
        <v>16.15581907544555</v>
      </c>
      <c r="H214">
        <f t="shared" si="171"/>
        <v>13.245103383379861</v>
      </c>
      <c r="I214">
        <f t="shared" si="171"/>
        <v>11.355043021776964</v>
      </c>
      <c r="J214">
        <f t="shared" si="171"/>
        <v>9.5543292604775605</v>
      </c>
      <c r="K214">
        <f t="shared" si="171"/>
        <v>4.9528410884908736</v>
      </c>
      <c r="L214">
        <f t="shared" si="149"/>
        <v>29.963832236942022</v>
      </c>
      <c r="M214">
        <f t="shared" si="151"/>
        <v>0.27616776305797686</v>
      </c>
      <c r="N214">
        <f t="shared" si="152"/>
        <v>7.6268633352446852E-2</v>
      </c>
    </row>
    <row r="215" spans="1:14" x14ac:dyDescent="0.45">
      <c r="A215" s="23">
        <v>42117</v>
      </c>
      <c r="B215">
        <v>28.36</v>
      </c>
      <c r="C215">
        <v>28.92</v>
      </c>
      <c r="G215">
        <f t="shared" ref="G215:K215" si="172">SUMPRODUCT($B215:$B219,P$2:P$6)</f>
        <v>15.29813145632394</v>
      </c>
      <c r="H215">
        <f t="shared" si="172"/>
        <v>12.541941191147648</v>
      </c>
      <c r="I215">
        <f t="shared" si="172"/>
        <v>10.752221599255781</v>
      </c>
      <c r="J215">
        <f t="shared" si="172"/>
        <v>9.0471044985428151</v>
      </c>
      <c r="K215">
        <f t="shared" si="172"/>
        <v>4.6899025763265598</v>
      </c>
      <c r="L215">
        <f t="shared" si="149"/>
        <v>28.37968926862035</v>
      </c>
      <c r="M215">
        <f t="shared" si="151"/>
        <v>1.5703107313796494</v>
      </c>
      <c r="N215">
        <f t="shared" si="152"/>
        <v>2.4658757930860893</v>
      </c>
    </row>
    <row r="216" spans="1:14" x14ac:dyDescent="0.45">
      <c r="A216" s="23">
        <v>42116</v>
      </c>
      <c r="B216">
        <v>27.31</v>
      </c>
      <c r="C216">
        <v>28.36</v>
      </c>
      <c r="G216">
        <f t="shared" ref="G216:K216" si="173">SUMPRODUCT($B216:$B220,P$2:P$6)</f>
        <v>14.731733925949099</v>
      </c>
      <c r="H216">
        <f t="shared" si="173"/>
        <v>12.077588821409261</v>
      </c>
      <c r="I216">
        <f t="shared" si="173"/>
        <v>10.354132279178323</v>
      </c>
      <c r="J216">
        <f t="shared" si="173"/>
        <v>8.7121447132478451</v>
      </c>
      <c r="K216">
        <f t="shared" si="173"/>
        <v>4.5162639530043354</v>
      </c>
      <c r="L216">
        <f t="shared" si="149"/>
        <v>27.333557246034008</v>
      </c>
      <c r="M216">
        <f t="shared" si="151"/>
        <v>1.0264427539659913</v>
      </c>
      <c r="N216">
        <f t="shared" si="152"/>
        <v>1.0535847271692884</v>
      </c>
    </row>
    <row r="217" spans="1:14" x14ac:dyDescent="0.45">
      <c r="A217" s="23">
        <v>42115</v>
      </c>
      <c r="B217">
        <v>26.71</v>
      </c>
      <c r="C217">
        <v>27.22</v>
      </c>
      <c r="G217">
        <f t="shared" ref="G217:K217" si="174">SUMPRODUCT($B217:$B221,P$2:P$6)</f>
        <v>14.40807806584888</v>
      </c>
      <c r="H217">
        <f t="shared" si="174"/>
        <v>11.812244573713848</v>
      </c>
      <c r="I217">
        <f t="shared" si="174"/>
        <v>10.126652720681106</v>
      </c>
      <c r="J217">
        <f t="shared" si="174"/>
        <v>8.520739113354189</v>
      </c>
      <c r="K217">
        <f t="shared" si="174"/>
        <v>4.4170418181325415</v>
      </c>
      <c r="L217">
        <f t="shared" si="149"/>
        <v>26.735767413871415</v>
      </c>
      <c r="M217">
        <f t="shared" si="151"/>
        <v>0.57423258612858419</v>
      </c>
      <c r="N217">
        <f t="shared" si="152"/>
        <v>0.32974306297192185</v>
      </c>
    </row>
    <row r="218" spans="1:14" x14ac:dyDescent="0.45">
      <c r="A218" s="23">
        <v>42114</v>
      </c>
      <c r="B218">
        <v>26.82</v>
      </c>
      <c r="C218">
        <v>27.22</v>
      </c>
      <c r="G218">
        <f t="shared" ref="G218:K218" si="175">SUMPRODUCT($B218:$B222,P$2:P$6)</f>
        <v>14.467414807017919</v>
      </c>
      <c r="H218">
        <f t="shared" si="175"/>
        <v>11.860890881148547</v>
      </c>
      <c r="I218">
        <f t="shared" si="175"/>
        <v>10.168356635036702</v>
      </c>
      <c r="J218">
        <f t="shared" si="175"/>
        <v>8.5558301218372144</v>
      </c>
      <c r="K218">
        <f t="shared" si="175"/>
        <v>4.4352322642406339</v>
      </c>
      <c r="L218">
        <f t="shared" si="149"/>
        <v>26.845361548306592</v>
      </c>
      <c r="M218">
        <f t="shared" si="151"/>
        <v>-0.13536154830659086</v>
      </c>
      <c r="N218">
        <f t="shared" si="152"/>
        <v>1.8322748759957531E-2</v>
      </c>
    </row>
    <row r="219" spans="1:14" x14ac:dyDescent="0.45">
      <c r="A219" s="23">
        <v>42111</v>
      </c>
      <c r="B219">
        <v>27.01</v>
      </c>
      <c r="C219">
        <v>26.74</v>
      </c>
      <c r="G219">
        <f t="shared" ref="G219:K219" si="176">SUMPRODUCT($B219:$B223,P$2:P$6)</f>
        <v>14.569905658879151</v>
      </c>
      <c r="H219">
        <f t="shared" si="176"/>
        <v>11.944916319913336</v>
      </c>
      <c r="I219">
        <f t="shared" si="176"/>
        <v>10.240391078539332</v>
      </c>
      <c r="J219">
        <f t="shared" si="176"/>
        <v>8.6164418569000549</v>
      </c>
      <c r="K219">
        <f t="shared" si="176"/>
        <v>4.4666523617076912</v>
      </c>
      <c r="L219">
        <f t="shared" si="149"/>
        <v>27.034660903327403</v>
      </c>
      <c r="M219">
        <f t="shared" si="151"/>
        <v>-0.21466090332740251</v>
      </c>
      <c r="N219">
        <f t="shared" si="152"/>
        <v>4.6079303417336445E-2</v>
      </c>
    </row>
    <row r="220" spans="1:14" x14ac:dyDescent="0.45">
      <c r="A220" s="23">
        <v>42110</v>
      </c>
      <c r="B220">
        <v>25.87</v>
      </c>
      <c r="C220">
        <v>25.27</v>
      </c>
      <c r="G220">
        <f t="shared" ref="G220:K220" si="177">SUMPRODUCT($B220:$B224,P$2:P$6)</f>
        <v>13.954959774992114</v>
      </c>
      <c r="H220">
        <f t="shared" si="177"/>
        <v>11.440762237885352</v>
      </c>
      <c r="I220">
        <f t="shared" si="177"/>
        <v>9.8081794907623561</v>
      </c>
      <c r="J220">
        <f t="shared" si="177"/>
        <v>8.2527712580418271</v>
      </c>
      <c r="K220">
        <f t="shared" si="177"/>
        <v>4.2781304062912211</v>
      </c>
      <c r="L220">
        <f t="shared" si="149"/>
        <v>25.898860217785401</v>
      </c>
      <c r="M220">
        <f t="shared" si="151"/>
        <v>1.1111397822146003</v>
      </c>
      <c r="N220">
        <f t="shared" si="152"/>
        <v>1.2346316156199093</v>
      </c>
    </row>
    <row r="221" spans="1:14" x14ac:dyDescent="0.45">
      <c r="A221" s="23">
        <v>42109</v>
      </c>
      <c r="B221">
        <v>24.64</v>
      </c>
      <c r="C221">
        <v>25.37</v>
      </c>
      <c r="G221">
        <f t="shared" ref="G221:K221" si="178">SUMPRODUCT($B221:$B225,P$2:P$6)</f>
        <v>13.291465573938163</v>
      </c>
      <c r="H221">
        <f t="shared" si="178"/>
        <v>10.896806637959486</v>
      </c>
      <c r="I221">
        <f t="shared" si="178"/>
        <v>9.3418462439075967</v>
      </c>
      <c r="J221">
        <f t="shared" si="178"/>
        <v>7.8603898340864093</v>
      </c>
      <c r="K221">
        <f t="shared" si="178"/>
        <v>4.0747251950945182</v>
      </c>
      <c r="L221">
        <f t="shared" si="149"/>
        <v>24.673391339033195</v>
      </c>
      <c r="M221">
        <f t="shared" si="151"/>
        <v>1.1966086609668061</v>
      </c>
      <c r="N221">
        <f t="shared" si="152"/>
        <v>1.4318722875007726</v>
      </c>
    </row>
    <row r="222" spans="1:14" x14ac:dyDescent="0.45">
      <c r="A222" s="23">
        <v>42108</v>
      </c>
      <c r="B222">
        <v>24.25</v>
      </c>
      <c r="C222">
        <v>24.56</v>
      </c>
      <c r="G222">
        <f t="shared" ref="G222:K222" si="179">SUMPRODUCT($B222:$B226,P$2:P$6)</f>
        <v>13.081089344150897</v>
      </c>
      <c r="H222">
        <f t="shared" si="179"/>
        <v>10.724332908029048</v>
      </c>
      <c r="I222">
        <f t="shared" si="179"/>
        <v>9.1939844670794972</v>
      </c>
      <c r="J222">
        <f t="shared" si="179"/>
        <v>7.7359762166412729</v>
      </c>
      <c r="K222">
        <f t="shared" si="179"/>
        <v>4.0102308451060695</v>
      </c>
      <c r="L222">
        <f t="shared" si="149"/>
        <v>24.284828009807626</v>
      </c>
      <c r="M222">
        <f t="shared" si="151"/>
        <v>0.35517199019237466</v>
      </c>
      <c r="N222">
        <f t="shared" si="152"/>
        <v>0.12614714261721227</v>
      </c>
    </row>
    <row r="223" spans="1:14" x14ac:dyDescent="0.45">
      <c r="A223" s="23">
        <v>42107</v>
      </c>
      <c r="B223">
        <v>24.29</v>
      </c>
      <c r="C223">
        <v>24.31</v>
      </c>
      <c r="G223">
        <f t="shared" ref="G223:K223" si="180">SUMPRODUCT($B223:$B227,P$2:P$6)</f>
        <v>13.102666384034533</v>
      </c>
      <c r="H223">
        <f t="shared" si="180"/>
        <v>10.742022498911361</v>
      </c>
      <c r="I223">
        <f t="shared" si="180"/>
        <v>9.2091495901927516</v>
      </c>
      <c r="J223">
        <f t="shared" si="180"/>
        <v>7.7487365870735996</v>
      </c>
      <c r="K223">
        <f t="shared" si="180"/>
        <v>4.0168455939447023</v>
      </c>
      <c r="L223">
        <f t="shared" si="149"/>
        <v>24.324680516249696</v>
      </c>
      <c r="M223">
        <f t="shared" si="151"/>
        <v>-7.4680516249696183E-2</v>
      </c>
      <c r="N223">
        <f t="shared" si="152"/>
        <v>5.5771795073211354E-3</v>
      </c>
    </row>
    <row r="224" spans="1:14" x14ac:dyDescent="0.45">
      <c r="A224" s="23">
        <v>42104</v>
      </c>
      <c r="B224">
        <v>24.28</v>
      </c>
      <c r="C224">
        <v>24.23</v>
      </c>
      <c r="G224">
        <f t="shared" ref="G224:K224" si="181">SUMPRODUCT($B224:$B228,P$2:P$6)</f>
        <v>13.097272063753914</v>
      </c>
      <c r="H224">
        <f t="shared" si="181"/>
        <v>10.737600044696164</v>
      </c>
      <c r="I224">
        <f t="shared" si="181"/>
        <v>9.2053582134812597</v>
      </c>
      <c r="J224">
        <f t="shared" si="181"/>
        <v>7.7455464627680186</v>
      </c>
      <c r="K224">
        <f t="shared" si="181"/>
        <v>4.0151918402347997</v>
      </c>
      <c r="L224">
        <f t="shared" si="149"/>
        <v>24.314717223860292</v>
      </c>
      <c r="M224">
        <f t="shared" si="151"/>
        <v>-2.4717223860292847E-2</v>
      </c>
      <c r="N224">
        <f t="shared" si="152"/>
        <v>6.1094115535983008E-4</v>
      </c>
    </row>
    <row r="225" spans="1:14" x14ac:dyDescent="0.45">
      <c r="A225" s="23">
        <v>42103</v>
      </c>
      <c r="B225">
        <v>23.96</v>
      </c>
      <c r="C225">
        <v>24.27</v>
      </c>
      <c r="G225">
        <f t="shared" ref="G225:K225" si="182">SUMPRODUCT($B225:$B229,P$2:P$6)</f>
        <v>12.924655607024908</v>
      </c>
      <c r="H225">
        <f t="shared" si="182"/>
        <v>10.596083093358644</v>
      </c>
      <c r="I225">
        <f t="shared" si="182"/>
        <v>9.0840357243649823</v>
      </c>
      <c r="J225">
        <f t="shared" si="182"/>
        <v>7.6434634901148595</v>
      </c>
      <c r="K225">
        <f t="shared" si="182"/>
        <v>3.9622733779405914</v>
      </c>
      <c r="L225">
        <f t="shared" si="149"/>
        <v>23.995895953745965</v>
      </c>
      <c r="M225">
        <f t="shared" si="151"/>
        <v>0.28410404625403629</v>
      </c>
      <c r="N225">
        <f t="shared" si="152"/>
        <v>8.0715109097915586E-2</v>
      </c>
    </row>
    <row r="226" spans="1:14" x14ac:dyDescent="0.45">
      <c r="A226" s="23">
        <v>42102</v>
      </c>
      <c r="B226">
        <v>23.9</v>
      </c>
      <c r="C226">
        <v>23.94</v>
      </c>
      <c r="G226">
        <f t="shared" ref="G226:K226" si="183">SUMPRODUCT($B226:$B230,P$2:P$6)</f>
        <v>12.892290017565893</v>
      </c>
      <c r="H226">
        <f t="shared" si="183"/>
        <v>10.569548628968191</v>
      </c>
      <c r="I226">
        <f t="shared" si="183"/>
        <v>9.0612873164299685</v>
      </c>
      <c r="J226">
        <f t="shared" si="183"/>
        <v>7.6243229266082961</v>
      </c>
      <c r="K226">
        <f t="shared" si="183"/>
        <v>3.9523510304277099</v>
      </c>
      <c r="L226">
        <f t="shared" si="149"/>
        <v>23.936116644819823</v>
      </c>
      <c r="M226">
        <f t="shared" si="151"/>
        <v>2.3883355180178256E-2</v>
      </c>
      <c r="N226">
        <f t="shared" si="152"/>
        <v>5.7041465466254758E-4</v>
      </c>
    </row>
    <row r="227" spans="1:14" x14ac:dyDescent="0.45">
      <c r="A227" s="23">
        <v>42101</v>
      </c>
      <c r="B227">
        <v>23.92</v>
      </c>
      <c r="C227">
        <v>23.9</v>
      </c>
      <c r="G227">
        <f t="shared" ref="G227:K227" si="184">SUMPRODUCT($B227:$B231,P$2:P$6)</f>
        <v>12.903078463592363</v>
      </c>
      <c r="H227">
        <f t="shared" si="184"/>
        <v>10.578393326919727</v>
      </c>
      <c r="I227">
        <f t="shared" si="184"/>
        <v>9.068869852722349</v>
      </c>
      <c r="J227">
        <f t="shared" si="184"/>
        <v>7.6307030906406137</v>
      </c>
      <c r="K227">
        <f t="shared" si="184"/>
        <v>3.9556583953902518</v>
      </c>
      <c r="L227">
        <f t="shared" si="149"/>
        <v>23.956042773728065</v>
      </c>
      <c r="M227">
        <f t="shared" si="151"/>
        <v>-5.6042773728066209E-2</v>
      </c>
      <c r="N227">
        <f t="shared" si="152"/>
        <v>3.1407924871352279E-3</v>
      </c>
    </row>
    <row r="228" spans="1:14" x14ac:dyDescent="0.45">
      <c r="A228" s="23">
        <v>42100</v>
      </c>
      <c r="B228">
        <v>23.15</v>
      </c>
      <c r="C228">
        <v>24</v>
      </c>
      <c r="G228">
        <f t="shared" ref="G228:K228" si="185">SUMPRODUCT($B228:$B232,P$2:P$6)</f>
        <v>12.487720309776856</v>
      </c>
      <c r="H228">
        <f t="shared" si="185"/>
        <v>10.237868274607463</v>
      </c>
      <c r="I228">
        <f t="shared" si="185"/>
        <v>8.7769375469145707</v>
      </c>
      <c r="J228">
        <f t="shared" si="185"/>
        <v>7.3850659476672114</v>
      </c>
      <c r="K228">
        <f t="shared" si="185"/>
        <v>3.8283233998135024</v>
      </c>
      <c r="L228">
        <f t="shared" si="149"/>
        <v>23.188879265497352</v>
      </c>
      <c r="M228">
        <f t="shared" si="151"/>
        <v>0.73112073450264958</v>
      </c>
      <c r="N228">
        <f t="shared" si="152"/>
        <v>0.53453752841969382</v>
      </c>
    </row>
    <row r="229" spans="1:14" x14ac:dyDescent="0.45">
      <c r="A229" s="23">
        <v>42096</v>
      </c>
      <c r="B229">
        <v>23.02</v>
      </c>
      <c r="C229">
        <v>22.65</v>
      </c>
      <c r="G229">
        <f t="shared" ref="G229:K229" si="186">SUMPRODUCT($B229:$B233,P$2:P$6)</f>
        <v>12.417594899556597</v>
      </c>
      <c r="H229">
        <f t="shared" si="186"/>
        <v>10.180377011606897</v>
      </c>
      <c r="I229">
        <f t="shared" si="186"/>
        <v>8.7276502045832345</v>
      </c>
      <c r="J229">
        <f t="shared" si="186"/>
        <v>7.3435947375158319</v>
      </c>
      <c r="K229">
        <f t="shared" si="186"/>
        <v>3.806825265424882</v>
      </c>
      <c r="L229">
        <f t="shared" si="149"/>
        <v>23.059358090909424</v>
      </c>
      <c r="M229">
        <f t="shared" si="151"/>
        <v>9.0641909090575012E-2</v>
      </c>
      <c r="N229">
        <f t="shared" si="152"/>
        <v>8.2159556835840648E-3</v>
      </c>
    </row>
    <row r="230" spans="1:14" x14ac:dyDescent="0.45">
      <c r="A230" s="23">
        <v>42095</v>
      </c>
      <c r="B230">
        <v>22.85</v>
      </c>
      <c r="C230">
        <v>23.08</v>
      </c>
      <c r="G230">
        <f t="shared" ref="G230:K230" si="187">SUMPRODUCT($B230:$B234,P$2:P$6)</f>
        <v>12.325892459826886</v>
      </c>
      <c r="H230">
        <f t="shared" si="187"/>
        <v>10.105196151852157</v>
      </c>
      <c r="I230">
        <f t="shared" si="187"/>
        <v>8.663197639697124</v>
      </c>
      <c r="J230">
        <f t="shared" si="187"/>
        <v>7.2893631683455204</v>
      </c>
      <c r="K230">
        <f t="shared" si="187"/>
        <v>3.778712370735327</v>
      </c>
      <c r="L230">
        <f t="shared" si="149"/>
        <v>22.889984362085769</v>
      </c>
      <c r="M230">
        <f t="shared" si="151"/>
        <v>0.1300156379142301</v>
      </c>
      <c r="N230">
        <f t="shared" si="152"/>
        <v>1.6904066102244188E-2</v>
      </c>
    </row>
    <row r="231" spans="1:14" x14ac:dyDescent="0.45">
      <c r="A231" s="23">
        <v>42094</v>
      </c>
      <c r="B231">
        <v>22.71</v>
      </c>
      <c r="C231">
        <v>22.85</v>
      </c>
      <c r="G231">
        <f t="shared" ref="G231:K231" si="188">SUMPRODUCT($B231:$B235,P$2:P$6)</f>
        <v>12.250372847300493</v>
      </c>
      <c r="H231">
        <f t="shared" si="188"/>
        <v>10.043282538256859</v>
      </c>
      <c r="I231">
        <f t="shared" si="188"/>
        <v>8.610119058221807</v>
      </c>
      <c r="J231">
        <f t="shared" si="188"/>
        <v>7.2447018789156399</v>
      </c>
      <c r="K231">
        <f t="shared" si="188"/>
        <v>3.7555605849599121</v>
      </c>
      <c r="L231">
        <f t="shared" si="149"/>
        <v>22.750500166637583</v>
      </c>
      <c r="M231">
        <f t="shared" si="151"/>
        <v>9.9499833362418855E-2</v>
      </c>
      <c r="N231">
        <f t="shared" si="152"/>
        <v>9.9002168391491199E-3</v>
      </c>
    </row>
    <row r="232" spans="1:14" x14ac:dyDescent="0.45">
      <c r="A232" s="23">
        <v>42093</v>
      </c>
      <c r="B232">
        <v>22.72</v>
      </c>
      <c r="C232">
        <v>22.65</v>
      </c>
      <c r="G232">
        <f t="shared" ref="G232:K232" si="189">SUMPRODUCT($B232:$B236,P$2:P$6)</f>
        <v>12.255767176213064</v>
      </c>
      <c r="H232">
        <f t="shared" si="189"/>
        <v>10.047704986650798</v>
      </c>
      <c r="I232">
        <f t="shared" si="189"/>
        <v>8.6139105769122128</v>
      </c>
      <c r="J232">
        <f t="shared" si="189"/>
        <v>7.2478919975757838</v>
      </c>
      <c r="K232">
        <f t="shared" si="189"/>
        <v>3.7572143956432127</v>
      </c>
      <c r="L232">
        <f t="shared" si="149"/>
        <v>22.760463560046745</v>
      </c>
      <c r="M232">
        <f t="shared" si="151"/>
        <v>-5.0463560046743794E-2</v>
      </c>
      <c r="N232">
        <f t="shared" si="152"/>
        <v>2.5465708925913166E-3</v>
      </c>
    </row>
    <row r="233" spans="1:14" x14ac:dyDescent="0.45">
      <c r="A233" s="23">
        <v>42090</v>
      </c>
      <c r="B233">
        <v>22.7</v>
      </c>
      <c r="C233">
        <v>22.61</v>
      </c>
      <c r="G233">
        <f t="shared" ref="G233:K233" si="190">SUMPRODUCT($B233:$B237,P$2:P$6)</f>
        <v>12.244978753402654</v>
      </c>
      <c r="H233">
        <f t="shared" si="190"/>
        <v>10.038860282850465</v>
      </c>
      <c r="I233">
        <f t="shared" si="190"/>
        <v>8.6063281199199615</v>
      </c>
      <c r="J233">
        <f t="shared" si="190"/>
        <v>7.2415118169132509</v>
      </c>
      <c r="K233">
        <f t="shared" si="190"/>
        <v>3.7539070672950134</v>
      </c>
      <c r="L233">
        <f t="shared" si="149"/>
        <v>22.740537492162094</v>
      </c>
      <c r="M233">
        <f t="shared" si="151"/>
        <v>-2.0537492162095106E-2</v>
      </c>
      <c r="N233">
        <f t="shared" si="152"/>
        <v>4.2178858430811788E-4</v>
      </c>
    </row>
    <row r="234" spans="1:14" x14ac:dyDescent="0.45">
      <c r="A234" s="23">
        <v>42089</v>
      </c>
      <c r="B234">
        <v>23.02</v>
      </c>
      <c r="C234">
        <v>22.76</v>
      </c>
      <c r="G234">
        <f t="shared" ref="G234:K234" si="191">SUMPRODUCT($B234:$B238,P$2:P$6)</f>
        <v>12.417595123353857</v>
      </c>
      <c r="H234">
        <f t="shared" si="191"/>
        <v>10.180377236425343</v>
      </c>
      <c r="I234">
        <f t="shared" si="191"/>
        <v>8.7276510600788146</v>
      </c>
      <c r="J234">
        <f t="shared" si="191"/>
        <v>7.3435947890748166</v>
      </c>
      <c r="K234">
        <f t="shared" si="191"/>
        <v>3.806825616125419</v>
      </c>
      <c r="L234">
        <f t="shared" si="149"/>
        <v>23.059358988184709</v>
      </c>
      <c r="M234">
        <f t="shared" si="151"/>
        <v>-0.35935898818470946</v>
      </c>
      <c r="N234">
        <f t="shared" si="152"/>
        <v>0.12913888238913815</v>
      </c>
    </row>
    <row r="235" spans="1:14" x14ac:dyDescent="0.45">
      <c r="A235" s="23">
        <v>42088</v>
      </c>
      <c r="B235">
        <v>23.29</v>
      </c>
      <c r="C235">
        <v>23.1</v>
      </c>
      <c r="G235">
        <f t="shared" ref="G235:K235" si="192">SUMPRODUCT($B235:$B239,P$2:P$6)</f>
        <v>12.563240225492679</v>
      </c>
      <c r="H235">
        <f t="shared" si="192"/>
        <v>10.299782193126939</v>
      </c>
      <c r="I235">
        <f t="shared" si="192"/>
        <v>8.830016879997709</v>
      </c>
      <c r="J235">
        <f t="shared" si="192"/>
        <v>7.429727309392157</v>
      </c>
      <c r="K235">
        <f t="shared" si="192"/>
        <v>3.8514755182164695</v>
      </c>
      <c r="L235">
        <f t="shared" si="149"/>
        <v>23.328364395874768</v>
      </c>
      <c r="M235">
        <f t="shared" si="151"/>
        <v>-0.3083643958747686</v>
      </c>
      <c r="N235">
        <f t="shared" si="152"/>
        <v>9.5088600643211008E-2</v>
      </c>
    </row>
    <row r="236" spans="1:14" x14ac:dyDescent="0.45">
      <c r="A236" s="23">
        <v>42087</v>
      </c>
      <c r="B236">
        <v>24.09</v>
      </c>
      <c r="C236">
        <v>23.48</v>
      </c>
      <c r="G236">
        <f t="shared" ref="G236:K236" si="193">SUMPRODUCT($B236:$B240,P$2:P$6)</f>
        <v>12.994781162770714</v>
      </c>
      <c r="H236">
        <f t="shared" si="193"/>
        <v>10.653574415741957</v>
      </c>
      <c r="I236">
        <f t="shared" si="193"/>
        <v>9.1333229969289977</v>
      </c>
      <c r="J236">
        <f t="shared" si="193"/>
        <v>7.6849347435091264</v>
      </c>
      <c r="K236">
        <f t="shared" si="193"/>
        <v>3.9837715981792563</v>
      </c>
      <c r="L236">
        <f t="shared" si="149"/>
        <v>24.125417276725084</v>
      </c>
      <c r="M236">
        <f t="shared" si="151"/>
        <v>-0.83541727672508515</v>
      </c>
      <c r="N236">
        <f t="shared" si="152"/>
        <v>0.6979220262507575</v>
      </c>
    </row>
    <row r="237" spans="1:14" x14ac:dyDescent="0.45">
      <c r="A237" s="23">
        <v>42086</v>
      </c>
      <c r="B237">
        <v>24</v>
      </c>
      <c r="C237">
        <v>24.18</v>
      </c>
      <c r="G237">
        <f t="shared" ref="G237:K237" si="194">SUMPRODUCT($B237:$B241,P$2:P$6)</f>
        <v>12.946232881568198</v>
      </c>
      <c r="H237">
        <f t="shared" si="194"/>
        <v>10.613772823163826</v>
      </c>
      <c r="I237">
        <f t="shared" si="194"/>
        <v>9.099201060393014</v>
      </c>
      <c r="J237">
        <f t="shared" si="194"/>
        <v>7.6562239188743648</v>
      </c>
      <c r="K237">
        <f t="shared" si="194"/>
        <v>3.9688883348713455</v>
      </c>
      <c r="L237">
        <f t="shared" si="149"/>
        <v>24.035748918967915</v>
      </c>
      <c r="M237">
        <f t="shared" si="151"/>
        <v>5.4251081032084869E-2</v>
      </c>
      <c r="N237">
        <f t="shared" si="152"/>
        <v>2.9431797931498385E-3</v>
      </c>
    </row>
    <row r="238" spans="1:14" x14ac:dyDescent="0.45">
      <c r="A238" s="23">
        <v>42083</v>
      </c>
      <c r="B238">
        <v>23.9</v>
      </c>
      <c r="C238">
        <v>24</v>
      </c>
      <c r="G238">
        <f t="shared" ref="G238:K238" si="195">SUMPRODUCT($B238:$B242,P$2:P$6)</f>
        <v>12.892290323252698</v>
      </c>
      <c r="H238">
        <f t="shared" si="195"/>
        <v>10.569548852954046</v>
      </c>
      <c r="I238">
        <f t="shared" si="195"/>
        <v>9.0612881268973879</v>
      </c>
      <c r="J238">
        <f t="shared" si="195"/>
        <v>7.6243230038076542</v>
      </c>
      <c r="K238">
        <f t="shared" si="195"/>
        <v>3.9523514565482261</v>
      </c>
      <c r="L238">
        <f t="shared" si="149"/>
        <v>23.936117619074427</v>
      </c>
      <c r="M238">
        <f t="shared" si="151"/>
        <v>6.3882380925573301E-2</v>
      </c>
      <c r="N238">
        <f t="shared" si="152"/>
        <v>4.0809585927200518E-3</v>
      </c>
    </row>
    <row r="239" spans="1:14" x14ac:dyDescent="0.45">
      <c r="A239" s="23">
        <v>42082</v>
      </c>
      <c r="B239">
        <v>23.89</v>
      </c>
      <c r="C239">
        <v>23.76</v>
      </c>
      <c r="G239">
        <f t="shared" ref="G239:K239" si="196">SUMPRODUCT($B239:$B243,P$2:P$6)</f>
        <v>12.88689615451537</v>
      </c>
      <c r="H239">
        <f t="shared" si="196"/>
        <v>10.565126562856163</v>
      </c>
      <c r="I239">
        <f t="shared" si="196"/>
        <v>9.0574970569409015</v>
      </c>
      <c r="J239">
        <f t="shared" si="196"/>
        <v>7.621132936214007</v>
      </c>
      <c r="K239">
        <f t="shared" si="196"/>
        <v>3.9506978540379465</v>
      </c>
      <c r="L239">
        <f t="shared" si="149"/>
        <v>23.926154768201513</v>
      </c>
      <c r="M239">
        <f t="shared" si="151"/>
        <v>-2.6154768201514855E-2</v>
      </c>
      <c r="N239">
        <f t="shared" si="152"/>
        <v>6.8407189967497261E-4</v>
      </c>
    </row>
    <row r="240" spans="1:14" x14ac:dyDescent="0.45">
      <c r="A240" s="23">
        <v>42081</v>
      </c>
      <c r="B240">
        <v>24.46</v>
      </c>
      <c r="C240">
        <v>23.96</v>
      </c>
      <c r="G240">
        <f t="shared" ref="G240:K240" si="197">SUMPRODUCT($B240:$B244,P$2:P$6)</f>
        <v>13.19436908151102</v>
      </c>
      <c r="H240">
        <f t="shared" si="197"/>
        <v>10.817203597059226</v>
      </c>
      <c r="I240">
        <f t="shared" si="197"/>
        <v>9.2736029354852807</v>
      </c>
      <c r="J240">
        <f t="shared" si="197"/>
        <v>7.8029682063139338</v>
      </c>
      <c r="K240">
        <f t="shared" si="197"/>
        <v>4.0449588280821169</v>
      </c>
      <c r="L240">
        <f t="shared" si="149"/>
        <v>24.494055124347597</v>
      </c>
      <c r="M240">
        <f t="shared" si="151"/>
        <v>-0.60405512434759601</v>
      </c>
      <c r="N240">
        <f t="shared" si="152"/>
        <v>0.36488259325058969</v>
      </c>
    </row>
    <row r="241" spans="1:14" x14ac:dyDescent="0.45">
      <c r="A241" s="23">
        <v>42080</v>
      </c>
      <c r="B241">
        <v>24.84</v>
      </c>
      <c r="C241">
        <v>24.44</v>
      </c>
      <c r="G241">
        <f t="shared" ref="G241:K241" si="198">SUMPRODUCT($B241:$B245,P$2:P$6)</f>
        <v>13.39935097314881</v>
      </c>
      <c r="H241">
        <f t="shared" si="198"/>
        <v>10.985254915268378</v>
      </c>
      <c r="I241">
        <f t="shared" si="198"/>
        <v>9.4176735732123849</v>
      </c>
      <c r="J241">
        <f t="shared" si="198"/>
        <v>7.9241917469197967</v>
      </c>
      <c r="K241">
        <f t="shared" si="198"/>
        <v>4.1077995029664871</v>
      </c>
      <c r="L241">
        <f t="shared" si="149"/>
        <v>24.872655361112781</v>
      </c>
      <c r="M241">
        <f t="shared" si="151"/>
        <v>-0.41265536111277967</v>
      </c>
      <c r="N241">
        <f t="shared" si="152"/>
        <v>0.17028444705511858</v>
      </c>
    </row>
    <row r="242" spans="1:14" x14ac:dyDescent="0.45">
      <c r="A242" s="23">
        <v>42079</v>
      </c>
      <c r="B242">
        <v>25.18</v>
      </c>
      <c r="C242">
        <v>25.04</v>
      </c>
      <c r="G242">
        <f t="shared" ref="G242:K242" si="199">SUMPRODUCT($B242:$B246,P$2:P$6)</f>
        <v>13.582755934078147</v>
      </c>
      <c r="H242">
        <f t="shared" si="199"/>
        <v>11.135616641226644</v>
      </c>
      <c r="I242">
        <f t="shared" si="199"/>
        <v>9.5465782855470103</v>
      </c>
      <c r="J242">
        <f t="shared" si="199"/>
        <v>8.0326549172453685</v>
      </c>
      <c r="K242">
        <f t="shared" si="199"/>
        <v>4.1640252352675073</v>
      </c>
      <c r="L242">
        <f t="shared" si="149"/>
        <v>25.211402643685442</v>
      </c>
      <c r="M242">
        <f t="shared" si="151"/>
        <v>-0.37140264368544251</v>
      </c>
      <c r="N242">
        <f t="shared" si="152"/>
        <v>0.13793992373653577</v>
      </c>
    </row>
    <row r="243" spans="1:14" x14ac:dyDescent="0.45">
      <c r="A243" s="23">
        <v>42076</v>
      </c>
      <c r="B243">
        <v>25.55</v>
      </c>
      <c r="C243">
        <v>25.04</v>
      </c>
      <c r="G243">
        <f t="shared" ref="G243:K243" si="200">SUMPRODUCT($B243:$B247,P$2:P$6)</f>
        <v>13.782343603942858</v>
      </c>
      <c r="H243">
        <f t="shared" si="200"/>
        <v>11.299245501063574</v>
      </c>
      <c r="I243">
        <f t="shared" si="200"/>
        <v>9.686857522540123</v>
      </c>
      <c r="J243">
        <f t="shared" si="200"/>
        <v>8.1506883386833824</v>
      </c>
      <c r="K243">
        <f t="shared" si="200"/>
        <v>4.2252122367747749</v>
      </c>
      <c r="L243">
        <f t="shared" si="149"/>
        <v>25.580039675267624</v>
      </c>
      <c r="M243">
        <f t="shared" si="151"/>
        <v>-0.40003967526762452</v>
      </c>
      <c r="N243">
        <f t="shared" si="152"/>
        <v>0.16003174178822646</v>
      </c>
    </row>
    <row r="244" spans="1:14" x14ac:dyDescent="0.45">
      <c r="A244" s="23">
        <v>42075</v>
      </c>
      <c r="B244">
        <v>24.78</v>
      </c>
      <c r="C244">
        <v>25.66</v>
      </c>
      <c r="G244">
        <f t="shared" ref="G244:K244" si="201">SUMPRODUCT($B244:$B248,P$2:P$6)</f>
        <v>13.366985532864938</v>
      </c>
      <c r="H244">
        <f t="shared" si="201"/>
        <v>10.958720550572085</v>
      </c>
      <c r="I244">
        <f t="shared" si="201"/>
        <v>9.3949255572891204</v>
      </c>
      <c r="J244">
        <f t="shared" si="201"/>
        <v>7.9050512185827424</v>
      </c>
      <c r="K244">
        <f t="shared" si="201"/>
        <v>4.0978773677010585</v>
      </c>
      <c r="L244">
        <f t="shared" si="149"/>
        <v>24.812876521584712</v>
      </c>
      <c r="M244">
        <f t="shared" si="151"/>
        <v>0.73712347841528825</v>
      </c>
      <c r="N244">
        <f t="shared" si="152"/>
        <v>0.54335102243105393</v>
      </c>
    </row>
    <row r="245" spans="1:14" x14ac:dyDescent="0.45">
      <c r="A245" s="23">
        <v>42074</v>
      </c>
      <c r="B245">
        <v>25.05</v>
      </c>
      <c r="C245">
        <v>24.62</v>
      </c>
      <c r="G245">
        <f t="shared" ref="G245:K245" si="202">SUMPRODUCT($B245:$B249,P$2:P$6)</f>
        <v>13.512630677721742</v>
      </c>
      <c r="H245">
        <f t="shared" si="202"/>
        <v>11.078125513424501</v>
      </c>
      <c r="I245">
        <f t="shared" si="202"/>
        <v>9.4972915393688968</v>
      </c>
      <c r="J245">
        <f t="shared" si="202"/>
        <v>7.9911837422213248</v>
      </c>
      <c r="K245">
        <f t="shared" si="202"/>
        <v>4.1425273603360884</v>
      </c>
      <c r="L245">
        <f t="shared" si="149"/>
        <v>25.081882089047358</v>
      </c>
      <c r="M245">
        <f t="shared" si="151"/>
        <v>-0.30188208904735703</v>
      </c>
      <c r="N245">
        <f t="shared" si="152"/>
        <v>9.1132795687596399E-2</v>
      </c>
    </row>
    <row r="246" spans="1:14" x14ac:dyDescent="0.45">
      <c r="A246" s="23">
        <v>42073</v>
      </c>
      <c r="B246">
        <v>25.42</v>
      </c>
      <c r="C246">
        <v>25.02</v>
      </c>
      <c r="G246">
        <f t="shared" ref="G246:K246" si="203">SUMPRODUCT($B246:$B250,P$2:P$6)</f>
        <v>13.712218426939625</v>
      </c>
      <c r="H246">
        <f t="shared" si="203"/>
        <v>11.241754494732243</v>
      </c>
      <c r="I246">
        <f t="shared" si="203"/>
        <v>9.6375709040522946</v>
      </c>
      <c r="J246">
        <f t="shared" si="203"/>
        <v>8.1092171941966988</v>
      </c>
      <c r="K246">
        <f t="shared" si="203"/>
        <v>4.2037144011090355</v>
      </c>
      <c r="L246">
        <f t="shared" si="149"/>
        <v>25.450519333756603</v>
      </c>
      <c r="M246">
        <f t="shared" si="151"/>
        <v>-0.40051933375660198</v>
      </c>
      <c r="N246">
        <f t="shared" si="152"/>
        <v>0.16041573671283232</v>
      </c>
    </row>
    <row r="247" spans="1:14" x14ac:dyDescent="0.45">
      <c r="A247" s="23">
        <v>42072</v>
      </c>
      <c r="B247">
        <v>25.62</v>
      </c>
      <c r="C247">
        <v>25.55</v>
      </c>
      <c r="G247">
        <f>SUMPRODUCT($B247:$B251,P$2:P$6)</f>
        <v>13.820103720069573</v>
      </c>
      <c r="H247">
        <f>SUMPRODUCT($B247:$B251,Q$2:Q$6)</f>
        <v>11.330202644244164</v>
      </c>
      <c r="I247">
        <f>SUMPRODUCT($B247:$B251,R$2:R$6)</f>
        <v>9.7133976918035909</v>
      </c>
      <c r="J247">
        <f>SUMPRODUCT($B247:$B251,S$2:S$6)</f>
        <v>8.1730190496825053</v>
      </c>
      <c r="K247">
        <f>SUMPRODUCT($B247:$B251,T$2:T$6)</f>
        <v>4.2367884815540062</v>
      </c>
      <c r="L247">
        <f>(G247+$P$7)*$U$2+(H247+$Q$7)*$U$3+(I247+$R$7)*$U$4+(J247+$S$7)*$U$5+(K247+$T$7)*$U$6+$U$7</f>
        <v>25.649782800304891</v>
      </c>
      <c r="M247">
        <f>B246-L247</f>
        <v>-0.22978280030488918</v>
      </c>
      <c r="N247">
        <f>M247^2</f>
        <v>5.2800135315956578E-2</v>
      </c>
    </row>
    <row r="248" spans="1:14" x14ac:dyDescent="0.45">
      <c r="A248" s="23">
        <v>42069</v>
      </c>
      <c r="B248">
        <v>26.03</v>
      </c>
      <c r="C248">
        <v>25.63</v>
      </c>
    </row>
    <row r="249" spans="1:14" x14ac:dyDescent="0.45">
      <c r="A249" s="23">
        <v>42068</v>
      </c>
      <c r="B249">
        <v>26.39</v>
      </c>
      <c r="C249">
        <v>26.08</v>
      </c>
    </row>
    <row r="250" spans="1:14" x14ac:dyDescent="0.45">
      <c r="A250" s="23">
        <v>42067</v>
      </c>
      <c r="B250">
        <v>26.88</v>
      </c>
      <c r="C250">
        <v>26.38</v>
      </c>
    </row>
    <row r="251" spans="1:14" x14ac:dyDescent="0.45">
      <c r="A251" s="23">
        <v>42066</v>
      </c>
      <c r="B251">
        <v>26.6</v>
      </c>
      <c r="C251">
        <v>26.9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W251"/>
  <sheetViews>
    <sheetView workbookViewId="0">
      <selection activeCell="C2" sqref="C2"/>
    </sheetView>
  </sheetViews>
  <sheetFormatPr defaultRowHeight="14.25" x14ac:dyDescent="0.45"/>
  <sheetData>
    <row r="1" spans="1:23" x14ac:dyDescent="0.45">
      <c r="A1" t="s">
        <v>3</v>
      </c>
      <c r="B1" t="s">
        <v>4</v>
      </c>
      <c r="C1" t="s">
        <v>5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</row>
    <row r="2" spans="1:23" x14ac:dyDescent="0.45">
      <c r="A2" s="23">
        <v>42426</v>
      </c>
      <c r="B2">
        <v>24.39</v>
      </c>
      <c r="C2">
        <v>24.18</v>
      </c>
      <c r="G2">
        <f t="shared" ref="G2" si="0">SUMPRODUCT($B2:$B6,P$2:P$6)</f>
        <v>13.376587420836435</v>
      </c>
      <c r="H2">
        <f t="shared" ref="H2" si="1">SUMPRODUCT($B2:$B6,Q$2:Q$6)</f>
        <v>4.4747114800013952</v>
      </c>
      <c r="I2">
        <f t="shared" ref="I2" si="2">SUMPRODUCT($B2:$B6,R$2:R$6)</f>
        <v>14.505499624317096</v>
      </c>
      <c r="J2">
        <f t="shared" ref="J2" si="3">SUMPRODUCT($B2:$B6,S$2:S$6)</f>
        <v>14.381016304205557</v>
      </c>
      <c r="K2">
        <f t="shared" ref="K2" si="4">SUMPRODUCT($B2:$B6,T$2:T$6)</f>
        <v>8.3186196527073584</v>
      </c>
      <c r="L2">
        <f t="shared" ref="L2" si="5">(G2+$P$7)*$U$2+(H2+$Q$7)*$U$3+(I2+$R$7)*$U$4+(J2+$S$7)*$U$5+(K2+$T$7)*$U$6+$U$7</f>
        <v>24.380324876907309</v>
      </c>
      <c r="P2">
        <v>0.51994703210969573</v>
      </c>
      <c r="Q2">
        <v>0.15825843214124261</v>
      </c>
      <c r="R2">
        <v>0.56838844960641832</v>
      </c>
      <c r="S2">
        <v>0.56538925406652718</v>
      </c>
      <c r="T2">
        <v>0.32207145734465609</v>
      </c>
      <c r="U2">
        <v>0.4903249922150868</v>
      </c>
      <c r="W2" t="s">
        <v>31</v>
      </c>
    </row>
    <row r="3" spans="1:23" x14ac:dyDescent="0.45">
      <c r="A3" s="23">
        <v>42425</v>
      </c>
      <c r="B3">
        <v>24.03</v>
      </c>
      <c r="C3">
        <v>24.18</v>
      </c>
      <c r="G3">
        <f t="shared" ref="G3:G65" si="6">SUMPRODUCT($B3:$B7,P$2:P$6)</f>
        <v>13.186414440930131</v>
      </c>
      <c r="H3">
        <f t="shared" ref="H3:H65" si="7">SUMPRODUCT($B3:$B7,Q$2:Q$6)</f>
        <v>4.4147690737466503</v>
      </c>
      <c r="I3">
        <f t="shared" ref="I3:I65" si="8">SUMPRODUCT($B3:$B7,R$2:R$6)</f>
        <v>14.298425016996161</v>
      </c>
      <c r="J3">
        <f t="shared" ref="J3:J65" si="9">SUMPRODUCT($B3:$B7,S$2:S$6)</f>
        <v>14.175500959917063</v>
      </c>
      <c r="K3">
        <f t="shared" ref="K3:K65" si="10">SUMPRODUCT($B3:$B7,T$2:T$6)</f>
        <v>8.2013258524042811</v>
      </c>
      <c r="L3">
        <f t="shared" ref="L3:L65" si="11">(G3+$P$7)*$U$2+(H3+$Q$7)*$U$3+(I3+$R$7)*$U$4+(J3+$S$7)*$U$5+(K3+$T$7)*$U$6+$U$7</f>
        <v>24.039524579884709</v>
      </c>
      <c r="M3">
        <f t="shared" ref="M3:M66" si="12">B2-L3</f>
        <v>0.35047542011529131</v>
      </c>
      <c r="N3">
        <f t="shared" ref="N3:N66" si="13">M3^2</f>
        <v>0.12283302010498995</v>
      </c>
      <c r="P3">
        <v>3.7297520531714662E-3</v>
      </c>
      <c r="Q3">
        <v>3.9032574834662638E-3</v>
      </c>
      <c r="R3">
        <v>3.2355296515451776E-3</v>
      </c>
      <c r="S3">
        <v>2.871260796199749E-3</v>
      </c>
      <c r="T3">
        <v>1.866718192201556E-3</v>
      </c>
      <c r="U3">
        <v>0.39224130644930666</v>
      </c>
      <c r="V3" t="s">
        <v>29</v>
      </c>
      <c r="W3">
        <f>SUM(N3:N251)</f>
        <v>1621.5549670038401</v>
      </c>
    </row>
    <row r="4" spans="1:23" x14ac:dyDescent="0.45">
      <c r="A4" s="23">
        <v>42424</v>
      </c>
      <c r="B4">
        <v>23.43</v>
      </c>
      <c r="C4">
        <v>23.96</v>
      </c>
      <c r="G4">
        <f t="shared" si="6"/>
        <v>12.871246873735661</v>
      </c>
      <c r="H4">
        <f t="shared" si="7"/>
        <v>4.317488305578264</v>
      </c>
      <c r="I4">
        <f t="shared" si="8"/>
        <v>13.954295343836945</v>
      </c>
      <c r="J4">
        <f t="shared" si="9"/>
        <v>13.833373247088538</v>
      </c>
      <c r="K4">
        <f t="shared" si="10"/>
        <v>8.0054940484038628</v>
      </c>
      <c r="L4">
        <f t="shared" si="11"/>
        <v>23.47393900729783</v>
      </c>
      <c r="M4">
        <f t="shared" si="12"/>
        <v>0.55606099270217157</v>
      </c>
      <c r="N4">
        <f t="shared" si="13"/>
        <v>0.30920382760492449</v>
      </c>
      <c r="P4">
        <v>1.1076461079022349E-2</v>
      </c>
      <c r="Q4">
        <v>9.5505844559762541E-3</v>
      </c>
      <c r="R4">
        <v>1.0501801580465323E-2</v>
      </c>
      <c r="S4">
        <v>9.9087149602142179E-3</v>
      </c>
      <c r="T4">
        <v>7.917221401905955E-3</v>
      </c>
      <c r="U4">
        <v>0.45517359727187656</v>
      </c>
      <c r="V4" t="s">
        <v>30</v>
      </c>
      <c r="W4">
        <f>MAX(N3:N251)</f>
        <v>1480.6658394789836</v>
      </c>
    </row>
    <row r="5" spans="1:23" x14ac:dyDescent="0.45">
      <c r="A5" s="23">
        <v>42423</v>
      </c>
      <c r="B5">
        <v>24.04</v>
      </c>
      <c r="C5">
        <v>23.62</v>
      </c>
      <c r="G5">
        <f t="shared" si="6"/>
        <v>13.18174136907877</v>
      </c>
      <c r="H5">
        <f t="shared" si="7"/>
        <v>4.4082119465005736</v>
      </c>
      <c r="I5">
        <f t="shared" si="8"/>
        <v>14.294727890788245</v>
      </c>
      <c r="J5">
        <f t="shared" si="9"/>
        <v>14.172365379704878</v>
      </c>
      <c r="K5">
        <f t="shared" si="10"/>
        <v>8.1972836353255953</v>
      </c>
      <c r="L5">
        <f t="shared" si="11"/>
        <v>24.030228792251378</v>
      </c>
      <c r="M5">
        <f t="shared" si="12"/>
        <v>-0.60022879225137871</v>
      </c>
      <c r="N5">
        <f t="shared" si="13"/>
        <v>0.36027460304754871</v>
      </c>
      <c r="P5">
        <v>0</v>
      </c>
      <c r="Q5">
        <v>0</v>
      </c>
      <c r="R5">
        <v>0</v>
      </c>
      <c r="S5">
        <v>0</v>
      </c>
      <c r="T5">
        <v>0</v>
      </c>
      <c r="U5">
        <v>0.43656594785047537</v>
      </c>
    </row>
    <row r="6" spans="1:23" x14ac:dyDescent="0.45">
      <c r="A6" s="23">
        <v>42422</v>
      </c>
      <c r="B6">
        <v>23.95</v>
      </c>
      <c r="C6">
        <v>24.24</v>
      </c>
      <c r="G6">
        <f t="shared" si="6"/>
        <v>13.118306704627077</v>
      </c>
      <c r="H6">
        <f t="shared" si="7"/>
        <v>4.3792984034671614</v>
      </c>
      <c r="I6">
        <f t="shared" si="8"/>
        <v>14.228255576461244</v>
      </c>
      <c r="J6">
        <f t="shared" si="9"/>
        <v>14.107470430878369</v>
      </c>
      <c r="K6">
        <f t="shared" si="10"/>
        <v>8.1572858473717762</v>
      </c>
      <c r="L6">
        <f t="shared" si="11"/>
        <v>23.915534043332421</v>
      </c>
      <c r="M6">
        <f t="shared" si="12"/>
        <v>0.12446595666757787</v>
      </c>
      <c r="N6">
        <f t="shared" si="13"/>
        <v>1.5491774369175372E-2</v>
      </c>
      <c r="P6">
        <v>1.4443919948298653E-2</v>
      </c>
      <c r="Q6">
        <v>1.2410139830700218E-2</v>
      </c>
      <c r="R6">
        <v>1.3306820453428831E-2</v>
      </c>
      <c r="S6">
        <v>1.2109177831835427E-2</v>
      </c>
      <c r="T6">
        <v>9.7260573054670525E-3</v>
      </c>
      <c r="U6">
        <v>0.34158625000524073</v>
      </c>
    </row>
    <row r="7" spans="1:23" x14ac:dyDescent="0.45">
      <c r="A7" s="23">
        <v>42419</v>
      </c>
      <c r="B7">
        <v>23.43</v>
      </c>
      <c r="C7">
        <v>23.81</v>
      </c>
      <c r="G7">
        <f t="shared" si="6"/>
        <v>12.847490479946256</v>
      </c>
      <c r="H7">
        <f t="shared" si="7"/>
        <v>4.2964047967420571</v>
      </c>
      <c r="I7">
        <f t="shared" si="8"/>
        <v>13.932335042046983</v>
      </c>
      <c r="J7">
        <f t="shared" si="9"/>
        <v>13.813150313545091</v>
      </c>
      <c r="K7">
        <f t="shared" si="10"/>
        <v>7.9896914026413342</v>
      </c>
      <c r="L7">
        <f t="shared" si="11"/>
        <v>23.429798470427723</v>
      </c>
      <c r="M7">
        <f t="shared" si="12"/>
        <v>0.52020152957227594</v>
      </c>
      <c r="N7">
        <f t="shared" si="13"/>
        <v>0.27060963136933547</v>
      </c>
      <c r="O7" t="s">
        <v>28</v>
      </c>
      <c r="P7">
        <v>4.8516456931791004E-7</v>
      </c>
      <c r="Q7">
        <v>4.8516456931791004E-7</v>
      </c>
      <c r="R7">
        <v>4.8516456931791004E-7</v>
      </c>
      <c r="S7">
        <v>4.8516456931791004E-7</v>
      </c>
      <c r="T7">
        <v>4.8516456931791004E-7</v>
      </c>
      <c r="U7">
        <v>0.34397349995280996</v>
      </c>
    </row>
    <row r="8" spans="1:23" x14ac:dyDescent="0.45">
      <c r="A8" s="23">
        <v>42418</v>
      </c>
      <c r="B8">
        <v>23.12</v>
      </c>
      <c r="C8">
        <v>23.53</v>
      </c>
      <c r="G8">
        <f t="shared" si="6"/>
        <v>12.671018306291751</v>
      </c>
      <c r="H8">
        <f t="shared" si="7"/>
        <v>4.2341545336794573</v>
      </c>
      <c r="I8">
        <f t="shared" si="8"/>
        <v>13.741825727046125</v>
      </c>
      <c r="J8">
        <f t="shared" si="9"/>
        <v>13.624586866659328</v>
      </c>
      <c r="K8">
        <f t="shared" si="10"/>
        <v>7.8792224236558557</v>
      </c>
      <c r="L8">
        <f t="shared" si="11"/>
        <v>23.112082754327979</v>
      </c>
      <c r="M8">
        <f t="shared" si="12"/>
        <v>0.31791724567202095</v>
      </c>
      <c r="N8">
        <f t="shared" si="13"/>
        <v>0.10107137509568413</v>
      </c>
    </row>
    <row r="9" spans="1:23" x14ac:dyDescent="0.45">
      <c r="A9" s="23">
        <v>42417</v>
      </c>
      <c r="B9">
        <v>23.08</v>
      </c>
      <c r="C9">
        <v>23.22</v>
      </c>
      <c r="G9">
        <f t="shared" si="6"/>
        <v>12.653108268074632</v>
      </c>
      <c r="H9">
        <f t="shared" si="7"/>
        <v>4.2297631498556196</v>
      </c>
      <c r="I9">
        <f t="shared" si="8"/>
        <v>13.721930939014266</v>
      </c>
      <c r="J9">
        <f t="shared" si="9"/>
        <v>13.60464153073527</v>
      </c>
      <c r="K9">
        <f t="shared" si="10"/>
        <v>7.8688237623681641</v>
      </c>
      <c r="L9">
        <f t="shared" si="11"/>
        <v>23.080263456417772</v>
      </c>
      <c r="M9">
        <f t="shared" si="12"/>
        <v>3.9736543582229444E-2</v>
      </c>
      <c r="N9">
        <f t="shared" si="13"/>
        <v>1.57899289586242E-3</v>
      </c>
    </row>
    <row r="10" spans="1:23" x14ac:dyDescent="0.45">
      <c r="A10" s="23">
        <v>42416</v>
      </c>
      <c r="B10">
        <v>22.3</v>
      </c>
      <c r="C10">
        <v>22.95</v>
      </c>
      <c r="G10">
        <f t="shared" si="6"/>
        <v>12.241708042111899</v>
      </c>
      <c r="H10">
        <f t="shared" si="7"/>
        <v>4.1013432591924825</v>
      </c>
      <c r="I10">
        <f t="shared" si="8"/>
        <v>13.273056434345902</v>
      </c>
      <c r="J10">
        <f t="shared" si="9"/>
        <v>13.158439957468433</v>
      </c>
      <c r="K10">
        <f t="shared" si="10"/>
        <v>7.6134165288794131</v>
      </c>
      <c r="L10">
        <f t="shared" si="11"/>
        <v>22.341816223246749</v>
      </c>
      <c r="M10">
        <f t="shared" si="12"/>
        <v>0.73818377675324953</v>
      </c>
      <c r="N10">
        <f t="shared" si="13"/>
        <v>0.54491528826169133</v>
      </c>
    </row>
    <row r="11" spans="1:23" x14ac:dyDescent="0.45">
      <c r="A11" s="23">
        <v>42412</v>
      </c>
      <c r="B11">
        <v>22.38</v>
      </c>
      <c r="C11">
        <v>22.49</v>
      </c>
      <c r="G11">
        <f t="shared" si="6"/>
        <v>12.295068839388975</v>
      </c>
      <c r="H11">
        <f t="shared" si="7"/>
        <v>4.1238094602978226</v>
      </c>
      <c r="I11">
        <f t="shared" si="8"/>
        <v>13.329557704212373</v>
      </c>
      <c r="J11">
        <f t="shared" si="9"/>
        <v>13.213861142669266</v>
      </c>
      <c r="K11">
        <f t="shared" si="10"/>
        <v>7.6475505359518063</v>
      </c>
      <c r="L11">
        <f t="shared" si="11"/>
        <v>22.43836512380599</v>
      </c>
      <c r="M11">
        <f t="shared" si="12"/>
        <v>-0.13836512380598975</v>
      </c>
      <c r="N11">
        <f t="shared" si="13"/>
        <v>1.9144907485846872E-2</v>
      </c>
    </row>
    <row r="12" spans="1:23" x14ac:dyDescent="0.45">
      <c r="A12" s="23">
        <v>42411</v>
      </c>
      <c r="B12">
        <v>21.93</v>
      </c>
      <c r="C12">
        <v>22.08</v>
      </c>
      <c r="G12">
        <f t="shared" si="6"/>
        <v>12.069996586520865</v>
      </c>
      <c r="H12">
        <f t="shared" si="7"/>
        <v>4.0604782091222766</v>
      </c>
      <c r="I12">
        <f t="shared" si="8"/>
        <v>13.081893861912096</v>
      </c>
      <c r="J12">
        <f t="shared" si="9"/>
        <v>12.966763924734003</v>
      </c>
      <c r="K12">
        <f t="shared" si="10"/>
        <v>7.5083580604301323</v>
      </c>
      <c r="L12">
        <f t="shared" si="11"/>
        <v>22.03501493155493</v>
      </c>
      <c r="M12">
        <f t="shared" si="12"/>
        <v>0.34498506844506949</v>
      </c>
      <c r="N12">
        <f t="shared" si="13"/>
        <v>0.11901469745004928</v>
      </c>
    </row>
    <row r="13" spans="1:23" x14ac:dyDescent="0.45">
      <c r="A13" s="23">
        <v>42410</v>
      </c>
      <c r="B13">
        <v>22.27</v>
      </c>
      <c r="C13">
        <v>22.32</v>
      </c>
      <c r="G13">
        <f t="shared" si="6"/>
        <v>12.254479182994784</v>
      </c>
      <c r="H13">
        <f t="shared" si="7"/>
        <v>4.1208691126303538</v>
      </c>
      <c r="I13">
        <f t="shared" si="8"/>
        <v>13.282455572283205</v>
      </c>
      <c r="J13">
        <f t="shared" si="9"/>
        <v>13.165889776389541</v>
      </c>
      <c r="K13">
        <f t="shared" si="10"/>
        <v>7.6234065991034354</v>
      </c>
      <c r="L13">
        <f t="shared" si="11"/>
        <v>22.366680126372632</v>
      </c>
      <c r="M13">
        <f t="shared" si="12"/>
        <v>-0.43668012637263232</v>
      </c>
      <c r="N13">
        <f t="shared" si="13"/>
        <v>0.19068953276881814</v>
      </c>
    </row>
    <row r="14" spans="1:23" x14ac:dyDescent="0.45">
      <c r="A14" s="23">
        <v>42409</v>
      </c>
      <c r="B14">
        <v>22.19</v>
      </c>
      <c r="C14">
        <v>22.01</v>
      </c>
      <c r="G14">
        <f t="shared" si="6"/>
        <v>12.221339709540327</v>
      </c>
      <c r="H14">
        <f t="shared" si="7"/>
        <v>4.1159620598087754</v>
      </c>
      <c r="I14">
        <f t="shared" si="8"/>
        <v>13.244816091295565</v>
      </c>
      <c r="J14">
        <f t="shared" si="9"/>
        <v>13.12794415551093</v>
      </c>
      <c r="K14">
        <f t="shared" si="10"/>
        <v>7.6031737020395438</v>
      </c>
      <c r="L14">
        <f t="shared" si="11"/>
        <v>22.307896722158478</v>
      </c>
      <c r="M14">
        <f t="shared" si="12"/>
        <v>-3.7896722158478724E-2</v>
      </c>
      <c r="N14">
        <f t="shared" si="13"/>
        <v>1.4361615503569324E-3</v>
      </c>
    </row>
    <row r="15" spans="1:23" x14ac:dyDescent="0.45">
      <c r="A15" s="23">
        <v>42408</v>
      </c>
      <c r="B15">
        <v>22.86</v>
      </c>
      <c r="C15">
        <v>22.48</v>
      </c>
      <c r="G15">
        <f t="shared" si="6"/>
        <v>12.576247691594395</v>
      </c>
      <c r="H15">
        <f t="shared" si="7"/>
        <v>4.2280308923911818</v>
      </c>
      <c r="I15">
        <f t="shared" si="8"/>
        <v>13.631558228611919</v>
      </c>
      <c r="J15">
        <f t="shared" si="9"/>
        <v>13.512114826218266</v>
      </c>
      <c r="K15">
        <f t="shared" si="10"/>
        <v>7.8230056665224135</v>
      </c>
      <c r="L15">
        <f t="shared" si="11"/>
        <v>22.944717220232171</v>
      </c>
      <c r="M15">
        <f t="shared" si="12"/>
        <v>-0.75471722023216969</v>
      </c>
      <c r="N15">
        <f t="shared" si="13"/>
        <v>0.56959808251497335</v>
      </c>
    </row>
    <row r="16" spans="1:23" x14ac:dyDescent="0.45">
      <c r="A16" s="23">
        <v>42405</v>
      </c>
      <c r="B16">
        <v>23.45</v>
      </c>
      <c r="C16">
        <v>23.2</v>
      </c>
      <c r="G16">
        <f t="shared" si="6"/>
        <v>12.877233882597727</v>
      </c>
      <c r="H16">
        <f t="shared" si="7"/>
        <v>4.3164616211399478</v>
      </c>
      <c r="I16">
        <f t="shared" si="8"/>
        <v>13.961560171230248</v>
      </c>
      <c r="J16">
        <f t="shared" si="9"/>
        <v>13.840811500374857</v>
      </c>
      <c r="K16">
        <f t="shared" si="10"/>
        <v>8.0090899044512938</v>
      </c>
      <c r="L16">
        <f t="shared" si="11"/>
        <v>23.484254220023384</v>
      </c>
      <c r="M16">
        <f t="shared" si="12"/>
        <v>-0.62425422002338493</v>
      </c>
      <c r="N16">
        <f t="shared" si="13"/>
        <v>0.38969333121700467</v>
      </c>
    </row>
    <row r="17" spans="1:14" x14ac:dyDescent="0.45">
      <c r="A17" s="23">
        <v>42404</v>
      </c>
      <c r="B17">
        <v>23.49</v>
      </c>
      <c r="C17">
        <v>23.49</v>
      </c>
      <c r="G17">
        <f t="shared" si="6"/>
        <v>12.898706630299078</v>
      </c>
      <c r="H17">
        <f t="shared" si="7"/>
        <v>4.3233529649547666</v>
      </c>
      <c r="I17">
        <f t="shared" si="8"/>
        <v>13.985005751387151</v>
      </c>
      <c r="J17">
        <f t="shared" si="9"/>
        <v>13.864171196470153</v>
      </c>
      <c r="K17">
        <f t="shared" si="10"/>
        <v>8.0225768352000877</v>
      </c>
      <c r="L17">
        <f t="shared" si="11"/>
        <v>23.522962721600045</v>
      </c>
      <c r="M17">
        <f t="shared" si="12"/>
        <v>-7.296272160004591E-2</v>
      </c>
      <c r="N17">
        <f t="shared" si="13"/>
        <v>5.3235587432858061E-3</v>
      </c>
    </row>
    <row r="18" spans="1:14" x14ac:dyDescent="0.45">
      <c r="A18" s="23">
        <v>42403</v>
      </c>
      <c r="B18">
        <v>23.45</v>
      </c>
      <c r="C18">
        <v>23.5</v>
      </c>
      <c r="G18">
        <f t="shared" si="6"/>
        <v>12.87528448365695</v>
      </c>
      <c r="H18">
        <f t="shared" si="7"/>
        <v>4.3149436906896108</v>
      </c>
      <c r="I18">
        <f t="shared" si="8"/>
        <v>13.959685394626375</v>
      </c>
      <c r="J18">
        <f t="shared" si="9"/>
        <v>13.839049922150856</v>
      </c>
      <c r="K18">
        <f t="shared" si="10"/>
        <v>8.0075784889776909</v>
      </c>
      <c r="L18">
        <f t="shared" si="11"/>
        <v>23.480564313358215</v>
      </c>
      <c r="M18">
        <f t="shared" si="12"/>
        <v>9.4356866417832919E-3</v>
      </c>
      <c r="N18">
        <f t="shared" si="13"/>
        <v>8.9032182401927652E-5</v>
      </c>
    </row>
    <row r="19" spans="1:14" x14ac:dyDescent="0.45">
      <c r="A19" s="23">
        <v>42402</v>
      </c>
      <c r="B19">
        <v>23.72</v>
      </c>
      <c r="C19">
        <v>23.29</v>
      </c>
      <c r="G19">
        <f t="shared" si="6"/>
        <v>13.062856248804589</v>
      </c>
      <c r="H19">
        <f t="shared" si="7"/>
        <v>4.3979449284664698</v>
      </c>
      <c r="I19">
        <f t="shared" si="8"/>
        <v>14.156653239693384</v>
      </c>
      <c r="J19">
        <f t="shared" si="9"/>
        <v>14.031267573257018</v>
      </c>
      <c r="K19">
        <f t="shared" si="10"/>
        <v>8.1264875257604494</v>
      </c>
      <c r="L19">
        <f t="shared" si="11"/>
        <v>23.819279887187662</v>
      </c>
      <c r="M19">
        <f t="shared" si="12"/>
        <v>-0.36927988718766258</v>
      </c>
      <c r="N19">
        <f t="shared" si="13"/>
        <v>0.13636763508133279</v>
      </c>
    </row>
    <row r="20" spans="1:14" x14ac:dyDescent="0.45">
      <c r="A20" s="23">
        <v>42401</v>
      </c>
      <c r="B20">
        <v>23.34</v>
      </c>
      <c r="C20">
        <v>23.94</v>
      </c>
      <c r="G20">
        <f t="shared" si="6"/>
        <v>12.857793573064457</v>
      </c>
      <c r="H20">
        <f t="shared" si="7"/>
        <v>4.331274087694859</v>
      </c>
      <c r="I20">
        <f t="shared" si="8"/>
        <v>13.93381389302718</v>
      </c>
      <c r="J20">
        <f t="shared" si="9"/>
        <v>13.810209635496481</v>
      </c>
      <c r="K20">
        <f t="shared" si="10"/>
        <v>7.9991767638709392</v>
      </c>
      <c r="L20">
        <f t="shared" si="11"/>
        <v>23.451156913712222</v>
      </c>
      <c r="M20">
        <f t="shared" si="12"/>
        <v>0.26884308628777731</v>
      </c>
      <c r="N20">
        <f t="shared" si="13"/>
        <v>7.2276605044737277E-2</v>
      </c>
    </row>
    <row r="21" spans="1:14" x14ac:dyDescent="0.45">
      <c r="A21" s="23">
        <v>42398</v>
      </c>
      <c r="B21">
        <v>23.19</v>
      </c>
      <c r="C21">
        <v>23.46</v>
      </c>
      <c r="G21">
        <f t="shared" si="6"/>
        <v>12.821385576874789</v>
      </c>
      <c r="H21">
        <f t="shared" si="7"/>
        <v>4.3434095150459493</v>
      </c>
      <c r="I21">
        <f t="shared" si="8"/>
        <v>13.887892680362988</v>
      </c>
      <c r="J21">
        <f t="shared" si="9"/>
        <v>13.762420261446263</v>
      </c>
      <c r="K21">
        <f t="shared" si="10"/>
        <v>7.9804378559366551</v>
      </c>
      <c r="L21">
        <f t="shared" si="11"/>
        <v>23.389898888913141</v>
      </c>
      <c r="M21">
        <f t="shared" si="12"/>
        <v>-4.9898888913141093E-2</v>
      </c>
      <c r="N21">
        <f t="shared" si="13"/>
        <v>2.4898991147659952E-3</v>
      </c>
    </row>
    <row r="22" spans="1:14" x14ac:dyDescent="0.45">
      <c r="A22" s="23">
        <v>42397</v>
      </c>
      <c r="B22">
        <v>23.23</v>
      </c>
      <c r="C22">
        <v>23.13</v>
      </c>
      <c r="G22">
        <f t="shared" si="6"/>
        <v>12.85038063535081</v>
      </c>
      <c r="H22">
        <f t="shared" si="7"/>
        <v>4.3591969986913552</v>
      </c>
      <c r="I22">
        <f t="shared" si="8"/>
        <v>13.917330351955789</v>
      </c>
      <c r="J22">
        <f t="shared" si="9"/>
        <v>13.7907009252199</v>
      </c>
      <c r="K22">
        <f t="shared" si="10"/>
        <v>7.9963626740626594</v>
      </c>
      <c r="L22">
        <f t="shared" si="11"/>
        <v>23.441493718511349</v>
      </c>
      <c r="M22">
        <f t="shared" si="12"/>
        <v>-0.25149371851134816</v>
      </c>
      <c r="N22">
        <f t="shared" si="13"/>
        <v>6.3249090450665221E-2</v>
      </c>
    </row>
    <row r="23" spans="1:14" x14ac:dyDescent="0.45">
      <c r="A23" s="23">
        <v>42396</v>
      </c>
      <c r="B23">
        <v>26.71</v>
      </c>
      <c r="C23">
        <v>26.42</v>
      </c>
      <c r="G23">
        <f t="shared" si="6"/>
        <v>14.651587512991741</v>
      </c>
      <c r="H23">
        <f t="shared" si="7"/>
        <v>4.9025338156173941</v>
      </c>
      <c r="I23">
        <f t="shared" si="8"/>
        <v>15.887921372712407</v>
      </c>
      <c r="J23">
        <f t="shared" si="9"/>
        <v>15.751628514436613</v>
      </c>
      <c r="K23">
        <f t="shared" si="10"/>
        <v>9.1120643898141953</v>
      </c>
      <c r="L23">
        <f t="shared" si="11"/>
        <v>26.671933190211455</v>
      </c>
      <c r="M23">
        <f t="shared" si="12"/>
        <v>-3.4419331902114543</v>
      </c>
      <c r="N23">
        <f t="shared" si="13"/>
        <v>11.846904085879199</v>
      </c>
    </row>
    <row r="24" spans="1:14" x14ac:dyDescent="0.45">
      <c r="A24" s="23">
        <v>42395</v>
      </c>
      <c r="B24">
        <v>26.2</v>
      </c>
      <c r="C24">
        <v>26.65</v>
      </c>
      <c r="G24">
        <f t="shared" si="6"/>
        <v>14.372947827144426</v>
      </c>
      <c r="H24">
        <f t="shared" si="7"/>
        <v>4.8103932577637902</v>
      </c>
      <c r="I24">
        <f t="shared" si="8"/>
        <v>15.585614452371237</v>
      </c>
      <c r="J24">
        <f t="shared" si="9"/>
        <v>15.451976316752745</v>
      </c>
      <c r="K24">
        <f t="shared" si="10"/>
        <v>8.9386384844663418</v>
      </c>
      <c r="L24">
        <f t="shared" si="11"/>
        <v>26.17150787684734</v>
      </c>
      <c r="M24">
        <f t="shared" si="12"/>
        <v>0.53849212315266115</v>
      </c>
      <c r="N24">
        <f t="shared" si="13"/>
        <v>0.28997376669746078</v>
      </c>
    </row>
    <row r="25" spans="1:14" x14ac:dyDescent="0.45">
      <c r="A25" s="23">
        <v>42394</v>
      </c>
      <c r="B25">
        <v>26.4</v>
      </c>
      <c r="C25">
        <v>26.14</v>
      </c>
      <c r="G25">
        <f t="shared" si="6"/>
        <v>14.481747725013122</v>
      </c>
      <c r="H25">
        <f t="shared" si="7"/>
        <v>4.8462001024816601</v>
      </c>
      <c r="I25">
        <f t="shared" si="8"/>
        <v>15.70353646288828</v>
      </c>
      <c r="J25">
        <f t="shared" si="9"/>
        <v>15.56870436831781</v>
      </c>
      <c r="K25">
        <f t="shared" si="10"/>
        <v>9.0059826825248912</v>
      </c>
      <c r="L25">
        <f t="shared" si="11"/>
        <v>26.366538439746023</v>
      </c>
      <c r="M25">
        <f t="shared" si="12"/>
        <v>-0.16653843974602367</v>
      </c>
      <c r="N25">
        <f t="shared" si="13"/>
        <v>2.7735051913039956E-2</v>
      </c>
    </row>
    <row r="26" spans="1:14" x14ac:dyDescent="0.45">
      <c r="A26" s="23">
        <v>42391</v>
      </c>
      <c r="B26">
        <v>26.46</v>
      </c>
      <c r="C26">
        <v>26.43</v>
      </c>
      <c r="G26">
        <f t="shared" si="6"/>
        <v>14.491246643145892</v>
      </c>
      <c r="H26">
        <f t="shared" si="7"/>
        <v>4.8366059062000417</v>
      </c>
      <c r="I26">
        <f t="shared" si="8"/>
        <v>15.717462132288452</v>
      </c>
      <c r="J26">
        <f t="shared" si="9"/>
        <v>15.583946563697197</v>
      </c>
      <c r="K26">
        <f t="shared" si="10"/>
        <v>9.0106042760971512</v>
      </c>
      <c r="L26">
        <f t="shared" si="11"/>
        <v>26.382004249947506</v>
      </c>
      <c r="M26">
        <f t="shared" si="12"/>
        <v>1.7995750052492099E-2</v>
      </c>
      <c r="N26">
        <f t="shared" si="13"/>
        <v>3.2384701995176939E-4</v>
      </c>
    </row>
    <row r="27" spans="1:14" x14ac:dyDescent="0.45">
      <c r="A27" s="23">
        <v>42390</v>
      </c>
      <c r="B27">
        <v>25.87</v>
      </c>
      <c r="C27">
        <v>26.09</v>
      </c>
      <c r="G27">
        <f t="shared" si="6"/>
        <v>14.194509374998121</v>
      </c>
      <c r="H27">
        <f t="shared" si="7"/>
        <v>4.7511587777971984</v>
      </c>
      <c r="I27">
        <f t="shared" si="8"/>
        <v>15.391790262264303</v>
      </c>
      <c r="J27">
        <f t="shared" si="9"/>
        <v>15.259519611495001</v>
      </c>
      <c r="K27">
        <f t="shared" si="10"/>
        <v>8.828354298208323</v>
      </c>
      <c r="L27">
        <f t="shared" si="11"/>
        <v>25.85086557495983</v>
      </c>
      <c r="M27">
        <f t="shared" si="12"/>
        <v>0.60913442504017112</v>
      </c>
      <c r="N27">
        <f t="shared" si="13"/>
        <v>0.37104474776901986</v>
      </c>
    </row>
    <row r="28" spans="1:14" x14ac:dyDescent="0.45">
      <c r="A28" s="23">
        <v>42389</v>
      </c>
      <c r="B28">
        <v>24.84</v>
      </c>
      <c r="C28">
        <v>25.82</v>
      </c>
      <c r="G28">
        <f t="shared" si="6"/>
        <v>13.669932503550642</v>
      </c>
      <c r="H28">
        <f t="shared" si="7"/>
        <v>4.598095812091036</v>
      </c>
      <c r="I28">
        <f t="shared" si="8"/>
        <v>14.816134260365212</v>
      </c>
      <c r="J28">
        <f t="shared" si="9"/>
        <v>14.685818756295349</v>
      </c>
      <c r="K28">
        <f t="shared" si="10"/>
        <v>8.5032532228986675</v>
      </c>
      <c r="L28">
        <f t="shared" si="11"/>
        <v>24.91008307891742</v>
      </c>
      <c r="M28">
        <f t="shared" si="12"/>
        <v>0.95991692108258064</v>
      </c>
      <c r="N28">
        <f t="shared" si="13"/>
        <v>0.92144049538066131</v>
      </c>
    </row>
    <row r="29" spans="1:14" x14ac:dyDescent="0.45">
      <c r="A29" s="23">
        <v>42388</v>
      </c>
      <c r="B29">
        <v>25.61</v>
      </c>
      <c r="C29">
        <v>25.77</v>
      </c>
      <c r="G29">
        <f t="shared" si="6"/>
        <v>14.067968171740079</v>
      </c>
      <c r="H29">
        <f t="shared" si="7"/>
        <v>4.717579654948552</v>
      </c>
      <c r="I29">
        <f t="shared" si="8"/>
        <v>15.251875090406035</v>
      </c>
      <c r="J29">
        <f t="shared" si="9"/>
        <v>15.119594047066434</v>
      </c>
      <c r="K29">
        <f t="shared" si="10"/>
        <v>8.7502144375934847</v>
      </c>
      <c r="L29">
        <f t="shared" si="11"/>
        <v>25.624184210727602</v>
      </c>
      <c r="M29">
        <f t="shared" si="12"/>
        <v>-0.78418421072760225</v>
      </c>
      <c r="N29">
        <f t="shared" si="13"/>
        <v>0.61494487635447248</v>
      </c>
    </row>
    <row r="30" spans="1:14" x14ac:dyDescent="0.45">
      <c r="A30" s="23">
        <v>42384</v>
      </c>
      <c r="B30">
        <v>25.05</v>
      </c>
      <c r="C30">
        <v>25.26</v>
      </c>
      <c r="G30">
        <f t="shared" si="6"/>
        <v>13.786832511294826</v>
      </c>
      <c r="H30">
        <f t="shared" si="7"/>
        <v>4.6378685944568439</v>
      </c>
      <c r="I30">
        <f t="shared" si="8"/>
        <v>14.943042396889625</v>
      </c>
      <c r="J30">
        <f t="shared" si="9"/>
        <v>14.81191059064129</v>
      </c>
      <c r="K30">
        <f t="shared" si="10"/>
        <v>8.5768269872306053</v>
      </c>
      <c r="L30">
        <f t="shared" si="11"/>
        <v>25.120947022880063</v>
      </c>
      <c r="M30">
        <f t="shared" si="12"/>
        <v>0.48905297711993612</v>
      </c>
      <c r="N30">
        <f t="shared" si="13"/>
        <v>0.23917281442987276</v>
      </c>
    </row>
    <row r="31" spans="1:14" x14ac:dyDescent="0.45">
      <c r="A31" s="23">
        <v>42383</v>
      </c>
      <c r="B31">
        <v>25.42</v>
      </c>
      <c r="C31">
        <v>25.86</v>
      </c>
      <c r="G31">
        <f t="shared" si="6"/>
        <v>13.979871307783315</v>
      </c>
      <c r="H31">
        <f t="shared" si="7"/>
        <v>4.6976714667175559</v>
      </c>
      <c r="I31">
        <f t="shared" si="8"/>
        <v>15.153664893533959</v>
      </c>
      <c r="J31">
        <f t="shared" si="9"/>
        <v>15.021216731902719</v>
      </c>
      <c r="K31">
        <f t="shared" si="10"/>
        <v>8.695660832183945</v>
      </c>
      <c r="L31">
        <f t="shared" si="11"/>
        <v>25.466893666896478</v>
      </c>
      <c r="M31">
        <f t="shared" si="12"/>
        <v>-0.41689366689647755</v>
      </c>
      <c r="N31">
        <f t="shared" si="13"/>
        <v>0.17380032949839119</v>
      </c>
    </row>
    <row r="32" spans="1:14" x14ac:dyDescent="0.45">
      <c r="A32" s="23">
        <v>42382</v>
      </c>
      <c r="B32">
        <v>26.41</v>
      </c>
      <c r="C32">
        <v>25.41</v>
      </c>
      <c r="G32">
        <f t="shared" si="6"/>
        <v>14.489272243792106</v>
      </c>
      <c r="H32">
        <f t="shared" si="7"/>
        <v>4.8495385200081698</v>
      </c>
      <c r="I32">
        <f t="shared" si="8"/>
        <v>15.711456352018892</v>
      </c>
      <c r="J32">
        <f t="shared" si="9"/>
        <v>15.576446760564671</v>
      </c>
      <c r="K32">
        <f t="shared" si="10"/>
        <v>9.0110313743312602</v>
      </c>
      <c r="L32">
        <f t="shared" si="11"/>
        <v>26.380246917546849</v>
      </c>
      <c r="M32">
        <f t="shared" si="12"/>
        <v>-0.9602469175468471</v>
      </c>
      <c r="N32">
        <f t="shared" si="13"/>
        <v>0.92207414265822141</v>
      </c>
    </row>
    <row r="33" spans="1:14" x14ac:dyDescent="0.45">
      <c r="A33" s="23">
        <v>42381</v>
      </c>
      <c r="B33">
        <v>26.11</v>
      </c>
      <c r="C33">
        <v>26.21</v>
      </c>
      <c r="G33">
        <f t="shared" si="6"/>
        <v>14.33334622065072</v>
      </c>
      <c r="H33">
        <f t="shared" si="7"/>
        <v>4.8019997850524847</v>
      </c>
      <c r="I33">
        <f t="shared" si="8"/>
        <v>15.54103137303793</v>
      </c>
      <c r="J33">
        <f t="shared" si="9"/>
        <v>15.406932032251479</v>
      </c>
      <c r="K33">
        <f t="shared" si="10"/>
        <v>8.9145613883643122</v>
      </c>
      <c r="L33">
        <f t="shared" si="11"/>
        <v>26.100615706425032</v>
      </c>
      <c r="M33">
        <f t="shared" si="12"/>
        <v>0.30938429357496844</v>
      </c>
      <c r="N33">
        <f t="shared" si="13"/>
        <v>9.5718641110882255E-2</v>
      </c>
    </row>
    <row r="34" spans="1:14" x14ac:dyDescent="0.45">
      <c r="A34" s="23">
        <v>42380</v>
      </c>
      <c r="B34">
        <v>25.95</v>
      </c>
      <c r="C34">
        <v>26.1</v>
      </c>
      <c r="G34">
        <f t="shared" si="6"/>
        <v>14.259612549730472</v>
      </c>
      <c r="H34">
        <f t="shared" si="7"/>
        <v>4.784812810769985</v>
      </c>
      <c r="I34">
        <f t="shared" si="8"/>
        <v>15.45874794537893</v>
      </c>
      <c r="J34">
        <f t="shared" si="9"/>
        <v>15.324287853982355</v>
      </c>
      <c r="K34">
        <f t="shared" si="10"/>
        <v>8.8693076866129523</v>
      </c>
      <c r="L34">
        <f t="shared" si="11"/>
        <v>25.968729883494703</v>
      </c>
      <c r="M34">
        <f t="shared" si="12"/>
        <v>0.14127011650529653</v>
      </c>
      <c r="N34">
        <f t="shared" si="13"/>
        <v>1.9957245817420054E-2</v>
      </c>
    </row>
    <row r="35" spans="1:14" x14ac:dyDescent="0.45">
      <c r="A35" s="23">
        <v>42377</v>
      </c>
      <c r="B35">
        <v>25.97</v>
      </c>
      <c r="C35">
        <v>25.75</v>
      </c>
      <c r="G35">
        <f t="shared" si="6"/>
        <v>14.276931686330146</v>
      </c>
      <c r="H35">
        <f t="shared" si="7"/>
        <v>4.7938060130896494</v>
      </c>
      <c r="I35">
        <f t="shared" si="8"/>
        <v>15.476534138604425</v>
      </c>
      <c r="J35">
        <f t="shared" si="9"/>
        <v>15.341459375093056</v>
      </c>
      <c r="K35">
        <f t="shared" si="10"/>
        <v>8.8805323189619596</v>
      </c>
      <c r="L35">
        <f t="shared" si="11"/>
        <v>26.00017588145387</v>
      </c>
      <c r="M35">
        <f t="shared" si="12"/>
        <v>-5.0175881453871085E-2</v>
      </c>
      <c r="N35">
        <f t="shared" si="13"/>
        <v>2.5176190796729245E-3</v>
      </c>
    </row>
    <row r="36" spans="1:14" x14ac:dyDescent="0.45">
      <c r="A36" s="23">
        <v>42376</v>
      </c>
      <c r="B36">
        <v>25.8</v>
      </c>
      <c r="C36">
        <v>25.69</v>
      </c>
      <c r="G36">
        <f t="shared" si="6"/>
        <v>14.204803061447846</v>
      </c>
      <c r="H36">
        <f t="shared" si="7"/>
        <v>4.7809219059377686</v>
      </c>
      <c r="I36">
        <f t="shared" si="8"/>
        <v>15.395116119929428</v>
      </c>
      <c r="J36">
        <f t="shared" si="9"/>
        <v>15.259454909867156</v>
      </c>
      <c r="K36">
        <f t="shared" si="10"/>
        <v>8.8370691552514664</v>
      </c>
      <c r="L36">
        <f t="shared" si="11"/>
        <v>25.872049626360688</v>
      </c>
      <c r="M36">
        <f t="shared" si="12"/>
        <v>9.7950373639310584E-2</v>
      </c>
      <c r="N36">
        <f t="shared" si="13"/>
        <v>9.5942756960805502E-3</v>
      </c>
    </row>
    <row r="37" spans="1:14" x14ac:dyDescent="0.45">
      <c r="A37" s="23">
        <v>42375</v>
      </c>
      <c r="B37">
        <v>25.83</v>
      </c>
      <c r="C37">
        <v>26.41</v>
      </c>
      <c r="G37">
        <f t="shared" si="6"/>
        <v>14.230293301546951</v>
      </c>
      <c r="H37">
        <f t="shared" si="7"/>
        <v>4.7947305059501675</v>
      </c>
      <c r="I37">
        <f t="shared" si="8"/>
        <v>15.421273069381398</v>
      </c>
      <c r="J37">
        <f t="shared" si="9"/>
        <v>15.284821446173476</v>
      </c>
      <c r="K37">
        <f t="shared" si="10"/>
        <v>8.8531185555932215</v>
      </c>
      <c r="L37">
        <f t="shared" si="11"/>
        <v>25.918426804667476</v>
      </c>
      <c r="M37">
        <f t="shared" si="12"/>
        <v>-0.11842680466747524</v>
      </c>
      <c r="N37">
        <f t="shared" si="13"/>
        <v>1.4024908063748336E-2</v>
      </c>
    </row>
    <row r="38" spans="1:14" x14ac:dyDescent="0.45">
      <c r="A38" s="23">
        <v>42374</v>
      </c>
      <c r="B38">
        <v>26.61</v>
      </c>
      <c r="C38">
        <v>26.12</v>
      </c>
      <c r="G38">
        <f t="shared" si="6"/>
        <v>14.643476622380192</v>
      </c>
      <c r="H38">
        <f t="shared" si="7"/>
        <v>4.9250900156791779</v>
      </c>
      <c r="I38">
        <f t="shared" si="8"/>
        <v>15.87169476172202</v>
      </c>
      <c r="J38">
        <f t="shared" si="9"/>
        <v>15.732413226522779</v>
      </c>
      <c r="K38">
        <f t="shared" si="10"/>
        <v>9.1093846065471453</v>
      </c>
      <c r="L38">
        <f t="shared" si="11"/>
        <v>26.660113648821888</v>
      </c>
      <c r="M38">
        <f t="shared" si="12"/>
        <v>-0.83011364882188943</v>
      </c>
      <c r="N38">
        <f t="shared" si="13"/>
        <v>0.6890886699603912</v>
      </c>
    </row>
    <row r="39" spans="1:14" x14ac:dyDescent="0.45">
      <c r="A39" s="23">
        <v>42373</v>
      </c>
      <c r="B39">
        <v>27.11</v>
      </c>
      <c r="C39">
        <v>26.43</v>
      </c>
      <c r="G39">
        <f t="shared" si="6"/>
        <v>14.903464032421448</v>
      </c>
      <c r="H39">
        <f t="shared" si="7"/>
        <v>5.0045978547223511</v>
      </c>
      <c r="I39">
        <f t="shared" si="8"/>
        <v>16.155827209806858</v>
      </c>
      <c r="J39">
        <f t="shared" si="9"/>
        <v>16.015048853321399</v>
      </c>
      <c r="K39">
        <f t="shared" si="10"/>
        <v>9.2701402787854619</v>
      </c>
      <c r="L39">
        <f t="shared" si="11"/>
        <v>27.126408838338691</v>
      </c>
      <c r="M39">
        <f t="shared" si="12"/>
        <v>-0.51640883833869111</v>
      </c>
      <c r="N39">
        <f t="shared" si="13"/>
        <v>0.26667808831431639</v>
      </c>
    </row>
    <row r="40" spans="1:14" x14ac:dyDescent="0.45">
      <c r="A40" s="23">
        <v>42369</v>
      </c>
      <c r="B40">
        <v>27.63</v>
      </c>
      <c r="C40">
        <v>27.48</v>
      </c>
      <c r="G40">
        <f t="shared" si="6"/>
        <v>15.179842593103642</v>
      </c>
      <c r="H40">
        <f t="shared" si="7"/>
        <v>5.0921225197181172</v>
      </c>
      <c r="I40">
        <f t="shared" si="8"/>
        <v>16.456902416544185</v>
      </c>
      <c r="J40">
        <f t="shared" si="9"/>
        <v>16.314060970870031</v>
      </c>
      <c r="K40">
        <f t="shared" si="10"/>
        <v>9.4415972707730358</v>
      </c>
      <c r="L40">
        <f t="shared" si="11"/>
        <v>27.622402287244697</v>
      </c>
      <c r="M40">
        <f t="shared" si="12"/>
        <v>-0.51240228724469716</v>
      </c>
      <c r="N40">
        <f t="shared" si="13"/>
        <v>0.26255610397359713</v>
      </c>
    </row>
    <row r="41" spans="1:14" x14ac:dyDescent="0.45">
      <c r="A41" s="23">
        <v>42368</v>
      </c>
      <c r="B41">
        <v>27.73</v>
      </c>
      <c r="C41">
        <v>27.75</v>
      </c>
      <c r="G41">
        <f t="shared" si="6"/>
        <v>15.230811192283365</v>
      </c>
      <c r="H41">
        <f t="shared" si="7"/>
        <v>5.10705965278125</v>
      </c>
      <c r="I41">
        <f t="shared" si="8"/>
        <v>16.512733497013738</v>
      </c>
      <c r="J41">
        <f t="shared" si="9"/>
        <v>16.369608892139905</v>
      </c>
      <c r="K41">
        <f t="shared" si="10"/>
        <v>9.4730171451705925</v>
      </c>
      <c r="L41">
        <f t="shared" si="11"/>
        <v>27.7136481875363</v>
      </c>
      <c r="M41">
        <f t="shared" si="12"/>
        <v>-8.3648187536301322E-2</v>
      </c>
      <c r="N41">
        <f t="shared" si="13"/>
        <v>6.9970192781082354E-3</v>
      </c>
    </row>
    <row r="42" spans="1:14" x14ac:dyDescent="0.45">
      <c r="A42" s="23">
        <v>42367</v>
      </c>
      <c r="B42">
        <v>27.73</v>
      </c>
      <c r="C42">
        <v>27.91</v>
      </c>
      <c r="G42">
        <f t="shared" si="6"/>
        <v>15.228859074592664</v>
      </c>
      <c r="H42">
        <f t="shared" si="7"/>
        <v>5.1052488435118866</v>
      </c>
      <c r="I42">
        <f t="shared" si="8"/>
        <v>16.511093146630994</v>
      </c>
      <c r="J42">
        <f t="shared" si="9"/>
        <v>16.368268838631092</v>
      </c>
      <c r="K42">
        <f t="shared" si="10"/>
        <v>9.4720169489208956</v>
      </c>
      <c r="L42">
        <f t="shared" si="11"/>
        <v>27.710307422050313</v>
      </c>
      <c r="M42">
        <f t="shared" si="12"/>
        <v>1.9692577949687262E-2</v>
      </c>
      <c r="N42">
        <f t="shared" si="13"/>
        <v>3.8779762630450896E-4</v>
      </c>
    </row>
    <row r="43" spans="1:14" x14ac:dyDescent="0.45">
      <c r="A43" s="23">
        <v>42366</v>
      </c>
      <c r="B43">
        <v>27.52</v>
      </c>
      <c r="C43">
        <v>27.64</v>
      </c>
      <c r="G43">
        <f t="shared" si="6"/>
        <v>15.122121682647476</v>
      </c>
      <c r="H43">
        <f t="shared" si="7"/>
        <v>5.0743963957818154</v>
      </c>
      <c r="I43">
        <f t="shared" si="8"/>
        <v>16.393938590919991</v>
      </c>
      <c r="J43">
        <f t="shared" si="9"/>
        <v>16.251548671334056</v>
      </c>
      <c r="K43">
        <f t="shared" si="10"/>
        <v>9.4058225128996487</v>
      </c>
      <c r="L43">
        <f t="shared" si="11"/>
        <v>27.518976986570159</v>
      </c>
      <c r="M43">
        <f t="shared" si="12"/>
        <v>0.2110230134298412</v>
      </c>
      <c r="N43">
        <f t="shared" si="13"/>
        <v>4.4530712197010942E-2</v>
      </c>
    </row>
    <row r="44" spans="1:14" x14ac:dyDescent="0.45">
      <c r="A44" s="23">
        <v>42362</v>
      </c>
      <c r="B44">
        <v>27.91</v>
      </c>
      <c r="C44">
        <v>27.66</v>
      </c>
      <c r="G44">
        <f t="shared" si="6"/>
        <v>15.324205310033641</v>
      </c>
      <c r="H44">
        <f t="shared" si="7"/>
        <v>5.1355694861598939</v>
      </c>
      <c r="I44">
        <f t="shared" si="8"/>
        <v>16.614838099834312</v>
      </c>
      <c r="J44">
        <f t="shared" si="9"/>
        <v>16.47120760132978</v>
      </c>
      <c r="K44">
        <f t="shared" si="10"/>
        <v>9.5307295743758402</v>
      </c>
      <c r="L44">
        <f t="shared" si="11"/>
        <v>27.881168020298865</v>
      </c>
      <c r="M44">
        <f t="shared" si="12"/>
        <v>-0.36116802029886586</v>
      </c>
      <c r="N44">
        <f t="shared" si="13"/>
        <v>0.13044233888660198</v>
      </c>
    </row>
    <row r="45" spans="1:14" x14ac:dyDescent="0.45">
      <c r="A45" s="23">
        <v>42361</v>
      </c>
      <c r="B45">
        <v>28</v>
      </c>
      <c r="C45">
        <v>27.78</v>
      </c>
      <c r="G45">
        <f t="shared" si="6"/>
        <v>15.381282812301432</v>
      </c>
      <c r="H45">
        <f t="shared" si="7"/>
        <v>5.1583817204717572</v>
      </c>
      <c r="I45">
        <f t="shared" si="8"/>
        <v>16.675542083598575</v>
      </c>
      <c r="J45">
        <f t="shared" si="9"/>
        <v>16.530809989137001</v>
      </c>
      <c r="K45">
        <f t="shared" si="10"/>
        <v>9.5668847590412511</v>
      </c>
      <c r="L45">
        <f t="shared" si="11"/>
        <v>27.984103784277522</v>
      </c>
      <c r="M45">
        <f t="shared" si="12"/>
        <v>-7.4103784277522067E-2</v>
      </c>
      <c r="N45">
        <f t="shared" si="13"/>
        <v>5.4913708442495268E-3</v>
      </c>
    </row>
    <row r="46" spans="1:14" x14ac:dyDescent="0.45">
      <c r="A46" s="23">
        <v>42360</v>
      </c>
      <c r="B46">
        <v>27.62</v>
      </c>
      <c r="C46">
        <v>27.89</v>
      </c>
      <c r="G46">
        <f t="shared" si="6"/>
        <v>15.184262051943852</v>
      </c>
      <c r="H46">
        <f t="shared" si="7"/>
        <v>5.0987313266604088</v>
      </c>
      <c r="I46">
        <f t="shared" si="8"/>
        <v>16.460134982436898</v>
      </c>
      <c r="J46">
        <f t="shared" si="9"/>
        <v>16.316567796764829</v>
      </c>
      <c r="K46">
        <f t="shared" si="10"/>
        <v>9.4449750065089901</v>
      </c>
      <c r="L46">
        <f t="shared" si="11"/>
        <v>27.630881066987449</v>
      </c>
      <c r="M46">
        <f t="shared" si="12"/>
        <v>0.36911893301255105</v>
      </c>
      <c r="N46">
        <f t="shared" si="13"/>
        <v>0.13624878670832416</v>
      </c>
    </row>
    <row r="47" spans="1:14" x14ac:dyDescent="0.45">
      <c r="A47" s="23">
        <v>42359</v>
      </c>
      <c r="B47">
        <v>27.62</v>
      </c>
      <c r="C47">
        <v>27.59</v>
      </c>
      <c r="G47">
        <f t="shared" si="6"/>
        <v>15.189865794084552</v>
      </c>
      <c r="H47">
        <f t="shared" si="7"/>
        <v>5.1037270761652085</v>
      </c>
      <c r="I47">
        <f t="shared" si="8"/>
        <v>16.465494280308917</v>
      </c>
      <c r="J47">
        <f t="shared" si="9"/>
        <v>16.321713871686534</v>
      </c>
      <c r="K47">
        <f t="shared" si="10"/>
        <v>9.448978077228233</v>
      </c>
      <c r="L47">
        <f t="shared" si="11"/>
        <v>27.641641667004073</v>
      </c>
      <c r="M47">
        <f t="shared" si="12"/>
        <v>-2.1641667004072218E-2</v>
      </c>
      <c r="N47">
        <f t="shared" si="13"/>
        <v>4.6836175071514818E-4</v>
      </c>
    </row>
    <row r="48" spans="1:14" x14ac:dyDescent="0.45">
      <c r="A48" s="23">
        <v>42356</v>
      </c>
      <c r="B48">
        <v>27.84</v>
      </c>
      <c r="C48">
        <v>27.46</v>
      </c>
      <c r="G48">
        <f t="shared" si="6"/>
        <v>15.3039575907782</v>
      </c>
      <c r="H48">
        <f t="shared" si="7"/>
        <v>5.1388506756406214</v>
      </c>
      <c r="I48">
        <f t="shared" si="8"/>
        <v>16.590065397375675</v>
      </c>
      <c r="J48">
        <f t="shared" si="9"/>
        <v>16.445562902763125</v>
      </c>
      <c r="K48">
        <f t="shared" si="10"/>
        <v>9.5190522133477824</v>
      </c>
      <c r="L48">
        <f t="shared" si="11"/>
        <v>27.846066767368335</v>
      </c>
      <c r="M48">
        <f t="shared" si="12"/>
        <v>-0.22606676736833364</v>
      </c>
      <c r="N48">
        <f t="shared" si="13"/>
        <v>5.1106183308368282E-2</v>
      </c>
    </row>
    <row r="49" spans="1:14" x14ac:dyDescent="0.45">
      <c r="A49" s="23">
        <v>42355</v>
      </c>
      <c r="B49">
        <v>28.65</v>
      </c>
      <c r="C49">
        <v>28.05</v>
      </c>
      <c r="G49">
        <f t="shared" si="6"/>
        <v>15.722717598102573</v>
      </c>
      <c r="H49">
        <f t="shared" si="7"/>
        <v>5.2648798252947069</v>
      </c>
      <c r="I49">
        <f t="shared" si="8"/>
        <v>17.048191514084646</v>
      </c>
      <c r="J49">
        <f t="shared" si="9"/>
        <v>16.901371233319907</v>
      </c>
      <c r="K49">
        <f t="shared" si="10"/>
        <v>9.7782667713829081</v>
      </c>
      <c r="L49">
        <f t="shared" si="11"/>
        <v>28.596890540250921</v>
      </c>
      <c r="M49">
        <f t="shared" si="12"/>
        <v>-0.75689054025092162</v>
      </c>
      <c r="N49">
        <f t="shared" si="13"/>
        <v>0.57288328992133197</v>
      </c>
    </row>
    <row r="50" spans="1:14" x14ac:dyDescent="0.45">
      <c r="A50" s="23">
        <v>42354</v>
      </c>
      <c r="B50">
        <v>28.52</v>
      </c>
      <c r="C50">
        <v>28.57</v>
      </c>
      <c r="G50">
        <f t="shared" si="6"/>
        <v>15.653902868687966</v>
      </c>
      <c r="H50">
        <f t="shared" si="7"/>
        <v>5.2430496210516262</v>
      </c>
      <c r="I50">
        <f t="shared" si="8"/>
        <v>16.973195091672213</v>
      </c>
      <c r="J50">
        <f t="shared" si="9"/>
        <v>16.826839657720399</v>
      </c>
      <c r="K50">
        <f t="shared" si="10"/>
        <v>9.7357022400276065</v>
      </c>
      <c r="L50">
        <f t="shared" si="11"/>
        <v>28.473372452786798</v>
      </c>
      <c r="M50">
        <f t="shared" si="12"/>
        <v>0.17662754721320084</v>
      </c>
      <c r="N50">
        <f t="shared" si="13"/>
        <v>3.1197290434551491E-2</v>
      </c>
    </row>
    <row r="51" spans="1:14" x14ac:dyDescent="0.45">
      <c r="A51" s="23">
        <v>42353</v>
      </c>
      <c r="B51">
        <v>28.23</v>
      </c>
      <c r="C51">
        <v>28.31</v>
      </c>
      <c r="G51">
        <f t="shared" si="6"/>
        <v>15.505652391899115</v>
      </c>
      <c r="H51">
        <f t="shared" si="7"/>
        <v>5.1992442244351507</v>
      </c>
      <c r="I51">
        <f t="shared" si="8"/>
        <v>16.810749939437372</v>
      </c>
      <c r="J51">
        <f t="shared" si="9"/>
        <v>16.665090579380475</v>
      </c>
      <c r="K51">
        <f t="shared" si="10"/>
        <v>9.6441330419816058</v>
      </c>
      <c r="L51">
        <f t="shared" si="11"/>
        <v>28.207665589933004</v>
      </c>
      <c r="M51">
        <f t="shared" si="12"/>
        <v>0.31233441006699536</v>
      </c>
      <c r="N51">
        <f t="shared" si="13"/>
        <v>9.7552783711898017E-2</v>
      </c>
    </row>
    <row r="52" spans="1:14" x14ac:dyDescent="0.45">
      <c r="A52" s="23">
        <v>42352</v>
      </c>
      <c r="B52">
        <v>28.1</v>
      </c>
      <c r="C52">
        <v>28.04</v>
      </c>
      <c r="G52">
        <f t="shared" si="6"/>
        <v>15.446758236080386</v>
      </c>
      <c r="H52">
        <f t="shared" si="7"/>
        <v>5.1862106453449979</v>
      </c>
      <c r="I52">
        <f t="shared" si="8"/>
        <v>16.744882279230669</v>
      </c>
      <c r="J52">
        <f t="shared" si="9"/>
        <v>16.598915854864142</v>
      </c>
      <c r="K52">
        <f t="shared" si="10"/>
        <v>9.6081045963160605</v>
      </c>
      <c r="L52">
        <f t="shared" si="11"/>
        <v>28.102498332528846</v>
      </c>
      <c r="M52">
        <f t="shared" si="12"/>
        <v>0.12750166747115443</v>
      </c>
      <c r="N52">
        <f t="shared" si="13"/>
        <v>1.6256675207924842E-2</v>
      </c>
    </row>
    <row r="53" spans="1:14" x14ac:dyDescent="0.45">
      <c r="A53" s="23">
        <v>42349</v>
      </c>
      <c r="B53">
        <v>28.19</v>
      </c>
      <c r="C53">
        <v>27.96</v>
      </c>
      <c r="G53">
        <f t="shared" si="6"/>
        <v>15.500639662387494</v>
      </c>
      <c r="H53">
        <f t="shared" si="7"/>
        <v>5.2066099295741095</v>
      </c>
      <c r="I53">
        <f t="shared" si="8"/>
        <v>16.802589144948385</v>
      </c>
      <c r="J53">
        <f t="shared" si="9"/>
        <v>16.655805825315678</v>
      </c>
      <c r="K53">
        <f t="shared" si="10"/>
        <v>9.6418688237406123</v>
      </c>
      <c r="L53">
        <f t="shared" si="11"/>
        <v>28.199555445719728</v>
      </c>
      <c r="M53">
        <f t="shared" si="12"/>
        <v>-9.9555445719726521E-2</v>
      </c>
      <c r="N53">
        <f t="shared" si="13"/>
        <v>9.9112867724534138E-3</v>
      </c>
    </row>
    <row r="54" spans="1:14" x14ac:dyDescent="0.45">
      <c r="A54" s="23">
        <v>42348</v>
      </c>
      <c r="B54">
        <v>28.28</v>
      </c>
      <c r="C54">
        <v>28.57</v>
      </c>
      <c r="G54">
        <f t="shared" si="6"/>
        <v>15.545373021344583</v>
      </c>
      <c r="H54">
        <f t="shared" si="7"/>
        <v>5.2191966628835562</v>
      </c>
      <c r="I54">
        <f t="shared" si="8"/>
        <v>16.851968110711763</v>
      </c>
      <c r="J54">
        <f t="shared" si="9"/>
        <v>16.705244047958697</v>
      </c>
      <c r="K54">
        <f t="shared" si="10"/>
        <v>9.6696105256993974</v>
      </c>
      <c r="L54">
        <f t="shared" si="11"/>
        <v>28.279961596264485</v>
      </c>
      <c r="M54">
        <f t="shared" si="12"/>
        <v>-8.9961596264483745E-2</v>
      </c>
      <c r="N54">
        <f t="shared" si="13"/>
        <v>8.0930888024539765E-3</v>
      </c>
    </row>
    <row r="55" spans="1:14" x14ac:dyDescent="0.45">
      <c r="A55" s="23">
        <v>42347</v>
      </c>
      <c r="B55">
        <v>28.42</v>
      </c>
      <c r="C55">
        <v>28.34</v>
      </c>
      <c r="G55">
        <f t="shared" si="6"/>
        <v>15.628099602961029</v>
      </c>
      <c r="H55">
        <f t="shared" si="7"/>
        <v>5.2502565542566453</v>
      </c>
      <c r="I55">
        <f t="shared" si="8"/>
        <v>16.940699172074876</v>
      </c>
      <c r="J55">
        <f t="shared" si="9"/>
        <v>16.792820593712666</v>
      </c>
      <c r="K55">
        <f t="shared" si="10"/>
        <v>9.7212260517558864</v>
      </c>
      <c r="L55">
        <f t="shared" si="11"/>
        <v>28.428959607206536</v>
      </c>
      <c r="M55">
        <f t="shared" si="12"/>
        <v>-0.14895960720653534</v>
      </c>
      <c r="N55">
        <f t="shared" si="13"/>
        <v>2.2188964579125295E-2</v>
      </c>
    </row>
    <row r="56" spans="1:14" x14ac:dyDescent="0.45">
      <c r="A56" s="23">
        <v>42346</v>
      </c>
      <c r="B56">
        <v>28.93</v>
      </c>
      <c r="C56">
        <v>28.78</v>
      </c>
      <c r="G56">
        <f t="shared" si="6"/>
        <v>15.890612744452799</v>
      </c>
      <c r="H56">
        <f t="shared" si="7"/>
        <v>5.3289153165757321</v>
      </c>
      <c r="I56">
        <f t="shared" si="8"/>
        <v>17.22788513642039</v>
      </c>
      <c r="J56">
        <f t="shared" si="9"/>
        <v>17.078492268098994</v>
      </c>
      <c r="K56">
        <f t="shared" si="10"/>
        <v>9.8831978665206446</v>
      </c>
      <c r="L56">
        <f t="shared" si="11"/>
        <v>28.89929091555225</v>
      </c>
      <c r="M56">
        <f t="shared" si="12"/>
        <v>-0.47929091555224801</v>
      </c>
      <c r="N56">
        <f t="shared" si="13"/>
        <v>0.22971978173091212</v>
      </c>
    </row>
    <row r="57" spans="1:14" x14ac:dyDescent="0.45">
      <c r="A57" s="23">
        <v>42345</v>
      </c>
      <c r="B57">
        <v>29.29</v>
      </c>
      <c r="C57">
        <v>29.05</v>
      </c>
      <c r="G57">
        <f t="shared" si="6"/>
        <v>16.087291039213607</v>
      </c>
      <c r="H57">
        <f t="shared" si="7"/>
        <v>5.3936596415287896</v>
      </c>
      <c r="I57">
        <f t="shared" si="8"/>
        <v>17.44145225488737</v>
      </c>
      <c r="J57">
        <f t="shared" si="9"/>
        <v>17.290314636018753</v>
      </c>
      <c r="K57">
        <f t="shared" si="10"/>
        <v>10.006034757597924</v>
      </c>
      <c r="L57">
        <f t="shared" si="11"/>
        <v>29.252766536888302</v>
      </c>
      <c r="M57">
        <f t="shared" si="12"/>
        <v>-0.32276653688830237</v>
      </c>
      <c r="N57">
        <f t="shared" si="13"/>
        <v>0.10417823733486785</v>
      </c>
    </row>
    <row r="58" spans="1:14" x14ac:dyDescent="0.45">
      <c r="A58" s="23">
        <v>42342</v>
      </c>
      <c r="B58">
        <v>28.72</v>
      </c>
      <c r="C58">
        <v>29.35</v>
      </c>
      <c r="G58">
        <f t="shared" si="6"/>
        <v>15.784204808092733</v>
      </c>
      <c r="H58">
        <f t="shared" si="7"/>
        <v>5.2978826485283461</v>
      </c>
      <c r="I58">
        <f t="shared" si="8"/>
        <v>17.111274573667757</v>
      </c>
      <c r="J58">
        <f t="shared" si="9"/>
        <v>16.962440051248389</v>
      </c>
      <c r="K58">
        <f t="shared" si="10"/>
        <v>9.8178242656079835</v>
      </c>
      <c r="L58">
        <f t="shared" si="11"/>
        <v>28.708870932164718</v>
      </c>
      <c r="M58">
        <f t="shared" si="12"/>
        <v>0.58112906783528118</v>
      </c>
      <c r="N58">
        <f t="shared" si="13"/>
        <v>0.33771099348310285</v>
      </c>
    </row>
    <row r="59" spans="1:14" x14ac:dyDescent="0.45">
      <c r="A59" s="23">
        <v>42341</v>
      </c>
      <c r="B59">
        <v>29</v>
      </c>
      <c r="C59">
        <v>28.59</v>
      </c>
      <c r="G59">
        <f t="shared" si="6"/>
        <v>15.936921849448579</v>
      </c>
      <c r="H59">
        <f t="shared" si="7"/>
        <v>5.3484543755542751</v>
      </c>
      <c r="I59">
        <f t="shared" si="8"/>
        <v>17.27713708723428</v>
      </c>
      <c r="J59">
        <f t="shared" si="9"/>
        <v>17.127054585940936</v>
      </c>
      <c r="K59">
        <f t="shared" si="10"/>
        <v>9.9129741092023629</v>
      </c>
      <c r="L59">
        <f t="shared" si="11"/>
        <v>28.983451450139317</v>
      </c>
      <c r="M59">
        <f t="shared" si="12"/>
        <v>-0.2634514501393177</v>
      </c>
      <c r="N59">
        <f t="shared" si="13"/>
        <v>6.9406666580509396E-2</v>
      </c>
    </row>
    <row r="60" spans="1:14" x14ac:dyDescent="0.45">
      <c r="A60" s="23">
        <v>42340</v>
      </c>
      <c r="B60">
        <v>29.16</v>
      </c>
      <c r="C60">
        <v>28.97</v>
      </c>
      <c r="G60">
        <f t="shared" si="6"/>
        <v>16.010525848801375</v>
      </c>
      <c r="H60">
        <f t="shared" si="7"/>
        <v>5.3659281175236568</v>
      </c>
      <c r="I60">
        <f t="shared" si="8"/>
        <v>17.358931898282044</v>
      </c>
      <c r="J60">
        <f t="shared" si="9"/>
        <v>17.208917313459729</v>
      </c>
      <c r="K60">
        <f t="shared" si="10"/>
        <v>9.9573664622209552</v>
      </c>
      <c r="L60">
        <f t="shared" si="11"/>
        <v>29.114528388939789</v>
      </c>
      <c r="M60">
        <f t="shared" si="12"/>
        <v>-0.11452838893978878</v>
      </c>
      <c r="N60">
        <f t="shared" si="13"/>
        <v>1.3116751873143534E-2</v>
      </c>
    </row>
    <row r="61" spans="1:14" x14ac:dyDescent="0.45">
      <c r="A61" s="23">
        <v>42339</v>
      </c>
      <c r="B61">
        <v>29.75</v>
      </c>
      <c r="C61">
        <v>29.05</v>
      </c>
      <c r="G61">
        <f t="shared" si="6"/>
        <v>16.309633150209613</v>
      </c>
      <c r="H61">
        <f t="shared" si="7"/>
        <v>5.4522567922088498</v>
      </c>
      <c r="I61">
        <f t="shared" si="8"/>
        <v>17.687355178616578</v>
      </c>
      <c r="J61">
        <f t="shared" si="9"/>
        <v>17.536242637214023</v>
      </c>
      <c r="K61">
        <f t="shared" si="10"/>
        <v>10.14265520741748</v>
      </c>
      <c r="L61">
        <f t="shared" si="11"/>
        <v>29.650730630114627</v>
      </c>
      <c r="M61">
        <f t="shared" si="12"/>
        <v>-0.49073063011462636</v>
      </c>
      <c r="N61">
        <f t="shared" si="13"/>
        <v>0.24081655133269825</v>
      </c>
    </row>
    <row r="62" spans="1:14" x14ac:dyDescent="0.45">
      <c r="A62" s="23">
        <v>42338</v>
      </c>
      <c r="B62">
        <v>29.09</v>
      </c>
      <c r="C62">
        <v>29.59</v>
      </c>
      <c r="G62">
        <f t="shared" si="6"/>
        <v>15.970256366056866</v>
      </c>
      <c r="H62">
        <f t="shared" si="7"/>
        <v>5.3510506157296271</v>
      </c>
      <c r="I62">
        <f t="shared" si="8"/>
        <v>17.315616653613112</v>
      </c>
      <c r="J62">
        <f t="shared" si="9"/>
        <v>17.166068616808371</v>
      </c>
      <c r="K62">
        <f t="shared" si="10"/>
        <v>9.9324967355881491</v>
      </c>
      <c r="L62">
        <f t="shared" si="11"/>
        <v>29.042030290126604</v>
      </c>
      <c r="M62">
        <f t="shared" si="12"/>
        <v>0.70796970987339591</v>
      </c>
      <c r="N62">
        <f t="shared" si="13"/>
        <v>0.50122111009822035</v>
      </c>
    </row>
    <row r="63" spans="1:14" x14ac:dyDescent="0.45">
      <c r="A63" s="23">
        <v>42335</v>
      </c>
      <c r="B63">
        <v>29.09</v>
      </c>
      <c r="C63">
        <v>29.1</v>
      </c>
      <c r="G63">
        <f t="shared" si="6"/>
        <v>15.966123691328317</v>
      </c>
      <c r="H63">
        <f t="shared" si="7"/>
        <v>5.3472711052937507</v>
      </c>
      <c r="I63">
        <f t="shared" si="8"/>
        <v>17.311764468283908</v>
      </c>
      <c r="J63">
        <f t="shared" si="9"/>
        <v>17.162459031024103</v>
      </c>
      <c r="K63">
        <f t="shared" si="10"/>
        <v>9.9297486772552634</v>
      </c>
      <c r="L63">
        <f t="shared" si="11"/>
        <v>29.034253522077758</v>
      </c>
      <c r="M63">
        <f t="shared" si="12"/>
        <v>5.5746477922241411E-2</v>
      </c>
      <c r="N63">
        <f t="shared" si="13"/>
        <v>3.1076698007349492E-3</v>
      </c>
    </row>
    <row r="64" spans="1:14" x14ac:dyDescent="0.45">
      <c r="A64" s="23">
        <v>42333</v>
      </c>
      <c r="B64">
        <v>28.78</v>
      </c>
      <c r="C64">
        <v>29</v>
      </c>
      <c r="G64">
        <f t="shared" si="6"/>
        <v>15.802924745596913</v>
      </c>
      <c r="H64">
        <f t="shared" si="7"/>
        <v>5.2962447507367054</v>
      </c>
      <c r="I64">
        <f t="shared" si="8"/>
        <v>17.133928226226615</v>
      </c>
      <c r="J64">
        <f t="shared" si="9"/>
        <v>16.985902119389266</v>
      </c>
      <c r="K64">
        <f t="shared" si="10"/>
        <v>9.8290109129888314</v>
      </c>
      <c r="L64">
        <f t="shared" si="11"/>
        <v>28.741782623678073</v>
      </c>
      <c r="M64">
        <f t="shared" si="12"/>
        <v>0.34821737632192651</v>
      </c>
      <c r="N64">
        <f t="shared" si="13"/>
        <v>0.12125534117252619</v>
      </c>
    </row>
    <row r="65" spans="1:14" x14ac:dyDescent="0.45">
      <c r="A65" s="23">
        <v>42332</v>
      </c>
      <c r="B65">
        <v>28.42</v>
      </c>
      <c r="C65">
        <v>29</v>
      </c>
      <c r="G65">
        <f t="shared" si="6"/>
        <v>15.619250677536437</v>
      </c>
      <c r="H65">
        <f t="shared" si="7"/>
        <v>5.2426364932093508</v>
      </c>
      <c r="I65">
        <f t="shared" si="8"/>
        <v>16.932459684531921</v>
      </c>
      <c r="J65">
        <f t="shared" si="9"/>
        <v>16.785217779040543</v>
      </c>
      <c r="K65">
        <f t="shared" si="10"/>
        <v>9.7151363163773166</v>
      </c>
      <c r="L65">
        <f t="shared" si="11"/>
        <v>28.412482158166434</v>
      </c>
      <c r="M65">
        <f t="shared" si="12"/>
        <v>0.36751784183356762</v>
      </c>
      <c r="N65">
        <f t="shared" si="13"/>
        <v>0.13506936406600323</v>
      </c>
    </row>
    <row r="66" spans="1:14" x14ac:dyDescent="0.45">
      <c r="A66" s="23">
        <v>42331</v>
      </c>
      <c r="B66">
        <v>28.92</v>
      </c>
      <c r="C66">
        <v>28.84</v>
      </c>
      <c r="G66">
        <f t="shared" ref="G66:K66" si="14">SUMPRODUCT($B66:$B70,P$2:P$6)</f>
        <v>15.872989127577233</v>
      </c>
      <c r="H66">
        <f t="shared" si="14"/>
        <v>5.3164429692080608</v>
      </c>
      <c r="I66">
        <f t="shared" si="14"/>
        <v>17.210767803276724</v>
      </c>
      <c r="J66">
        <f t="shared" si="14"/>
        <v>17.062399545556822</v>
      </c>
      <c r="K66">
        <f t="shared" si="14"/>
        <v>9.8717311832436216</v>
      </c>
      <c r="L66">
        <f t="shared" ref="L66:L129" si="15">(G66+$P$7)*$U$2+(H66+$Q$7)*$U$3+(I66+$R$7)*$U$4+(J66+$S$7)*$U$5+(K66+$T$7)*$U$6+$U$7</f>
        <v>28.867023691805528</v>
      </c>
      <c r="M66">
        <f t="shared" si="12"/>
        <v>-0.44702369180552637</v>
      </c>
      <c r="N66">
        <f t="shared" si="13"/>
        <v>0.19983018103544223</v>
      </c>
    </row>
    <row r="67" spans="1:14" x14ac:dyDescent="0.45">
      <c r="A67" s="23">
        <v>42328</v>
      </c>
      <c r="B67">
        <v>28.99</v>
      </c>
      <c r="C67">
        <v>29.06</v>
      </c>
      <c r="G67">
        <f t="shared" ref="G67:K67" si="16">SUMPRODUCT($B67:$B71,P$2:P$6)</f>
        <v>15.905412990917643</v>
      </c>
      <c r="H67">
        <f t="shared" si="16"/>
        <v>5.3238095644429695</v>
      </c>
      <c r="I67">
        <f t="shared" si="16"/>
        <v>17.246999392798617</v>
      </c>
      <c r="J67">
        <f t="shared" si="16"/>
        <v>17.098793746752044</v>
      </c>
      <c r="K67">
        <f t="shared" si="16"/>
        <v>9.8919060576850679</v>
      </c>
      <c r="L67">
        <f t="shared" si="15"/>
        <v>28.925082996867918</v>
      </c>
      <c r="M67">
        <f t="shared" ref="M67:M130" si="17">B66-L67</f>
        <v>-5.0829968679160231E-3</v>
      </c>
      <c r="N67">
        <f t="shared" ref="N67:N130" si="18">M67^2</f>
        <v>2.5836857159244101E-5</v>
      </c>
    </row>
    <row r="68" spans="1:14" x14ac:dyDescent="0.45">
      <c r="A68" s="23">
        <v>42327</v>
      </c>
      <c r="B68">
        <v>28.56</v>
      </c>
      <c r="C68">
        <v>28.77</v>
      </c>
      <c r="G68">
        <f t="shared" ref="G68:K68" si="19">SUMPRODUCT($B68:$B72,P$2:P$6)</f>
        <v>15.68448579609074</v>
      </c>
      <c r="H68">
        <f t="shared" si="19"/>
        <v>5.2580732002925075</v>
      </c>
      <c r="I68">
        <f t="shared" si="19"/>
        <v>17.004986048375184</v>
      </c>
      <c r="J68">
        <f t="shared" si="19"/>
        <v>16.857807983592259</v>
      </c>
      <c r="K68">
        <f t="shared" si="19"/>
        <v>9.7551060424495883</v>
      </c>
      <c r="L68">
        <f t="shared" si="15"/>
        <v>28.528879087542428</v>
      </c>
      <c r="M68">
        <f t="shared" si="17"/>
        <v>0.46112091245757014</v>
      </c>
      <c r="N68">
        <f t="shared" si="18"/>
        <v>0.21263249590570207</v>
      </c>
    </row>
    <row r="69" spans="1:14" x14ac:dyDescent="0.45">
      <c r="A69" s="23">
        <v>42326</v>
      </c>
      <c r="B69">
        <v>28.62</v>
      </c>
      <c r="C69">
        <v>28.75</v>
      </c>
      <c r="G69">
        <f t="shared" ref="G69:K69" si="20">SUMPRODUCT($B69:$B73,P$2:P$6)</f>
        <v>15.714642261338142</v>
      </c>
      <c r="H69">
        <f t="shared" si="20"/>
        <v>5.2665839093668962</v>
      </c>
      <c r="I69">
        <f t="shared" si="20"/>
        <v>17.038092531915897</v>
      </c>
      <c r="J69">
        <f t="shared" si="20"/>
        <v>16.890759058738887</v>
      </c>
      <c r="K69">
        <f t="shared" si="20"/>
        <v>9.7737108340894618</v>
      </c>
      <c r="L69">
        <f t="shared" si="15"/>
        <v>28.582813463344966</v>
      </c>
      <c r="M69">
        <f t="shared" si="17"/>
        <v>-2.2813463344967033E-2</v>
      </c>
      <c r="N69">
        <f t="shared" si="18"/>
        <v>5.2045410979215437E-4</v>
      </c>
    </row>
    <row r="70" spans="1:14" x14ac:dyDescent="0.45">
      <c r="A70" s="23">
        <v>42325</v>
      </c>
      <c r="B70">
        <v>28.5</v>
      </c>
      <c r="C70">
        <v>28.45</v>
      </c>
      <c r="G70">
        <f t="shared" ref="G70:K70" si="21">SUMPRODUCT($B70:$B74,P$2:P$6)</f>
        <v>15.660556135012127</v>
      </c>
      <c r="H70">
        <f t="shared" si="21"/>
        <v>5.2545927255241729</v>
      </c>
      <c r="I70">
        <f t="shared" si="21"/>
        <v>16.977658857942195</v>
      </c>
      <c r="J70">
        <f t="shared" si="21"/>
        <v>16.830092595841041</v>
      </c>
      <c r="K70">
        <f t="shared" si="21"/>
        <v>9.7409109305935875</v>
      </c>
      <c r="L70">
        <f t="shared" si="15"/>
        <v>28.486393525566488</v>
      </c>
      <c r="M70">
        <f t="shared" si="17"/>
        <v>0.13360647443351326</v>
      </c>
      <c r="N70">
        <f t="shared" si="18"/>
        <v>1.785069001055303E-2</v>
      </c>
    </row>
    <row r="71" spans="1:14" x14ac:dyDescent="0.45">
      <c r="A71" s="23">
        <v>42324</v>
      </c>
      <c r="B71">
        <v>28.29</v>
      </c>
      <c r="C71">
        <v>28.48</v>
      </c>
      <c r="G71">
        <f t="shared" ref="G71:K71" si="22">SUMPRODUCT($B71:$B75,P$2:P$6)</f>
        <v>15.554821682728264</v>
      </c>
      <c r="H71">
        <f t="shared" si="22"/>
        <v>5.2245121830413863</v>
      </c>
      <c r="I71">
        <f t="shared" si="22"/>
        <v>16.861463283060182</v>
      </c>
      <c r="J71">
        <f t="shared" si="22"/>
        <v>16.714265160315858</v>
      </c>
      <c r="K71">
        <f t="shared" si="22"/>
        <v>9.675489422433845</v>
      </c>
      <c r="L71">
        <f t="shared" si="15"/>
        <v>28.296947890166148</v>
      </c>
      <c r="M71">
        <f t="shared" si="17"/>
        <v>0.2030521098338518</v>
      </c>
      <c r="N71">
        <f t="shared" si="18"/>
        <v>4.1230159307978617E-2</v>
      </c>
    </row>
    <row r="72" spans="1:14" x14ac:dyDescent="0.45">
      <c r="A72" s="23">
        <v>42321</v>
      </c>
      <c r="B72">
        <v>28.55</v>
      </c>
      <c r="C72">
        <v>28.19</v>
      </c>
      <c r="G72">
        <f t="shared" ref="G72:K72" si="23">SUMPRODUCT($B72:$B76,P$2:P$6)</f>
        <v>15.698107143576804</v>
      </c>
      <c r="H72">
        <f t="shared" si="23"/>
        <v>5.2727165455783362</v>
      </c>
      <c r="I72">
        <f t="shared" si="23"/>
        <v>17.016809682286322</v>
      </c>
      <c r="J72">
        <f t="shared" si="23"/>
        <v>16.868293500667953</v>
      </c>
      <c r="K72">
        <f t="shared" si="23"/>
        <v>9.7648016241904365</v>
      </c>
      <c r="L72">
        <f t="shared" si="15"/>
        <v>28.55457300261768</v>
      </c>
      <c r="M72">
        <f t="shared" si="17"/>
        <v>-0.26457300261768069</v>
      </c>
      <c r="N72">
        <f t="shared" si="18"/>
        <v>6.9998873714135268E-2</v>
      </c>
    </row>
    <row r="73" spans="1:14" x14ac:dyDescent="0.45">
      <c r="A73" s="23">
        <v>42320</v>
      </c>
      <c r="B73">
        <v>28.67</v>
      </c>
      <c r="C73">
        <v>28.56</v>
      </c>
      <c r="G73">
        <f t="shared" ref="G73:K73" si="24">SUMPRODUCT($B73:$B77,P$2:P$6)</f>
        <v>15.757935325717249</v>
      </c>
      <c r="H73">
        <f t="shared" si="24"/>
        <v>5.2898064559689093</v>
      </c>
      <c r="I73">
        <f t="shared" si="24"/>
        <v>17.082590330956997</v>
      </c>
      <c r="J73">
        <f t="shared" si="24"/>
        <v>16.933929338253982</v>
      </c>
      <c r="K73">
        <f t="shared" si="24"/>
        <v>9.8014821455496808</v>
      </c>
      <c r="L73">
        <f t="shared" si="15"/>
        <v>28.661737172212991</v>
      </c>
      <c r="M73">
        <f t="shared" si="17"/>
        <v>-0.11173717221299029</v>
      </c>
      <c r="N73">
        <f t="shared" si="18"/>
        <v>1.248519565415545E-2</v>
      </c>
    </row>
    <row r="74" spans="1:14" x14ac:dyDescent="0.45">
      <c r="A74" s="23">
        <v>42319</v>
      </c>
      <c r="B74">
        <v>29.1</v>
      </c>
      <c r="C74">
        <v>28.95</v>
      </c>
      <c r="G74">
        <f t="shared" ref="G74:K74" si="25">SUMPRODUCT($B74:$B78,P$2:P$6)</f>
        <v>15.982437390710164</v>
      </c>
      <c r="H74">
        <f t="shared" si="25"/>
        <v>5.358714843898138</v>
      </c>
      <c r="I74">
        <f t="shared" si="25"/>
        <v>17.327892816726095</v>
      </c>
      <c r="J74">
        <f t="shared" si="25"/>
        <v>17.177926151796825</v>
      </c>
      <c r="K74">
        <f t="shared" si="25"/>
        <v>9.9406357876400371</v>
      </c>
      <c r="L74">
        <f t="shared" si="15"/>
        <v>29.064553747409889</v>
      </c>
      <c r="M74">
        <f t="shared" si="17"/>
        <v>-0.39455374740988702</v>
      </c>
      <c r="N74">
        <f t="shared" si="18"/>
        <v>0.15567265959518492</v>
      </c>
    </row>
    <row r="75" spans="1:14" x14ac:dyDescent="0.45">
      <c r="A75" s="23">
        <v>42318</v>
      </c>
      <c r="B75">
        <v>29.18</v>
      </c>
      <c r="C75">
        <v>29.14</v>
      </c>
      <c r="G75">
        <f t="shared" ref="G75:K75" si="26">SUMPRODUCT($B75:$B79,P$2:P$6)</f>
        <v>16.020613463912952</v>
      </c>
      <c r="H75">
        <f t="shared" si="26"/>
        <v>5.3685652626099243</v>
      </c>
      <c r="I75">
        <f t="shared" si="26"/>
        <v>17.370069231662686</v>
      </c>
      <c r="J75">
        <f t="shared" si="26"/>
        <v>17.220021310488676</v>
      </c>
      <c r="K75">
        <f t="shared" si="26"/>
        <v>9.9638092992292737</v>
      </c>
      <c r="L75">
        <f t="shared" si="15"/>
        <v>29.132626827594596</v>
      </c>
      <c r="M75">
        <f t="shared" si="17"/>
        <v>-3.2626827594594232E-2</v>
      </c>
      <c r="N75">
        <f t="shared" si="18"/>
        <v>1.0645098788873756E-3</v>
      </c>
    </row>
    <row r="76" spans="1:14" x14ac:dyDescent="0.45">
      <c r="A76" s="23">
        <v>42317</v>
      </c>
      <c r="B76">
        <v>29.38</v>
      </c>
      <c r="C76">
        <v>29.18</v>
      </c>
      <c r="G76">
        <f t="shared" ref="G76:K76" si="27">SUMPRODUCT($B76:$B80,P$2:P$6)</f>
        <v>16.115001525622919</v>
      </c>
      <c r="H76">
        <f t="shared" si="27"/>
        <v>5.3917192761117594</v>
      </c>
      <c r="I76">
        <f t="shared" si="27"/>
        <v>17.474938946009896</v>
      </c>
      <c r="J76">
        <f t="shared" si="27"/>
        <v>17.325070764240085</v>
      </c>
      <c r="K76">
        <f t="shared" si="27"/>
        <v>10.021933576897045</v>
      </c>
      <c r="L76">
        <f t="shared" si="15"/>
        <v>29.301439007238486</v>
      </c>
      <c r="M76">
        <f t="shared" si="17"/>
        <v>-0.12143900723848589</v>
      </c>
      <c r="N76">
        <f t="shared" si="18"/>
        <v>1.4747432479069027E-2</v>
      </c>
    </row>
    <row r="77" spans="1:14" x14ac:dyDescent="0.45">
      <c r="A77" s="23">
        <v>42314</v>
      </c>
      <c r="B77">
        <v>29.03</v>
      </c>
      <c r="C77">
        <v>29.4</v>
      </c>
      <c r="G77">
        <f t="shared" ref="G77:K77" si="28">SUMPRODUCT($B77:$B81,P$2:P$6)</f>
        <v>15.922566396872256</v>
      </c>
      <c r="H77">
        <f t="shared" si="28"/>
        <v>5.3272695597651474</v>
      </c>
      <c r="I77">
        <f t="shared" si="28"/>
        <v>17.26638840644604</v>
      </c>
      <c r="J77">
        <f t="shared" si="28"/>
        <v>17.11843627140437</v>
      </c>
      <c r="K77">
        <f t="shared" si="28"/>
        <v>9.9022311644295193</v>
      </c>
      <c r="L77">
        <f t="shared" si="15"/>
        <v>28.955778432570764</v>
      </c>
      <c r="M77">
        <f t="shared" si="17"/>
        <v>0.42422156742923534</v>
      </c>
      <c r="N77">
        <f t="shared" si="18"/>
        <v>0.17996393827211726</v>
      </c>
    </row>
    <row r="78" spans="1:14" x14ac:dyDescent="0.45">
      <c r="A78" s="23">
        <v>42313</v>
      </c>
      <c r="B78">
        <v>28.92</v>
      </c>
      <c r="C78">
        <v>29.3</v>
      </c>
      <c r="G78">
        <f t="shared" ref="G78:K78" si="29">SUMPRODUCT($B78:$B82,P$2:P$6)</f>
        <v>15.867236561544035</v>
      </c>
      <c r="H78">
        <f t="shared" si="29"/>
        <v>5.3114324520101706</v>
      </c>
      <c r="I78">
        <f t="shared" si="29"/>
        <v>17.205441562053128</v>
      </c>
      <c r="J78">
        <f t="shared" si="29"/>
        <v>17.057506438604857</v>
      </c>
      <c r="K78">
        <f t="shared" si="29"/>
        <v>9.8678468204966183</v>
      </c>
      <c r="L78">
        <f t="shared" si="15"/>
        <v>28.856350359941889</v>
      </c>
      <c r="M78">
        <f t="shared" si="17"/>
        <v>0.17364964005811245</v>
      </c>
      <c r="N78">
        <f t="shared" si="18"/>
        <v>3.0154197492312015E-2</v>
      </c>
    </row>
    <row r="79" spans="1:14" x14ac:dyDescent="0.45">
      <c r="A79" s="23">
        <v>42312</v>
      </c>
      <c r="B79">
        <v>28.9</v>
      </c>
      <c r="C79">
        <v>29.3</v>
      </c>
      <c r="G79">
        <f t="shared" ref="G79:K79" si="30">SUMPRODUCT($B79:$B83,P$2:P$6)</f>
        <v>15.847044731263601</v>
      </c>
      <c r="H79">
        <f t="shared" si="30"/>
        <v>5.2994879855754622</v>
      </c>
      <c r="I79">
        <f t="shared" si="30"/>
        <v>17.184947953843416</v>
      </c>
      <c r="J79">
        <f t="shared" si="30"/>
        <v>17.037690534225487</v>
      </c>
      <c r="K79">
        <f t="shared" si="30"/>
        <v>9.8548152071630835</v>
      </c>
      <c r="L79">
        <f t="shared" si="15"/>
        <v>28.819334169419729</v>
      </c>
      <c r="M79">
        <f t="shared" si="17"/>
        <v>0.10066583058027234</v>
      </c>
      <c r="N79">
        <f t="shared" si="18"/>
        <v>1.0133609446416093E-2</v>
      </c>
    </row>
    <row r="80" spans="1:14" x14ac:dyDescent="0.45">
      <c r="A80" s="23">
        <v>42311</v>
      </c>
      <c r="B80">
        <v>28.41</v>
      </c>
      <c r="C80">
        <v>28.9</v>
      </c>
      <c r="G80">
        <f t="shared" ref="G80:K80" si="31">SUMPRODUCT($B80:$B84,P$2:P$6)</f>
        <v>15.599138868470554</v>
      </c>
      <c r="H80">
        <f t="shared" si="31"/>
        <v>5.2273845731660273</v>
      </c>
      <c r="I80">
        <f t="shared" si="31"/>
        <v>16.913053145497155</v>
      </c>
      <c r="J80">
        <f t="shared" si="31"/>
        <v>16.766899173257457</v>
      </c>
      <c r="K80">
        <f t="shared" si="31"/>
        <v>9.7022973825079024</v>
      </c>
      <c r="L80">
        <f t="shared" si="15"/>
        <v>28.375422175544564</v>
      </c>
      <c r="M80">
        <f t="shared" si="17"/>
        <v>0.52457782445543444</v>
      </c>
      <c r="N80">
        <f t="shared" si="18"/>
        <v>0.2751818939103966</v>
      </c>
    </row>
    <row r="81" spans="1:14" x14ac:dyDescent="0.45">
      <c r="A81" s="23">
        <v>42310</v>
      </c>
      <c r="B81">
        <v>27.73</v>
      </c>
      <c r="C81">
        <v>28.5</v>
      </c>
      <c r="G81">
        <f t="shared" ref="G81:K81" si="32">SUMPRODUCT($B81:$B85,P$2:P$6)</f>
        <v>15.24338934716415</v>
      </c>
      <c r="H81">
        <f t="shared" si="32"/>
        <v>5.1182463467368891</v>
      </c>
      <c r="I81">
        <f t="shared" si="32"/>
        <v>16.524424292521772</v>
      </c>
      <c r="J81">
        <f t="shared" si="32"/>
        <v>16.380453175813198</v>
      </c>
      <c r="K81">
        <f t="shared" si="32"/>
        <v>9.4814745262500768</v>
      </c>
      <c r="L81">
        <f t="shared" si="15"/>
        <v>27.737147966197071</v>
      </c>
      <c r="M81">
        <f t="shared" si="17"/>
        <v>0.67285203380292913</v>
      </c>
      <c r="N81">
        <f t="shared" si="18"/>
        <v>0.45272985939273808</v>
      </c>
    </row>
    <row r="82" spans="1:14" x14ac:dyDescent="0.45">
      <c r="A82" s="23">
        <v>42307</v>
      </c>
      <c r="B82">
        <v>28.24</v>
      </c>
      <c r="C82">
        <v>27.9</v>
      </c>
      <c r="G82">
        <f t="shared" ref="G82:K82" si="33">SUMPRODUCT($B82:$B86,P$2:P$6)</f>
        <v>15.504541678483346</v>
      </c>
      <c r="H82">
        <f t="shared" si="33"/>
        <v>5.195491435642543</v>
      </c>
      <c r="I82">
        <f t="shared" si="33"/>
        <v>16.810681598729307</v>
      </c>
      <c r="J82">
        <f t="shared" si="33"/>
        <v>16.665600509871936</v>
      </c>
      <c r="K82">
        <f t="shared" si="33"/>
        <v>9.6431621985810132</v>
      </c>
      <c r="L82">
        <f t="shared" si="15"/>
        <v>28.205508865253083</v>
      </c>
      <c r="M82">
        <f t="shared" si="17"/>
        <v>-0.475508865253083</v>
      </c>
      <c r="N82">
        <f t="shared" si="18"/>
        <v>0.22610868093427464</v>
      </c>
    </row>
    <row r="83" spans="1:14" x14ac:dyDescent="0.45">
      <c r="A83" s="23">
        <v>42306</v>
      </c>
      <c r="B83">
        <v>28.21</v>
      </c>
      <c r="C83">
        <v>28.18</v>
      </c>
      <c r="G83">
        <f t="shared" ref="G83:K83" si="34">SUMPRODUCT($B83:$B87,P$2:P$6)</f>
        <v>15.486888683973852</v>
      </c>
      <c r="H83">
        <f t="shared" si="34"/>
        <v>5.1891512762671468</v>
      </c>
      <c r="I83">
        <f t="shared" si="34"/>
        <v>16.791607646335056</v>
      </c>
      <c r="J83">
        <f t="shared" si="34"/>
        <v>16.646688002388977</v>
      </c>
      <c r="K83">
        <f t="shared" si="34"/>
        <v>9.6318296634530949</v>
      </c>
      <c r="L83">
        <f t="shared" si="15"/>
        <v>28.173556734002734</v>
      </c>
      <c r="M83">
        <f t="shared" si="17"/>
        <v>6.6443265997264689E-2</v>
      </c>
      <c r="N83">
        <f t="shared" si="18"/>
        <v>4.4147075963832704E-3</v>
      </c>
    </row>
    <row r="84" spans="1:14" x14ac:dyDescent="0.45">
      <c r="A84" s="23">
        <v>42305</v>
      </c>
      <c r="B84">
        <v>28.47</v>
      </c>
      <c r="C84">
        <v>28.25</v>
      </c>
      <c r="G84">
        <f t="shared" ref="G84:K84" si="35">SUMPRODUCT($B84:$B88,P$2:P$6)</f>
        <v>15.598133218544998</v>
      </c>
      <c r="H84">
        <f t="shared" si="35"/>
        <v>5.2095303749920978</v>
      </c>
      <c r="I84">
        <f t="shared" si="35"/>
        <v>16.917244169622791</v>
      </c>
      <c r="J84">
        <f t="shared" si="35"/>
        <v>16.773391295874806</v>
      </c>
      <c r="K84">
        <f t="shared" si="35"/>
        <v>9.699398751088113</v>
      </c>
      <c r="L84">
        <f t="shared" si="15"/>
        <v>28.371677676789986</v>
      </c>
      <c r="M84">
        <f t="shared" si="17"/>
        <v>-0.16167767678998501</v>
      </c>
      <c r="N84">
        <f t="shared" si="18"/>
        <v>2.613967117220686E-2</v>
      </c>
    </row>
    <row r="85" spans="1:14" x14ac:dyDescent="0.45">
      <c r="A85" s="23">
        <v>42304</v>
      </c>
      <c r="B85">
        <v>28.21</v>
      </c>
      <c r="C85">
        <v>28.37</v>
      </c>
      <c r="G85">
        <f t="shared" ref="G85:K85" si="36">SUMPRODUCT($B85:$B89,P$2:P$6)</f>
        <v>15.431039888628236</v>
      </c>
      <c r="H85">
        <f t="shared" si="36"/>
        <v>5.1406400549257292</v>
      </c>
      <c r="I85">
        <f t="shared" si="36"/>
        <v>16.740159269229956</v>
      </c>
      <c r="J85">
        <f t="shared" si="36"/>
        <v>16.599754420203475</v>
      </c>
      <c r="K85">
        <f t="shared" si="36"/>
        <v>9.5944734432187779</v>
      </c>
      <c r="L85">
        <f t="shared" si="15"/>
        <v>28.070476651165492</v>
      </c>
      <c r="M85">
        <f t="shared" si="17"/>
        <v>0.39952334883450646</v>
      </c>
      <c r="N85">
        <f t="shared" si="18"/>
        <v>0.15961890626393874</v>
      </c>
    </row>
    <row r="86" spans="1:14" x14ac:dyDescent="0.45">
      <c r="A86" s="23">
        <v>42303</v>
      </c>
      <c r="B86">
        <v>27.74</v>
      </c>
      <c r="C86">
        <v>28.17</v>
      </c>
      <c r="G86">
        <f t="shared" ref="G86:K86" si="37">SUMPRODUCT($B86:$B90,P$2:P$6)</f>
        <v>15.175025587681709</v>
      </c>
      <c r="H86">
        <f t="shared" si="37"/>
        <v>5.0562097599399571</v>
      </c>
      <c r="I86">
        <f t="shared" si="37"/>
        <v>16.461930081537933</v>
      </c>
      <c r="J86">
        <f t="shared" si="37"/>
        <v>16.323500323679635</v>
      </c>
      <c r="K86">
        <f t="shared" si="37"/>
        <v>9.4347046567832891</v>
      </c>
      <c r="L86">
        <f t="shared" si="15"/>
        <v>27.61000885948711</v>
      </c>
      <c r="M86">
        <f t="shared" si="17"/>
        <v>0.59999114051289126</v>
      </c>
      <c r="N86">
        <f t="shared" si="18"/>
        <v>0.35998936869396003</v>
      </c>
    </row>
    <row r="87" spans="1:14" x14ac:dyDescent="0.45">
      <c r="A87" s="23">
        <v>42300</v>
      </c>
      <c r="B87">
        <v>27.73</v>
      </c>
      <c r="C87">
        <v>28.16</v>
      </c>
      <c r="G87">
        <f t="shared" ref="G87:K87" si="38">SUMPRODUCT($B87:$B91,P$2:P$6)</f>
        <v>15.141910604891882</v>
      </c>
      <c r="H87">
        <f t="shared" si="38"/>
        <v>5.0297127504488373</v>
      </c>
      <c r="I87">
        <f t="shared" si="38"/>
        <v>16.430156611874033</v>
      </c>
      <c r="J87">
        <f t="shared" si="38"/>
        <v>16.293462469685764</v>
      </c>
      <c r="K87">
        <f t="shared" si="38"/>
        <v>9.4125255371713585</v>
      </c>
      <c r="L87">
        <f t="shared" si="15"/>
        <v>27.548226503207079</v>
      </c>
      <c r="M87">
        <f t="shared" si="17"/>
        <v>0.19177349679291922</v>
      </c>
      <c r="N87">
        <f t="shared" si="18"/>
        <v>3.67770740721838E-2</v>
      </c>
    </row>
    <row r="88" spans="1:14" x14ac:dyDescent="0.45">
      <c r="A88" s="23">
        <v>42299</v>
      </c>
      <c r="B88">
        <v>26.5</v>
      </c>
      <c r="C88">
        <v>27.58</v>
      </c>
      <c r="G88">
        <f t="shared" ref="G88:K88" si="39">SUMPRODUCT($B88:$B92,P$2:P$6)</f>
        <v>14.49501306208156</v>
      </c>
      <c r="H88">
        <f t="shared" si="39"/>
        <v>4.8272803739868797</v>
      </c>
      <c r="I88">
        <f t="shared" si="39"/>
        <v>15.724714623767918</v>
      </c>
      <c r="J88">
        <f t="shared" si="39"/>
        <v>15.592479950595724</v>
      </c>
      <c r="K88">
        <f t="shared" si="39"/>
        <v>9.0128251972094819</v>
      </c>
      <c r="L88">
        <f t="shared" si="15"/>
        <v>26.387978325234133</v>
      </c>
      <c r="M88">
        <f t="shared" si="17"/>
        <v>1.3420216747658671</v>
      </c>
      <c r="N88">
        <f t="shared" si="18"/>
        <v>1.8010221755413827</v>
      </c>
    </row>
    <row r="89" spans="1:14" x14ac:dyDescent="0.45">
      <c r="A89" s="23">
        <v>42298</v>
      </c>
      <c r="B89">
        <v>24.42</v>
      </c>
      <c r="C89">
        <v>24.21</v>
      </c>
      <c r="G89">
        <f t="shared" ref="G89:K89" si="40">SUMPRODUCT($B89:$B93,P$2:P$6)</f>
        <v>13.409346256175283</v>
      </c>
      <c r="H89">
        <f t="shared" si="40"/>
        <v>4.4946111361441439</v>
      </c>
      <c r="I89">
        <f t="shared" si="40"/>
        <v>14.53858447236561</v>
      </c>
      <c r="J89">
        <f t="shared" si="40"/>
        <v>14.412920259221744</v>
      </c>
      <c r="K89">
        <f t="shared" si="40"/>
        <v>8.3400044842867729</v>
      </c>
      <c r="L89">
        <f t="shared" si="15"/>
        <v>24.440485113802588</v>
      </c>
      <c r="M89">
        <f t="shared" si="17"/>
        <v>2.0595148861974124</v>
      </c>
      <c r="N89">
        <f t="shared" si="18"/>
        <v>4.2416015664687405</v>
      </c>
    </row>
    <row r="90" spans="1:14" x14ac:dyDescent="0.45">
      <c r="A90" s="23">
        <v>42297</v>
      </c>
      <c r="B90">
        <v>24.56</v>
      </c>
      <c r="C90">
        <v>24.42</v>
      </c>
      <c r="G90">
        <f t="shared" ref="G90:K90" si="41">SUMPRODUCT($B90:$B94,P$2:P$6)</f>
        <v>13.490422237510165</v>
      </c>
      <c r="H90">
        <f t="shared" si="41"/>
        <v>4.523867694229418</v>
      </c>
      <c r="I90">
        <f t="shared" si="41"/>
        <v>14.625770365681234</v>
      </c>
      <c r="J90">
        <f t="shared" si="41"/>
        <v>14.49897450619069</v>
      </c>
      <c r="K90">
        <f t="shared" si="41"/>
        <v>8.3906484529145278</v>
      </c>
      <c r="L90">
        <f t="shared" si="15"/>
        <v>24.586266678200353</v>
      </c>
      <c r="M90">
        <f t="shared" si="17"/>
        <v>-0.16626667820035124</v>
      </c>
      <c r="N90">
        <f t="shared" si="18"/>
        <v>2.7644608279779152E-2</v>
      </c>
    </row>
    <row r="91" spans="1:14" x14ac:dyDescent="0.45">
      <c r="A91" s="23">
        <v>42296</v>
      </c>
      <c r="B91">
        <v>24.54</v>
      </c>
      <c r="C91">
        <v>24.56</v>
      </c>
      <c r="G91">
        <f t="shared" ref="G91:K91" si="42">SUMPRODUCT($B91:$B95,P$2:P$6)</f>
        <v>13.472535794582663</v>
      </c>
      <c r="H91">
        <f t="shared" si="42"/>
        <v>4.5142029474505811</v>
      </c>
      <c r="I91">
        <f t="shared" si="42"/>
        <v>14.607428422509146</v>
      </c>
      <c r="J91">
        <f t="shared" si="42"/>
        <v>14.481216932371717</v>
      </c>
      <c r="K91">
        <f t="shared" si="42"/>
        <v>8.3790745727782454</v>
      </c>
      <c r="L91">
        <f t="shared" si="15"/>
        <v>24.553650996693975</v>
      </c>
      <c r="M91">
        <f t="shared" si="17"/>
        <v>6.3490033060240592E-3</v>
      </c>
      <c r="N91">
        <f t="shared" si="18"/>
        <v>4.030984297990443E-5</v>
      </c>
    </row>
    <row r="92" spans="1:14" x14ac:dyDescent="0.45">
      <c r="A92" s="23">
        <v>42293</v>
      </c>
      <c r="B92">
        <v>24.46</v>
      </c>
      <c r="C92">
        <v>24.55</v>
      </c>
      <c r="G92">
        <f t="shared" ref="G92:K92" si="43">SUMPRODUCT($B92:$B96,P$2:P$6)</f>
        <v>13.429795223193311</v>
      </c>
      <c r="H92">
        <f t="shared" si="43"/>
        <v>4.500363668594189</v>
      </c>
      <c r="I92">
        <f t="shared" si="43"/>
        <v>14.561155143337972</v>
      </c>
      <c r="J92">
        <f t="shared" si="43"/>
        <v>14.435503781636513</v>
      </c>
      <c r="K92">
        <f t="shared" si="43"/>
        <v>8.3530314271686326</v>
      </c>
      <c r="L92">
        <f t="shared" si="15"/>
        <v>24.477350729176294</v>
      </c>
      <c r="M92">
        <f t="shared" si="17"/>
        <v>6.2649270823705194E-2</v>
      </c>
      <c r="N92">
        <f t="shared" si="18"/>
        <v>3.9249311347419593E-3</v>
      </c>
    </row>
    <row r="93" spans="1:14" x14ac:dyDescent="0.45">
      <c r="A93" s="23">
        <v>42292</v>
      </c>
      <c r="B93">
        <v>24.15</v>
      </c>
      <c r="C93">
        <v>24.51</v>
      </c>
      <c r="G93">
        <f t="shared" ref="G93:K93" si="44">SUMPRODUCT($B93:$B97,P$2:P$6)</f>
        <v>13.270574271064001</v>
      </c>
      <c r="H93">
        <f t="shared" si="44"/>
        <v>4.4534282112324872</v>
      </c>
      <c r="I93">
        <f t="shared" si="44"/>
        <v>14.386557154003134</v>
      </c>
      <c r="J93">
        <f t="shared" si="44"/>
        <v>14.261553014127212</v>
      </c>
      <c r="K93">
        <f t="shared" si="44"/>
        <v>8.2539789272122324</v>
      </c>
      <c r="L93">
        <f t="shared" si="15"/>
        <v>24.19162234335592</v>
      </c>
      <c r="M93">
        <f t="shared" si="17"/>
        <v>0.26837765664408053</v>
      </c>
      <c r="N93">
        <f t="shared" si="18"/>
        <v>7.2026566585767976E-2</v>
      </c>
    </row>
    <row r="94" spans="1:14" x14ac:dyDescent="0.45">
      <c r="A94" s="23">
        <v>42291</v>
      </c>
      <c r="B94">
        <v>24.79</v>
      </c>
      <c r="C94">
        <v>24</v>
      </c>
      <c r="G94">
        <f t="shared" ref="G94:K94" si="45">SUMPRODUCT($B94:$B98,P$2:P$6)</f>
        <v>13.607487231713918</v>
      </c>
      <c r="H94">
        <f t="shared" si="45"/>
        <v>4.5580783765501636</v>
      </c>
      <c r="I94">
        <f t="shared" si="45"/>
        <v>14.754052620198413</v>
      </c>
      <c r="J94">
        <f t="shared" si="45"/>
        <v>14.626640038409512</v>
      </c>
      <c r="K94">
        <f t="shared" si="45"/>
        <v>8.4628398965288945</v>
      </c>
      <c r="L94">
        <f t="shared" si="15"/>
        <v>24.795870137142352</v>
      </c>
      <c r="M94">
        <f t="shared" si="17"/>
        <v>-0.64587013714235297</v>
      </c>
      <c r="N94">
        <f t="shared" si="18"/>
        <v>0.41714823405228185</v>
      </c>
    </row>
    <row r="95" spans="1:14" x14ac:dyDescent="0.45">
      <c r="A95" s="23">
        <v>42290</v>
      </c>
      <c r="B95">
        <v>24.53</v>
      </c>
      <c r="C95">
        <v>24.62</v>
      </c>
      <c r="G95">
        <f t="shared" ref="G95:K95" si="46">SUMPRODUCT($B95:$B99,P$2:P$6)</f>
        <v>13.486367025592628</v>
      </c>
      <c r="H95">
        <f t="shared" si="46"/>
        <v>4.5286800230198381</v>
      </c>
      <c r="I95">
        <f t="shared" si="46"/>
        <v>14.619379135879996</v>
      </c>
      <c r="J95">
        <f t="shared" si="46"/>
        <v>14.491662298602195</v>
      </c>
      <c r="K95">
        <f t="shared" si="46"/>
        <v>8.3889668289297337</v>
      </c>
      <c r="L95">
        <f t="shared" si="15"/>
        <v>24.579490101053018</v>
      </c>
      <c r="M95">
        <f t="shared" si="17"/>
        <v>0.21050989894698091</v>
      </c>
      <c r="N95">
        <f t="shared" si="18"/>
        <v>4.4314417554668112E-2</v>
      </c>
    </row>
    <row r="96" spans="1:14" x14ac:dyDescent="0.45">
      <c r="A96" s="23">
        <v>42289</v>
      </c>
      <c r="B96">
        <v>24.04</v>
      </c>
      <c r="C96">
        <v>24.56</v>
      </c>
      <c r="G96">
        <f t="shared" ref="G96:K96" si="47">SUMPRODUCT($B96:$B100,P$2:P$6)</f>
        <v>13.236990752707493</v>
      </c>
      <c r="H96">
        <f t="shared" si="47"/>
        <v>4.4559145395346205</v>
      </c>
      <c r="I96">
        <f t="shared" si="47"/>
        <v>14.346024582063064</v>
      </c>
      <c r="J96">
        <f t="shared" si="47"/>
        <v>14.219557929464585</v>
      </c>
      <c r="K96">
        <f t="shared" si="47"/>
        <v>8.2350117353666601</v>
      </c>
      <c r="L96">
        <f t="shared" si="15"/>
        <v>24.132868833187594</v>
      </c>
      <c r="M96">
        <f t="shared" si="17"/>
        <v>0.39713116681240734</v>
      </c>
      <c r="N96">
        <f t="shared" si="18"/>
        <v>0.1577131636537841</v>
      </c>
    </row>
    <row r="97" spans="1:14" x14ac:dyDescent="0.45">
      <c r="A97" s="23">
        <v>42286</v>
      </c>
      <c r="B97">
        <v>24.21</v>
      </c>
      <c r="C97">
        <v>24.3</v>
      </c>
      <c r="G97">
        <f t="shared" ref="G97:K97" si="48">SUMPRODUCT($B97:$B101,P$2:P$6)</f>
        <v>13.337548681616262</v>
      </c>
      <c r="H97">
        <f t="shared" si="48"/>
        <v>4.4938150052990959</v>
      </c>
      <c r="I97">
        <f t="shared" si="48"/>
        <v>14.454001688834026</v>
      </c>
      <c r="J97">
        <f t="shared" si="48"/>
        <v>14.326291750543664</v>
      </c>
      <c r="K97">
        <f t="shared" si="48"/>
        <v>8.2979309469979157</v>
      </c>
      <c r="L97">
        <f t="shared" si="15"/>
        <v>24.314278044536898</v>
      </c>
      <c r="M97">
        <f t="shared" si="17"/>
        <v>-0.2742780445368993</v>
      </c>
      <c r="N97">
        <f t="shared" si="18"/>
        <v>7.5228445714985312E-2</v>
      </c>
    </row>
    <row r="98" spans="1:14" x14ac:dyDescent="0.45">
      <c r="A98" s="23">
        <v>42285</v>
      </c>
      <c r="B98">
        <v>24.94</v>
      </c>
      <c r="C98">
        <v>24.15</v>
      </c>
      <c r="G98">
        <f t="shared" ref="G98:K98" si="49">SUMPRODUCT($B98:$B102,P$2:P$6)</f>
        <v>13.702580854955578</v>
      </c>
      <c r="H98">
        <f t="shared" si="49"/>
        <v>4.5975302350791338</v>
      </c>
      <c r="I98">
        <f t="shared" si="49"/>
        <v>14.8552769403555</v>
      </c>
      <c r="J98">
        <f t="shared" si="49"/>
        <v>14.72645411248531</v>
      </c>
      <c r="K98">
        <f t="shared" si="49"/>
        <v>8.5225287246936077</v>
      </c>
      <c r="L98">
        <f t="shared" si="15"/>
        <v>24.968010512524291</v>
      </c>
      <c r="M98">
        <f t="shared" si="17"/>
        <v>-0.75801051252429019</v>
      </c>
      <c r="N98">
        <f t="shared" si="18"/>
        <v>0.57457993709733712</v>
      </c>
    </row>
    <row r="99" spans="1:14" x14ac:dyDescent="0.45">
      <c r="A99" s="23">
        <v>42284</v>
      </c>
      <c r="B99">
        <v>25.91</v>
      </c>
      <c r="C99">
        <v>25.68</v>
      </c>
      <c r="G99">
        <f t="shared" ref="G99:K99" si="50">SUMPRODUCT($B99:$B103,P$2:P$6)</f>
        <v>14.204930312433158</v>
      </c>
      <c r="H99">
        <f t="shared" si="50"/>
        <v>4.7491595110355975</v>
      </c>
      <c r="I99">
        <f t="shared" si="50"/>
        <v>15.404791334307092</v>
      </c>
      <c r="J99">
        <f t="shared" si="50"/>
        <v>15.273208422821979</v>
      </c>
      <c r="K99">
        <f t="shared" si="50"/>
        <v>8.8336988826344918</v>
      </c>
      <c r="L99">
        <f t="shared" si="15"/>
        <v>25.86891047619401</v>
      </c>
      <c r="M99">
        <f t="shared" si="17"/>
        <v>-0.92891047619400879</v>
      </c>
      <c r="N99">
        <f t="shared" si="18"/>
        <v>0.86287467278298013</v>
      </c>
    </row>
    <row r="100" spans="1:14" x14ac:dyDescent="0.45">
      <c r="A100" s="23">
        <v>42283</v>
      </c>
      <c r="B100">
        <v>25.68</v>
      </c>
      <c r="C100">
        <v>25.68</v>
      </c>
      <c r="G100">
        <f t="shared" ref="G100:K100" si="51">SUMPRODUCT($B100:$B104,P$2:P$6)</f>
        <v>14.070444333807103</v>
      </c>
      <c r="H100">
        <f t="shared" si="51"/>
        <v>4.6998603220876189</v>
      </c>
      <c r="I100">
        <f t="shared" si="51"/>
        <v>15.260033619840458</v>
      </c>
      <c r="J100">
        <f t="shared" si="51"/>
        <v>15.130029416748258</v>
      </c>
      <c r="K100">
        <f t="shared" si="51"/>
        <v>8.7491531533788791</v>
      </c>
      <c r="L100">
        <f t="shared" si="15"/>
        <v>25.626354834755428</v>
      </c>
      <c r="M100">
        <f t="shared" si="17"/>
        <v>0.28364516524457173</v>
      </c>
      <c r="N100">
        <f t="shared" si="18"/>
        <v>8.0454579766620404E-2</v>
      </c>
    </row>
    <row r="101" spans="1:14" x14ac:dyDescent="0.45">
      <c r="A101" s="23">
        <v>42282</v>
      </c>
      <c r="B101">
        <v>25.59</v>
      </c>
      <c r="C101">
        <v>25.74</v>
      </c>
      <c r="G101">
        <f t="shared" ref="G101:K101" si="52">SUMPRODUCT($B101:$B105,P$2:P$6)</f>
        <v>14.01777693369522</v>
      </c>
      <c r="H101">
        <f t="shared" si="52"/>
        <v>4.6798168224885206</v>
      </c>
      <c r="I101">
        <f t="shared" si="52"/>
        <v>15.203682450881995</v>
      </c>
      <c r="J101">
        <f t="shared" si="52"/>
        <v>15.074491233732951</v>
      </c>
      <c r="K101">
        <f t="shared" si="52"/>
        <v>8.716904367479609</v>
      </c>
      <c r="L101">
        <f t="shared" si="15"/>
        <v>25.53175741809919</v>
      </c>
      <c r="M101">
        <f t="shared" si="17"/>
        <v>0.14824258190080997</v>
      </c>
      <c r="N101">
        <f t="shared" si="18"/>
        <v>2.197586308861835E-2</v>
      </c>
    </row>
    <row r="102" spans="1:14" x14ac:dyDescent="0.45">
      <c r="A102" s="23">
        <v>42279</v>
      </c>
      <c r="B102">
        <v>24.51</v>
      </c>
      <c r="C102">
        <v>25.53</v>
      </c>
      <c r="G102">
        <f t="shared" ref="G102:K102" si="53">SUMPRODUCT($B102:$B106,P$2:P$6)</f>
        <v>13.467924802452877</v>
      </c>
      <c r="H102">
        <f t="shared" si="53"/>
        <v>4.5189292108382331</v>
      </c>
      <c r="I102">
        <f t="shared" si="53"/>
        <v>14.600541725156823</v>
      </c>
      <c r="J102">
        <f t="shared" si="53"/>
        <v>14.473562276980548</v>
      </c>
      <c r="K102">
        <f t="shared" si="53"/>
        <v>8.3768631809533076</v>
      </c>
      <c r="L102">
        <f t="shared" si="15"/>
        <v>24.546012162005365</v>
      </c>
      <c r="M102">
        <f t="shared" si="17"/>
        <v>1.043987837994635</v>
      </c>
      <c r="N102">
        <f t="shared" si="18"/>
        <v>1.0899106058807122</v>
      </c>
    </row>
    <row r="103" spans="1:14" x14ac:dyDescent="0.45">
      <c r="A103" s="23">
        <v>42278</v>
      </c>
      <c r="B103">
        <v>24.5</v>
      </c>
      <c r="C103">
        <v>24.91</v>
      </c>
      <c r="G103">
        <f t="shared" ref="G103:K103" si="54">SUMPRODUCT($B103:$B107,P$2:P$6)</f>
        <v>13.469535592601188</v>
      </c>
      <c r="H103">
        <f t="shared" si="54"/>
        <v>4.5230681553318064</v>
      </c>
      <c r="I103">
        <f t="shared" si="54"/>
        <v>14.601132389610415</v>
      </c>
      <c r="J103">
        <f t="shared" si="54"/>
        <v>14.473589110178757</v>
      </c>
      <c r="K103">
        <f t="shared" si="54"/>
        <v>8.3782892854933699</v>
      </c>
      <c r="L103">
        <f t="shared" si="15"/>
        <v>24.549193144694463</v>
      </c>
      <c r="M103">
        <f t="shared" si="17"/>
        <v>-3.9193144694461779E-2</v>
      </c>
      <c r="N103">
        <f t="shared" si="18"/>
        <v>1.5361025910410175E-3</v>
      </c>
    </row>
    <row r="104" spans="1:14" x14ac:dyDescent="0.45">
      <c r="A104" s="23">
        <v>42277</v>
      </c>
      <c r="B104">
        <v>24.32</v>
      </c>
      <c r="C104">
        <v>24.44</v>
      </c>
      <c r="G104">
        <f t="shared" ref="G104:K104" si="55">SUMPRODUCT($B104:$B108,P$2:P$6)</f>
        <v>13.379087113024951</v>
      </c>
      <c r="H104">
        <f t="shared" si="55"/>
        <v>4.4972294347628079</v>
      </c>
      <c r="I104">
        <f t="shared" si="55"/>
        <v>14.50202364280687</v>
      </c>
      <c r="J104">
        <f t="shared" si="55"/>
        <v>14.375075367004161</v>
      </c>
      <c r="K104">
        <f t="shared" si="55"/>
        <v>8.3229452698134558</v>
      </c>
      <c r="L104">
        <f t="shared" si="15"/>
        <v>24.387684795892085</v>
      </c>
      <c r="M104">
        <f t="shared" si="17"/>
        <v>0.11231520410791518</v>
      </c>
      <c r="N104">
        <f t="shared" si="18"/>
        <v>1.2614705073802647E-2</v>
      </c>
    </row>
    <row r="105" spans="1:14" x14ac:dyDescent="0.45">
      <c r="A105" s="23">
        <v>42276</v>
      </c>
      <c r="B105">
        <v>24.2</v>
      </c>
      <c r="C105">
        <v>24.08</v>
      </c>
      <c r="G105">
        <f t="shared" ref="G105:K105" si="56">SUMPRODUCT($B105:$B109,P$2:P$6)</f>
        <v>13.331904307662926</v>
      </c>
      <c r="H105">
        <f t="shared" si="56"/>
        <v>4.4919918215757351</v>
      </c>
      <c r="I105">
        <f t="shared" si="56"/>
        <v>14.447821199941316</v>
      </c>
      <c r="J105">
        <f t="shared" si="56"/>
        <v>14.320117790861124</v>
      </c>
      <c r="K105">
        <f t="shared" si="56"/>
        <v>8.2942064417537082</v>
      </c>
      <c r="L105">
        <f t="shared" si="15"/>
        <v>24.304014563254132</v>
      </c>
      <c r="M105">
        <f t="shared" si="17"/>
        <v>1.5985436745868498E-2</v>
      </c>
      <c r="N105">
        <f t="shared" si="18"/>
        <v>2.5553418795616281E-4</v>
      </c>
    </row>
    <row r="106" spans="1:14" x14ac:dyDescent="0.45">
      <c r="A106" s="23">
        <v>42275</v>
      </c>
      <c r="B106">
        <v>25.15</v>
      </c>
      <c r="C106">
        <v>24.14</v>
      </c>
      <c r="G106">
        <f t="shared" ref="G106:K106" si="57">SUMPRODUCT($B106:$B110,P$2:P$6)</f>
        <v>13.823967949197504</v>
      </c>
      <c r="H106">
        <f t="shared" si="57"/>
        <v>4.6411268498224167</v>
      </c>
      <c r="I106">
        <f t="shared" si="57"/>
        <v>14.985787581032509</v>
      </c>
      <c r="J106">
        <f t="shared" si="57"/>
        <v>14.855201602355649</v>
      </c>
      <c r="K106">
        <f t="shared" si="57"/>
        <v>8.5982908426398961</v>
      </c>
      <c r="L106">
        <f t="shared" si="15"/>
        <v>25.186121097196704</v>
      </c>
      <c r="M106">
        <f t="shared" si="17"/>
        <v>-0.98612109719670471</v>
      </c>
      <c r="N106">
        <f t="shared" si="18"/>
        <v>0.97243481833643275</v>
      </c>
    </row>
    <row r="107" spans="1:14" x14ac:dyDescent="0.45">
      <c r="A107" s="23">
        <v>42272</v>
      </c>
      <c r="B107">
        <v>25.76</v>
      </c>
      <c r="C107">
        <v>25.33</v>
      </c>
      <c r="G107">
        <f t="shared" ref="G107:K107" si="58">SUMPRODUCT($B107:$B111,P$2:P$6)</f>
        <v>14.151199949736812</v>
      </c>
      <c r="H107">
        <f t="shared" si="58"/>
        <v>4.7459878068567356</v>
      </c>
      <c r="I107">
        <f t="shared" si="58"/>
        <v>15.34197391305096</v>
      </c>
      <c r="J107">
        <f t="shared" si="58"/>
        <v>15.208860944826357</v>
      </c>
      <c r="K107">
        <f t="shared" si="58"/>
        <v>8.8019968542555915</v>
      </c>
      <c r="L107">
        <f t="shared" si="15"/>
        <v>25.773807336813473</v>
      </c>
      <c r="M107">
        <f t="shared" si="17"/>
        <v>-0.62380733681347422</v>
      </c>
      <c r="N107">
        <f t="shared" si="18"/>
        <v>0.3891355934623193</v>
      </c>
    </row>
    <row r="108" spans="1:14" x14ac:dyDescent="0.45">
      <c r="A108" s="23">
        <v>42271</v>
      </c>
      <c r="B108">
        <v>25.28</v>
      </c>
      <c r="C108">
        <v>25.61</v>
      </c>
      <c r="G108">
        <f t="shared" ref="G108:K108" si="59">SUMPRODUCT($B108:$B112,P$2:P$6)</f>
        <v>13.899590870123554</v>
      </c>
      <c r="H108">
        <f t="shared" si="59"/>
        <v>4.6685159731788923</v>
      </c>
      <c r="I108">
        <f t="shared" si="59"/>
        <v>15.067228703516347</v>
      </c>
      <c r="J108">
        <f t="shared" si="59"/>
        <v>14.935731367170717</v>
      </c>
      <c r="K108">
        <f t="shared" si="59"/>
        <v>8.6458500600090726</v>
      </c>
      <c r="L108">
        <f t="shared" si="15"/>
        <v>25.322416027346708</v>
      </c>
      <c r="M108">
        <f t="shared" si="17"/>
        <v>0.43758397265329307</v>
      </c>
      <c r="N108">
        <f t="shared" si="18"/>
        <v>0.19147973312303795</v>
      </c>
    </row>
    <row r="109" spans="1:14" x14ac:dyDescent="0.45">
      <c r="A109" s="23">
        <v>42270</v>
      </c>
      <c r="B109">
        <v>25.62</v>
      </c>
      <c r="C109">
        <v>25.59</v>
      </c>
      <c r="G109">
        <f t="shared" ref="G109:K109" si="60">SUMPRODUCT($B109:$B113,P$2:P$6)</f>
        <v>14.093418120971613</v>
      </c>
      <c r="H109">
        <f t="shared" si="60"/>
        <v>4.7370438300773507</v>
      </c>
      <c r="I109">
        <f t="shared" si="60"/>
        <v>15.276334606570719</v>
      </c>
      <c r="J109">
        <f t="shared" si="60"/>
        <v>15.142581994611993</v>
      </c>
      <c r="K109">
        <f t="shared" si="60"/>
        <v>8.7670373587796906</v>
      </c>
      <c r="L109">
        <f t="shared" si="15"/>
        <v>25.671213169999607</v>
      </c>
      <c r="M109">
        <f t="shared" si="17"/>
        <v>-0.39121316999960598</v>
      </c>
      <c r="N109">
        <f t="shared" si="18"/>
        <v>0.1530477443811406</v>
      </c>
    </row>
    <row r="110" spans="1:14" x14ac:dyDescent="0.45">
      <c r="A110" s="23">
        <v>42269</v>
      </c>
      <c r="B110">
        <v>25.7</v>
      </c>
      <c r="C110">
        <v>25.61</v>
      </c>
      <c r="G110">
        <f t="shared" ref="G110:K110" si="61">SUMPRODUCT($B110:$B114,P$2:P$6)</f>
        <v>14.123779627013436</v>
      </c>
      <c r="H110">
        <f t="shared" si="61"/>
        <v>4.7404335614656681</v>
      </c>
      <c r="I110">
        <f t="shared" si="61"/>
        <v>15.311257282368361</v>
      </c>
      <c r="J110">
        <f t="shared" si="61"/>
        <v>15.178071089162437</v>
      </c>
      <c r="K110">
        <f t="shared" si="61"/>
        <v>8.7847442032345153</v>
      </c>
      <c r="L110">
        <f t="shared" si="15"/>
        <v>25.724867392648157</v>
      </c>
      <c r="M110">
        <f t="shared" si="17"/>
        <v>-0.10486739264815625</v>
      </c>
      <c r="N110">
        <f t="shared" si="18"/>
        <v>1.0997170040822577E-2</v>
      </c>
    </row>
    <row r="111" spans="1:14" x14ac:dyDescent="0.45">
      <c r="A111" s="23">
        <v>42268</v>
      </c>
      <c r="B111">
        <v>26.26</v>
      </c>
      <c r="C111">
        <v>25.92</v>
      </c>
      <c r="G111">
        <f t="shared" ref="G111:K111" si="62">SUMPRODUCT($B111:$B115,P$2:P$6)</f>
        <v>14.419065369497476</v>
      </c>
      <c r="H111">
        <f t="shared" si="62"/>
        <v>4.832416237481282</v>
      </c>
      <c r="I111">
        <f t="shared" si="62"/>
        <v>15.633621461612062</v>
      </c>
      <c r="J111">
        <f t="shared" si="62"/>
        <v>15.498667932163386</v>
      </c>
      <c r="K111">
        <f t="shared" si="62"/>
        <v>8.9683972312340838</v>
      </c>
      <c r="L111">
        <f t="shared" si="15"/>
        <v>26.255159453920953</v>
      </c>
      <c r="M111">
        <f t="shared" si="17"/>
        <v>-0.55515945392095389</v>
      </c>
      <c r="N111">
        <f t="shared" si="18"/>
        <v>0.30820201927781171</v>
      </c>
    </row>
    <row r="112" spans="1:14" x14ac:dyDescent="0.45">
      <c r="A112" s="23">
        <v>42265</v>
      </c>
      <c r="B112">
        <v>25.97</v>
      </c>
      <c r="C112">
        <v>26.02</v>
      </c>
      <c r="G112">
        <f t="shared" ref="G112:K112" si="63">SUMPRODUCT($B112:$B116,P$2:P$6)</f>
        <v>14.269316372807449</v>
      </c>
      <c r="H112">
        <f t="shared" si="63"/>
        <v>4.7878975197329625</v>
      </c>
      <c r="I112">
        <f t="shared" si="63"/>
        <v>15.469388351355942</v>
      </c>
      <c r="J112">
        <f t="shared" si="63"/>
        <v>15.334950823082538</v>
      </c>
      <c r="K112">
        <f t="shared" si="63"/>
        <v>8.8749021019714007</v>
      </c>
      <c r="L112">
        <f t="shared" si="15"/>
        <v>25.986107157183405</v>
      </c>
      <c r="M112">
        <f t="shared" si="17"/>
        <v>0.27389284281659698</v>
      </c>
      <c r="N112">
        <f t="shared" si="18"/>
        <v>7.5017289346157104E-2</v>
      </c>
    </row>
    <row r="113" spans="1:14" x14ac:dyDescent="0.45">
      <c r="A113" s="23">
        <v>42264</v>
      </c>
      <c r="B113">
        <v>26.7</v>
      </c>
      <c r="C113">
        <v>26.27</v>
      </c>
      <c r="G113">
        <f t="shared" ref="G113:K113" si="64">SUMPRODUCT($B113:$B117,P$2:P$6)</f>
        <v>14.642607195599671</v>
      </c>
      <c r="H113">
        <f t="shared" si="64"/>
        <v>4.8975427640833775</v>
      </c>
      <c r="I113">
        <f t="shared" si="64"/>
        <v>15.878616006451111</v>
      </c>
      <c r="J113">
        <f t="shared" si="64"/>
        <v>15.742482435218536</v>
      </c>
      <c r="K113">
        <f t="shared" si="64"/>
        <v>9.1061515130875303</v>
      </c>
      <c r="L113">
        <f t="shared" si="15"/>
        <v>26.655324038415991</v>
      </c>
      <c r="M113">
        <f t="shared" si="17"/>
        <v>-0.68532403841599177</v>
      </c>
      <c r="N113">
        <f t="shared" si="18"/>
        <v>0.46966903763080375</v>
      </c>
    </row>
    <row r="114" spans="1:14" x14ac:dyDescent="0.45">
      <c r="A114" s="23">
        <v>42263</v>
      </c>
      <c r="B114">
        <v>26</v>
      </c>
      <c r="C114">
        <v>26.74</v>
      </c>
      <c r="G114">
        <f t="shared" ref="G114:K114" si="65">SUMPRODUCT($B114:$B118,P$2:P$6)</f>
        <v>14.277495064383535</v>
      </c>
      <c r="H114">
        <f t="shared" si="65"/>
        <v>4.7856489066185794</v>
      </c>
      <c r="I114">
        <f t="shared" si="65"/>
        <v>15.479850355301403</v>
      </c>
      <c r="J114">
        <f t="shared" si="65"/>
        <v>15.346059153254876</v>
      </c>
      <c r="K114">
        <f t="shared" si="65"/>
        <v>8.8802492622397189</v>
      </c>
      <c r="L114">
        <f t="shared" si="15"/>
        <v>26.000673438206576</v>
      </c>
      <c r="M114">
        <f t="shared" si="17"/>
        <v>0.69932656179342345</v>
      </c>
      <c r="N114">
        <f t="shared" si="18"/>
        <v>0.48905764002981089</v>
      </c>
    </row>
    <row r="115" spans="1:14" x14ac:dyDescent="0.45">
      <c r="A115" s="23">
        <v>42262</v>
      </c>
      <c r="B115">
        <v>25.8</v>
      </c>
      <c r="C115">
        <v>25.98</v>
      </c>
      <c r="G115">
        <f t="shared" ref="G115:K115" si="66">SUMPRODUCT($B115:$B119,P$2:P$6)</f>
        <v>14.190430576457086</v>
      </c>
      <c r="H115">
        <f t="shared" si="66"/>
        <v>4.768829089294786</v>
      </c>
      <c r="I115">
        <f t="shared" si="66"/>
        <v>15.381651182992632</v>
      </c>
      <c r="J115">
        <f t="shared" si="66"/>
        <v>15.247000823208246</v>
      </c>
      <c r="K115">
        <f t="shared" si="66"/>
        <v>8.8269149755995535</v>
      </c>
      <c r="L115">
        <f t="shared" si="15"/>
        <v>25.845224693492192</v>
      </c>
      <c r="M115">
        <f t="shared" si="17"/>
        <v>0.15477530650780835</v>
      </c>
      <c r="N115">
        <f t="shared" si="18"/>
        <v>2.3955395504586023E-2</v>
      </c>
    </row>
    <row r="116" spans="1:14" x14ac:dyDescent="0.45">
      <c r="A116" s="23">
        <v>42261</v>
      </c>
      <c r="B116">
        <v>26.22</v>
      </c>
      <c r="C116">
        <v>25.75</v>
      </c>
      <c r="G116">
        <f t="shared" ref="G116:K116" si="67">SUMPRODUCT($B116:$B120,P$2:P$6)</f>
        <v>14.401380930971557</v>
      </c>
      <c r="H116">
        <f t="shared" si="67"/>
        <v>4.8288343697234177</v>
      </c>
      <c r="I116">
        <f t="shared" si="67"/>
        <v>15.613447647809256</v>
      </c>
      <c r="J116">
        <f t="shared" si="67"/>
        <v>15.478045114477487</v>
      </c>
      <c r="K116">
        <f t="shared" si="67"/>
        <v>8.9570875557672185</v>
      </c>
      <c r="L116">
        <f t="shared" si="15"/>
        <v>26.223034338268317</v>
      </c>
      <c r="M116">
        <f t="shared" si="17"/>
        <v>-0.42303433826831593</v>
      </c>
      <c r="N116">
        <f t="shared" si="18"/>
        <v>0.17895805135411194</v>
      </c>
    </row>
    <row r="117" spans="1:14" x14ac:dyDescent="0.45">
      <c r="A117" s="23">
        <v>42258</v>
      </c>
      <c r="B117">
        <v>26.12</v>
      </c>
      <c r="C117">
        <v>26.32</v>
      </c>
      <c r="G117">
        <f t="shared" ref="G117:K117" si="68">SUMPRODUCT($B117:$B121,P$2:P$6)</f>
        <v>14.35897470977827</v>
      </c>
      <c r="H117">
        <f t="shared" si="68"/>
        <v>4.8210408358902086</v>
      </c>
      <c r="I117">
        <f t="shared" si="68"/>
        <v>15.56585160281789</v>
      </c>
      <c r="J117">
        <f t="shared" si="68"/>
        <v>15.430344081506991</v>
      </c>
      <c r="K117">
        <f t="shared" si="68"/>
        <v>8.9320855641870001</v>
      </c>
      <c r="L117">
        <f t="shared" si="15"/>
        <v>26.148155116065858</v>
      </c>
      <c r="M117">
        <f t="shared" si="17"/>
        <v>7.1844883934140569E-2</v>
      </c>
      <c r="N117">
        <f t="shared" si="18"/>
        <v>5.1616873475101299E-3</v>
      </c>
    </row>
    <row r="118" spans="1:14" x14ac:dyDescent="0.45">
      <c r="A118" s="23">
        <v>42257</v>
      </c>
      <c r="B118">
        <v>25.77</v>
      </c>
      <c r="C118">
        <v>26.15</v>
      </c>
      <c r="G118">
        <f t="shared" ref="G118:K118" si="69">SUMPRODUCT($B118:$B122,P$2:P$6)</f>
        <v>14.190219041202262</v>
      </c>
      <c r="H118">
        <f t="shared" si="69"/>
        <v>4.7778029800578636</v>
      </c>
      <c r="I118">
        <f t="shared" si="69"/>
        <v>15.378806141068914</v>
      </c>
      <c r="J118">
        <f t="shared" si="69"/>
        <v>15.243117413087274</v>
      </c>
      <c r="K118">
        <f t="shared" si="69"/>
        <v>8.8274304094183798</v>
      </c>
      <c r="L118">
        <f t="shared" si="15"/>
        <v>25.845826615624993</v>
      </c>
      <c r="M118">
        <f t="shared" si="17"/>
        <v>0.2741733843750076</v>
      </c>
      <c r="N118">
        <f t="shared" si="18"/>
        <v>7.5171044699645667E-2</v>
      </c>
    </row>
    <row r="119" spans="1:14" x14ac:dyDescent="0.45">
      <c r="A119" s="23">
        <v>42256</v>
      </c>
      <c r="B119">
        <v>26.91</v>
      </c>
      <c r="C119">
        <v>26.2</v>
      </c>
      <c r="G119">
        <f t="shared" ref="G119:K119" si="70">SUMPRODUCT($B119:$B123,P$2:P$6)</f>
        <v>14.773586977051986</v>
      </c>
      <c r="H119">
        <f t="shared" si="70"/>
        <v>4.9500077360024504</v>
      </c>
      <c r="I119">
        <f t="shared" si="70"/>
        <v>16.018143530680518</v>
      </c>
      <c r="J119">
        <f t="shared" si="70"/>
        <v>15.879785850636807</v>
      </c>
      <c r="K119">
        <f t="shared" si="70"/>
        <v>9.1883680975680413</v>
      </c>
      <c r="L119">
        <f t="shared" si="15"/>
        <v>26.891660923463355</v>
      </c>
      <c r="M119">
        <f t="shared" si="17"/>
        <v>-1.1216609234633559</v>
      </c>
      <c r="N119">
        <f t="shared" si="18"/>
        <v>1.2581232272246683</v>
      </c>
    </row>
    <row r="120" spans="1:14" x14ac:dyDescent="0.45">
      <c r="A120" s="23">
        <v>42255</v>
      </c>
      <c r="B120">
        <v>26.69</v>
      </c>
      <c r="C120">
        <v>26.36</v>
      </c>
      <c r="G120">
        <f t="shared" ref="G120:K120" si="71">SUMPRODUCT($B120:$B124,P$2:P$6)</f>
        <v>14.662879409610442</v>
      </c>
      <c r="H120">
        <f t="shared" si="71"/>
        <v>4.9182962070077574</v>
      </c>
      <c r="I120">
        <f t="shared" si="71"/>
        <v>15.896748048912395</v>
      </c>
      <c r="J120">
        <f t="shared" si="71"/>
        <v>15.759008611359013</v>
      </c>
      <c r="K120">
        <f t="shared" si="71"/>
        <v>9.1204306373389095</v>
      </c>
      <c r="L120">
        <f t="shared" si="15"/>
        <v>26.693749914409473</v>
      </c>
      <c r="M120">
        <f t="shared" si="17"/>
        <v>0.21625008559052716</v>
      </c>
      <c r="N120">
        <f t="shared" si="18"/>
        <v>4.6764099517910322E-2</v>
      </c>
    </row>
    <row r="121" spans="1:14" x14ac:dyDescent="0.45">
      <c r="A121" s="23">
        <v>42251</v>
      </c>
      <c r="B121">
        <v>26.57</v>
      </c>
      <c r="C121">
        <v>26.48</v>
      </c>
      <c r="G121">
        <f t="shared" ref="G121:K121" si="72">SUMPRODUCT($B121:$B125,P$2:P$6)</f>
        <v>14.605693756111854</v>
      </c>
      <c r="H121">
        <f t="shared" si="72"/>
        <v>4.9043149518433378</v>
      </c>
      <c r="I121">
        <f t="shared" si="72"/>
        <v>15.833032285638962</v>
      </c>
      <c r="J121">
        <f t="shared" si="72"/>
        <v>15.69501479544911</v>
      </c>
      <c r="K121">
        <f t="shared" si="72"/>
        <v>9.084550230073388</v>
      </c>
      <c r="L121">
        <f t="shared" si="15"/>
        <v>26.591030825673613</v>
      </c>
      <c r="M121">
        <f t="shared" si="17"/>
        <v>9.8969174326388298E-2</v>
      </c>
      <c r="N121">
        <f t="shared" si="18"/>
        <v>9.794897466847037E-3</v>
      </c>
    </row>
    <row r="122" spans="1:14" x14ac:dyDescent="0.45">
      <c r="A122" s="23">
        <v>42250</v>
      </c>
      <c r="B122">
        <v>27.36</v>
      </c>
      <c r="C122">
        <v>27.04</v>
      </c>
      <c r="G122">
        <f t="shared" ref="G122:K122" si="73">SUMPRODUCT($B122:$B126,P$2:P$6)</f>
        <v>15.009598175911812</v>
      </c>
      <c r="H122">
        <f t="shared" si="73"/>
        <v>5.0230902834842031</v>
      </c>
      <c r="I122">
        <f t="shared" si="73"/>
        <v>16.275750137451169</v>
      </c>
      <c r="J122">
        <f t="shared" si="73"/>
        <v>16.135854969193112</v>
      </c>
      <c r="K122">
        <f t="shared" si="73"/>
        <v>9.3345472057004102</v>
      </c>
      <c r="L122">
        <f t="shared" si="15"/>
        <v>27.315028663328473</v>
      </c>
      <c r="M122">
        <f t="shared" si="17"/>
        <v>-0.74502866332847262</v>
      </c>
      <c r="N122">
        <f t="shared" si="18"/>
        <v>0.55506770918101056</v>
      </c>
    </row>
    <row r="123" spans="1:14" x14ac:dyDescent="0.45">
      <c r="A123" s="23">
        <v>42249</v>
      </c>
      <c r="B123">
        <v>26.86</v>
      </c>
      <c r="C123">
        <v>26.87</v>
      </c>
      <c r="G123">
        <f t="shared" ref="G123:K123" si="74">SUMPRODUCT($B123:$B127,P$2:P$6)</f>
        <v>14.747623785806919</v>
      </c>
      <c r="H123">
        <f t="shared" si="74"/>
        <v>4.9420365749046713</v>
      </c>
      <c r="I123">
        <f t="shared" si="74"/>
        <v>15.989937310399805</v>
      </c>
      <c r="J123">
        <f t="shared" si="74"/>
        <v>15.85190093120262</v>
      </c>
      <c r="K123">
        <f t="shared" si="74"/>
        <v>9.172618179830037</v>
      </c>
      <c r="L123">
        <f t="shared" si="15"/>
        <v>26.845411614903178</v>
      </c>
      <c r="M123">
        <f t="shared" si="17"/>
        <v>0.51458838509682181</v>
      </c>
      <c r="N123">
        <f t="shared" si="18"/>
        <v>0.264801206076555</v>
      </c>
    </row>
    <row r="124" spans="1:14" x14ac:dyDescent="0.45">
      <c r="A124" s="23">
        <v>42248</v>
      </c>
      <c r="B124">
        <v>26.54</v>
      </c>
      <c r="C124">
        <v>26.48</v>
      </c>
      <c r="G124">
        <f t="shared" ref="G124:K124" si="75">SUMPRODUCT($B124:$B128,P$2:P$6)</f>
        <v>14.573480803563648</v>
      </c>
      <c r="H124">
        <f t="shared" si="75"/>
        <v>4.8851004933165267</v>
      </c>
      <c r="I124">
        <f t="shared" si="75"/>
        <v>15.800765920107482</v>
      </c>
      <c r="J124">
        <f t="shared" si="75"/>
        <v>15.664270472536154</v>
      </c>
      <c r="K124">
        <f t="shared" si="75"/>
        <v>9.0639359847800645</v>
      </c>
      <c r="L124">
        <f t="shared" si="15"/>
        <v>26.532549040761111</v>
      </c>
      <c r="M124">
        <f t="shared" si="17"/>
        <v>0.32745095923888812</v>
      </c>
      <c r="N124">
        <f t="shared" si="18"/>
        <v>0.10722413070646797</v>
      </c>
    </row>
    <row r="125" spans="1:14" x14ac:dyDescent="0.45">
      <c r="A125" s="23">
        <v>42247</v>
      </c>
      <c r="B125">
        <v>27.08</v>
      </c>
      <c r="C125">
        <v>27.11</v>
      </c>
      <c r="G125">
        <f t="shared" ref="G125:K125" si="76">SUMPRODUCT($B125:$B129,P$2:P$6)</f>
        <v>14.840873572218346</v>
      </c>
      <c r="H125">
        <f t="shared" si="76"/>
        <v>4.9589794707215651</v>
      </c>
      <c r="I125">
        <f t="shared" si="76"/>
        <v>16.095250600142119</v>
      </c>
      <c r="J125">
        <f t="shared" si="76"/>
        <v>15.958097491591968</v>
      </c>
      <c r="K125">
        <f t="shared" si="76"/>
        <v>9.2286947349231099</v>
      </c>
      <c r="L125">
        <f t="shared" si="15"/>
        <v>27.011232630434506</v>
      </c>
      <c r="M125">
        <f t="shared" si="17"/>
        <v>-0.47123263043450692</v>
      </c>
      <c r="N125">
        <f t="shared" si="18"/>
        <v>0.22206019198622456</v>
      </c>
    </row>
    <row r="126" spans="1:14" x14ac:dyDescent="0.45">
      <c r="A126" s="23">
        <v>42244</v>
      </c>
      <c r="B126">
        <v>26.98</v>
      </c>
      <c r="C126">
        <v>27.25</v>
      </c>
      <c r="G126">
        <f t="shared" ref="G126:K126" si="77">SUMPRODUCT($B126:$B130,P$2:P$6)</f>
        <v>14.758814128972524</v>
      </c>
      <c r="H126">
        <f t="shared" si="77"/>
        <v>4.9169735360705742</v>
      </c>
      <c r="I126">
        <f t="shared" si="77"/>
        <v>16.010629744616832</v>
      </c>
      <c r="J126">
        <f t="shared" si="77"/>
        <v>15.876100077887221</v>
      </c>
      <c r="K126">
        <f t="shared" si="77"/>
        <v>9.1762708128389665</v>
      </c>
      <c r="L126">
        <f t="shared" si="15"/>
        <v>26.862298623073439</v>
      </c>
      <c r="M126">
        <f t="shared" si="17"/>
        <v>0.21770137692655922</v>
      </c>
      <c r="N126">
        <f t="shared" si="18"/>
        <v>4.7393889515719809E-2</v>
      </c>
    </row>
    <row r="127" spans="1:14" x14ac:dyDescent="0.45">
      <c r="A127" s="23">
        <v>42243</v>
      </c>
      <c r="B127">
        <v>26.51</v>
      </c>
      <c r="C127">
        <v>27.1</v>
      </c>
      <c r="G127">
        <f t="shared" ref="G127:K127" si="78">SUMPRODUCT($B127:$B131,P$2:P$6)</f>
        <v>14.541751926739206</v>
      </c>
      <c r="H127">
        <f t="shared" si="78"/>
        <v>4.8656217468514074</v>
      </c>
      <c r="I127">
        <f t="shared" si="78"/>
        <v>15.768609660972874</v>
      </c>
      <c r="J127">
        <f t="shared" si="78"/>
        <v>15.633082243386033</v>
      </c>
      <c r="K127">
        <f t="shared" si="78"/>
        <v>9.0434279983860772</v>
      </c>
      <c r="L127">
        <f t="shared" si="15"/>
        <v>26.474093565384415</v>
      </c>
      <c r="M127">
        <f t="shared" si="17"/>
        <v>0.50590643461558571</v>
      </c>
      <c r="N127">
        <f t="shared" si="18"/>
        <v>0.25594132058545388</v>
      </c>
    </row>
    <row r="128" spans="1:14" x14ac:dyDescent="0.45">
      <c r="A128" s="23">
        <v>42242</v>
      </c>
      <c r="B128">
        <v>25.91</v>
      </c>
      <c r="C128">
        <v>26.17</v>
      </c>
      <c r="G128">
        <f t="shared" ref="G128:K128" si="79">SUMPRODUCT($B128:$B132,P$2:P$6)</f>
        <v>14.223865599300645</v>
      </c>
      <c r="H128">
        <f t="shared" si="79"/>
        <v>4.7651539748926419</v>
      </c>
      <c r="I128">
        <f t="shared" si="79"/>
        <v>15.421786704825504</v>
      </c>
      <c r="J128">
        <f t="shared" si="79"/>
        <v>15.288091214167862</v>
      </c>
      <c r="K128">
        <f t="shared" si="79"/>
        <v>8.8458601944814461</v>
      </c>
      <c r="L128">
        <f t="shared" si="15"/>
        <v>25.902855910734498</v>
      </c>
      <c r="M128">
        <f t="shared" si="17"/>
        <v>0.60714408926550334</v>
      </c>
      <c r="N128">
        <f t="shared" si="18"/>
        <v>0.36862394513003749</v>
      </c>
    </row>
    <row r="129" spans="1:14" x14ac:dyDescent="0.45">
      <c r="A129" s="23">
        <v>42241</v>
      </c>
      <c r="B129">
        <v>25.37</v>
      </c>
      <c r="C129">
        <v>25.23</v>
      </c>
      <c r="G129">
        <f t="shared" ref="G129:K129" si="80">SUMPRODUCT($B129:$B133,P$2:P$6)</f>
        <v>13.968358648123123</v>
      </c>
      <c r="H129">
        <f t="shared" si="80"/>
        <v>4.7004365080305472</v>
      </c>
      <c r="I129">
        <f t="shared" si="80"/>
        <v>15.139164784562023</v>
      </c>
      <c r="J129">
        <f t="shared" si="80"/>
        <v>15.005876859037725</v>
      </c>
      <c r="K129">
        <f t="shared" si="80"/>
        <v>8.6910494092020851</v>
      </c>
      <c r="L129">
        <f t="shared" si="15"/>
        <v>25.447461153972853</v>
      </c>
      <c r="M129">
        <f t="shared" si="17"/>
        <v>0.46253884602714734</v>
      </c>
      <c r="N129">
        <f t="shared" si="18"/>
        <v>0.21394218408412513</v>
      </c>
    </row>
    <row r="130" spans="1:14" x14ac:dyDescent="0.45">
      <c r="A130" s="23">
        <v>42240</v>
      </c>
      <c r="B130">
        <v>23.87</v>
      </c>
      <c r="C130">
        <v>24.93</v>
      </c>
      <c r="G130">
        <f t="shared" ref="G130:K130" si="81">SUMPRODUCT($B130:$B134,P$2:P$6)</f>
        <v>13.221371178108772</v>
      </c>
      <c r="H130">
        <f t="shared" si="81"/>
        <v>4.4930932231850482</v>
      </c>
      <c r="I130">
        <f t="shared" si="81"/>
        <v>14.316690714325834</v>
      </c>
      <c r="J130">
        <f t="shared" si="81"/>
        <v>14.185321851158454</v>
      </c>
      <c r="K130">
        <f t="shared" si="81"/>
        <v>8.2289357803578991</v>
      </c>
      <c r="L130">
        <f t="shared" ref="L130:L193" si="82">(G130+$P$7)*$U$2+(H130+$Q$7)*$U$3+(I130+$R$7)*$U$4+(J130+$S$7)*$U$5+(K130+$T$7)*$U$6+$U$7</f>
        <v>24.109419410078289</v>
      </c>
      <c r="M130">
        <f t="shared" si="17"/>
        <v>1.2605805899217124</v>
      </c>
      <c r="N130">
        <f t="shared" si="18"/>
        <v>1.5890634236873724</v>
      </c>
    </row>
    <row r="131" spans="1:14" x14ac:dyDescent="0.45">
      <c r="A131" s="23">
        <v>42237</v>
      </c>
      <c r="B131">
        <v>26.33</v>
      </c>
      <c r="C131">
        <v>25.77</v>
      </c>
      <c r="G131">
        <f t="shared" ref="G131:K131" si="83">SUMPRODUCT($B131:$B135,P$2:P$6)</f>
        <v>14.502014558991196</v>
      </c>
      <c r="H131">
        <f t="shared" si="83"/>
        <v>4.8843843356044339</v>
      </c>
      <c r="I131">
        <f t="shared" si="83"/>
        <v>15.716273902505534</v>
      </c>
      <c r="J131">
        <f t="shared" si="83"/>
        <v>15.577429459274949</v>
      </c>
      <c r="K131">
        <f t="shared" si="83"/>
        <v>9.0218385050206695</v>
      </c>
      <c r="L131">
        <f t="shared" si="82"/>
        <v>26.406476163205873</v>
      </c>
      <c r="M131">
        <f t="shared" ref="M131:M194" si="84">B130-L131</f>
        <v>-2.5364761632058723</v>
      </c>
      <c r="N131">
        <f t="shared" ref="N131:N194" si="85">M131^2</f>
        <v>6.4337113265115828</v>
      </c>
    </row>
    <row r="132" spans="1:14" x14ac:dyDescent="0.45">
      <c r="A132" s="23">
        <v>42236</v>
      </c>
      <c r="B132">
        <v>27.21</v>
      </c>
      <c r="C132">
        <v>26.52</v>
      </c>
      <c r="G132">
        <f t="shared" ref="G132:K132" si="86">SUMPRODUCT($B132:$B136,P$2:P$6)</f>
        <v>14.968644646916982</v>
      </c>
      <c r="H132">
        <f t="shared" si="86"/>
        <v>5.0316578120123641</v>
      </c>
      <c r="I132">
        <f t="shared" si="86"/>
        <v>16.225056140423504</v>
      </c>
      <c r="J132">
        <f t="shared" si="86"/>
        <v>16.083121619554223</v>
      </c>
      <c r="K132">
        <f t="shared" si="86"/>
        <v>9.3116570814768824</v>
      </c>
      <c r="L132">
        <f t="shared" si="82"/>
        <v>27.244393557674556</v>
      </c>
      <c r="M132">
        <f t="shared" si="84"/>
        <v>-0.91439355767455766</v>
      </c>
      <c r="N132">
        <f t="shared" si="85"/>
        <v>0.83611557831673455</v>
      </c>
    </row>
    <row r="133" spans="1:14" x14ac:dyDescent="0.45">
      <c r="A133" s="23">
        <v>42235</v>
      </c>
      <c r="B133">
        <v>27.46</v>
      </c>
      <c r="C133">
        <v>27.43</v>
      </c>
      <c r="G133">
        <f t="shared" ref="G133:K133" si="87">SUMPRODUCT($B133:$B137,P$2:P$6)</f>
        <v>15.099393318299413</v>
      </c>
      <c r="H133">
        <f t="shared" si="87"/>
        <v>5.0725443042185123</v>
      </c>
      <c r="I133">
        <f t="shared" si="87"/>
        <v>16.367568430915298</v>
      </c>
      <c r="J133">
        <f t="shared" si="87"/>
        <v>16.224666721518773</v>
      </c>
      <c r="K133">
        <f t="shared" si="87"/>
        <v>9.3919203661171107</v>
      </c>
      <c r="L133">
        <f t="shared" si="82"/>
        <v>27.47861870800606</v>
      </c>
      <c r="M133">
        <f t="shared" si="84"/>
        <v>-0.26861870800605914</v>
      </c>
      <c r="N133">
        <f t="shared" si="85"/>
        <v>7.2156010290844452E-2</v>
      </c>
    </row>
    <row r="134" spans="1:14" x14ac:dyDescent="0.45">
      <c r="A134" s="23">
        <v>42234</v>
      </c>
      <c r="B134">
        <v>28.43</v>
      </c>
      <c r="C134">
        <v>27.77</v>
      </c>
      <c r="G134">
        <f t="shared" ref="G134:K134" si="88">SUMPRODUCT($B134:$B138,P$2:P$6)</f>
        <v>15.593947750138893</v>
      </c>
      <c r="H134">
        <f t="shared" si="88"/>
        <v>5.2174172040514444</v>
      </c>
      <c r="I134">
        <f t="shared" si="88"/>
        <v>16.909890751148488</v>
      </c>
      <c r="J134">
        <f t="shared" si="88"/>
        <v>16.764850416621002</v>
      </c>
      <c r="K134">
        <f t="shared" si="88"/>
        <v>9.6978519108889856</v>
      </c>
      <c r="L134">
        <f t="shared" si="82"/>
        <v>28.365114858831241</v>
      </c>
      <c r="M134">
        <f t="shared" si="84"/>
        <v>-0.9051148588312401</v>
      </c>
      <c r="N134">
        <f t="shared" si="85"/>
        <v>0.81923290767709567</v>
      </c>
    </row>
    <row r="135" spans="1:14" x14ac:dyDescent="0.45">
      <c r="A135" s="23">
        <v>42233</v>
      </c>
      <c r="B135">
        <v>28.12</v>
      </c>
      <c r="C135">
        <v>28.29</v>
      </c>
      <c r="G135">
        <f t="shared" ref="G135:K135" si="89">SUMPRODUCT($B135:$B139,P$2:P$6)</f>
        <v>15.443802130818153</v>
      </c>
      <c r="H135">
        <f t="shared" si="89"/>
        <v>5.1777164361868211</v>
      </c>
      <c r="I135">
        <f t="shared" si="89"/>
        <v>16.743907328450113</v>
      </c>
      <c r="J135">
        <f t="shared" si="89"/>
        <v>16.598904428224301</v>
      </c>
      <c r="K135">
        <f t="shared" si="89"/>
        <v>9.6055767633918858</v>
      </c>
      <c r="L135">
        <f t="shared" si="82"/>
        <v>28.096404867236686</v>
      </c>
      <c r="M135">
        <f t="shared" si="84"/>
        <v>0.33359513276331398</v>
      </c>
      <c r="N135">
        <f t="shared" si="85"/>
        <v>0.11128571260337308</v>
      </c>
    </row>
    <row r="136" spans="1:14" x14ac:dyDescent="0.45">
      <c r="A136" s="23">
        <v>42230</v>
      </c>
      <c r="B136">
        <v>27.94</v>
      </c>
      <c r="C136">
        <v>28.26</v>
      </c>
      <c r="G136">
        <f t="shared" ref="G136:K136" si="90">SUMPRODUCT($B136:$B140,P$2:P$6)</f>
        <v>15.349743298208157</v>
      </c>
      <c r="H136">
        <f t="shared" si="90"/>
        <v>5.148839923198504</v>
      </c>
      <c r="I136">
        <f t="shared" si="90"/>
        <v>16.641021114320569</v>
      </c>
      <c r="J136">
        <f t="shared" si="90"/>
        <v>16.496445049170347</v>
      </c>
      <c r="K136">
        <f t="shared" si="90"/>
        <v>9.5470517257173562</v>
      </c>
      <c r="L136">
        <f t="shared" si="82"/>
        <v>27.927406197410644</v>
      </c>
      <c r="M136">
        <f t="shared" si="84"/>
        <v>0.19259380258935721</v>
      </c>
      <c r="N136">
        <f t="shared" si="85"/>
        <v>3.7092372795828298E-2</v>
      </c>
    </row>
    <row r="137" spans="1:14" x14ac:dyDescent="0.45">
      <c r="A137" s="23">
        <v>42229</v>
      </c>
      <c r="B137">
        <v>27.98</v>
      </c>
      <c r="C137">
        <v>27.99</v>
      </c>
      <c r="G137">
        <f t="shared" ref="G137:K137" si="91">SUMPRODUCT($B137:$B141,P$2:P$6)</f>
        <v>15.371398686811439</v>
      </c>
      <c r="H137">
        <f t="shared" si="91"/>
        <v>5.1556119591885272</v>
      </c>
      <c r="I137">
        <f t="shared" si="91"/>
        <v>16.664870849307434</v>
      </c>
      <c r="J137">
        <f t="shared" si="91"/>
        <v>16.520382782346353</v>
      </c>
      <c r="K137">
        <f t="shared" si="91"/>
        <v>9.5611663822679205</v>
      </c>
      <c r="L137">
        <f t="shared" si="82"/>
        <v>27.96680818934556</v>
      </c>
      <c r="M137">
        <f t="shared" si="84"/>
        <v>-2.6808189345558731E-2</v>
      </c>
      <c r="N137">
        <f t="shared" si="85"/>
        <v>7.186790159873286E-4</v>
      </c>
    </row>
    <row r="138" spans="1:14" x14ac:dyDescent="0.45">
      <c r="A138" s="23">
        <v>42228</v>
      </c>
      <c r="B138">
        <v>27.52</v>
      </c>
      <c r="C138">
        <v>28.01</v>
      </c>
      <c r="G138">
        <f t="shared" ref="G138:K138" si="92">SUMPRODUCT($B138:$B142,P$2:P$6)</f>
        <v>15.144199090356784</v>
      </c>
      <c r="H138">
        <f t="shared" si="92"/>
        <v>5.093658256955985</v>
      </c>
      <c r="I138">
        <f t="shared" si="92"/>
        <v>16.41438109408347</v>
      </c>
      <c r="J138">
        <f t="shared" si="92"/>
        <v>16.270337589888868</v>
      </c>
      <c r="K138">
        <f t="shared" si="92"/>
        <v>9.4207170530630169</v>
      </c>
      <c r="L138">
        <f t="shared" si="82"/>
        <v>27.559952648785039</v>
      </c>
      <c r="M138">
        <f t="shared" si="84"/>
        <v>0.4200473512149614</v>
      </c>
      <c r="N138">
        <f t="shared" si="85"/>
        <v>0.17643977726270513</v>
      </c>
    </row>
    <row r="139" spans="1:14" x14ac:dyDescent="0.45">
      <c r="A139" s="23">
        <v>42227</v>
      </c>
      <c r="B139">
        <v>28.3</v>
      </c>
      <c r="C139">
        <v>28.14</v>
      </c>
      <c r="G139">
        <f t="shared" ref="G139:K139" si="93">SUMPRODUCT($B139:$B143,P$2:P$6)</f>
        <v>15.544095296893396</v>
      </c>
      <c r="H139">
        <f t="shared" si="93"/>
        <v>5.2124370773999127</v>
      </c>
      <c r="I139">
        <f t="shared" si="93"/>
        <v>16.852320319236647</v>
      </c>
      <c r="J139">
        <f t="shared" si="93"/>
        <v>16.706253261949513</v>
      </c>
      <c r="K139">
        <f t="shared" si="93"/>
        <v>9.6677273308468106</v>
      </c>
      <c r="L139">
        <f t="shared" si="82"/>
        <v>28.27664133840776</v>
      </c>
      <c r="M139">
        <f t="shared" si="84"/>
        <v>-0.7566413384077606</v>
      </c>
      <c r="N139">
        <f t="shared" si="85"/>
        <v>0.57250611498748727</v>
      </c>
    </row>
    <row r="140" spans="1:14" x14ac:dyDescent="0.45">
      <c r="A140" s="23">
        <v>42226</v>
      </c>
      <c r="B140">
        <v>28.61</v>
      </c>
      <c r="C140">
        <v>28.66</v>
      </c>
      <c r="G140">
        <f t="shared" ref="G140:K140" si="94">SUMPRODUCT($B140:$B144,P$2:P$6)</f>
        <v>15.704132342419847</v>
      </c>
      <c r="H140">
        <f t="shared" si="94"/>
        <v>5.2602318134041841</v>
      </c>
      <c r="I140">
        <f t="shared" si="94"/>
        <v>17.027664677254943</v>
      </c>
      <c r="J140">
        <f t="shared" si="94"/>
        <v>16.88091292199562</v>
      </c>
      <c r="K140">
        <f t="shared" si="94"/>
        <v>9.7672471418571973</v>
      </c>
      <c r="L140">
        <f t="shared" si="82"/>
        <v>28.563915752485418</v>
      </c>
      <c r="M140">
        <f t="shared" si="84"/>
        <v>-0.26391575248541699</v>
      </c>
      <c r="N140">
        <f t="shared" si="85"/>
        <v>6.9651524409943877E-2</v>
      </c>
    </row>
    <row r="141" spans="1:14" x14ac:dyDescent="0.45">
      <c r="A141" s="23">
        <v>42223</v>
      </c>
      <c r="B141">
        <v>28.19</v>
      </c>
      <c r="C141">
        <v>28.55</v>
      </c>
      <c r="G141">
        <f t="shared" ref="G141:K141" si="95">SUMPRODUCT($B141:$B145,P$2:P$6)</f>
        <v>15.484536648676277</v>
      </c>
      <c r="H141">
        <f t="shared" si="95"/>
        <v>5.192984244866869</v>
      </c>
      <c r="I141">
        <f t="shared" si="95"/>
        <v>16.787696637315538</v>
      </c>
      <c r="J141">
        <f t="shared" si="95"/>
        <v>16.642235277305936</v>
      </c>
      <c r="K141">
        <f t="shared" si="95"/>
        <v>9.630836742645732</v>
      </c>
      <c r="L141">
        <f t="shared" si="82"/>
        <v>28.169843656638982</v>
      </c>
      <c r="M141">
        <f t="shared" si="84"/>
        <v>0.44015634336101783</v>
      </c>
      <c r="N141">
        <f t="shared" si="85"/>
        <v>0.19373760660094222</v>
      </c>
    </row>
    <row r="142" spans="1:14" x14ac:dyDescent="0.45">
      <c r="A142" s="23">
        <v>42222</v>
      </c>
      <c r="B142">
        <v>28.58</v>
      </c>
      <c r="C142">
        <v>28.16</v>
      </c>
      <c r="G142">
        <f t="shared" ref="G142:K142" si="96">SUMPRODUCT($B142:$B146,P$2:P$6)</f>
        <v>15.689254573480099</v>
      </c>
      <c r="H142">
        <f t="shared" si="96"/>
        <v>5.2562567401119864</v>
      </c>
      <c r="I142">
        <f t="shared" si="96"/>
        <v>17.011103908559885</v>
      </c>
      <c r="J142">
        <f t="shared" si="96"/>
        <v>16.864232531809293</v>
      </c>
      <c r="K142">
        <f t="shared" si="96"/>
        <v>9.7577228552788799</v>
      </c>
      <c r="L142">
        <f t="shared" si="82"/>
        <v>28.536988142255499</v>
      </c>
      <c r="M142">
        <f t="shared" si="84"/>
        <v>-0.34698814225549768</v>
      </c>
      <c r="N142">
        <f t="shared" si="85"/>
        <v>0.12040077086592149</v>
      </c>
    </row>
    <row r="143" spans="1:14" x14ac:dyDescent="0.45">
      <c r="A143" s="23">
        <v>42221</v>
      </c>
      <c r="B143">
        <v>28.43</v>
      </c>
      <c r="C143">
        <v>28.56</v>
      </c>
      <c r="G143">
        <f t="shared" ref="G143:K143" si="97">SUMPRODUCT($B143:$B147,P$2:P$6)</f>
        <v>15.611791160525488</v>
      </c>
      <c r="H143">
        <f t="shared" si="97"/>
        <v>5.2327811772312574</v>
      </c>
      <c r="I143">
        <f t="shared" si="97"/>
        <v>16.926366013274922</v>
      </c>
      <c r="J143">
        <f t="shared" si="97"/>
        <v>16.77989276169022</v>
      </c>
      <c r="K143">
        <f t="shared" si="97"/>
        <v>9.709910086436027</v>
      </c>
      <c r="L143">
        <f t="shared" si="82"/>
        <v>28.398075300730582</v>
      </c>
      <c r="M143">
        <f t="shared" si="84"/>
        <v>0.18192469926941612</v>
      </c>
      <c r="N143">
        <f t="shared" si="85"/>
        <v>3.3096596204267498E-2</v>
      </c>
    </row>
    <row r="144" spans="1:14" x14ac:dyDescent="0.45">
      <c r="A144" s="23">
        <v>42220</v>
      </c>
      <c r="B144">
        <v>28.16</v>
      </c>
      <c r="C144">
        <v>28.41</v>
      </c>
      <c r="G144">
        <f t="shared" ref="G144:K144" si="98">SUMPRODUCT($B144:$B148,P$2:P$6)</f>
        <v>15.471886893634583</v>
      </c>
      <c r="H144">
        <f t="shared" si="98"/>
        <v>5.1904289610631826</v>
      </c>
      <c r="I144">
        <f t="shared" si="98"/>
        <v>16.773471692497338</v>
      </c>
      <c r="J144">
        <f t="shared" si="98"/>
        <v>16.627895783841762</v>
      </c>
      <c r="K144">
        <f t="shared" si="98"/>
        <v>9.6234944130589302</v>
      </c>
      <c r="L144">
        <f t="shared" si="82"/>
        <v>28.147395885049502</v>
      </c>
      <c r="M144">
        <f t="shared" si="84"/>
        <v>0.28260411495049809</v>
      </c>
      <c r="N144">
        <f t="shared" si="85"/>
        <v>7.9865085786954337E-2</v>
      </c>
    </row>
    <row r="145" spans="1:14" x14ac:dyDescent="0.45">
      <c r="A145" s="23">
        <v>42219</v>
      </c>
      <c r="B145">
        <v>28.09</v>
      </c>
      <c r="C145">
        <v>28.33</v>
      </c>
      <c r="G145">
        <f t="shared" ref="G145:K145" si="99">SUMPRODUCT($B145:$B149,P$2:P$6)</f>
        <v>15.434058086556298</v>
      </c>
      <c r="H145">
        <f t="shared" si="99"/>
        <v>5.1783909574241447</v>
      </c>
      <c r="I145">
        <f t="shared" si="99"/>
        <v>16.732336108000254</v>
      </c>
      <c r="J145">
        <f t="shared" si="99"/>
        <v>16.58712007264711</v>
      </c>
      <c r="K145">
        <f t="shared" si="99"/>
        <v>9.5998131810443947</v>
      </c>
      <c r="L145">
        <f t="shared" si="82"/>
        <v>28.079511371021177</v>
      </c>
      <c r="M145">
        <f t="shared" si="84"/>
        <v>8.0488628978823584E-2</v>
      </c>
      <c r="N145">
        <f t="shared" si="85"/>
        <v>6.47841939489072E-3</v>
      </c>
    </row>
    <row r="146" spans="1:14" x14ac:dyDescent="0.45">
      <c r="A146" s="23">
        <v>42216</v>
      </c>
      <c r="B146">
        <v>28.47</v>
      </c>
      <c r="C146">
        <v>28.12</v>
      </c>
      <c r="G146">
        <f t="shared" ref="G146:K146" si="100">SUMPRODUCT($B146:$B150,P$2:P$6)</f>
        <v>15.628854172430106</v>
      </c>
      <c r="H146">
        <f t="shared" si="100"/>
        <v>5.2362410355742011</v>
      </c>
      <c r="I146">
        <f t="shared" si="100"/>
        <v>16.945655630192952</v>
      </c>
      <c r="J146">
        <f t="shared" si="100"/>
        <v>16.799443840437739</v>
      </c>
      <c r="K146">
        <f t="shared" si="100"/>
        <v>9.7201125737443856</v>
      </c>
      <c r="L146">
        <f t="shared" si="82"/>
        <v>28.428599310194322</v>
      </c>
      <c r="M146">
        <f t="shared" si="84"/>
        <v>-0.3385993101943221</v>
      </c>
      <c r="N146">
        <f t="shared" si="85"/>
        <v>0.11464949286407077</v>
      </c>
    </row>
    <row r="147" spans="1:14" x14ac:dyDescent="0.45">
      <c r="A147" s="23">
        <v>42215</v>
      </c>
      <c r="B147">
        <v>28.63</v>
      </c>
      <c r="C147">
        <v>28.37</v>
      </c>
      <c r="G147">
        <f t="shared" ref="G147:K147" si="101">SUMPRODUCT($B147:$B151,P$2:P$6)</f>
        <v>15.719305664687734</v>
      </c>
      <c r="H147">
        <f t="shared" si="101"/>
        <v>5.2676216291577234</v>
      </c>
      <c r="I147">
        <f t="shared" si="101"/>
        <v>17.043239203075139</v>
      </c>
      <c r="J147">
        <f t="shared" si="101"/>
        <v>16.895854663753813</v>
      </c>
      <c r="K147">
        <f t="shared" si="101"/>
        <v>9.7765405901222202</v>
      </c>
      <c r="L147">
        <f t="shared" si="82"/>
        <v>28.59104088533293</v>
      </c>
      <c r="M147">
        <f t="shared" si="84"/>
        <v>-0.12104088533293123</v>
      </c>
      <c r="N147">
        <f t="shared" si="85"/>
        <v>1.4650895922179805E-2</v>
      </c>
    </row>
    <row r="148" spans="1:14" x14ac:dyDescent="0.45">
      <c r="A148" s="23">
        <v>42214</v>
      </c>
      <c r="B148">
        <v>28.39</v>
      </c>
      <c r="C148">
        <v>28.75</v>
      </c>
      <c r="G148">
        <f t="shared" ref="G148:K148" si="102">SUMPRODUCT($B148:$B152,P$2:P$6)</f>
        <v>15.584393559700429</v>
      </c>
      <c r="H148">
        <f t="shared" si="102"/>
        <v>5.2207151527245115</v>
      </c>
      <c r="I148">
        <f t="shared" si="102"/>
        <v>16.897547559739092</v>
      </c>
      <c r="J148">
        <f t="shared" si="102"/>
        <v>16.751723680432587</v>
      </c>
      <c r="K148">
        <f t="shared" si="102"/>
        <v>9.6926091162307326</v>
      </c>
      <c r="L148">
        <f t="shared" si="82"/>
        <v>28.348583944746235</v>
      </c>
      <c r="M148">
        <f t="shared" si="84"/>
        <v>0.28141605525376434</v>
      </c>
      <c r="N148">
        <f t="shared" si="85"/>
        <v>7.9194996154589747E-2</v>
      </c>
    </row>
    <row r="149" spans="1:14" x14ac:dyDescent="0.45">
      <c r="A149" s="23">
        <v>42213</v>
      </c>
      <c r="B149">
        <v>28.07</v>
      </c>
      <c r="C149">
        <v>28.33</v>
      </c>
      <c r="G149">
        <f t="shared" ref="G149:K149" si="103">SUMPRODUCT($B149:$B153,P$2:P$6)</f>
        <v>15.426507076897709</v>
      </c>
      <c r="H149">
        <f t="shared" si="103"/>
        <v>5.1773650621778673</v>
      </c>
      <c r="I149">
        <f t="shared" si="103"/>
        <v>16.723741802253567</v>
      </c>
      <c r="J149">
        <f t="shared" si="103"/>
        <v>16.578439431652622</v>
      </c>
      <c r="K149">
        <f t="shared" si="103"/>
        <v>9.5956713421602675</v>
      </c>
      <c r="L149">
        <f t="shared" si="82"/>
        <v>28.066290155238399</v>
      </c>
      <c r="M149">
        <f t="shared" si="84"/>
        <v>0.32370984476160203</v>
      </c>
      <c r="N149">
        <f t="shared" si="85"/>
        <v>0.10478806359558049</v>
      </c>
    </row>
    <row r="150" spans="1:14" x14ac:dyDescent="0.45">
      <c r="A150" s="23">
        <v>42212</v>
      </c>
      <c r="B150">
        <v>28.02</v>
      </c>
      <c r="C150">
        <v>28</v>
      </c>
      <c r="G150">
        <f t="shared" ref="G150:K150" si="104">SUMPRODUCT($B150:$B154,P$2:P$6)</f>
        <v>15.395950963433595</v>
      </c>
      <c r="H150">
        <f t="shared" si="104"/>
        <v>5.1660816289614901</v>
      </c>
      <c r="I150">
        <f t="shared" si="104"/>
        <v>16.690787568238058</v>
      </c>
      <c r="J150">
        <f t="shared" si="104"/>
        <v>16.54577990129075</v>
      </c>
      <c r="K150">
        <f t="shared" si="104"/>
        <v>9.5757097380311738</v>
      </c>
      <c r="L150">
        <f t="shared" si="82"/>
        <v>28.010805354986449</v>
      </c>
      <c r="M150">
        <f t="shared" si="84"/>
        <v>5.919464501355165E-2</v>
      </c>
      <c r="N150">
        <f t="shared" si="85"/>
        <v>3.5040059982803951E-3</v>
      </c>
    </row>
    <row r="151" spans="1:14" x14ac:dyDescent="0.45">
      <c r="A151" s="23">
        <v>42209</v>
      </c>
      <c r="B151">
        <v>28.83</v>
      </c>
      <c r="C151">
        <v>28.23</v>
      </c>
      <c r="G151">
        <f t="shared" ref="G151:K151" si="105">SUMPRODUCT($B151:$B155,P$2:P$6)</f>
        <v>15.796523934895172</v>
      </c>
      <c r="H151">
        <f t="shared" si="105"/>
        <v>5.2761792817796849</v>
      </c>
      <c r="I151">
        <f t="shared" si="105"/>
        <v>17.132328975418428</v>
      </c>
      <c r="J151">
        <f t="shared" si="105"/>
        <v>16.986624127455524</v>
      </c>
      <c r="K151">
        <f t="shared" si="105"/>
        <v>9.8230917452959439</v>
      </c>
      <c r="L151">
        <f t="shared" si="82"/>
        <v>28.728339001559483</v>
      </c>
      <c r="M151">
        <f t="shared" si="84"/>
        <v>-0.70833900155948371</v>
      </c>
      <c r="N151">
        <f t="shared" si="85"/>
        <v>0.50174414113028631</v>
      </c>
    </row>
    <row r="152" spans="1:14" x14ac:dyDescent="0.45">
      <c r="A152" s="23">
        <v>42208</v>
      </c>
      <c r="B152">
        <v>28.25</v>
      </c>
      <c r="C152">
        <v>28.43</v>
      </c>
      <c r="G152">
        <f t="shared" ref="G152:K152" si="106">SUMPRODUCT($B152:$B156,P$2:P$6)</f>
        <v>16.059473410320056</v>
      </c>
      <c r="H152">
        <f t="shared" si="106"/>
        <v>5.6694042536035294</v>
      </c>
      <c r="I152">
        <f t="shared" si="106"/>
        <v>17.322720840678976</v>
      </c>
      <c r="J152">
        <f t="shared" si="106"/>
        <v>17.131922549800557</v>
      </c>
      <c r="K152">
        <f t="shared" si="106"/>
        <v>10.016394731469081</v>
      </c>
      <c r="L152">
        <f t="shared" si="82"/>
        <v>29.227632113562706</v>
      </c>
      <c r="M152">
        <f t="shared" si="84"/>
        <v>-0.39763211356270745</v>
      </c>
      <c r="N152">
        <f t="shared" si="85"/>
        <v>0.15811129773634586</v>
      </c>
    </row>
    <row r="153" spans="1:14" x14ac:dyDescent="0.45">
      <c r="A153" s="23">
        <v>42207</v>
      </c>
      <c r="B153">
        <v>28.23</v>
      </c>
      <c r="C153">
        <v>28.45</v>
      </c>
      <c r="G153">
        <f t="shared" ref="G153:K153" si="107">SUMPRODUCT($B153:$B157,P$2:P$6)</f>
        <v>16.024131247792301</v>
      </c>
      <c r="H153">
        <f t="shared" si="107"/>
        <v>5.6447095844727793</v>
      </c>
      <c r="I153">
        <f t="shared" si="107"/>
        <v>17.288014912187801</v>
      </c>
      <c r="J153">
        <f t="shared" si="107"/>
        <v>17.098939291410101</v>
      </c>
      <c r="K153">
        <f t="shared" si="107"/>
        <v>9.9926309834943634</v>
      </c>
      <c r="L153">
        <f t="shared" si="82"/>
        <v>29.162302739377076</v>
      </c>
      <c r="M153">
        <f t="shared" si="84"/>
        <v>-0.91230273937707551</v>
      </c>
      <c r="N153">
        <f t="shared" si="85"/>
        <v>0.8322962882749162</v>
      </c>
    </row>
    <row r="154" spans="1:14" x14ac:dyDescent="0.45">
      <c r="A154" s="23">
        <v>42206</v>
      </c>
      <c r="B154">
        <v>28.15</v>
      </c>
      <c r="C154">
        <v>28.6</v>
      </c>
      <c r="G154">
        <f t="shared" ref="G154:K154" si="108">SUMPRODUCT($B154:$B158,P$2:P$6)</f>
        <v>16.388802494561421</v>
      </c>
      <c r="H154">
        <f t="shared" si="108"/>
        <v>5.9815522673895831</v>
      </c>
      <c r="I154">
        <f t="shared" si="108"/>
        <v>17.628720892621676</v>
      </c>
      <c r="J154">
        <f t="shared" si="108"/>
        <v>17.419005143977969</v>
      </c>
      <c r="K154">
        <f t="shared" si="108"/>
        <v>10.259202509899653</v>
      </c>
      <c r="L154">
        <f t="shared" si="82"/>
        <v>29.859101166715334</v>
      </c>
      <c r="M154">
        <f t="shared" si="84"/>
        <v>-1.6291011667153334</v>
      </c>
      <c r="N154">
        <f t="shared" si="85"/>
        <v>2.6539706113932606</v>
      </c>
    </row>
    <row r="155" spans="1:14" x14ac:dyDescent="0.45">
      <c r="A155" s="23">
        <v>42205</v>
      </c>
      <c r="B155">
        <v>26.89</v>
      </c>
      <c r="C155">
        <v>28.57</v>
      </c>
      <c r="G155">
        <f t="shared" ref="G155:K155" si="109">SUMPRODUCT($B155:$B159,P$2:P$6)</f>
        <v>15.866437073804491</v>
      </c>
      <c r="H155">
        <f t="shared" si="109"/>
        <v>5.9235481919311557</v>
      </c>
      <c r="I155">
        <f t="shared" si="109"/>
        <v>17.026793711647336</v>
      </c>
      <c r="J155">
        <f t="shared" si="109"/>
        <v>16.807453882713666</v>
      </c>
      <c r="K155">
        <f t="shared" si="109"/>
        <v>9.9172116269757531</v>
      </c>
      <c r="L155">
        <f t="shared" si="82"/>
        <v>28.922437551985293</v>
      </c>
      <c r="M155">
        <f t="shared" si="84"/>
        <v>-0.77243755198529485</v>
      </c>
      <c r="N155">
        <f t="shared" si="85"/>
        <v>0.5966597717170351</v>
      </c>
    </row>
    <row r="156" spans="1:14" x14ac:dyDescent="0.45">
      <c r="A156" s="23">
        <v>42202</v>
      </c>
      <c r="B156">
        <v>66.040000000000006</v>
      </c>
      <c r="C156">
        <v>66.290000000000006</v>
      </c>
      <c r="G156">
        <f t="shared" ref="G156:K156" si="110">SUMPRODUCT($B156:$B160,P$2:P$6)</f>
        <v>36.188347157335301</v>
      </c>
      <c r="H156">
        <f t="shared" si="110"/>
        <v>12.089569247889683</v>
      </c>
      <c r="I156">
        <f t="shared" si="110"/>
        <v>39.247544845679847</v>
      </c>
      <c r="J156">
        <f t="shared" si="110"/>
        <v>38.913136953222917</v>
      </c>
      <c r="K156">
        <f t="shared" si="110"/>
        <v>22.50316075794257</v>
      </c>
      <c r="L156">
        <f t="shared" si="82"/>
        <v>65.369420986794793</v>
      </c>
      <c r="M156">
        <f t="shared" si="84"/>
        <v>-38.479420986794793</v>
      </c>
      <c r="N156">
        <f t="shared" si="85"/>
        <v>1480.6658394789836</v>
      </c>
    </row>
    <row r="157" spans="1:14" x14ac:dyDescent="0.45">
      <c r="A157" s="23">
        <v>42201</v>
      </c>
      <c r="B157">
        <v>65.3</v>
      </c>
      <c r="C157">
        <v>65.59</v>
      </c>
      <c r="G157">
        <f t="shared" ref="G157:K157" si="111">SUMPRODUCT($B157:$B161,P$2:P$6)</f>
        <v>35.792842807076603</v>
      </c>
      <c r="H157">
        <f t="shared" si="111"/>
        <v>11.96211847950838</v>
      </c>
      <c r="I157">
        <f t="shared" si="111"/>
        <v>38.817250503433272</v>
      </c>
      <c r="J157">
        <f t="shared" si="111"/>
        <v>38.485925333079344</v>
      </c>
      <c r="K157">
        <f t="shared" si="111"/>
        <v>22.258445280443713</v>
      </c>
      <c r="L157">
        <f t="shared" si="82"/>
        <v>64.659547751631422</v>
      </c>
      <c r="M157">
        <f t="shared" si="84"/>
        <v>1.3804522483685844</v>
      </c>
      <c r="N157">
        <f t="shared" si="85"/>
        <v>1.9056484100258797</v>
      </c>
    </row>
    <row r="158" spans="1:14" x14ac:dyDescent="0.45">
      <c r="A158" s="23">
        <v>42200</v>
      </c>
      <c r="B158">
        <v>63.73</v>
      </c>
      <c r="C158">
        <v>63.44</v>
      </c>
      <c r="G158">
        <f t="shared" ref="G158:K158" si="112">SUMPRODUCT($B158:$B162,P$2:P$6)</f>
        <v>34.958231826032666</v>
      </c>
      <c r="H158">
        <f t="shared" si="112"/>
        <v>11.697657578324172</v>
      </c>
      <c r="I158">
        <f t="shared" si="112"/>
        <v>37.907811471656395</v>
      </c>
      <c r="J158">
        <f t="shared" si="112"/>
        <v>37.582418858308422</v>
      </c>
      <c r="K158">
        <f t="shared" si="112"/>
        <v>21.740259743285097</v>
      </c>
      <c r="L158">
        <f t="shared" si="82"/>
        <v>63.161186788877451</v>
      </c>
      <c r="M158">
        <f t="shared" si="84"/>
        <v>2.138813211122546</v>
      </c>
      <c r="N158">
        <f t="shared" si="85"/>
        <v>4.5745219520723364</v>
      </c>
    </row>
    <row r="159" spans="1:14" x14ac:dyDescent="0.45">
      <c r="A159" s="23">
        <v>42199</v>
      </c>
      <c r="B159">
        <v>63.38</v>
      </c>
      <c r="C159">
        <v>63.59</v>
      </c>
      <c r="G159">
        <f t="shared" ref="G159:K159" si="113">SUMPRODUCT($B159:$B163,P$2:P$6)</f>
        <v>34.76626132176785</v>
      </c>
      <c r="H159">
        <f t="shared" si="113"/>
        <v>11.633011504444717</v>
      </c>
      <c r="I159">
        <f t="shared" si="113"/>
        <v>37.699844619741199</v>
      </c>
      <c r="J159">
        <f t="shared" si="113"/>
        <v>37.376360019619156</v>
      </c>
      <c r="K159">
        <f t="shared" si="113"/>
        <v>21.621395315902696</v>
      </c>
      <c r="L159">
        <f t="shared" si="82"/>
        <v>62.81648024605952</v>
      </c>
      <c r="M159">
        <f t="shared" si="84"/>
        <v>0.91351975394047713</v>
      </c>
      <c r="N159">
        <f t="shared" si="85"/>
        <v>0.83451834083946985</v>
      </c>
    </row>
    <row r="160" spans="1:14" x14ac:dyDescent="0.45">
      <c r="A160" s="23">
        <v>42198</v>
      </c>
      <c r="B160">
        <v>62.42</v>
      </c>
      <c r="C160">
        <v>63.47</v>
      </c>
      <c r="G160">
        <f t="shared" ref="G160:K160" si="114">SUMPRODUCT($B160:$B164,P$2:P$6)</f>
        <v>34.278587953364607</v>
      </c>
      <c r="H160">
        <f t="shared" si="114"/>
        <v>11.490879585209958</v>
      </c>
      <c r="I160">
        <f t="shared" si="114"/>
        <v>37.16464727186947</v>
      </c>
      <c r="J160">
        <f t="shared" si="114"/>
        <v>36.842951067383666</v>
      </c>
      <c r="K160">
        <f t="shared" si="114"/>
        <v>21.319777435062818</v>
      </c>
      <c r="L160">
        <f t="shared" si="82"/>
        <v>61.942107388048527</v>
      </c>
      <c r="M160">
        <f t="shared" si="84"/>
        <v>1.4378926119514759</v>
      </c>
      <c r="N160">
        <f t="shared" si="85"/>
        <v>2.0675351635046377</v>
      </c>
    </row>
    <row r="161" spans="1:14" x14ac:dyDescent="0.45">
      <c r="A161" s="23">
        <v>42195</v>
      </c>
      <c r="B161">
        <v>62.35</v>
      </c>
      <c r="C161">
        <v>62.37</v>
      </c>
      <c r="G161">
        <f t="shared" ref="G161:K161" si="115">SUMPRODUCT($B161:$B165,P$2:P$6)</f>
        <v>34.218753607255266</v>
      </c>
      <c r="H161">
        <f t="shared" si="115"/>
        <v>11.459343064534368</v>
      </c>
      <c r="I161">
        <f t="shared" si="115"/>
        <v>37.103239491985313</v>
      </c>
      <c r="J161">
        <f t="shared" si="115"/>
        <v>36.783593960837685</v>
      </c>
      <c r="K161">
        <f t="shared" si="115"/>
        <v>21.281554831357763</v>
      </c>
      <c r="L161">
        <f t="shared" si="82"/>
        <v>61.833478379271305</v>
      </c>
      <c r="M161">
        <f t="shared" si="84"/>
        <v>0.58652162072869629</v>
      </c>
      <c r="N161">
        <f t="shared" si="85"/>
        <v>0.34400761158221665</v>
      </c>
    </row>
    <row r="162" spans="1:14" x14ac:dyDescent="0.45">
      <c r="A162" s="23">
        <v>42194</v>
      </c>
      <c r="B162">
        <v>61.91</v>
      </c>
      <c r="C162">
        <v>61.77</v>
      </c>
      <c r="G162">
        <f t="shared" ref="G162:K162" si="116">SUMPRODUCT($B162:$B166,P$2:P$6)</f>
        <v>33.995338232888336</v>
      </c>
      <c r="H162">
        <f t="shared" si="116"/>
        <v>11.394082098767452</v>
      </c>
      <c r="I162">
        <f t="shared" si="116"/>
        <v>36.858507993026002</v>
      </c>
      <c r="J162">
        <f t="shared" si="116"/>
        <v>36.540133156631079</v>
      </c>
      <c r="K162">
        <f t="shared" si="116"/>
        <v>21.144232491148109</v>
      </c>
      <c r="L162">
        <f t="shared" si="82"/>
        <v>61.433744754367453</v>
      </c>
      <c r="M162">
        <f t="shared" si="84"/>
        <v>0.91625524563254857</v>
      </c>
      <c r="N162">
        <f t="shared" si="85"/>
        <v>0.83952367514916193</v>
      </c>
    </row>
    <row r="163" spans="1:14" x14ac:dyDescent="0.45">
      <c r="A163" s="23">
        <v>42193</v>
      </c>
      <c r="B163">
        <v>61.52</v>
      </c>
      <c r="C163">
        <v>60.99</v>
      </c>
      <c r="G163">
        <f t="shared" ref="G163:K163" si="117">SUMPRODUCT($B163:$B167,P$2:P$6)</f>
        <v>33.78257895212419</v>
      </c>
      <c r="H163">
        <f t="shared" si="117"/>
        <v>11.324549240756784</v>
      </c>
      <c r="I163">
        <f t="shared" si="117"/>
        <v>36.627051767639216</v>
      </c>
      <c r="J163">
        <f t="shared" si="117"/>
        <v>36.310217201689007</v>
      </c>
      <c r="K163">
        <f t="shared" si="117"/>
        <v>21.010607947370087</v>
      </c>
      <c r="L163">
        <f t="shared" si="82"/>
        <v>61.050779356282519</v>
      </c>
      <c r="M163">
        <f t="shared" si="84"/>
        <v>0.85922064371747808</v>
      </c>
      <c r="N163">
        <f t="shared" si="85"/>
        <v>0.73826011459027741</v>
      </c>
    </row>
    <row r="164" spans="1:14" x14ac:dyDescent="0.45">
      <c r="A164" s="23">
        <v>42192</v>
      </c>
      <c r="B164">
        <v>62.67</v>
      </c>
      <c r="C164">
        <v>61.98</v>
      </c>
      <c r="G164">
        <f t="shared" ref="G164:K164" si="118">SUMPRODUCT($B164:$B168,P$2:P$6)</f>
        <v>34.357886405272204</v>
      </c>
      <c r="H164">
        <f t="shared" si="118"/>
        <v>11.48624222509641</v>
      </c>
      <c r="I164">
        <f t="shared" si="118"/>
        <v>37.25996934393401</v>
      </c>
      <c r="J164">
        <f t="shared" si="118"/>
        <v>36.941495418006497</v>
      </c>
      <c r="K164">
        <f t="shared" si="118"/>
        <v>21.366342839661957</v>
      </c>
      <c r="L164">
        <f t="shared" si="82"/>
        <v>62.081485736886357</v>
      </c>
      <c r="M164">
        <f t="shared" si="84"/>
        <v>-0.56148573688635395</v>
      </c>
      <c r="N164">
        <f t="shared" si="85"/>
        <v>0.31526623272681187</v>
      </c>
    </row>
    <row r="165" spans="1:14" x14ac:dyDescent="0.45">
      <c r="A165" s="23">
        <v>42191</v>
      </c>
      <c r="B165">
        <v>61.46</v>
      </c>
      <c r="C165">
        <v>61.76</v>
      </c>
      <c r="G165">
        <f t="shared" ref="G165:K165" si="119">SUMPRODUCT($B165:$B169,P$2:P$6)</f>
        <v>33.735367501581386</v>
      </c>
      <c r="H165">
        <f t="shared" si="119"/>
        <v>11.300146336866652</v>
      </c>
      <c r="I165">
        <f t="shared" si="119"/>
        <v>36.57837980513488</v>
      </c>
      <c r="J165">
        <f t="shared" si="119"/>
        <v>36.262989279239356</v>
      </c>
      <c r="K165">
        <f t="shared" si="119"/>
        <v>20.981328883488349</v>
      </c>
      <c r="L165">
        <f t="shared" si="82"/>
        <v>60.96528495463599</v>
      </c>
      <c r="M165">
        <f t="shared" si="84"/>
        <v>1.7047150453640114</v>
      </c>
      <c r="N165">
        <f t="shared" si="85"/>
        <v>2.9060533858904236</v>
      </c>
    </row>
    <row r="166" spans="1:14" x14ac:dyDescent="0.45">
      <c r="A166" s="23">
        <v>42187</v>
      </c>
      <c r="B166">
        <v>61.05</v>
      </c>
      <c r="C166">
        <v>61.85</v>
      </c>
      <c r="G166">
        <f t="shared" ref="G166:K166" si="120">SUMPRODUCT($B166:$B170,P$2:P$6)</f>
        <v>33.52513084463034</v>
      </c>
      <c r="H166">
        <f t="shared" si="120"/>
        <v>11.237714166291976</v>
      </c>
      <c r="I166">
        <f t="shared" si="120"/>
        <v>36.347783126757733</v>
      </c>
      <c r="J166">
        <f t="shared" si="120"/>
        <v>36.03307584452363</v>
      </c>
      <c r="K166">
        <f t="shared" si="120"/>
        <v>20.850867888634848</v>
      </c>
      <c r="L166">
        <f t="shared" si="82"/>
        <v>60.587814613132402</v>
      </c>
      <c r="M166">
        <f t="shared" si="84"/>
        <v>0.87218538686759928</v>
      </c>
      <c r="N166">
        <f t="shared" si="85"/>
        <v>0.76070734906538384</v>
      </c>
    </row>
    <row r="167" spans="1:14" x14ac:dyDescent="0.45">
      <c r="A167" s="23">
        <v>42186</v>
      </c>
      <c r="B167">
        <v>60.99</v>
      </c>
      <c r="C167">
        <v>60.42</v>
      </c>
      <c r="G167">
        <f t="shared" ref="G167:K167" si="121">SUMPRODUCT($B167:$B171,P$2:P$6)</f>
        <v>33.498340210627852</v>
      </c>
      <c r="H167">
        <f t="shared" si="121"/>
        <v>11.231368266033645</v>
      </c>
      <c r="I167">
        <f t="shared" si="121"/>
        <v>36.318109066509258</v>
      </c>
      <c r="J167">
        <f t="shared" si="121"/>
        <v>36.003466554483495</v>
      </c>
      <c r="K167">
        <f t="shared" si="121"/>
        <v>20.835396475733102</v>
      </c>
      <c r="L167">
        <f t="shared" si="82"/>
        <v>60.540471293079861</v>
      </c>
      <c r="M167">
        <f t="shared" si="84"/>
        <v>0.50952870692013619</v>
      </c>
      <c r="N167">
        <f t="shared" si="85"/>
        <v>0.25961950317570603</v>
      </c>
    </row>
    <row r="168" spans="1:14" x14ac:dyDescent="0.45">
      <c r="A168" s="23">
        <v>42185</v>
      </c>
      <c r="B168">
        <v>60.05</v>
      </c>
      <c r="C168">
        <v>60.24</v>
      </c>
      <c r="G168">
        <f t="shared" ref="G168:K168" si="122">SUMPRODUCT($B168:$B172,P$2:P$6)</f>
        <v>33.028487908189213</v>
      </c>
      <c r="H168">
        <f t="shared" si="122"/>
        <v>11.099300236401609</v>
      </c>
      <c r="I168">
        <f t="shared" si="122"/>
        <v>35.801391223247279</v>
      </c>
      <c r="J168">
        <f t="shared" si="122"/>
        <v>35.48827326327693</v>
      </c>
      <c r="K168">
        <f t="shared" si="122"/>
        <v>20.545412396685506</v>
      </c>
      <c r="L168">
        <f t="shared" si="82"/>
        <v>59.699121688944331</v>
      </c>
      <c r="M168">
        <f t="shared" si="84"/>
        <v>1.2908783110556712</v>
      </c>
      <c r="N168">
        <f t="shared" si="85"/>
        <v>1.6663668139539423</v>
      </c>
    </row>
    <row r="169" spans="1:14" x14ac:dyDescent="0.45">
      <c r="A169" s="23">
        <v>42184</v>
      </c>
      <c r="B169">
        <v>60.66</v>
      </c>
      <c r="C169">
        <v>59.37</v>
      </c>
      <c r="G169">
        <f t="shared" ref="G169:K169" si="123">SUMPRODUCT($B169:$B173,P$2:P$6)</f>
        <v>33.344992309610525</v>
      </c>
      <c r="H169">
        <f t="shared" si="123"/>
        <v>11.195927439857957</v>
      </c>
      <c r="I169">
        <f t="shared" si="123"/>
        <v>36.147332332347389</v>
      </c>
      <c r="J169">
        <f t="shared" si="123"/>
        <v>35.83241417836161</v>
      </c>
      <c r="K169">
        <f t="shared" si="123"/>
        <v>20.740859958421659</v>
      </c>
      <c r="L169">
        <f t="shared" si="82"/>
        <v>60.266678551177051</v>
      </c>
      <c r="M169">
        <f t="shared" si="84"/>
        <v>-0.21667855117705415</v>
      </c>
      <c r="N169">
        <f t="shared" si="85"/>
        <v>4.6949594540187274E-2</v>
      </c>
    </row>
    <row r="170" spans="1:14" x14ac:dyDescent="0.45">
      <c r="A170" s="23">
        <v>42181</v>
      </c>
      <c r="B170">
        <v>61.6</v>
      </c>
      <c r="C170">
        <v>61.04</v>
      </c>
      <c r="G170">
        <f t="shared" ref="G170:K170" si="124">SUMPRODUCT($B170:$B174,P$2:P$6)</f>
        <v>33.836348311830662</v>
      </c>
      <c r="H170">
        <f t="shared" si="124"/>
        <v>11.346999654214255</v>
      </c>
      <c r="I170">
        <f t="shared" si="124"/>
        <v>36.684129932552054</v>
      </c>
      <c r="J170">
        <f t="shared" si="124"/>
        <v>36.366311965249324</v>
      </c>
      <c r="K170">
        <f t="shared" si="124"/>
        <v>21.045507441241902</v>
      </c>
      <c r="L170">
        <f t="shared" si="82"/>
        <v>61.14834052117785</v>
      </c>
      <c r="M170">
        <f t="shared" si="84"/>
        <v>-0.48834052117785376</v>
      </c>
      <c r="N170">
        <f t="shared" si="85"/>
        <v>0.23847646462425784</v>
      </c>
    </row>
    <row r="171" spans="1:14" x14ac:dyDescent="0.45">
      <c r="A171" s="23">
        <v>42180</v>
      </c>
      <c r="B171">
        <v>61.68</v>
      </c>
      <c r="C171">
        <v>61.6</v>
      </c>
      <c r="G171">
        <f t="shared" ref="G171:K171" si="125">SUMPRODUCT($B171:$B175,P$2:P$6)</f>
        <v>33.864115970446001</v>
      </c>
      <c r="H171">
        <f t="shared" si="125"/>
        <v>11.348067913079294</v>
      </c>
      <c r="I171">
        <f t="shared" si="125"/>
        <v>36.716671199354828</v>
      </c>
      <c r="J171">
        <f t="shared" si="125"/>
        <v>36.39962235521547</v>
      </c>
      <c r="K171">
        <f t="shared" si="125"/>
        <v>21.06152397331708</v>
      </c>
      <c r="L171">
        <f t="shared" si="82"/>
        <v>61.197199847993993</v>
      </c>
      <c r="M171">
        <f t="shared" si="84"/>
        <v>0.40280015200600872</v>
      </c>
      <c r="N171">
        <f t="shared" si="85"/>
        <v>0.16224796245606374</v>
      </c>
    </row>
    <row r="172" spans="1:14" x14ac:dyDescent="0.45">
      <c r="A172" s="23">
        <v>42179</v>
      </c>
      <c r="B172">
        <v>62.11</v>
      </c>
      <c r="C172">
        <v>61.61</v>
      </c>
      <c r="G172">
        <f t="shared" ref="G172:K172" si="126">SUMPRODUCT($B172:$B176,P$2:P$6)</f>
        <v>34.082482633858362</v>
      </c>
      <c r="H172">
        <f t="shared" si="126"/>
        <v>11.411391879847001</v>
      </c>
      <c r="I172">
        <f t="shared" si="126"/>
        <v>36.956297536175391</v>
      </c>
      <c r="J172">
        <f t="shared" si="126"/>
        <v>36.638355026745714</v>
      </c>
      <c r="K172">
        <f t="shared" si="126"/>
        <v>21.196653772946924</v>
      </c>
      <c r="L172">
        <f t="shared" si="82"/>
        <v>61.588561374266909</v>
      </c>
      <c r="M172">
        <f t="shared" si="84"/>
        <v>9.1438625733090362E-2</v>
      </c>
      <c r="N172">
        <f t="shared" si="85"/>
        <v>8.3610222759561755E-3</v>
      </c>
    </row>
    <row r="173" spans="1:14" x14ac:dyDescent="0.45">
      <c r="A173" s="23">
        <v>42178</v>
      </c>
      <c r="B173">
        <v>61.76</v>
      </c>
      <c r="C173">
        <v>61.93</v>
      </c>
      <c r="G173">
        <f t="shared" ref="G173:K173" si="127">SUMPRODUCT($B173:$B177,P$2:P$6)</f>
        <v>33.888839357915479</v>
      </c>
      <c r="H173">
        <f t="shared" si="127"/>
        <v>11.34583588628599</v>
      </c>
      <c r="I173">
        <f t="shared" si="127"/>
        <v>36.74641407443999</v>
      </c>
      <c r="J173">
        <f t="shared" si="127"/>
        <v>36.430237324844121</v>
      </c>
      <c r="K173">
        <f t="shared" si="127"/>
        <v>21.075818735066274</v>
      </c>
      <c r="L173">
        <f t="shared" si="82"/>
        <v>61.240233368397753</v>
      </c>
      <c r="M173">
        <f t="shared" si="84"/>
        <v>0.86976663160224632</v>
      </c>
      <c r="N173">
        <f t="shared" si="85"/>
        <v>0.75649399344871771</v>
      </c>
    </row>
    <row r="174" spans="1:14" x14ac:dyDescent="0.45">
      <c r="A174" s="23">
        <v>42177</v>
      </c>
      <c r="B174">
        <v>61.59</v>
      </c>
      <c r="C174">
        <v>61.75</v>
      </c>
      <c r="G174">
        <f t="shared" ref="G174:K174" si="128">SUMPRODUCT($B174:$B178,P$2:P$6)</f>
        <v>33.787103065094762</v>
      </c>
      <c r="H174">
        <f t="shared" si="128"/>
        <v>11.306902079714641</v>
      </c>
      <c r="I174">
        <f t="shared" si="128"/>
        <v>36.637612201587814</v>
      </c>
      <c r="J174">
        <f t="shared" si="128"/>
        <v>36.323050324444011</v>
      </c>
      <c r="K174">
        <f t="shared" si="128"/>
        <v>21.012531906811322</v>
      </c>
      <c r="L174">
        <f t="shared" si="82"/>
        <v>61.057142229636554</v>
      </c>
      <c r="M174">
        <f t="shared" si="84"/>
        <v>0.70285777036344399</v>
      </c>
      <c r="N174">
        <f t="shared" si="85"/>
        <v>0.49400904536027179</v>
      </c>
    </row>
    <row r="175" spans="1:14" x14ac:dyDescent="0.45">
      <c r="A175" s="23">
        <v>42174</v>
      </c>
      <c r="B175">
        <v>60.79</v>
      </c>
      <c r="C175">
        <v>61.17</v>
      </c>
      <c r="G175">
        <f t="shared" ref="G175:K175" si="129">SUMPRODUCT($B175:$B179,P$2:P$6)</f>
        <v>33.36520638577116</v>
      </c>
      <c r="H175">
        <f t="shared" si="129"/>
        <v>11.175089653929584</v>
      </c>
      <c r="I175">
        <f t="shared" si="129"/>
        <v>36.177413424196502</v>
      </c>
      <c r="J175">
        <f t="shared" si="129"/>
        <v>35.865702251199004</v>
      </c>
      <c r="K175">
        <f t="shared" si="129"/>
        <v>20.750897042278975</v>
      </c>
      <c r="L175">
        <f t="shared" si="82"/>
        <v>60.300069665230112</v>
      </c>
      <c r="M175">
        <f t="shared" si="84"/>
        <v>1.2899303347698918</v>
      </c>
      <c r="N175">
        <f t="shared" si="85"/>
        <v>1.6639202685595651</v>
      </c>
    </row>
    <row r="176" spans="1:14" x14ac:dyDescent="0.45">
      <c r="A176" s="23">
        <v>42173</v>
      </c>
      <c r="B176">
        <v>60.65</v>
      </c>
      <c r="C176">
        <v>60.69</v>
      </c>
      <c r="G176">
        <f t="shared" ref="G176:K176" si="130">SUMPRODUCT($B176:$B180,P$2:P$6)</f>
        <v>33.295064001973948</v>
      </c>
      <c r="H176">
        <f t="shared" si="130"/>
        <v>11.155085124772329</v>
      </c>
      <c r="I176">
        <f t="shared" si="130"/>
        <v>36.100129318952646</v>
      </c>
      <c r="J176">
        <f t="shared" si="130"/>
        <v>35.788428083088498</v>
      </c>
      <c r="K176">
        <f t="shared" si="130"/>
        <v>20.707408505007507</v>
      </c>
      <c r="L176">
        <f t="shared" si="82"/>
        <v>60.174062457783165</v>
      </c>
      <c r="M176">
        <f t="shared" si="84"/>
        <v>0.61593754221683383</v>
      </c>
      <c r="N176">
        <f t="shared" si="85"/>
        <v>0.37937905591211396</v>
      </c>
    </row>
    <row r="177" spans="1:14" x14ac:dyDescent="0.45">
      <c r="A177" s="23">
        <v>42172</v>
      </c>
      <c r="B177">
        <v>60.5</v>
      </c>
      <c r="C177">
        <v>60.55</v>
      </c>
      <c r="G177">
        <f t="shared" ref="G177:K177" si="131">SUMPRODUCT($B177:$B181,P$2:P$6)</f>
        <v>33.217405608104862</v>
      </c>
      <c r="H177">
        <f t="shared" si="131"/>
        <v>11.13119807406334</v>
      </c>
      <c r="I177">
        <f t="shared" si="131"/>
        <v>36.01522350178562</v>
      </c>
      <c r="J177">
        <f t="shared" si="131"/>
        <v>35.703893447579283</v>
      </c>
      <c r="K177">
        <f t="shared" si="131"/>
        <v>20.65959651252015</v>
      </c>
      <c r="L177">
        <f t="shared" si="82"/>
        <v>60.034731369711018</v>
      </c>
      <c r="M177">
        <f t="shared" si="84"/>
        <v>0.61526863028898049</v>
      </c>
      <c r="N177">
        <f t="shared" si="85"/>
        <v>0.37855548741767814</v>
      </c>
    </row>
    <row r="178" spans="1:14" x14ac:dyDescent="0.45">
      <c r="A178" s="23">
        <v>42171</v>
      </c>
      <c r="B178">
        <v>59.89</v>
      </c>
      <c r="C178">
        <v>60.52</v>
      </c>
      <c r="G178">
        <f t="shared" ref="G178:K178" si="132">SUMPRODUCT($B178:$B182,P$2:P$6)</f>
        <v>32.904888792335889</v>
      </c>
      <c r="H178">
        <f t="shared" si="132"/>
        <v>11.038498067209805</v>
      </c>
      <c r="I178">
        <f t="shared" si="132"/>
        <v>35.673048598043351</v>
      </c>
      <c r="J178">
        <f t="shared" si="132"/>
        <v>35.363401203217776</v>
      </c>
      <c r="K178">
        <f t="shared" si="132"/>
        <v>20.466748811554488</v>
      </c>
      <c r="L178">
        <f t="shared" si="82"/>
        <v>59.474865368432994</v>
      </c>
      <c r="M178">
        <f t="shared" si="84"/>
        <v>1.0251346315670062</v>
      </c>
      <c r="N178">
        <f t="shared" si="85"/>
        <v>1.0509010128380216</v>
      </c>
    </row>
    <row r="179" spans="1:14" x14ac:dyDescent="0.45">
      <c r="A179" s="23">
        <v>42170</v>
      </c>
      <c r="B179">
        <v>59.63</v>
      </c>
      <c r="C179">
        <v>60</v>
      </c>
      <c r="G179">
        <f t="shared" ref="G179:K179" si="133">SUMPRODUCT($B179:$B183,P$2:P$6)</f>
        <v>32.778940614505295</v>
      </c>
      <c r="H179">
        <f t="shared" si="133"/>
        <v>11.005783068381165</v>
      </c>
      <c r="I179">
        <f t="shared" si="133"/>
        <v>35.533752960682911</v>
      </c>
      <c r="J179">
        <f t="shared" si="133"/>
        <v>35.224205039026153</v>
      </c>
      <c r="K179">
        <f t="shared" si="133"/>
        <v>20.388960242072148</v>
      </c>
      <c r="L179">
        <f t="shared" si="82"/>
        <v>59.249534147795835</v>
      </c>
      <c r="M179">
        <f t="shared" si="84"/>
        <v>0.64046585220416574</v>
      </c>
      <c r="N179">
        <f t="shared" si="85"/>
        <v>0.41019650783960826</v>
      </c>
    </row>
    <row r="180" spans="1:14" x14ac:dyDescent="0.45">
      <c r="A180" s="23">
        <v>42167</v>
      </c>
      <c r="B180">
        <v>60.32</v>
      </c>
      <c r="C180">
        <v>60.02</v>
      </c>
      <c r="G180">
        <f t="shared" ref="G180:K180" si="134">SUMPRODUCT($B180:$B184,P$2:P$6)</f>
        <v>33.163425284597579</v>
      </c>
      <c r="H180">
        <f t="shared" si="134"/>
        <v>11.137341692875456</v>
      </c>
      <c r="I180">
        <f t="shared" si="134"/>
        <v>35.949519448569298</v>
      </c>
      <c r="J180">
        <f t="shared" si="134"/>
        <v>35.635702911659166</v>
      </c>
      <c r="K180">
        <f t="shared" si="134"/>
        <v>20.628200132133514</v>
      </c>
      <c r="L180">
        <f t="shared" si="82"/>
        <v>59.940272261030515</v>
      </c>
      <c r="M180">
        <f t="shared" si="84"/>
        <v>-0.3102722610305122</v>
      </c>
      <c r="N180">
        <f t="shared" si="85"/>
        <v>9.6268875964986303E-2</v>
      </c>
    </row>
    <row r="181" spans="1:14" x14ac:dyDescent="0.45">
      <c r="A181" s="23">
        <v>42166</v>
      </c>
      <c r="B181">
        <v>60.7</v>
      </c>
      <c r="C181">
        <v>60.45</v>
      </c>
      <c r="G181">
        <f t="shared" ref="G181:K181" si="135">SUMPRODUCT($B181:$B185,P$2:P$6)</f>
        <v>33.361932672296803</v>
      </c>
      <c r="H181">
        <f t="shared" si="135"/>
        <v>11.198184736204038</v>
      </c>
      <c r="I181">
        <f t="shared" si="135"/>
        <v>36.166440186923602</v>
      </c>
      <c r="J181">
        <f t="shared" si="135"/>
        <v>35.85147005790126</v>
      </c>
      <c r="K181">
        <f t="shared" si="135"/>
        <v>20.751380091296738</v>
      </c>
      <c r="L181">
        <f t="shared" si="82"/>
        <v>60.296480311002469</v>
      </c>
      <c r="M181">
        <f t="shared" si="84"/>
        <v>2.3519688997531318E-2</v>
      </c>
      <c r="N181">
        <f t="shared" si="85"/>
        <v>5.5317577054059578E-4</v>
      </c>
    </row>
    <row r="182" spans="1:14" x14ac:dyDescent="0.45">
      <c r="A182" s="23">
        <v>42165</v>
      </c>
      <c r="B182">
        <v>60.56</v>
      </c>
      <c r="C182">
        <v>60.47</v>
      </c>
      <c r="G182">
        <f t="shared" ref="G182:K182" si="136">SUMPRODUCT($B182:$B186,P$2:P$6)</f>
        <v>33.299201388619167</v>
      </c>
      <c r="H182">
        <f t="shared" si="136"/>
        <v>11.184852354974545</v>
      </c>
      <c r="I182">
        <f t="shared" si="136"/>
        <v>36.096633158122032</v>
      </c>
      <c r="J182">
        <f t="shared" si="136"/>
        <v>35.781821668407169</v>
      </c>
      <c r="K182">
        <f t="shared" si="136"/>
        <v>20.713776494410631</v>
      </c>
      <c r="L182">
        <f t="shared" si="82"/>
        <v>60.185466780952787</v>
      </c>
      <c r="M182">
        <f t="shared" si="84"/>
        <v>0.51453321904721605</v>
      </c>
      <c r="N182">
        <f t="shared" si="85"/>
        <v>0.2647444335030904</v>
      </c>
    </row>
    <row r="183" spans="1:14" x14ac:dyDescent="0.45">
      <c r="A183" s="23">
        <v>42164</v>
      </c>
      <c r="B183">
        <v>60.73</v>
      </c>
      <c r="C183">
        <v>60.41</v>
      </c>
      <c r="G183">
        <f t="shared" ref="G183:K183" si="137">SUMPRODUCT($B183:$B187,P$2:P$6)</f>
        <v>33.402602698389593</v>
      </c>
      <c r="H183">
        <f t="shared" si="137"/>
        <v>11.225902685698701</v>
      </c>
      <c r="I183">
        <f t="shared" si="137"/>
        <v>36.206719830856031</v>
      </c>
      <c r="J183">
        <f t="shared" si="137"/>
        <v>35.890045643673957</v>
      </c>
      <c r="K183">
        <f t="shared" si="137"/>
        <v>20.777468185464485</v>
      </c>
      <c r="L183">
        <f t="shared" si="82"/>
        <v>60.371380317800515</v>
      </c>
      <c r="M183">
        <f t="shared" si="84"/>
        <v>0.18861968219948722</v>
      </c>
      <c r="N183">
        <f t="shared" si="85"/>
        <v>3.5577384513035555E-2</v>
      </c>
    </row>
    <row r="184" spans="1:14" x14ac:dyDescent="0.45">
      <c r="A184" s="23">
        <v>42163</v>
      </c>
      <c r="B184">
        <v>62.52</v>
      </c>
      <c r="C184">
        <v>60.85</v>
      </c>
      <c r="G184">
        <f t="shared" ref="G184:K184" si="138">SUMPRODUCT($B184:$B188,P$2:P$6)</f>
        <v>34.321321082941417</v>
      </c>
      <c r="H184">
        <f t="shared" si="138"/>
        <v>11.498841022944433</v>
      </c>
      <c r="I184">
        <f t="shared" si="138"/>
        <v>37.21288395110161</v>
      </c>
      <c r="J184">
        <f t="shared" si="138"/>
        <v>36.891602517843211</v>
      </c>
      <c r="K184">
        <f t="shared" si="138"/>
        <v>21.345593657683811</v>
      </c>
      <c r="L184">
        <f t="shared" si="82"/>
        <v>62.018197410278908</v>
      </c>
      <c r="M184">
        <f t="shared" si="84"/>
        <v>-1.2881974102789115</v>
      </c>
      <c r="N184">
        <f t="shared" si="85"/>
        <v>1.6594525678492944</v>
      </c>
    </row>
    <row r="185" spans="1:14" x14ac:dyDescent="0.45">
      <c r="A185" s="23">
        <v>42160</v>
      </c>
      <c r="B185">
        <v>62.49</v>
      </c>
      <c r="C185">
        <v>63.23</v>
      </c>
      <c r="G185">
        <f t="shared" ref="G185:K185" si="139">SUMPRODUCT($B185:$B189,P$2:P$6)</f>
        <v>34.301738971175688</v>
      </c>
      <c r="H185">
        <f t="shared" si="139"/>
        <v>11.490187698358801</v>
      </c>
      <c r="I185">
        <f t="shared" si="139"/>
        <v>37.192485045963203</v>
      </c>
      <c r="J185">
        <f t="shared" si="139"/>
        <v>36.871858713616575</v>
      </c>
      <c r="K185">
        <f t="shared" si="139"/>
        <v>21.333988478188221</v>
      </c>
      <c r="L185">
        <f t="shared" si="82"/>
        <v>61.983332934756056</v>
      </c>
      <c r="M185">
        <f t="shared" si="84"/>
        <v>0.53666706524394669</v>
      </c>
      <c r="N185">
        <f t="shared" si="85"/>
        <v>0.28801153891755055</v>
      </c>
    </row>
    <row r="186" spans="1:14" x14ac:dyDescent="0.45">
      <c r="A186" s="23">
        <v>42159</v>
      </c>
      <c r="B186">
        <v>61.77</v>
      </c>
      <c r="C186">
        <v>62.49</v>
      </c>
      <c r="G186">
        <f t="shared" ref="G186:K186" si="140">SUMPRODUCT($B186:$B190,P$2:P$6)</f>
        <v>33.913624786843812</v>
      </c>
      <c r="H186">
        <f t="shared" si="140"/>
        <v>11.36483579805644</v>
      </c>
      <c r="I186">
        <f t="shared" si="140"/>
        <v>36.770375055202692</v>
      </c>
      <c r="J186">
        <f t="shared" si="140"/>
        <v>36.452927594078488</v>
      </c>
      <c r="K186">
        <f t="shared" si="140"/>
        <v>21.092325958461956</v>
      </c>
      <c r="L186">
        <f t="shared" si="82"/>
        <v>61.286289679100285</v>
      </c>
      <c r="M186">
        <f t="shared" si="84"/>
        <v>1.2037103208997166</v>
      </c>
      <c r="N186">
        <f t="shared" si="85"/>
        <v>1.4489185366404989</v>
      </c>
    </row>
    <row r="187" spans="1:14" x14ac:dyDescent="0.45">
      <c r="A187" s="23">
        <v>42158</v>
      </c>
      <c r="B187">
        <v>62.37</v>
      </c>
      <c r="C187">
        <v>62.01</v>
      </c>
      <c r="G187">
        <f t="shared" ref="G187:K187" si="141">SUMPRODUCT($B187:$B191,P$2:P$6)</f>
        <v>34.197983553135224</v>
      </c>
      <c r="H187">
        <f t="shared" si="141"/>
        <v>11.435861757810269</v>
      </c>
      <c r="I187">
        <f t="shared" si="141"/>
        <v>37.085862856047491</v>
      </c>
      <c r="J187">
        <f t="shared" si="141"/>
        <v>36.768741080354104</v>
      </c>
      <c r="K187">
        <f t="shared" si="141"/>
        <v>21.266899345812046</v>
      </c>
      <c r="L187">
        <f t="shared" si="82"/>
        <v>61.7946842041355</v>
      </c>
      <c r="M187">
        <f t="shared" si="84"/>
        <v>-2.4684204135496657E-2</v>
      </c>
      <c r="N187">
        <f t="shared" si="85"/>
        <v>6.0930993380287025E-4</v>
      </c>
    </row>
    <row r="188" spans="1:14" x14ac:dyDescent="0.45">
      <c r="A188" s="23">
        <v>42157</v>
      </c>
      <c r="B188">
        <v>62.1</v>
      </c>
      <c r="C188">
        <v>62</v>
      </c>
      <c r="G188">
        <f t="shared" ref="G188:K188" si="142">SUMPRODUCT($B188:$B192,P$2:P$6)</f>
        <v>34.040233425484374</v>
      </c>
      <c r="H188">
        <f t="shared" si="142"/>
        <v>11.377797911768489</v>
      </c>
      <c r="I188">
        <f t="shared" si="142"/>
        <v>36.916243288355226</v>
      </c>
      <c r="J188">
        <f t="shared" si="142"/>
        <v>36.601108549056256</v>
      </c>
      <c r="K188">
        <f t="shared" si="142"/>
        <v>21.168189216858536</v>
      </c>
      <c r="L188">
        <f t="shared" si="82"/>
        <v>61.510453308696697</v>
      </c>
      <c r="M188">
        <f t="shared" si="84"/>
        <v>0.85954669130330075</v>
      </c>
      <c r="N188">
        <f t="shared" si="85"/>
        <v>0.73882051453045183</v>
      </c>
    </row>
    <row r="189" spans="1:14" x14ac:dyDescent="0.45">
      <c r="A189" s="23">
        <v>42156</v>
      </c>
      <c r="B189">
        <v>61.55</v>
      </c>
      <c r="C189">
        <v>62.56</v>
      </c>
      <c r="G189">
        <f t="shared" ref="G189:K189" si="143">SUMPRODUCT($B189:$B193,P$2:P$6)</f>
        <v>33.752076592583478</v>
      </c>
      <c r="H189">
        <f t="shared" si="143"/>
        <v>11.288200876030119</v>
      </c>
      <c r="I189">
        <f t="shared" si="143"/>
        <v>36.601374086071552</v>
      </c>
      <c r="J189">
        <f t="shared" si="143"/>
        <v>36.287657687422829</v>
      </c>
      <c r="K189">
        <f t="shared" si="143"/>
        <v>20.989506901602681</v>
      </c>
      <c r="L189">
        <f t="shared" si="82"/>
        <v>60.992821611498208</v>
      </c>
      <c r="M189">
        <f t="shared" si="84"/>
        <v>1.1071783885017936</v>
      </c>
      <c r="N189">
        <f t="shared" si="85"/>
        <v>1.2258439839654287</v>
      </c>
    </row>
    <row r="190" spans="1:14" x14ac:dyDescent="0.45">
      <c r="A190" s="23">
        <v>42153</v>
      </c>
      <c r="B190">
        <v>60.65</v>
      </c>
      <c r="C190">
        <v>61.36</v>
      </c>
      <c r="G190">
        <f t="shared" ref="G190:K190" si="144">SUMPRODUCT($B190:$B194,P$2:P$6)</f>
        <v>33.27039654918552</v>
      </c>
      <c r="H190">
        <f t="shared" si="144"/>
        <v>11.132968903278558</v>
      </c>
      <c r="I190">
        <f t="shared" si="144"/>
        <v>36.077352316599786</v>
      </c>
      <c r="J190">
        <f t="shared" si="144"/>
        <v>35.767431190547519</v>
      </c>
      <c r="K190">
        <f t="shared" si="144"/>
        <v>20.691144661049222</v>
      </c>
      <c r="L190">
        <f t="shared" si="82"/>
        <v>60.128202969715801</v>
      </c>
      <c r="M190">
        <f t="shared" si="84"/>
        <v>1.4217970302841962</v>
      </c>
      <c r="N190">
        <f t="shared" si="85"/>
        <v>2.0215067953249597</v>
      </c>
    </row>
    <row r="191" spans="1:14" x14ac:dyDescent="0.45">
      <c r="A191" s="23">
        <v>42152</v>
      </c>
      <c r="B191">
        <v>59.23</v>
      </c>
      <c r="C191">
        <v>60.56</v>
      </c>
      <c r="G191">
        <f t="shared" ref="G191:K191" si="145">SUMPRODUCT($B191:$B195,P$2:P$6)</f>
        <v>32.533107153230283</v>
      </c>
      <c r="H191">
        <f t="shared" si="145"/>
        <v>10.908912506106192</v>
      </c>
      <c r="I191">
        <f t="shared" si="145"/>
        <v>35.271616701105735</v>
      </c>
      <c r="J191">
        <f t="shared" si="145"/>
        <v>34.966269579964674</v>
      </c>
      <c r="K191">
        <f t="shared" si="145"/>
        <v>20.235275633095938</v>
      </c>
      <c r="L191">
        <f t="shared" si="82"/>
        <v>58.806579330226462</v>
      </c>
      <c r="M191">
        <f t="shared" si="84"/>
        <v>1.8434206697735362</v>
      </c>
      <c r="N191">
        <f t="shared" si="85"/>
        <v>3.3981997657483132</v>
      </c>
    </row>
    <row r="192" spans="1:14" x14ac:dyDescent="0.45">
      <c r="A192" s="23">
        <v>42151</v>
      </c>
      <c r="B192">
        <v>58.86</v>
      </c>
      <c r="C192">
        <v>59.38</v>
      </c>
      <c r="G192">
        <f t="shared" ref="G192:K192" si="146">SUMPRODUCT($B192:$B196,P$2:P$6)</f>
        <v>32.348556265303898</v>
      </c>
      <c r="H192">
        <f t="shared" si="146"/>
        <v>10.857891287853224</v>
      </c>
      <c r="I192">
        <f t="shared" si="146"/>
        <v>35.068202209582644</v>
      </c>
      <c r="J192">
        <f t="shared" si="146"/>
        <v>34.763153630184512</v>
      </c>
      <c r="K192">
        <f t="shared" si="146"/>
        <v>20.120489334676286</v>
      </c>
      <c r="L192">
        <f t="shared" si="82"/>
        <v>58.47560495402422</v>
      </c>
      <c r="M192">
        <f t="shared" si="84"/>
        <v>0.75439504597577667</v>
      </c>
      <c r="N192">
        <f t="shared" si="85"/>
        <v>0.56911188539279423</v>
      </c>
    </row>
    <row r="193" spans="1:14" x14ac:dyDescent="0.45">
      <c r="A193" s="23">
        <v>42150</v>
      </c>
      <c r="B193">
        <v>60.03</v>
      </c>
      <c r="C193">
        <v>58.72</v>
      </c>
      <c r="G193">
        <f t="shared" ref="G193:K193" si="147">SUMPRODUCT($B193:$B197,P$2:P$6)</f>
        <v>32.950289456259299</v>
      </c>
      <c r="H193">
        <f t="shared" si="147"/>
        <v>11.037144574730101</v>
      </c>
      <c r="I193">
        <f t="shared" si="147"/>
        <v>35.726974949254576</v>
      </c>
      <c r="J193">
        <f t="shared" si="147"/>
        <v>35.418743969292258</v>
      </c>
      <c r="K193">
        <f t="shared" si="147"/>
        <v>20.492724043003467</v>
      </c>
      <c r="L193">
        <f t="shared" si="82"/>
        <v>59.554174953259505</v>
      </c>
      <c r="M193">
        <f t="shared" si="84"/>
        <v>-0.6941749532595054</v>
      </c>
      <c r="N193">
        <f t="shared" si="85"/>
        <v>0.4818788657328365</v>
      </c>
    </row>
    <row r="194" spans="1:14" x14ac:dyDescent="0.45">
      <c r="A194" s="23">
        <v>42146</v>
      </c>
      <c r="B194">
        <v>59.73</v>
      </c>
      <c r="C194">
        <v>59.72</v>
      </c>
      <c r="G194">
        <f t="shared" ref="G194:K194" si="148">SUMPRODUCT($B194:$B198,P$2:P$6)</f>
        <v>32.790577678756947</v>
      </c>
      <c r="H194">
        <f t="shared" si="148"/>
        <v>10.985970081691907</v>
      </c>
      <c r="I194">
        <f t="shared" si="148"/>
        <v>35.553310391674863</v>
      </c>
      <c r="J194">
        <f t="shared" si="148"/>
        <v>35.246481322254688</v>
      </c>
      <c r="K194">
        <f t="shared" si="148"/>
        <v>20.394278790937303</v>
      </c>
      <c r="L194">
        <f t="shared" ref="L194:L246" si="149">(G194+$P$7)*$U$2+(H194+$Q$7)*$U$3+(I194+$R$7)*$U$4+(J194+$S$7)*$U$5+(K194+$T$7)*$U$6+$U$7</f>
        <v>59.267912455533335</v>
      </c>
      <c r="M194">
        <f t="shared" si="84"/>
        <v>0.7620875444666666</v>
      </c>
      <c r="N194">
        <f t="shared" si="85"/>
        <v>0.58077742543123356</v>
      </c>
    </row>
    <row r="195" spans="1:14" x14ac:dyDescent="0.45">
      <c r="A195" s="23">
        <v>42145</v>
      </c>
      <c r="B195">
        <v>59</v>
      </c>
      <c r="C195">
        <v>59.74</v>
      </c>
      <c r="G195">
        <f t="shared" ref="G195:K195" si="150">SUMPRODUCT($B195:$B199,P$2:P$6)</f>
        <v>32.428195937327999</v>
      </c>
      <c r="H195">
        <f t="shared" si="150"/>
        <v>10.885536492490655</v>
      </c>
      <c r="I195">
        <f t="shared" si="150"/>
        <v>35.154173189704572</v>
      </c>
      <c r="J195">
        <f t="shared" si="150"/>
        <v>34.848141763436779</v>
      </c>
      <c r="K195">
        <f t="shared" si="150"/>
        <v>20.170514317772469</v>
      </c>
      <c r="L195">
        <f t="shared" si="149"/>
        <v>58.618820358388305</v>
      </c>
      <c r="M195">
        <f t="shared" ref="M195:M246" si="151">B194-L195</f>
        <v>1.1111796416116917</v>
      </c>
      <c r="N195">
        <f t="shared" ref="N195:N246" si="152">M195^2</f>
        <v>1.2347201959322875</v>
      </c>
    </row>
    <row r="196" spans="1:14" x14ac:dyDescent="0.45">
      <c r="A196" s="23">
        <v>42144</v>
      </c>
      <c r="B196">
        <v>59.47</v>
      </c>
      <c r="C196">
        <v>59.15</v>
      </c>
      <c r="G196">
        <f t="shared" ref="G196:K196" si="153">SUMPRODUCT($B196:$B200,P$2:P$6)</f>
        <v>32.655191113172712</v>
      </c>
      <c r="H196">
        <f t="shared" si="153"/>
        <v>10.945096461983749</v>
      </c>
      <c r="I196">
        <f t="shared" si="153"/>
        <v>35.405140106860102</v>
      </c>
      <c r="J196">
        <f t="shared" si="153"/>
        <v>35.09899034875319</v>
      </c>
      <c r="K196">
        <f t="shared" si="153"/>
        <v>20.309871534075207</v>
      </c>
      <c r="L196">
        <f t="shared" si="149"/>
        <v>59.024831620284822</v>
      </c>
      <c r="M196">
        <f t="shared" si="151"/>
        <v>-2.4831620284821554E-2</v>
      </c>
      <c r="N196">
        <f t="shared" si="152"/>
        <v>6.1660936596956125E-4</v>
      </c>
    </row>
    <row r="197" spans="1:14" x14ac:dyDescent="0.45">
      <c r="A197" s="23">
        <v>42143</v>
      </c>
      <c r="B197">
        <v>59.65</v>
      </c>
      <c r="C197">
        <v>59.25</v>
      </c>
      <c r="G197">
        <f t="shared" ref="G197:K197" si="154">SUMPRODUCT($B197:$B201,P$2:P$6)</f>
        <v>32.74751258960876</v>
      </c>
      <c r="H197">
        <f t="shared" si="154"/>
        <v>10.972223626112154</v>
      </c>
      <c r="I197">
        <f t="shared" si="154"/>
        <v>35.506643719396074</v>
      </c>
      <c r="J197">
        <f t="shared" si="154"/>
        <v>35.200385544551828</v>
      </c>
      <c r="K197">
        <f t="shared" si="154"/>
        <v>20.367693743937593</v>
      </c>
      <c r="L197">
        <f t="shared" si="149"/>
        <v>59.190958267846916</v>
      </c>
      <c r="M197">
        <f t="shared" si="151"/>
        <v>0.27904173215308248</v>
      </c>
      <c r="N197">
        <f t="shared" si="152"/>
        <v>7.7864288282992619E-2</v>
      </c>
    </row>
    <row r="198" spans="1:14" x14ac:dyDescent="0.45">
      <c r="A198" s="23">
        <v>42142</v>
      </c>
      <c r="B198">
        <v>59.22</v>
      </c>
      <c r="C198">
        <v>59.46</v>
      </c>
      <c r="G198">
        <f t="shared" ref="G198:K198" si="155">SUMPRODUCT($B198:$B202,P$2:P$6)</f>
        <v>32.507102947054534</v>
      </c>
      <c r="H198">
        <f t="shared" si="155"/>
        <v>10.890328894170057</v>
      </c>
      <c r="I198">
        <f t="shared" si="155"/>
        <v>35.246269296869819</v>
      </c>
      <c r="J198">
        <f t="shared" si="155"/>
        <v>34.942345995598004</v>
      </c>
      <c r="K198">
        <f t="shared" si="155"/>
        <v>20.216846981394561</v>
      </c>
      <c r="L198">
        <f t="shared" si="149"/>
        <v>58.758262892331494</v>
      </c>
      <c r="M198">
        <f t="shared" si="151"/>
        <v>0.89173710766850434</v>
      </c>
      <c r="N198">
        <f t="shared" si="152"/>
        <v>0.79519506919298966</v>
      </c>
    </row>
    <row r="199" spans="1:14" x14ac:dyDescent="0.45">
      <c r="A199" s="23">
        <v>42139</v>
      </c>
      <c r="B199">
        <v>60.15</v>
      </c>
      <c r="C199">
        <v>59.41</v>
      </c>
      <c r="G199">
        <f t="shared" ref="G199:K199" si="156">SUMPRODUCT($B199:$B203,P$2:P$6)</f>
        <v>32.994167916030882</v>
      </c>
      <c r="H199">
        <f t="shared" si="156"/>
        <v>11.039862577131009</v>
      </c>
      <c r="I199">
        <f t="shared" si="156"/>
        <v>35.778087513291808</v>
      </c>
      <c r="J199">
        <f t="shared" si="156"/>
        <v>35.470909698234969</v>
      </c>
      <c r="K199">
        <f t="shared" si="156"/>
        <v>20.519016491099471</v>
      </c>
      <c r="L199">
        <f t="shared" si="149"/>
        <v>59.631775780806443</v>
      </c>
      <c r="M199">
        <f t="shared" si="151"/>
        <v>-0.41177578080644395</v>
      </c>
      <c r="N199">
        <f t="shared" si="152"/>
        <v>0.16955929365875658</v>
      </c>
    </row>
    <row r="200" spans="1:14" x14ac:dyDescent="0.45">
      <c r="A200" s="23">
        <v>42138</v>
      </c>
      <c r="B200">
        <v>59.23</v>
      </c>
      <c r="C200">
        <v>60.1</v>
      </c>
      <c r="G200">
        <f t="shared" ref="G200:K200" si="157">SUMPRODUCT($B200:$B204,P$2:P$6)</f>
        <v>32.502311932429336</v>
      </c>
      <c r="H200">
        <f t="shared" si="157"/>
        <v>10.882155932015536</v>
      </c>
      <c r="I200">
        <f t="shared" si="157"/>
        <v>35.24265886258825</v>
      </c>
      <c r="J200">
        <f t="shared" si="157"/>
        <v>34.939170294949236</v>
      </c>
      <c r="K200">
        <f t="shared" si="157"/>
        <v>20.213740927201236</v>
      </c>
      <c r="L200">
        <f t="shared" si="149"/>
        <v>58.748617202241967</v>
      </c>
      <c r="M200">
        <f t="shared" si="151"/>
        <v>1.401382797758032</v>
      </c>
      <c r="N200">
        <f t="shared" si="152"/>
        <v>1.9638737458521291</v>
      </c>
    </row>
    <row r="201" spans="1:14" x14ac:dyDescent="0.45">
      <c r="A201" s="23">
        <v>42137</v>
      </c>
      <c r="B201">
        <v>58.54</v>
      </c>
      <c r="C201">
        <v>58.81</v>
      </c>
      <c r="G201">
        <f t="shared" ref="G201:K201" si="158">SUMPRODUCT($B201:$B205,P$2:P$6)</f>
        <v>32.135658810785181</v>
      </c>
      <c r="H201">
        <f t="shared" si="158"/>
        <v>10.765723864493186</v>
      </c>
      <c r="I201">
        <f t="shared" si="158"/>
        <v>34.843643005883109</v>
      </c>
      <c r="J201">
        <f t="shared" si="158"/>
        <v>34.543245166467528</v>
      </c>
      <c r="K201">
        <f t="shared" si="158"/>
        <v>19.987113607186568</v>
      </c>
      <c r="L201">
        <f t="shared" si="149"/>
        <v>58.091286858697607</v>
      </c>
      <c r="M201">
        <f t="shared" si="151"/>
        <v>1.1387131413023894</v>
      </c>
      <c r="N201">
        <f t="shared" si="152"/>
        <v>1.2966676181747556</v>
      </c>
    </row>
    <row r="202" spans="1:14" x14ac:dyDescent="0.45">
      <c r="A202" s="23">
        <v>42136</v>
      </c>
      <c r="B202">
        <v>57.84</v>
      </c>
      <c r="C202">
        <v>58.3</v>
      </c>
      <c r="G202">
        <f t="shared" ref="G202:K202" si="159">SUMPRODUCT($B202:$B206,P$2:P$6)</f>
        <v>31.777648170828169</v>
      </c>
      <c r="H202">
        <f t="shared" si="159"/>
        <v>10.66075536821813</v>
      </c>
      <c r="I202">
        <f t="shared" si="159"/>
        <v>34.450986762304069</v>
      </c>
      <c r="J202">
        <f t="shared" si="159"/>
        <v>34.152067681640055</v>
      </c>
      <c r="K202">
        <f t="shared" si="159"/>
        <v>19.764919522048768</v>
      </c>
      <c r="L202">
        <f t="shared" si="149"/>
        <v>57.449172345694649</v>
      </c>
      <c r="M202">
        <f t="shared" si="151"/>
        <v>1.0908276543053503</v>
      </c>
      <c r="N202">
        <f t="shared" si="152"/>
        <v>1.1899049713973129</v>
      </c>
    </row>
    <row r="203" spans="1:14" x14ac:dyDescent="0.45">
      <c r="A203" s="23">
        <v>42135</v>
      </c>
      <c r="B203">
        <v>58.85</v>
      </c>
      <c r="C203">
        <v>58.34</v>
      </c>
      <c r="G203">
        <f t="shared" ref="G203:K203" si="160">SUMPRODUCT($B203:$B207,P$2:P$6)</f>
        <v>32.303213125327545</v>
      </c>
      <c r="H203">
        <f t="shared" si="160"/>
        <v>10.820763735992081</v>
      </c>
      <c r="I203">
        <f t="shared" si="160"/>
        <v>35.02514977371677</v>
      </c>
      <c r="J203">
        <f t="shared" si="160"/>
        <v>34.722808026536001</v>
      </c>
      <c r="K203">
        <f t="shared" si="160"/>
        <v>20.090112398579659</v>
      </c>
      <c r="L203">
        <f t="shared" si="149"/>
        <v>58.391222927330332</v>
      </c>
      <c r="M203">
        <f t="shared" si="151"/>
        <v>-0.55122292733032907</v>
      </c>
      <c r="N203">
        <f t="shared" si="152"/>
        <v>0.30384671561461724</v>
      </c>
    </row>
    <row r="204" spans="1:14" x14ac:dyDescent="0.45">
      <c r="A204" s="23">
        <v>42132</v>
      </c>
      <c r="B204">
        <v>58.63</v>
      </c>
      <c r="C204">
        <v>58.82</v>
      </c>
      <c r="G204">
        <f t="shared" ref="G204:K204" si="161">SUMPRODUCT($B204:$B208,P$2:P$6)</f>
        <v>32.193461578848954</v>
      </c>
      <c r="H204">
        <f t="shared" si="161"/>
        <v>10.789145106153128</v>
      </c>
      <c r="I204">
        <f t="shared" si="161"/>
        <v>34.904699911074118</v>
      </c>
      <c r="J204">
        <f t="shared" si="161"/>
        <v>34.602800337918744</v>
      </c>
      <c r="K204">
        <f t="shared" si="161"/>
        <v>20.023260771276359</v>
      </c>
      <c r="L204">
        <f t="shared" si="149"/>
        <v>58.194954404203685</v>
      </c>
      <c r="M204">
        <f t="shared" si="151"/>
        <v>0.6550455957963166</v>
      </c>
      <c r="N204">
        <f t="shared" si="152"/>
        <v>0.42908473257215141</v>
      </c>
    </row>
    <row r="205" spans="1:14" x14ac:dyDescent="0.45">
      <c r="A205" s="23">
        <v>42131</v>
      </c>
      <c r="B205">
        <v>57.49</v>
      </c>
      <c r="C205">
        <v>57.96</v>
      </c>
      <c r="G205">
        <f t="shared" ref="G205:K205" si="162">SUMPRODUCT($B205:$B209,P$2:P$6)</f>
        <v>31.599838235982272</v>
      </c>
      <c r="H205">
        <f t="shared" si="162"/>
        <v>10.608227173933541</v>
      </c>
      <c r="I205">
        <f t="shared" si="162"/>
        <v>34.256144175529528</v>
      </c>
      <c r="J205">
        <f t="shared" si="162"/>
        <v>33.95803168160748</v>
      </c>
      <c r="K205">
        <f t="shared" si="162"/>
        <v>19.655738261841975</v>
      </c>
      <c r="L205">
        <f t="shared" si="149"/>
        <v>57.130692434583814</v>
      </c>
      <c r="M205">
        <f t="shared" si="151"/>
        <v>1.4993075654161885</v>
      </c>
      <c r="N205">
        <f t="shared" si="152"/>
        <v>2.2479231757142184</v>
      </c>
    </row>
    <row r="206" spans="1:14" x14ac:dyDescent="0.45">
      <c r="A206" s="23">
        <v>42130</v>
      </c>
      <c r="B206">
        <v>57.81</v>
      </c>
      <c r="C206">
        <v>57.49</v>
      </c>
      <c r="G206">
        <f t="shared" ref="G206:K206" si="163">SUMPRODUCT($B206:$B210,P$2:P$6)</f>
        <v>31.778377754011636</v>
      </c>
      <c r="H206">
        <f t="shared" si="163"/>
        <v>10.669997858999096</v>
      </c>
      <c r="I206">
        <f t="shared" si="163"/>
        <v>34.449145368794397</v>
      </c>
      <c r="J206">
        <f t="shared" si="163"/>
        <v>34.149132722936265</v>
      </c>
      <c r="K206">
        <f t="shared" si="163"/>
        <v>19.766537627340178</v>
      </c>
      <c r="L206">
        <f t="shared" si="149"/>
        <v>57.451588631004569</v>
      </c>
      <c r="M206">
        <f t="shared" si="151"/>
        <v>3.8411368995433293E-2</v>
      </c>
      <c r="N206">
        <f t="shared" si="152"/>
        <v>1.475433268103334E-3</v>
      </c>
    </row>
    <row r="207" spans="1:14" x14ac:dyDescent="0.45">
      <c r="A207" s="23">
        <v>42129</v>
      </c>
      <c r="B207">
        <v>58.77</v>
      </c>
      <c r="C207">
        <v>57.94</v>
      </c>
      <c r="G207">
        <f t="shared" ref="G207:K207" si="164">SUMPRODUCT($B207:$B211,P$2:P$6)</f>
        <v>32.276959344119156</v>
      </c>
      <c r="H207">
        <f t="shared" si="164"/>
        <v>10.821667120310892</v>
      </c>
      <c r="I207">
        <f t="shared" si="164"/>
        <v>34.993939524041672</v>
      </c>
      <c r="J207">
        <f t="shared" si="164"/>
        <v>34.690788060198933</v>
      </c>
      <c r="K207">
        <f t="shared" si="164"/>
        <v>20.07470182823344</v>
      </c>
      <c r="L207">
        <f t="shared" si="149"/>
        <v>58.345255439403701</v>
      </c>
      <c r="M207">
        <f t="shared" si="151"/>
        <v>-0.53525543940369857</v>
      </c>
      <c r="N207">
        <f t="shared" si="152"/>
        <v>0.28649838541124645</v>
      </c>
    </row>
    <row r="208" spans="1:14" x14ac:dyDescent="0.45">
      <c r="A208" s="23">
        <v>42128</v>
      </c>
      <c r="B208">
        <v>59.14</v>
      </c>
      <c r="C208">
        <v>59.11</v>
      </c>
      <c r="G208">
        <f t="shared" ref="G208:K208" si="165">SUMPRODUCT($B208:$B212,P$2:P$6)</f>
        <v>32.467324679135203</v>
      </c>
      <c r="H208">
        <f t="shared" si="165"/>
        <v>10.877887033824447</v>
      </c>
      <c r="I208">
        <f t="shared" si="165"/>
        <v>35.202655519724622</v>
      </c>
      <c r="J208">
        <f t="shared" si="165"/>
        <v>34.898710699665784</v>
      </c>
      <c r="K208">
        <f t="shared" si="165"/>
        <v>20.19322098548059</v>
      </c>
      <c r="L208">
        <f t="shared" si="149"/>
        <v>58.686906562357933</v>
      </c>
      <c r="M208">
        <f t="shared" si="151"/>
        <v>8.309343764207E-2</v>
      </c>
      <c r="N208">
        <f t="shared" si="152"/>
        <v>6.904519379176576E-3</v>
      </c>
    </row>
    <row r="209" spans="1:14" x14ac:dyDescent="0.45">
      <c r="A209" s="23">
        <v>42125</v>
      </c>
      <c r="B209">
        <v>58.26</v>
      </c>
      <c r="C209">
        <v>59.3</v>
      </c>
      <c r="G209">
        <f t="shared" ref="G209:K209" si="166">SUMPRODUCT($B209:$B213,P$2:P$6)</f>
        <v>32.018208755793168</v>
      </c>
      <c r="H209">
        <f t="shared" si="166"/>
        <v>10.746103851551018</v>
      </c>
      <c r="I209">
        <f t="shared" si="166"/>
        <v>34.710345284957214</v>
      </c>
      <c r="J209">
        <f t="shared" si="166"/>
        <v>34.408498779017442</v>
      </c>
      <c r="K209">
        <f t="shared" si="166"/>
        <v>19.915527430371398</v>
      </c>
      <c r="L209">
        <f t="shared" si="149"/>
        <v>57.882050240699932</v>
      </c>
      <c r="M209">
        <f t="shared" si="151"/>
        <v>1.2579497593000681</v>
      </c>
      <c r="N209">
        <f t="shared" si="152"/>
        <v>1.5824375969230993</v>
      </c>
    </row>
    <row r="210" spans="1:14" x14ac:dyDescent="0.45">
      <c r="A210" s="23">
        <v>42124</v>
      </c>
      <c r="B210">
        <v>58.57</v>
      </c>
      <c r="C210">
        <v>58.26</v>
      </c>
      <c r="G210">
        <f t="shared" ref="G210:K210" si="167">SUMPRODUCT($B210:$B214,P$2:P$6)</f>
        <v>32.180467128691454</v>
      </c>
      <c r="H210">
        <f t="shared" si="167"/>
        <v>10.796459643879013</v>
      </c>
      <c r="I210">
        <f t="shared" si="167"/>
        <v>34.887382961132637</v>
      </c>
      <c r="J210">
        <f t="shared" si="167"/>
        <v>34.584439080255571</v>
      </c>
      <c r="K210">
        <f t="shared" si="167"/>
        <v>20.015676329627016</v>
      </c>
      <c r="L210">
        <f t="shared" si="149"/>
        <v>58.172963105129561</v>
      </c>
      <c r="M210">
        <f t="shared" si="151"/>
        <v>8.7036894870436754E-2</v>
      </c>
      <c r="N210">
        <f t="shared" si="152"/>
        <v>7.57542106868746E-3</v>
      </c>
    </row>
    <row r="211" spans="1:14" x14ac:dyDescent="0.45">
      <c r="A211" s="23">
        <v>42123</v>
      </c>
      <c r="B211">
        <v>59.11</v>
      </c>
      <c r="C211">
        <v>58.88</v>
      </c>
      <c r="G211">
        <f t="shared" ref="G211:K211" si="168">SUMPRODUCT($B211:$B215,P$2:P$6)</f>
        <v>32.466153559903802</v>
      </c>
      <c r="H211">
        <f t="shared" si="168"/>
        <v>10.886040404561319</v>
      </c>
      <c r="I211">
        <f t="shared" si="168"/>
        <v>35.198897670955176</v>
      </c>
      <c r="J211">
        <f t="shared" si="168"/>
        <v>34.893964217806349</v>
      </c>
      <c r="K211">
        <f t="shared" si="168"/>
        <v>20.193042536555165</v>
      </c>
      <c r="L211">
        <f t="shared" si="149"/>
        <v>58.685686840526138</v>
      </c>
      <c r="M211">
        <f t="shared" si="151"/>
        <v>-0.11568684052613776</v>
      </c>
      <c r="N211">
        <f t="shared" si="152"/>
        <v>1.3383445070920029E-2</v>
      </c>
    </row>
    <row r="212" spans="1:14" x14ac:dyDescent="0.45">
      <c r="A212" s="23">
        <v>42122</v>
      </c>
      <c r="B212">
        <v>58.96</v>
      </c>
      <c r="C212">
        <v>59.48</v>
      </c>
      <c r="G212">
        <f t="shared" ref="G212:K212" si="169">SUMPRODUCT($B212:$B216,P$2:P$6)</f>
        <v>32.345285928382737</v>
      </c>
      <c r="H212">
        <f t="shared" si="169"/>
        <v>10.825527738449422</v>
      </c>
      <c r="I212">
        <f t="shared" si="169"/>
        <v>35.074136025287984</v>
      </c>
      <c r="J212">
        <f t="shared" si="169"/>
        <v>34.773218870085579</v>
      </c>
      <c r="K212">
        <f t="shared" si="169"/>
        <v>20.1158257300253</v>
      </c>
      <c r="L212">
        <f t="shared" si="149"/>
        <v>58.466809139212991</v>
      </c>
      <c r="M212">
        <f t="shared" si="151"/>
        <v>0.64319086078700849</v>
      </c>
      <c r="N212">
        <f t="shared" si="152"/>
        <v>0.41369448339993292</v>
      </c>
    </row>
    <row r="213" spans="1:14" x14ac:dyDescent="0.45">
      <c r="A213" s="23">
        <v>42121</v>
      </c>
      <c r="B213">
        <v>59.05</v>
      </c>
      <c r="C213">
        <v>59.09</v>
      </c>
      <c r="G213">
        <f t="shared" ref="G213:K213" si="170">SUMPRODUCT($B213:$B217,P$2:P$6)</f>
        <v>32.397290183004074</v>
      </c>
      <c r="H213">
        <f t="shared" si="170"/>
        <v>10.844291956779037</v>
      </c>
      <c r="I213">
        <f t="shared" si="170"/>
        <v>35.130172070974965</v>
      </c>
      <c r="J213">
        <f t="shared" si="170"/>
        <v>34.828651177190537</v>
      </c>
      <c r="K213">
        <f t="shared" si="170"/>
        <v>20.148429702034122</v>
      </c>
      <c r="L213">
        <f t="shared" si="149"/>
        <v>58.560511281186272</v>
      </c>
      <c r="M213">
        <f t="shared" si="151"/>
        <v>0.39948871881372838</v>
      </c>
      <c r="N213">
        <f t="shared" si="152"/>
        <v>0.15959123645943415</v>
      </c>
    </row>
    <row r="214" spans="1:14" x14ac:dyDescent="0.45">
      <c r="A214" s="23">
        <v>42118</v>
      </c>
      <c r="B214">
        <v>59.1</v>
      </c>
      <c r="C214">
        <v>59.2</v>
      </c>
      <c r="G214">
        <f t="shared" ref="G214:K214" si="171">SUMPRODUCT($B214:$B218,P$2:P$6)</f>
        <v>32.383660120702459</v>
      </c>
      <c r="H214">
        <f t="shared" si="171"/>
        <v>10.818271547389013</v>
      </c>
      <c r="I214">
        <f t="shared" si="171"/>
        <v>35.121120638631737</v>
      </c>
      <c r="J214">
        <f t="shared" si="171"/>
        <v>34.821732735495324</v>
      </c>
      <c r="K214">
        <f t="shared" si="171"/>
        <v>20.136259748040427</v>
      </c>
      <c r="L214">
        <f t="shared" si="149"/>
        <v>58.532324423596961</v>
      </c>
      <c r="M214">
        <f t="shared" si="151"/>
        <v>0.51767557640303608</v>
      </c>
      <c r="N214">
        <f t="shared" si="152"/>
        <v>0.26798800240421566</v>
      </c>
    </row>
    <row r="215" spans="1:14" x14ac:dyDescent="0.45">
      <c r="A215" s="23">
        <v>42117</v>
      </c>
      <c r="B215">
        <v>59.41</v>
      </c>
      <c r="C215">
        <v>58.89</v>
      </c>
      <c r="G215">
        <f t="shared" ref="G215:K215" si="172">SUMPRODUCT($B215:$B219,P$2:P$6)</f>
        <v>32.539671895436463</v>
      </c>
      <c r="H215">
        <f t="shared" si="172"/>
        <v>10.860774803010493</v>
      </c>
      <c r="I215">
        <f t="shared" si="172"/>
        <v>35.29319692029356</v>
      </c>
      <c r="J215">
        <f t="shared" si="172"/>
        <v>34.993510563151915</v>
      </c>
      <c r="K215">
        <f t="shared" si="172"/>
        <v>20.234623497532965</v>
      </c>
      <c r="L215">
        <f t="shared" si="149"/>
        <v>58.812409062947587</v>
      </c>
      <c r="M215">
        <f t="shared" si="151"/>
        <v>0.28759093705241412</v>
      </c>
      <c r="N215">
        <f t="shared" si="152"/>
        <v>8.2708547074685626E-2</v>
      </c>
    </row>
    <row r="216" spans="1:14" x14ac:dyDescent="0.45">
      <c r="A216" s="23">
        <v>42116</v>
      </c>
      <c r="B216">
        <v>56.38</v>
      </c>
      <c r="C216">
        <v>56.75</v>
      </c>
      <c r="G216">
        <f t="shared" ref="G216:K216" si="173">SUMPRODUCT($B216:$B220,P$2:P$6)</f>
        <v>30.9686374174963</v>
      </c>
      <c r="H216">
        <f t="shared" si="173"/>
        <v>10.385096512005983</v>
      </c>
      <c r="I216">
        <f t="shared" si="173"/>
        <v>33.574867426956814</v>
      </c>
      <c r="J216">
        <f t="shared" si="173"/>
        <v>33.28373466190682</v>
      </c>
      <c r="K216">
        <f t="shared" si="173"/>
        <v>19.261412907900461</v>
      </c>
      <c r="L216">
        <f t="shared" si="149"/>
        <v>55.994507410971387</v>
      </c>
      <c r="M216">
        <f t="shared" si="151"/>
        <v>3.4154925890286094</v>
      </c>
      <c r="N216">
        <f t="shared" si="152"/>
        <v>11.665589625709353</v>
      </c>
    </row>
    <row r="217" spans="1:14" x14ac:dyDescent="0.45">
      <c r="A217" s="23">
        <v>42115</v>
      </c>
      <c r="B217">
        <v>56.49</v>
      </c>
      <c r="C217">
        <v>56.42</v>
      </c>
      <c r="G217">
        <f t="shared" ref="G217:K217" si="174">SUMPRODUCT($B217:$B221,P$2:P$6)</f>
        <v>31.027588272569172</v>
      </c>
      <c r="H217">
        <f t="shared" si="174"/>
        <v>10.40367640811651</v>
      </c>
      <c r="I217">
        <f t="shared" si="174"/>
        <v>33.639209935920576</v>
      </c>
      <c r="J217">
        <f t="shared" si="174"/>
        <v>33.347739720764196</v>
      </c>
      <c r="K217">
        <f t="shared" si="174"/>
        <v>19.298502003815866</v>
      </c>
      <c r="L217">
        <f t="shared" si="149"/>
        <v>56.10059885688981</v>
      </c>
      <c r="M217">
        <f t="shared" si="151"/>
        <v>0.27940114311019215</v>
      </c>
      <c r="N217">
        <f t="shared" si="152"/>
        <v>7.8064998771282076E-2</v>
      </c>
    </row>
    <row r="218" spans="1:14" x14ac:dyDescent="0.45">
      <c r="A218" s="23">
        <v>42114</v>
      </c>
      <c r="B218">
        <v>55.99</v>
      </c>
      <c r="C218">
        <v>56.07</v>
      </c>
      <c r="G218">
        <f t="shared" ref="G218:K218" si="175">SUMPRODUCT($B218:$B222,P$2:P$6)</f>
        <v>30.77344899173438</v>
      </c>
      <c r="H218">
        <f t="shared" si="175"/>
        <v>10.329819758763382</v>
      </c>
      <c r="I218">
        <f t="shared" si="175"/>
        <v>33.360518684355846</v>
      </c>
      <c r="J218">
        <f t="shared" si="175"/>
        <v>33.070260330487329</v>
      </c>
      <c r="K218">
        <f t="shared" si="175"/>
        <v>19.141478374566102</v>
      </c>
      <c r="L218">
        <f t="shared" si="149"/>
        <v>55.645390322154952</v>
      </c>
      <c r="M218">
        <f t="shared" si="151"/>
        <v>0.84460967784504959</v>
      </c>
      <c r="N218">
        <f t="shared" si="152"/>
        <v>0.71336550790951847</v>
      </c>
    </row>
    <row r="219" spans="1:14" x14ac:dyDescent="0.45">
      <c r="A219" s="23">
        <v>42111</v>
      </c>
      <c r="B219">
        <v>56.33</v>
      </c>
      <c r="C219">
        <v>55.79</v>
      </c>
      <c r="G219">
        <f t="shared" ref="G219:K219" si="176">SUMPRODUCT($B219:$B223,P$2:P$6)</f>
        <v>30.957926104776845</v>
      </c>
      <c r="H219">
        <f t="shared" si="176"/>
        <v>10.390700021523291</v>
      </c>
      <c r="I219">
        <f t="shared" si="176"/>
        <v>33.560724712344005</v>
      </c>
      <c r="J219">
        <f t="shared" si="176"/>
        <v>33.268769017643621</v>
      </c>
      <c r="K219">
        <f t="shared" si="176"/>
        <v>19.255734173059142</v>
      </c>
      <c r="L219">
        <f t="shared" si="149"/>
        <v>55.976542655841698</v>
      </c>
      <c r="M219">
        <f t="shared" si="151"/>
        <v>1.3457344158304352E-2</v>
      </c>
      <c r="N219">
        <f t="shared" si="152"/>
        <v>1.8110011179504827E-4</v>
      </c>
    </row>
    <row r="220" spans="1:14" x14ac:dyDescent="0.45">
      <c r="A220" s="23">
        <v>42110</v>
      </c>
      <c r="B220">
        <v>56.99</v>
      </c>
      <c r="C220">
        <v>57.04</v>
      </c>
      <c r="G220">
        <f t="shared" ref="G220:K220" si="177">SUMPRODUCT($B220:$B224,P$2:P$6)</f>
        <v>31.302704740030261</v>
      </c>
      <c r="H220">
        <f t="shared" si="177"/>
        <v>10.496523579471022</v>
      </c>
      <c r="I220">
        <f t="shared" si="177"/>
        <v>33.93729316480534</v>
      </c>
      <c r="J220">
        <f t="shared" si="177"/>
        <v>33.643162943113403</v>
      </c>
      <c r="K220">
        <f t="shared" si="177"/>
        <v>19.469307170557752</v>
      </c>
      <c r="L220">
        <f t="shared" si="149"/>
        <v>56.594909863496824</v>
      </c>
      <c r="M220">
        <f t="shared" si="151"/>
        <v>-0.26490986349682544</v>
      </c>
      <c r="N220">
        <f t="shared" si="152"/>
        <v>7.0177235777906688E-2</v>
      </c>
    </row>
    <row r="221" spans="1:14" x14ac:dyDescent="0.45">
      <c r="A221" s="23">
        <v>42109</v>
      </c>
      <c r="B221">
        <v>56.98</v>
      </c>
      <c r="C221">
        <v>57.02</v>
      </c>
      <c r="G221">
        <f t="shared" ref="G221:K221" si="178">SUMPRODUCT($B221:$B225,P$2:P$6)</f>
        <v>31.29641729223432</v>
      </c>
      <c r="H221">
        <f t="shared" si="178"/>
        <v>10.493885949128943</v>
      </c>
      <c r="I221">
        <f t="shared" si="178"/>
        <v>33.930755081919678</v>
      </c>
      <c r="J221">
        <f t="shared" si="178"/>
        <v>33.636875890428868</v>
      </c>
      <c r="K221">
        <f t="shared" si="178"/>
        <v>19.4656460736818</v>
      </c>
      <c r="L221">
        <f t="shared" si="149"/>
        <v>56.583821126960423</v>
      </c>
      <c r="M221">
        <f t="shared" si="151"/>
        <v>0.406178873039579</v>
      </c>
      <c r="N221">
        <f t="shared" si="152"/>
        <v>0.16498127690370243</v>
      </c>
    </row>
    <row r="222" spans="1:14" x14ac:dyDescent="0.45">
      <c r="A222" s="23">
        <v>42108</v>
      </c>
      <c r="B222">
        <v>56.79</v>
      </c>
      <c r="C222">
        <v>56.95</v>
      </c>
      <c r="G222">
        <f t="shared" ref="G222:K222" si="179">SUMPRODUCT($B222:$B226,P$2:P$6)</f>
        <v>31.203042757869564</v>
      </c>
      <c r="H222">
        <f t="shared" si="179"/>
        <v>10.468737015436</v>
      </c>
      <c r="I222">
        <f t="shared" si="179"/>
        <v>33.827753436512729</v>
      </c>
      <c r="J222">
        <f t="shared" si="179"/>
        <v>33.534059298767033</v>
      </c>
      <c r="K222">
        <f t="shared" si="179"/>
        <v>19.407979744666363</v>
      </c>
      <c r="L222">
        <f t="shared" si="149"/>
        <v>56.416704931179048</v>
      </c>
      <c r="M222">
        <f t="shared" si="151"/>
        <v>0.56329506882094904</v>
      </c>
      <c r="N222">
        <f t="shared" si="152"/>
        <v>0.31730133455799769</v>
      </c>
    </row>
    <row r="223" spans="1:14" x14ac:dyDescent="0.45">
      <c r="A223" s="23">
        <v>42107</v>
      </c>
      <c r="B223">
        <v>57.16</v>
      </c>
      <c r="C223">
        <v>56.94</v>
      </c>
      <c r="G223">
        <f t="shared" ref="G223:K223" si="180">SUMPRODUCT($B223:$B227,P$2:P$6)</f>
        <v>31.391659239554134</v>
      </c>
      <c r="H223">
        <f t="shared" si="180"/>
        <v>10.524229888507847</v>
      </c>
      <c r="I223">
        <f t="shared" si="180"/>
        <v>34.034445228245758</v>
      </c>
      <c r="J223">
        <f t="shared" si="180"/>
        <v>33.739838322936123</v>
      </c>
      <c r="K223">
        <f t="shared" si="180"/>
        <v>19.524301846821771</v>
      </c>
      <c r="L223">
        <f t="shared" si="149"/>
        <v>56.75460569489681</v>
      </c>
      <c r="M223">
        <f t="shared" si="151"/>
        <v>3.5394305103189083E-2</v>
      </c>
      <c r="N223">
        <f t="shared" si="152"/>
        <v>1.2527568337376367E-3</v>
      </c>
    </row>
    <row r="224" spans="1:14" x14ac:dyDescent="0.45">
      <c r="A224" s="23">
        <v>42104</v>
      </c>
      <c r="B224">
        <v>57.42</v>
      </c>
      <c r="C224">
        <v>57.34</v>
      </c>
      <c r="G224">
        <f t="shared" ref="G224:K224" si="181">SUMPRODUCT($B224:$B228,P$2:P$6)</f>
        <v>31.503465089735219</v>
      </c>
      <c r="H224">
        <f t="shared" si="181"/>
        <v>10.545074894072052</v>
      </c>
      <c r="I224">
        <f t="shared" si="181"/>
        <v>34.160772442352403</v>
      </c>
      <c r="J224">
        <f t="shared" si="181"/>
        <v>33.867367450812473</v>
      </c>
      <c r="K224">
        <f t="shared" si="181"/>
        <v>19.592533429115207</v>
      </c>
      <c r="L224">
        <f t="shared" si="149"/>
        <v>56.954085827127571</v>
      </c>
      <c r="M224">
        <f t="shared" si="151"/>
        <v>0.20591417287242564</v>
      </c>
      <c r="N224">
        <f t="shared" si="152"/>
        <v>4.2400646589735191E-2</v>
      </c>
    </row>
    <row r="225" spans="1:14" x14ac:dyDescent="0.45">
      <c r="A225" s="23">
        <v>42103</v>
      </c>
      <c r="B225">
        <v>57.11</v>
      </c>
      <c r="C225">
        <v>57.01</v>
      </c>
      <c r="G225">
        <f t="shared" ref="G225:K225" si="182">SUMPRODUCT($B225:$B229,P$2:P$6)</f>
        <v>31.363971084368213</v>
      </c>
      <c r="H225">
        <f t="shared" si="182"/>
        <v>10.514703204843494</v>
      </c>
      <c r="I225">
        <f t="shared" si="182"/>
        <v>34.004511274907102</v>
      </c>
      <c r="J225">
        <f t="shared" si="182"/>
        <v>33.710203924208464</v>
      </c>
      <c r="K225">
        <f t="shared" si="182"/>
        <v>19.507203453691041</v>
      </c>
      <c r="L225">
        <f t="shared" si="149"/>
        <v>56.7048896509923</v>
      </c>
      <c r="M225">
        <f t="shared" si="151"/>
        <v>0.71511034900770198</v>
      </c>
      <c r="N225">
        <f t="shared" si="152"/>
        <v>0.51138281125791729</v>
      </c>
    </row>
    <row r="226" spans="1:14" x14ac:dyDescent="0.45">
      <c r="A226" s="23">
        <v>42102</v>
      </c>
      <c r="B226">
        <v>57.19</v>
      </c>
      <c r="C226">
        <v>57.11</v>
      </c>
      <c r="G226">
        <f t="shared" ref="G226:K226" si="183">SUMPRODUCT($B226:$B230,P$2:P$6)</f>
        <v>31.391553129111291</v>
      </c>
      <c r="H226">
        <f t="shared" si="183"/>
        <v>10.515206490264314</v>
      </c>
      <c r="I226">
        <f t="shared" si="183"/>
        <v>34.036614180405195</v>
      </c>
      <c r="J226">
        <f t="shared" si="183"/>
        <v>33.742713276918714</v>
      </c>
      <c r="K226">
        <f t="shared" si="183"/>
        <v>19.522856907443796</v>
      </c>
      <c r="L226">
        <f t="shared" si="149"/>
        <v>56.752763102122636</v>
      </c>
      <c r="M226">
        <f t="shared" si="151"/>
        <v>0.3572368978773639</v>
      </c>
      <c r="N226">
        <f t="shared" si="152"/>
        <v>0.12761820120504214</v>
      </c>
    </row>
    <row r="227" spans="1:14" x14ac:dyDescent="0.45">
      <c r="A227" s="23">
        <v>42101</v>
      </c>
      <c r="B227">
        <v>57.1</v>
      </c>
      <c r="C227">
        <v>57.08</v>
      </c>
      <c r="G227">
        <f t="shared" ref="G227:K227" si="184">SUMPRODUCT($B227:$B231,P$2:P$6)</f>
        <v>31.361303057989698</v>
      </c>
      <c r="H227">
        <f t="shared" si="184"/>
        <v>10.51411317704218</v>
      </c>
      <c r="I227">
        <f t="shared" si="184"/>
        <v>34.001483688515634</v>
      </c>
      <c r="J227">
        <f t="shared" si="184"/>
        <v>33.707073130764911</v>
      </c>
      <c r="K227">
        <f t="shared" si="184"/>
        <v>19.506754061551234</v>
      </c>
      <c r="L227">
        <f t="shared" si="149"/>
        <v>56.700451636331522</v>
      </c>
      <c r="M227">
        <f t="shared" si="151"/>
        <v>0.48954836366847587</v>
      </c>
      <c r="N227">
        <f t="shared" si="152"/>
        <v>0.23965760037048231</v>
      </c>
    </row>
    <row r="228" spans="1:14" x14ac:dyDescent="0.45">
      <c r="A228" s="23">
        <v>42100</v>
      </c>
      <c r="B228">
        <v>55.5</v>
      </c>
      <c r="C228">
        <v>56.82</v>
      </c>
      <c r="G228">
        <f t="shared" ref="G228:K228" si="185">SUMPRODUCT($B228:$B232,P$2:P$6)</f>
        <v>30.538992527396143</v>
      </c>
      <c r="H228">
        <f t="shared" si="185"/>
        <v>10.270244405354772</v>
      </c>
      <c r="I228">
        <f t="shared" si="185"/>
        <v>33.100683085570459</v>
      </c>
      <c r="J228">
        <f t="shared" si="185"/>
        <v>32.810280677573033</v>
      </c>
      <c r="K228">
        <f t="shared" si="185"/>
        <v>18.997036267855499</v>
      </c>
      <c r="L228">
        <f t="shared" si="149"/>
        <v>55.225954538281421</v>
      </c>
      <c r="M228">
        <f t="shared" si="151"/>
        <v>1.8740454617185804</v>
      </c>
      <c r="N228">
        <f t="shared" si="152"/>
        <v>3.5120463925880072</v>
      </c>
    </row>
    <row r="229" spans="1:14" x14ac:dyDescent="0.45">
      <c r="A229" s="23">
        <v>42096</v>
      </c>
      <c r="B229">
        <v>57.05</v>
      </c>
      <c r="C229">
        <v>56.91</v>
      </c>
      <c r="G229">
        <f t="shared" ref="G229:K229" si="186">SUMPRODUCT($B229:$B233,P$2:P$6)</f>
        <v>31.344275480360977</v>
      </c>
      <c r="H229">
        <f t="shared" si="186"/>
        <v>10.515207547585499</v>
      </c>
      <c r="I229">
        <f t="shared" si="186"/>
        <v>33.981154069166244</v>
      </c>
      <c r="J229">
        <f t="shared" si="186"/>
        <v>33.686260527801629</v>
      </c>
      <c r="K229">
        <f t="shared" si="186"/>
        <v>19.495808656830054</v>
      </c>
      <c r="L229">
        <f t="shared" si="149"/>
        <v>56.670453467331093</v>
      </c>
      <c r="M229">
        <f t="shared" si="151"/>
        <v>-1.1704534673310931</v>
      </c>
      <c r="N229">
        <f t="shared" si="152"/>
        <v>1.3699613191873783</v>
      </c>
    </row>
    <row r="230" spans="1:14" x14ac:dyDescent="0.45">
      <c r="A230" s="23">
        <v>42095</v>
      </c>
      <c r="B230">
        <v>57.33</v>
      </c>
      <c r="C230">
        <v>57.13</v>
      </c>
      <c r="G230">
        <f t="shared" ref="G230:K230" si="187">SUMPRODUCT($B230:$B234,P$2:P$6)</f>
        <v>31.494827703854458</v>
      </c>
      <c r="H230">
        <f t="shared" si="187"/>
        <v>10.564047772441175</v>
      </c>
      <c r="I230">
        <f t="shared" si="187"/>
        <v>34.144819503401358</v>
      </c>
      <c r="J230">
        <f t="shared" si="187"/>
        <v>33.848670248527554</v>
      </c>
      <c r="K230">
        <f t="shared" si="187"/>
        <v>19.589117683721913</v>
      </c>
      <c r="L230">
        <f t="shared" si="149"/>
        <v>56.9407019574545</v>
      </c>
      <c r="M230">
        <f t="shared" si="151"/>
        <v>0.1092980425454968</v>
      </c>
      <c r="N230">
        <f t="shared" si="152"/>
        <v>1.1946062104277228E-2</v>
      </c>
    </row>
    <row r="231" spans="1:14" x14ac:dyDescent="0.45">
      <c r="A231" s="23">
        <v>42094</v>
      </c>
      <c r="B231">
        <v>57.7</v>
      </c>
      <c r="C231">
        <v>57.68</v>
      </c>
      <c r="G231">
        <f t="shared" ref="G231:K231" si="188">SUMPRODUCT($B231:$B235,P$2:P$6)</f>
        <v>31.712718483999595</v>
      </c>
      <c r="H231">
        <f t="shared" si="188"/>
        <v>10.64454320947646</v>
      </c>
      <c r="I231">
        <f t="shared" si="188"/>
        <v>34.378496335740188</v>
      </c>
      <c r="J231">
        <f t="shared" si="188"/>
        <v>34.078989255921471</v>
      </c>
      <c r="K231">
        <f t="shared" si="188"/>
        <v>19.725246248337548</v>
      </c>
      <c r="L231">
        <f t="shared" si="149"/>
        <v>57.332525493970145</v>
      </c>
      <c r="M231">
        <f t="shared" si="151"/>
        <v>-2.525493970146897E-3</v>
      </c>
      <c r="N231">
        <f t="shared" si="152"/>
        <v>6.3781197932483358E-6</v>
      </c>
    </row>
    <row r="232" spans="1:14" x14ac:dyDescent="0.45">
      <c r="A232" s="23">
        <v>42093</v>
      </c>
      <c r="B232">
        <v>57.75</v>
      </c>
      <c r="C232">
        <v>57.92</v>
      </c>
      <c r="G232">
        <f t="shared" ref="G232:K232" si="189">SUMPRODUCT($B232:$B236,P$2:P$6)</f>
        <v>31.7209173348771</v>
      </c>
      <c r="H232">
        <f t="shared" si="189"/>
        <v>10.636891370444287</v>
      </c>
      <c r="I232">
        <f t="shared" si="189"/>
        <v>34.390661126306867</v>
      </c>
      <c r="J232">
        <f t="shared" si="189"/>
        <v>34.092570205044886</v>
      </c>
      <c r="K232">
        <f t="shared" si="189"/>
        <v>19.72971913649825</v>
      </c>
      <c r="L232">
        <f t="shared" si="149"/>
        <v>57.346538176626687</v>
      </c>
      <c r="M232">
        <f t="shared" si="151"/>
        <v>0.35346182337331555</v>
      </c>
      <c r="N232">
        <f t="shared" si="152"/>
        <v>0.12493526058238892</v>
      </c>
    </row>
    <row r="233" spans="1:14" x14ac:dyDescent="0.45">
      <c r="A233" s="23">
        <v>42090</v>
      </c>
      <c r="B233">
        <v>57.35</v>
      </c>
      <c r="C233">
        <v>57.63</v>
      </c>
      <c r="G233">
        <f t="shared" ref="G233:K233" si="190">SUMPRODUCT($B233:$B237,P$2:P$6)</f>
        <v>31.530617272608371</v>
      </c>
      <c r="H233">
        <f t="shared" si="190"/>
        <v>10.588993728308044</v>
      </c>
      <c r="I233">
        <f t="shared" si="190"/>
        <v>34.180163122560977</v>
      </c>
      <c r="J233">
        <f t="shared" si="190"/>
        <v>33.882464658092474</v>
      </c>
      <c r="K233">
        <f t="shared" si="190"/>
        <v>19.613604356973436</v>
      </c>
      <c r="L233">
        <f t="shared" si="149"/>
        <v>57.007240593403324</v>
      </c>
      <c r="M233">
        <f t="shared" si="151"/>
        <v>0.74275940659667583</v>
      </c>
      <c r="N233">
        <f t="shared" si="152"/>
        <v>0.55169153608784605</v>
      </c>
    </row>
    <row r="234" spans="1:14" x14ac:dyDescent="0.45">
      <c r="A234" s="23">
        <v>42089</v>
      </c>
      <c r="B234">
        <v>57.56</v>
      </c>
      <c r="C234">
        <v>57.52</v>
      </c>
      <c r="G234">
        <f t="shared" ref="G234:K234" si="191">SUMPRODUCT($B234:$B238,P$2:P$6)</f>
        <v>31.637389540574009</v>
      </c>
      <c r="H234">
        <f t="shared" si="191"/>
        <v>10.621547396076338</v>
      </c>
      <c r="I234">
        <f t="shared" si="191"/>
        <v>34.296501541953198</v>
      </c>
      <c r="J234">
        <f t="shared" si="191"/>
        <v>33.997840617959177</v>
      </c>
      <c r="K234">
        <f t="shared" si="191"/>
        <v>19.677692143501876</v>
      </c>
      <c r="L234">
        <f t="shared" si="149"/>
        <v>57.197577496842953</v>
      </c>
      <c r="M234">
        <f t="shared" si="151"/>
        <v>0.15242250315704808</v>
      </c>
      <c r="N234">
        <f t="shared" si="152"/>
        <v>2.3232619468660332E-2</v>
      </c>
    </row>
    <row r="235" spans="1:14" x14ac:dyDescent="0.45">
      <c r="A235" s="23">
        <v>42088</v>
      </c>
      <c r="B235">
        <v>59.62</v>
      </c>
      <c r="C235">
        <v>58.06</v>
      </c>
      <c r="G235">
        <f t="shared" ref="G235:K235" si="192">SUMPRODUCT($B235:$B239,P$2:P$6)</f>
        <v>32.678906209601372</v>
      </c>
      <c r="H235">
        <f t="shared" si="192"/>
        <v>10.921234628743695</v>
      </c>
      <c r="I235">
        <f t="shared" si="192"/>
        <v>35.440272627609133</v>
      </c>
      <c r="J235">
        <f t="shared" si="192"/>
        <v>35.137823132810858</v>
      </c>
      <c r="K235">
        <f t="shared" si="192"/>
        <v>20.321888738161491</v>
      </c>
      <c r="L235">
        <f t="shared" si="149"/>
        <v>59.064149506821984</v>
      </c>
      <c r="M235">
        <f t="shared" si="151"/>
        <v>-1.5041495068219817</v>
      </c>
      <c r="N235">
        <f t="shared" si="152"/>
        <v>2.2624657388728107</v>
      </c>
    </row>
    <row r="236" spans="1:14" x14ac:dyDescent="0.45">
      <c r="A236" s="23">
        <v>42087</v>
      </c>
      <c r="B236">
        <v>58.33</v>
      </c>
      <c r="C236">
        <v>59.51</v>
      </c>
      <c r="G236">
        <f t="shared" ref="G236:K236" si="193">SUMPRODUCT($B236:$B240,P$2:P$6)</f>
        <v>32.046689509419139</v>
      </c>
      <c r="H236">
        <f t="shared" si="193"/>
        <v>10.749896441773789</v>
      </c>
      <c r="I236">
        <f t="shared" si="193"/>
        <v>34.742702875074301</v>
      </c>
      <c r="J236">
        <f t="shared" si="193"/>
        <v>34.441045708948238</v>
      </c>
      <c r="K236">
        <f t="shared" si="193"/>
        <v>19.932748644063572</v>
      </c>
      <c r="L236">
        <f t="shared" si="149"/>
        <v>57.932322408356825</v>
      </c>
      <c r="M236">
        <f t="shared" si="151"/>
        <v>1.6876775916431725</v>
      </c>
      <c r="N236">
        <f t="shared" si="152"/>
        <v>2.8482556533344989</v>
      </c>
    </row>
    <row r="237" spans="1:14" x14ac:dyDescent="0.45">
      <c r="A237" s="23">
        <v>42086</v>
      </c>
      <c r="B237">
        <v>57.92</v>
      </c>
      <c r="C237">
        <v>58.62</v>
      </c>
      <c r="G237">
        <f t="shared" ref="G237:K237" si="194">SUMPRODUCT($B237:$B241,P$2:P$6)</f>
        <v>31.821830153629129</v>
      </c>
      <c r="H237">
        <f t="shared" si="194"/>
        <v>10.675129537595552</v>
      </c>
      <c r="I237">
        <f t="shared" si="194"/>
        <v>34.498427688008114</v>
      </c>
      <c r="J237">
        <f t="shared" si="194"/>
        <v>34.198497323255616</v>
      </c>
      <c r="K237">
        <f t="shared" si="194"/>
        <v>19.792004535753374</v>
      </c>
      <c r="L237">
        <f t="shared" si="149"/>
        <v>57.527589344616871</v>
      </c>
      <c r="M237">
        <f t="shared" si="151"/>
        <v>0.80241065538312739</v>
      </c>
      <c r="N237">
        <f t="shared" si="152"/>
        <v>0.64386285987238001</v>
      </c>
    </row>
    <row r="238" spans="1:14" x14ac:dyDescent="0.45">
      <c r="A238" s="23">
        <v>42083</v>
      </c>
      <c r="B238">
        <v>58.21</v>
      </c>
      <c r="C238">
        <v>57.93</v>
      </c>
      <c r="G238">
        <f t="shared" ref="G238:K238" si="195">SUMPRODUCT($B238:$B242,P$2:P$6)</f>
        <v>31.995204798219561</v>
      </c>
      <c r="H238">
        <f t="shared" si="195"/>
        <v>10.739541608607478</v>
      </c>
      <c r="I238">
        <f t="shared" si="195"/>
        <v>34.685110986298405</v>
      </c>
      <c r="J238">
        <f t="shared" si="195"/>
        <v>34.38334438963382</v>
      </c>
      <c r="K238">
        <f t="shared" si="195"/>
        <v>19.902688985769938</v>
      </c>
      <c r="L238">
        <f t="shared" si="149"/>
        <v>57.841343870149991</v>
      </c>
      <c r="M238">
        <f t="shared" si="151"/>
        <v>7.8656129850010359E-2</v>
      </c>
      <c r="N238">
        <f t="shared" si="152"/>
        <v>6.1867867629816905E-3</v>
      </c>
    </row>
    <row r="239" spans="1:14" x14ac:dyDescent="0.45">
      <c r="A239" s="23">
        <v>42082</v>
      </c>
      <c r="B239">
        <v>56.81</v>
      </c>
      <c r="C239">
        <v>57.88</v>
      </c>
      <c r="G239">
        <f t="shared" ref="G239:K239" si="196">SUMPRODUCT($B239:$B243,P$2:P$6)</f>
        <v>31.286405186979707</v>
      </c>
      <c r="H239">
        <f t="shared" si="196"/>
        <v>10.536200993951176</v>
      </c>
      <c r="I239">
        <f t="shared" si="196"/>
        <v>33.906532646396926</v>
      </c>
      <c r="J239">
        <f t="shared" si="196"/>
        <v>33.607300577285983</v>
      </c>
      <c r="K239">
        <f t="shared" si="196"/>
        <v>19.463110898742737</v>
      </c>
      <c r="L239">
        <f t="shared" si="149"/>
        <v>56.570706681365607</v>
      </c>
      <c r="M239">
        <f t="shared" si="151"/>
        <v>1.6392933186343939</v>
      </c>
      <c r="N239">
        <f t="shared" si="152"/>
        <v>2.6872825845193642</v>
      </c>
    </row>
    <row r="240" spans="1:14" x14ac:dyDescent="0.45">
      <c r="A240" s="23">
        <v>42081</v>
      </c>
      <c r="B240">
        <v>59.36</v>
      </c>
      <c r="C240">
        <v>58.42</v>
      </c>
      <c r="G240">
        <f t="shared" ref="G240:K240" si="197">SUMPRODUCT($B240:$B244,P$2:P$6)</f>
        <v>32.612935356316129</v>
      </c>
      <c r="H240">
        <f t="shared" si="197"/>
        <v>10.940463300096138</v>
      </c>
      <c r="I240">
        <f t="shared" si="197"/>
        <v>35.356489025888749</v>
      </c>
      <c r="J240">
        <f t="shared" si="197"/>
        <v>35.049533636814736</v>
      </c>
      <c r="K240">
        <f t="shared" si="197"/>
        <v>20.284704795932182</v>
      </c>
      <c r="L240">
        <f t="shared" si="149"/>
        <v>58.949962833592281</v>
      </c>
      <c r="M240">
        <f t="shared" si="151"/>
        <v>-2.1399628335922785</v>
      </c>
      <c r="N240">
        <f t="shared" si="152"/>
        <v>4.5794409291562941</v>
      </c>
    </row>
    <row r="241" spans="1:14" x14ac:dyDescent="0.45">
      <c r="A241" s="23">
        <v>42080</v>
      </c>
      <c r="B241">
        <v>59.55</v>
      </c>
      <c r="C241">
        <v>59.49</v>
      </c>
      <c r="G241">
        <f t="shared" ref="G241:K241" si="198">SUMPRODUCT($B241:$B245,P$2:P$6)</f>
        <v>32.7068290980542</v>
      </c>
      <c r="H241">
        <f t="shared" si="198"/>
        <v>10.966322206319166</v>
      </c>
      <c r="I241">
        <f t="shared" si="198"/>
        <v>35.460132723315255</v>
      </c>
      <c r="J241">
        <f t="shared" si="198"/>
        <v>35.153184289225564</v>
      </c>
      <c r="K241">
        <f t="shared" si="198"/>
        <v>20.3428593045779</v>
      </c>
      <c r="L241">
        <f t="shared" si="149"/>
        <v>59.118435213375733</v>
      </c>
      <c r="M241">
        <f t="shared" si="151"/>
        <v>0.2415647866242665</v>
      </c>
      <c r="N241">
        <f t="shared" si="152"/>
        <v>5.8353546136827403E-2</v>
      </c>
    </row>
    <row r="242" spans="1:14" x14ac:dyDescent="0.45">
      <c r="A242" s="23">
        <v>42079</v>
      </c>
      <c r="B242">
        <v>59.52</v>
      </c>
      <c r="C242">
        <v>59.57</v>
      </c>
      <c r="G242">
        <f t="shared" ref="G242:K242" si="199">SUMPRODUCT($B242:$B246,P$2:P$6)</f>
        <v>32.703791309742925</v>
      </c>
      <c r="H242">
        <f t="shared" si="199"/>
        <v>10.972730459613558</v>
      </c>
      <c r="I242">
        <f t="shared" si="199"/>
        <v>35.454554492003943</v>
      </c>
      <c r="J242">
        <f t="shared" si="199"/>
        <v>35.146632449555717</v>
      </c>
      <c r="K242">
        <f t="shared" si="199"/>
        <v>20.34132896000548</v>
      </c>
      <c r="L242">
        <f t="shared" si="149"/>
        <v>59.113537173118182</v>
      </c>
      <c r="M242">
        <f t="shared" si="151"/>
        <v>0.43646282688181515</v>
      </c>
      <c r="N242">
        <f t="shared" si="152"/>
        <v>0.19049979924966534</v>
      </c>
    </row>
    <row r="243" spans="1:14" x14ac:dyDescent="0.45">
      <c r="A243" s="23">
        <v>42076</v>
      </c>
      <c r="B243">
        <v>60.04</v>
      </c>
      <c r="C243">
        <v>59.07</v>
      </c>
      <c r="G243">
        <f t="shared" ref="G243:K243" si="200">SUMPRODUCT($B243:$B247,P$2:P$6)</f>
        <v>32.963552639302648</v>
      </c>
      <c r="H243">
        <f t="shared" si="200"/>
        <v>11.045897157654284</v>
      </c>
      <c r="I243">
        <f t="shared" si="200"/>
        <v>35.740119653556945</v>
      </c>
      <c r="J243">
        <f t="shared" si="200"/>
        <v>35.43127927295555</v>
      </c>
      <c r="K243">
        <f t="shared" si="200"/>
        <v>20.501313190250169</v>
      </c>
      <c r="L243">
        <f t="shared" si="149"/>
        <v>59.578500891609437</v>
      </c>
      <c r="M243">
        <f t="shared" si="151"/>
        <v>-5.8500891609433836E-2</v>
      </c>
      <c r="N243">
        <f t="shared" si="152"/>
        <v>3.422354319098726E-3</v>
      </c>
    </row>
    <row r="244" spans="1:14" x14ac:dyDescent="0.45">
      <c r="A244" s="23">
        <v>42075</v>
      </c>
      <c r="B244">
        <v>60.06</v>
      </c>
      <c r="C244">
        <v>59.41</v>
      </c>
      <c r="G244">
        <f t="shared" ref="G244:K244" si="201">SUMPRODUCT($B244:$B248,P$2:P$6)</f>
        <v>32.968082094562732</v>
      </c>
      <c r="H244">
        <f t="shared" si="201"/>
        <v>11.04353356147284</v>
      </c>
      <c r="I244">
        <f t="shared" si="201"/>
        <v>35.746440531292244</v>
      </c>
      <c r="J244">
        <f t="shared" si="201"/>
        <v>35.43830124549649</v>
      </c>
      <c r="K244">
        <f t="shared" si="201"/>
        <v>20.504603250400919</v>
      </c>
      <c r="L244">
        <f t="shared" si="149"/>
        <v>59.586861186734453</v>
      </c>
      <c r="M244">
        <f t="shared" si="151"/>
        <v>0.4531388132655465</v>
      </c>
      <c r="N244">
        <f t="shared" si="152"/>
        <v>0.20533478408770783</v>
      </c>
    </row>
    <row r="245" spans="1:14" x14ac:dyDescent="0.45">
      <c r="A245" s="23">
        <v>42074</v>
      </c>
      <c r="B245">
        <v>59.33</v>
      </c>
      <c r="C245">
        <v>59.68</v>
      </c>
      <c r="G245">
        <f t="shared" ref="G245:K245" si="202">SUMPRODUCT($B245:$B249,P$2:P$6)</f>
        <v>32.577368405249103</v>
      </c>
      <c r="H245">
        <f t="shared" si="202"/>
        <v>10.918919831534581</v>
      </c>
      <c r="I245">
        <f t="shared" si="202"/>
        <v>35.321044627372373</v>
      </c>
      <c r="J245">
        <f t="shared" si="202"/>
        <v>35.015921303286248</v>
      </c>
      <c r="K245">
        <f t="shared" si="202"/>
        <v>20.261434656794876</v>
      </c>
      <c r="L245">
        <f t="shared" si="149"/>
        <v>58.885317116146012</v>
      </c>
      <c r="M245">
        <f t="shared" si="151"/>
        <v>1.1746828838539898</v>
      </c>
      <c r="N245">
        <f t="shared" si="152"/>
        <v>1.379879877619526</v>
      </c>
    </row>
    <row r="246" spans="1:14" x14ac:dyDescent="0.45">
      <c r="A246" s="23">
        <v>42073</v>
      </c>
      <c r="B246">
        <v>60.05</v>
      </c>
      <c r="C246">
        <v>59.21</v>
      </c>
      <c r="G246">
        <f t="shared" ref="G246:K246" si="203">SUMPRODUCT($B246:$B250,P$2:P$6)</f>
        <v>32.93646359158938</v>
      </c>
      <c r="H246">
        <f t="shared" si="203"/>
        <v>11.019597107569254</v>
      </c>
      <c r="I246">
        <f t="shared" si="203"/>
        <v>35.716026663944326</v>
      </c>
      <c r="J246">
        <f t="shared" si="203"/>
        <v>35.409769174062092</v>
      </c>
      <c r="K246">
        <f t="shared" si="203"/>
        <v>20.482808892260671</v>
      </c>
      <c r="L246">
        <f t="shared" si="149"/>
        <v>59.528224605273287</v>
      </c>
      <c r="M246">
        <f t="shared" si="151"/>
        <v>-0.198224605273289</v>
      </c>
      <c r="N246">
        <f t="shared" si="152"/>
        <v>3.9292994135751234E-2</v>
      </c>
    </row>
    <row r="247" spans="1:14" x14ac:dyDescent="0.45">
      <c r="A247" s="23">
        <v>42072</v>
      </c>
      <c r="B247">
        <v>59.87</v>
      </c>
      <c r="C247">
        <v>60.8</v>
      </c>
      <c r="G247">
        <f>SUMPRODUCT($B247:$B251,P$2:P$6)</f>
        <v>32.838140478618051</v>
      </c>
      <c r="H247">
        <f>SUMPRODUCT($B247:$B251,Q$2:Q$6)</f>
        <v>10.986478672183011</v>
      </c>
      <c r="I247">
        <f>SUMPRODUCT($B247:$B251,R$2:R$6)</f>
        <v>35.609267318114213</v>
      </c>
      <c r="J247">
        <f>SUMPRODUCT($B247:$B251,S$2:S$6)</f>
        <v>35.303717680165583</v>
      </c>
      <c r="K247">
        <f>SUMPRODUCT($B247:$B251,T$2:T$6)</f>
        <v>20.421769564033806</v>
      </c>
      <c r="L247">
        <f>(G247+$P$7)*$U$2+(H247+$Q$7)*$U$3+(I247+$R$7)*$U$4+(J247+$S$7)*$U$5+(K247+$T$7)*$U$6+$U$7</f>
        <v>59.351281205637967</v>
      </c>
      <c r="M247">
        <f>B246-L247</f>
        <v>0.69871879436202988</v>
      </c>
      <c r="N247">
        <f>M247^2</f>
        <v>0.48820795359472863</v>
      </c>
    </row>
    <row r="248" spans="1:14" x14ac:dyDescent="0.45">
      <c r="A248" s="23">
        <v>42069</v>
      </c>
      <c r="B248">
        <v>59.1</v>
      </c>
      <c r="C248">
        <v>59.87</v>
      </c>
    </row>
    <row r="249" spans="1:14" x14ac:dyDescent="0.45">
      <c r="A249" s="23">
        <v>42068</v>
      </c>
      <c r="B249">
        <v>58.28</v>
      </c>
      <c r="C249">
        <v>59.08</v>
      </c>
    </row>
    <row r="250" spans="1:14" x14ac:dyDescent="0.45">
      <c r="A250" s="23">
        <v>42067</v>
      </c>
      <c r="B250">
        <v>57.86</v>
      </c>
      <c r="C250">
        <v>58.31</v>
      </c>
    </row>
    <row r="251" spans="1:14" x14ac:dyDescent="0.45">
      <c r="A251" s="23">
        <v>42066</v>
      </c>
      <c r="B251">
        <v>58.36</v>
      </c>
      <c r="C251">
        <v>58.26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W251"/>
  <sheetViews>
    <sheetView workbookViewId="0">
      <selection activeCell="C2" sqref="C2"/>
    </sheetView>
  </sheetViews>
  <sheetFormatPr defaultRowHeight="14.25" x14ac:dyDescent="0.45"/>
  <sheetData>
    <row r="1" spans="1:23" x14ac:dyDescent="0.45">
      <c r="A1" t="s">
        <v>3</v>
      </c>
      <c r="B1" t="s">
        <v>4</v>
      </c>
      <c r="C1" t="s">
        <v>5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</row>
    <row r="2" spans="1:23" x14ac:dyDescent="0.45">
      <c r="A2" s="23">
        <v>42426</v>
      </c>
      <c r="B2">
        <v>105.88</v>
      </c>
      <c r="C2">
        <v>105.45</v>
      </c>
      <c r="G2">
        <f t="shared" ref="G2" si="0">SUMPRODUCT($B2:$B6,P$2:P$6)</f>
        <v>48.632743316474702</v>
      </c>
      <c r="H2">
        <f t="shared" ref="H2" si="1">SUMPRODUCT($B2:$B6,Q$2:Q$6)</f>
        <v>48.53740940700947</v>
      </c>
      <c r="I2">
        <f t="shared" ref="I2" si="2">SUMPRODUCT($B2:$B6,R$2:R$6)</f>
        <v>46.442774225239724</v>
      </c>
      <c r="J2">
        <f t="shared" ref="J2" si="3">SUMPRODUCT($B2:$B6,S$2:S$6)</f>
        <v>48.001857430598918</v>
      </c>
      <c r="K2">
        <f t="shared" ref="K2" si="4">SUMPRODUCT($B2:$B6,T$2:T$6)</f>
        <v>45.578264842972523</v>
      </c>
      <c r="L2">
        <f t="shared" ref="L2" si="5">(G2+$P$7)*$U$2+(H2+$Q$7)*$U$3+(I2+$R$7)*$U$4+(J2+$S$7)*$U$5+(K2+$T$7)*$U$6+$U$7</f>
        <v>106.12089214161725</v>
      </c>
      <c r="P2">
        <v>0.45571394220580458</v>
      </c>
      <c r="Q2">
        <v>0.45474263716844032</v>
      </c>
      <c r="R2">
        <v>0.43505395015825771</v>
      </c>
      <c r="S2">
        <v>0.44965152134538988</v>
      </c>
      <c r="T2">
        <v>0.42688467071829872</v>
      </c>
      <c r="U2">
        <v>0.44012629873291204</v>
      </c>
      <c r="W2" t="s">
        <v>31</v>
      </c>
    </row>
    <row r="3" spans="1:23" x14ac:dyDescent="0.45">
      <c r="A3" s="23">
        <v>42425</v>
      </c>
      <c r="B3">
        <v>105</v>
      </c>
      <c r="C3">
        <v>105.13</v>
      </c>
      <c r="G3">
        <f t="shared" ref="G3:G65" si="6">SUMPRODUCT($B3:$B7,P$2:P$6)</f>
        <v>48.233326718241514</v>
      </c>
      <c r="H3">
        <f t="shared" ref="H3:H65" si="7">SUMPRODUCT($B3:$B7,Q$2:Q$6)</f>
        <v>48.138879048839968</v>
      </c>
      <c r="I3">
        <f t="shared" ref="I3:I65" si="8">SUMPRODUCT($B3:$B7,R$2:R$6)</f>
        <v>46.061527597925817</v>
      </c>
      <c r="J3">
        <f t="shared" ref="J3:J65" si="9">SUMPRODUCT($B3:$B7,S$2:S$6)</f>
        <v>47.607823356746344</v>
      </c>
      <c r="K3">
        <f t="shared" ref="K3:K65" si="10">SUMPRODUCT($B3:$B7,T$2:T$6)</f>
        <v>45.20420912067614</v>
      </c>
      <c r="L3">
        <f t="shared" ref="L3:L65" si="11">(G3+$P$7)*$U$2+(H3+$Q$7)*$U$3+(I3+$R$7)*$U$4+(J3+$S$7)*$U$5+(K3+$T$7)*$U$6+$U$7</f>
        <v>105.27502834361286</v>
      </c>
      <c r="M3">
        <f t="shared" ref="M3:M66" si="12">B2-L3</f>
        <v>0.60497165638713568</v>
      </c>
      <c r="N3">
        <f t="shared" ref="N3:N66" si="13">M3^2</f>
        <v>0.36599070503179454</v>
      </c>
      <c r="P3">
        <v>0</v>
      </c>
      <c r="Q3">
        <v>0</v>
      </c>
      <c r="R3">
        <v>0</v>
      </c>
      <c r="S3">
        <v>0</v>
      </c>
      <c r="T3">
        <v>0</v>
      </c>
      <c r="U3">
        <v>0.44131940038831474</v>
      </c>
      <c r="V3" t="s">
        <v>29</v>
      </c>
      <c r="W3">
        <f>SUM(N3:N251)</f>
        <v>1437.2793409622241</v>
      </c>
    </row>
    <row r="4" spans="1:23" x14ac:dyDescent="0.45">
      <c r="A4" s="23">
        <v>42424</v>
      </c>
      <c r="B4">
        <v>103.16</v>
      </c>
      <c r="C4">
        <v>104.4</v>
      </c>
      <c r="G4">
        <f t="shared" si="6"/>
        <v>47.405450092575151</v>
      </c>
      <c r="H4">
        <f t="shared" si="7"/>
        <v>47.312997699106006</v>
      </c>
      <c r="I4">
        <f t="shared" si="8"/>
        <v>45.271594283513451</v>
      </c>
      <c r="J4">
        <f t="shared" si="9"/>
        <v>46.791407081989128</v>
      </c>
      <c r="K4">
        <f t="shared" si="10"/>
        <v>44.429320053058412</v>
      </c>
      <c r="L4">
        <f t="shared" si="11"/>
        <v>103.52229625380313</v>
      </c>
      <c r="M4">
        <f t="shared" si="12"/>
        <v>1.4777037461968661</v>
      </c>
      <c r="N4">
        <f t="shared" si="13"/>
        <v>2.1836083615242519</v>
      </c>
      <c r="P4">
        <v>0</v>
      </c>
      <c r="Q4">
        <v>0</v>
      </c>
      <c r="R4">
        <v>0</v>
      </c>
      <c r="S4">
        <v>3.7967899574944086E-7</v>
      </c>
      <c r="T4">
        <v>0</v>
      </c>
      <c r="U4">
        <v>0.42493137055566066</v>
      </c>
      <c r="V4" t="s">
        <v>30</v>
      </c>
      <c r="W4">
        <f>MAX(N3:N251)</f>
        <v>114.31887319089907</v>
      </c>
    </row>
    <row r="5" spans="1:23" x14ac:dyDescent="0.45">
      <c r="A5" s="23">
        <v>42423</v>
      </c>
      <c r="B5">
        <v>106.6</v>
      </c>
      <c r="C5">
        <v>104.16</v>
      </c>
      <c r="G5">
        <f t="shared" si="6"/>
        <v>48.965763997404785</v>
      </c>
      <c r="H5">
        <f t="shared" si="7"/>
        <v>48.869828155700603</v>
      </c>
      <c r="I5">
        <f t="shared" si="8"/>
        <v>46.76088910917894</v>
      </c>
      <c r="J5">
        <f t="shared" si="9"/>
        <v>48.330655562688328</v>
      </c>
      <c r="K5">
        <f t="shared" si="10"/>
        <v>45.890503579184887</v>
      </c>
      <c r="L5">
        <f t="shared" si="11"/>
        <v>106.82658070216993</v>
      </c>
      <c r="M5">
        <f t="shared" si="12"/>
        <v>-3.6665807021699379</v>
      </c>
      <c r="N5">
        <f t="shared" si="13"/>
        <v>13.443814045524995</v>
      </c>
      <c r="P5">
        <v>0</v>
      </c>
      <c r="Q5">
        <v>4.4554346283169288E-7</v>
      </c>
      <c r="R5">
        <v>6.8145628901264567E-7</v>
      </c>
      <c r="S5">
        <v>0</v>
      </c>
      <c r="T5">
        <v>6.3203132299359925E-7</v>
      </c>
      <c r="U5">
        <v>0.44258324783786934</v>
      </c>
    </row>
    <row r="6" spans="1:23" x14ac:dyDescent="0.45">
      <c r="A6" s="23">
        <v>42422</v>
      </c>
      <c r="B6">
        <v>106.59</v>
      </c>
      <c r="C6">
        <v>106.96</v>
      </c>
      <c r="G6">
        <f t="shared" si="6"/>
        <v>48.944696184903755</v>
      </c>
      <c r="H6">
        <f t="shared" si="7"/>
        <v>48.848446482980272</v>
      </c>
      <c r="I6">
        <f t="shared" si="8"/>
        <v>46.740137296025203</v>
      </c>
      <c r="J6">
        <f t="shared" si="9"/>
        <v>48.309175307938801</v>
      </c>
      <c r="K6">
        <f t="shared" si="10"/>
        <v>45.869813700101652</v>
      </c>
      <c r="L6">
        <f t="shared" si="11"/>
        <v>106.78081919312486</v>
      </c>
      <c r="M6">
        <f t="shared" si="12"/>
        <v>-0.1808191931248615</v>
      </c>
      <c r="N6">
        <f t="shared" si="13"/>
        <v>3.2695580602325962E-2</v>
      </c>
      <c r="P6">
        <v>3.581490906502594E-3</v>
      </c>
      <c r="Q6">
        <v>3.651482209230473E-3</v>
      </c>
      <c r="R6">
        <v>3.5574569776057156E-3</v>
      </c>
      <c r="S6">
        <v>3.6843529680442842E-3</v>
      </c>
      <c r="T6">
        <v>3.561765013416113E-3</v>
      </c>
      <c r="U6">
        <v>0.42184714424424635</v>
      </c>
    </row>
    <row r="7" spans="1:23" x14ac:dyDescent="0.45">
      <c r="A7" s="23">
        <v>42419</v>
      </c>
      <c r="B7">
        <v>107.04</v>
      </c>
      <c r="C7">
        <v>108.67</v>
      </c>
      <c r="G7">
        <f t="shared" si="6"/>
        <v>49.154638286529213</v>
      </c>
      <c r="H7">
        <f t="shared" si="7"/>
        <v>49.058044631555262</v>
      </c>
      <c r="I7">
        <f t="shared" si="8"/>
        <v>46.940746573572476</v>
      </c>
      <c r="J7">
        <f t="shared" si="9"/>
        <v>48.516528434238843</v>
      </c>
      <c r="K7">
        <f t="shared" si="10"/>
        <v>46.066752888678728</v>
      </c>
      <c r="L7">
        <f t="shared" si="11"/>
        <v>107.22581439214567</v>
      </c>
      <c r="M7">
        <f t="shared" si="12"/>
        <v>-0.6358143921456616</v>
      </c>
      <c r="N7">
        <f t="shared" si="13"/>
        <v>0.40425994125955717</v>
      </c>
      <c r="O7" t="s">
        <v>28</v>
      </c>
      <c r="P7">
        <v>2.1681078682547102E-9</v>
      </c>
      <c r="Q7">
        <v>1.445620252310698E-8</v>
      </c>
      <c r="R7">
        <v>6.5681510371409668E-9</v>
      </c>
      <c r="S7">
        <v>6.2321483466552018E-9</v>
      </c>
      <c r="T7">
        <v>0</v>
      </c>
      <c r="U7">
        <v>3.0889718682836524</v>
      </c>
    </row>
    <row r="8" spans="1:23" x14ac:dyDescent="0.45">
      <c r="A8" s="23">
        <v>42418</v>
      </c>
      <c r="B8">
        <v>110.01</v>
      </c>
      <c r="C8">
        <v>107.47</v>
      </c>
      <c r="G8">
        <f t="shared" si="6"/>
        <v>50.491598021801472</v>
      </c>
      <c r="H8">
        <f t="shared" si="7"/>
        <v>50.391797536900086</v>
      </c>
      <c r="I8">
        <f t="shared" si="8"/>
        <v>48.216457855656287</v>
      </c>
      <c r="J8">
        <f t="shared" si="9"/>
        <v>49.835006835131786</v>
      </c>
      <c r="K8">
        <f t="shared" si="10"/>
        <v>47.318181483562824</v>
      </c>
      <c r="L8">
        <f t="shared" si="11"/>
        <v>110.05639433981683</v>
      </c>
      <c r="M8">
        <f t="shared" si="12"/>
        <v>-3.0163943398168271</v>
      </c>
      <c r="N8">
        <f t="shared" si="13"/>
        <v>9.0986348132789931</v>
      </c>
    </row>
    <row r="9" spans="1:23" x14ac:dyDescent="0.45">
      <c r="A9" s="23">
        <v>42417</v>
      </c>
      <c r="B9">
        <v>107.96</v>
      </c>
      <c r="C9">
        <v>110.88</v>
      </c>
      <c r="G9">
        <f t="shared" si="6"/>
        <v>49.53324519156974</v>
      </c>
      <c r="H9">
        <f t="shared" si="7"/>
        <v>49.434962086659205</v>
      </c>
      <c r="I9">
        <f t="shared" si="8"/>
        <v>47.300616856289302</v>
      </c>
      <c r="J9">
        <f t="shared" si="9"/>
        <v>48.88838919373255</v>
      </c>
      <c r="K9">
        <f t="shared" si="10"/>
        <v>46.419058698735483</v>
      </c>
      <c r="L9">
        <f t="shared" si="11"/>
        <v>108.02490894822863</v>
      </c>
      <c r="M9">
        <f t="shared" si="12"/>
        <v>1.9850910517713771</v>
      </c>
      <c r="N9">
        <f t="shared" si="13"/>
        <v>3.9405864838227922</v>
      </c>
    </row>
    <row r="10" spans="1:23" x14ac:dyDescent="0.45">
      <c r="A10" s="23">
        <v>42416</v>
      </c>
      <c r="B10">
        <v>103.35</v>
      </c>
      <c r="C10">
        <v>105.44</v>
      </c>
      <c r="G10">
        <f t="shared" si="6"/>
        <v>47.421265481281758</v>
      </c>
      <c r="H10">
        <f t="shared" si="7"/>
        <v>47.327239416679042</v>
      </c>
      <c r="I10">
        <f t="shared" si="8"/>
        <v>45.283949861843993</v>
      </c>
      <c r="J10">
        <f t="shared" si="9"/>
        <v>46.804035592279511</v>
      </c>
      <c r="K10">
        <f t="shared" si="10"/>
        <v>44.44003901764129</v>
      </c>
      <c r="L10">
        <f t="shared" si="11"/>
        <v>103.55090337308965</v>
      </c>
      <c r="M10">
        <f t="shared" si="12"/>
        <v>4.4090966269103404</v>
      </c>
      <c r="N10">
        <f t="shared" si="13"/>
        <v>19.440133065432143</v>
      </c>
    </row>
    <row r="11" spans="1:23" x14ac:dyDescent="0.45">
      <c r="A11" s="23">
        <v>42412</v>
      </c>
      <c r="B11">
        <v>104.71</v>
      </c>
      <c r="C11">
        <v>102.25</v>
      </c>
      <c r="G11">
        <f t="shared" si="6"/>
        <v>48.045047712496938</v>
      </c>
      <c r="H11">
        <f t="shared" si="7"/>
        <v>47.94977767766229</v>
      </c>
      <c r="I11">
        <f t="shared" si="8"/>
        <v>45.87960546654508</v>
      </c>
      <c r="J11">
        <f t="shared" si="9"/>
        <v>47.419685577597015</v>
      </c>
      <c r="K11">
        <f t="shared" si="10"/>
        <v>45.024589381015787</v>
      </c>
      <c r="L11">
        <f t="shared" si="11"/>
        <v>104.87236457376007</v>
      </c>
      <c r="M11">
        <f t="shared" si="12"/>
        <v>-1.5223645737600719</v>
      </c>
      <c r="N11">
        <f t="shared" si="13"/>
        <v>2.3175938954396855</v>
      </c>
    </row>
    <row r="12" spans="1:23" x14ac:dyDescent="0.45">
      <c r="A12" s="23">
        <v>42411</v>
      </c>
      <c r="B12">
        <v>100.1</v>
      </c>
      <c r="C12">
        <v>103.37</v>
      </c>
      <c r="G12">
        <f t="shared" si="6"/>
        <v>45.971783918908251</v>
      </c>
      <c r="H12">
        <f t="shared" si="7"/>
        <v>45.881531032335538</v>
      </c>
      <c r="I12">
        <f t="shared" si="8"/>
        <v>43.901399938274118</v>
      </c>
      <c r="J12">
        <f t="shared" si="9"/>
        <v>45.375160401247044</v>
      </c>
      <c r="K12">
        <f t="shared" si="10"/>
        <v>43.084077347482811</v>
      </c>
      <c r="L12">
        <f t="shared" si="11"/>
        <v>100.48303564569848</v>
      </c>
      <c r="M12">
        <f t="shared" si="12"/>
        <v>4.226964354301515</v>
      </c>
      <c r="N12">
        <f t="shared" si="13"/>
        <v>17.867227652535622</v>
      </c>
    </row>
    <row r="13" spans="1:23" x14ac:dyDescent="0.45">
      <c r="A13" s="23">
        <v>42410</v>
      </c>
      <c r="B13">
        <v>93.36</v>
      </c>
      <c r="C13">
        <v>94.35</v>
      </c>
      <c r="G13">
        <f t="shared" si="6"/>
        <v>42.88916932663097</v>
      </c>
      <c r="H13">
        <f t="shared" si="7"/>
        <v>42.805249493656298</v>
      </c>
      <c r="I13">
        <f t="shared" si="8"/>
        <v>40.958113444790314</v>
      </c>
      <c r="J13">
        <f t="shared" si="9"/>
        <v>42.333088078418648</v>
      </c>
      <c r="K13">
        <f t="shared" si="10"/>
        <v>40.195838061941082</v>
      </c>
      <c r="L13">
        <f t="shared" si="11"/>
        <v>93.953212663794915</v>
      </c>
      <c r="M13">
        <f t="shared" si="12"/>
        <v>6.1467873362050796</v>
      </c>
      <c r="N13">
        <f t="shared" si="13"/>
        <v>37.782994556531136</v>
      </c>
    </row>
    <row r="14" spans="1:23" x14ac:dyDescent="0.45">
      <c r="A14" s="23">
        <v>42409</v>
      </c>
      <c r="B14">
        <v>90.25</v>
      </c>
      <c r="C14">
        <v>92.64</v>
      </c>
      <c r="G14">
        <f t="shared" si="6"/>
        <v>41.482213660181642</v>
      </c>
      <c r="H14">
        <f t="shared" si="7"/>
        <v>41.401514779640308</v>
      </c>
      <c r="I14">
        <f t="shared" si="8"/>
        <v>39.615339023379136</v>
      </c>
      <c r="J14">
        <f t="shared" si="9"/>
        <v>40.94528570711072</v>
      </c>
      <c r="K14">
        <f t="shared" si="10"/>
        <v>38.878482659948709</v>
      </c>
      <c r="L14">
        <f t="shared" si="11"/>
        <v>90.97395144117236</v>
      </c>
      <c r="M14">
        <f t="shared" si="12"/>
        <v>2.386048558827639</v>
      </c>
      <c r="N14">
        <f t="shared" si="13"/>
        <v>5.6932277250834531</v>
      </c>
    </row>
    <row r="15" spans="1:23" x14ac:dyDescent="0.45">
      <c r="A15" s="23">
        <v>42408</v>
      </c>
      <c r="B15">
        <v>91.37</v>
      </c>
      <c r="C15">
        <v>91.53</v>
      </c>
      <c r="G15">
        <f t="shared" si="6"/>
        <v>42.001889336899985</v>
      </c>
      <c r="H15">
        <f t="shared" si="7"/>
        <v>41.920285155356034</v>
      </c>
      <c r="I15">
        <f t="shared" si="8"/>
        <v>40.111815223722495</v>
      </c>
      <c r="J15">
        <f t="shared" si="9"/>
        <v>41.458436708199905</v>
      </c>
      <c r="K15">
        <f t="shared" si="10"/>
        <v>39.365820282788171</v>
      </c>
      <c r="L15">
        <f t="shared" si="11"/>
        <v>92.075280137889095</v>
      </c>
      <c r="M15">
        <f t="shared" si="12"/>
        <v>-1.825280137889095</v>
      </c>
      <c r="N15">
        <f t="shared" si="13"/>
        <v>3.331647581772434</v>
      </c>
    </row>
    <row r="16" spans="1:23" x14ac:dyDescent="0.45">
      <c r="A16" s="23">
        <v>42405</v>
      </c>
      <c r="B16">
        <v>99.07</v>
      </c>
      <c r="C16">
        <v>93.54</v>
      </c>
      <c r="G16">
        <f t="shared" si="6"/>
        <v>45.506302383524357</v>
      </c>
      <c r="H16">
        <f t="shared" si="7"/>
        <v>45.41713071828277</v>
      </c>
      <c r="I16">
        <f t="shared" si="8"/>
        <v>43.457178859981532</v>
      </c>
      <c r="J16">
        <f t="shared" si="9"/>
        <v>44.916038544235818</v>
      </c>
      <c r="K16">
        <f t="shared" si="10"/>
        <v>42.648274825063012</v>
      </c>
      <c r="L16">
        <f t="shared" si="11"/>
        <v>99.497410948468357</v>
      </c>
      <c r="M16">
        <f t="shared" si="12"/>
        <v>-8.1274109484683521</v>
      </c>
      <c r="N16">
        <f t="shared" si="13"/>
        <v>66.054808725283237</v>
      </c>
    </row>
    <row r="17" spans="1:14" x14ac:dyDescent="0.45">
      <c r="A17" s="23">
        <v>42404</v>
      </c>
      <c r="B17">
        <v>95.97</v>
      </c>
      <c r="C17">
        <v>99.9</v>
      </c>
      <c r="G17">
        <f t="shared" si="6"/>
        <v>44.090222561234249</v>
      </c>
      <c r="H17">
        <f t="shared" si="7"/>
        <v>44.003995579488297</v>
      </c>
      <c r="I17">
        <f t="shared" si="8"/>
        <v>42.105166732667932</v>
      </c>
      <c r="J17">
        <f t="shared" si="9"/>
        <v>43.518656519643748</v>
      </c>
      <c r="K17">
        <f t="shared" si="10"/>
        <v>41.321583477723578</v>
      </c>
      <c r="L17">
        <f t="shared" si="11"/>
        <v>96.497881828102862</v>
      </c>
      <c r="M17">
        <f t="shared" si="12"/>
        <v>2.5721181718971309</v>
      </c>
      <c r="N17">
        <f t="shared" si="13"/>
        <v>6.6157918902034387</v>
      </c>
    </row>
    <row r="18" spans="1:14" x14ac:dyDescent="0.45">
      <c r="A18" s="23">
        <v>42403</v>
      </c>
      <c r="B18">
        <v>98.85</v>
      </c>
      <c r="C18">
        <v>96.3</v>
      </c>
      <c r="G18">
        <f t="shared" si="6"/>
        <v>45.410092400963428</v>
      </c>
      <c r="H18">
        <f t="shared" si="7"/>
        <v>45.32121252389566</v>
      </c>
      <c r="I18">
        <f t="shared" si="8"/>
        <v>43.36548540449845</v>
      </c>
      <c r="J18">
        <f t="shared" si="9"/>
        <v>44.821279025773208</v>
      </c>
      <c r="K18">
        <f t="shared" si="10"/>
        <v>42.558383588860615</v>
      </c>
      <c r="L18">
        <f t="shared" si="11"/>
        <v>99.293913082470695</v>
      </c>
      <c r="M18">
        <f t="shared" si="12"/>
        <v>-3.3239130824706962</v>
      </c>
      <c r="N18">
        <f t="shared" si="13"/>
        <v>11.048398179819845</v>
      </c>
    </row>
    <row r="19" spans="1:14" x14ac:dyDescent="0.45">
      <c r="A19" s="23">
        <v>42402</v>
      </c>
      <c r="B19">
        <v>101.44</v>
      </c>
      <c r="C19">
        <v>98.71</v>
      </c>
      <c r="G19">
        <f t="shared" si="6"/>
        <v>46.596193526545001</v>
      </c>
      <c r="H19">
        <f t="shared" si="7"/>
        <v>46.504912277615844</v>
      </c>
      <c r="I19">
        <f t="shared" si="8"/>
        <v>44.49803962632658</v>
      </c>
      <c r="J19">
        <f t="shared" si="9"/>
        <v>45.991844760967744</v>
      </c>
      <c r="K19">
        <f t="shared" si="10"/>
        <v>43.66978625364758</v>
      </c>
      <c r="L19">
        <f t="shared" si="11"/>
        <v>101.8065096891934</v>
      </c>
      <c r="M19">
        <f t="shared" si="12"/>
        <v>-2.9565096891934104</v>
      </c>
      <c r="N19">
        <f t="shared" si="13"/>
        <v>8.7409495422945156</v>
      </c>
    </row>
    <row r="20" spans="1:14" x14ac:dyDescent="0.45">
      <c r="A20" s="23">
        <v>42401</v>
      </c>
      <c r="B20">
        <v>100.16</v>
      </c>
      <c r="C20">
        <v>102.15</v>
      </c>
      <c r="G20">
        <f t="shared" si="6"/>
        <v>46.01914728960795</v>
      </c>
      <c r="H20">
        <f t="shared" si="7"/>
        <v>45.929232517686806</v>
      </c>
      <c r="I20">
        <f t="shared" si="8"/>
        <v>43.947397223794006</v>
      </c>
      <c r="J20">
        <f t="shared" si="9"/>
        <v>45.422739217275243</v>
      </c>
      <c r="K20">
        <f t="shared" si="10"/>
        <v>43.129607987792383</v>
      </c>
      <c r="L20">
        <f t="shared" si="11"/>
        <v>100.58474334874695</v>
      </c>
      <c r="M20">
        <f t="shared" si="12"/>
        <v>0.85525665125304329</v>
      </c>
      <c r="N20">
        <f t="shared" si="13"/>
        <v>0.73146393951256972</v>
      </c>
    </row>
    <row r="21" spans="1:14" x14ac:dyDescent="0.45">
      <c r="A21" s="23">
        <v>42398</v>
      </c>
      <c r="B21">
        <v>99.22</v>
      </c>
      <c r="C21">
        <v>101.04</v>
      </c>
      <c r="G21">
        <f t="shared" si="6"/>
        <v>45.59872709374693</v>
      </c>
      <c r="H21">
        <f t="shared" si="7"/>
        <v>45.509881508954024</v>
      </c>
      <c r="I21">
        <f t="shared" si="8"/>
        <v>43.546345257684038</v>
      </c>
      <c r="J21">
        <f t="shared" si="9"/>
        <v>45.008246665879611</v>
      </c>
      <c r="K21">
        <f t="shared" si="10"/>
        <v>42.736244621701772</v>
      </c>
      <c r="L21">
        <f t="shared" si="11"/>
        <v>99.694831394443838</v>
      </c>
      <c r="M21">
        <f t="shared" si="12"/>
        <v>0.46516860555615835</v>
      </c>
      <c r="N21">
        <f t="shared" si="13"/>
        <v>0.21638183159506083</v>
      </c>
    </row>
    <row r="22" spans="1:14" x14ac:dyDescent="0.45">
      <c r="A22" s="23">
        <v>42397</v>
      </c>
      <c r="B22">
        <v>101.29</v>
      </c>
      <c r="C22">
        <v>98.69</v>
      </c>
      <c r="G22">
        <f t="shared" si="6"/>
        <v>46.546066223928229</v>
      </c>
      <c r="H22">
        <f t="shared" si="7"/>
        <v>46.455289417073516</v>
      </c>
      <c r="I22">
        <f t="shared" si="8"/>
        <v>44.450892799159512</v>
      </c>
      <c r="J22">
        <f t="shared" si="9"/>
        <v>45.943152454827015</v>
      </c>
      <c r="K22">
        <f t="shared" si="10"/>
        <v>43.623886470013225</v>
      </c>
      <c r="L22">
        <f t="shared" si="11"/>
        <v>101.70160055643761</v>
      </c>
      <c r="M22">
        <f t="shared" si="12"/>
        <v>-2.4816005564376127</v>
      </c>
      <c r="N22">
        <f t="shared" si="13"/>
        <v>6.1583413217114691</v>
      </c>
    </row>
    <row r="23" spans="1:14" x14ac:dyDescent="0.45">
      <c r="A23" s="23">
        <v>42396</v>
      </c>
      <c r="B23">
        <v>102.91</v>
      </c>
      <c r="C23">
        <v>99.53</v>
      </c>
      <c r="G23">
        <f t="shared" si="6"/>
        <v>47.278556609942157</v>
      </c>
      <c r="H23">
        <f t="shared" si="7"/>
        <v>47.18609410193821</v>
      </c>
      <c r="I23">
        <f t="shared" si="8"/>
        <v>45.149953455912978</v>
      </c>
      <c r="J23">
        <f t="shared" si="9"/>
        <v>46.665656954015368</v>
      </c>
      <c r="K23">
        <f t="shared" si="10"/>
        <v>44.309705902780344</v>
      </c>
      <c r="L23">
        <f t="shared" si="11"/>
        <v>103.2526392842009</v>
      </c>
      <c r="M23">
        <f t="shared" si="12"/>
        <v>-1.9626392842008897</v>
      </c>
      <c r="N23">
        <f t="shared" si="13"/>
        <v>3.8519529598885809</v>
      </c>
    </row>
    <row r="24" spans="1:14" x14ac:dyDescent="0.45">
      <c r="A24" s="23">
        <v>42395</v>
      </c>
      <c r="B24">
        <v>104.66</v>
      </c>
      <c r="C24">
        <v>104.93</v>
      </c>
      <c r="G24">
        <f t="shared" si="6"/>
        <v>48.066600872809154</v>
      </c>
      <c r="H24">
        <f t="shared" si="7"/>
        <v>47.972253086625635</v>
      </c>
      <c r="I24">
        <f t="shared" si="8"/>
        <v>45.901905085124433</v>
      </c>
      <c r="J24">
        <f t="shared" si="9"/>
        <v>47.442820849774634</v>
      </c>
      <c r="K24">
        <f t="shared" si="10"/>
        <v>45.047349999331516</v>
      </c>
      <c r="L24">
        <f t="shared" si="11"/>
        <v>104.92108611366498</v>
      </c>
      <c r="M24">
        <f t="shared" si="12"/>
        <v>-2.0110861136649874</v>
      </c>
      <c r="N24">
        <f t="shared" si="13"/>
        <v>4.0444673565761429</v>
      </c>
    </row>
    <row r="25" spans="1:14" x14ac:dyDescent="0.45">
      <c r="A25" s="23">
        <v>42394</v>
      </c>
      <c r="B25">
        <v>106.88</v>
      </c>
      <c r="C25">
        <v>105.21</v>
      </c>
      <c r="G25">
        <f t="shared" si="6"/>
        <v>49.082082204866929</v>
      </c>
      <c r="H25">
        <f t="shared" si="7"/>
        <v>48.985651136046613</v>
      </c>
      <c r="I25">
        <f t="shared" si="8"/>
        <v>46.871493959827419</v>
      </c>
      <c r="J25">
        <f t="shared" si="9"/>
        <v>48.444952030024346</v>
      </c>
      <c r="K25">
        <f t="shared" si="10"/>
        <v>45.998807770677672</v>
      </c>
      <c r="L25">
        <f t="shared" si="11"/>
        <v>107.07216331893004</v>
      </c>
      <c r="M25">
        <f t="shared" si="12"/>
        <v>-2.4121633189300411</v>
      </c>
      <c r="N25">
        <f t="shared" si="13"/>
        <v>5.8185318771915915</v>
      </c>
    </row>
    <row r="26" spans="1:14" x14ac:dyDescent="0.45">
      <c r="A26" s="23">
        <v>42391</v>
      </c>
      <c r="B26">
        <v>108</v>
      </c>
      <c r="C26">
        <v>107.12</v>
      </c>
      <c r="G26">
        <f t="shared" si="6"/>
        <v>49.5880049565043</v>
      </c>
      <c r="H26">
        <f t="shared" si="7"/>
        <v>49.490399009189808</v>
      </c>
      <c r="I26">
        <f t="shared" si="8"/>
        <v>47.354308285126329</v>
      </c>
      <c r="J26">
        <f t="shared" si="9"/>
        <v>48.943955290368578</v>
      </c>
      <c r="K26">
        <f t="shared" si="10"/>
        <v>46.472467065568601</v>
      </c>
      <c r="L26">
        <f t="shared" si="11"/>
        <v>108.14341351328829</v>
      </c>
      <c r="M26">
        <f t="shared" si="12"/>
        <v>-1.2634135132882989</v>
      </c>
      <c r="N26">
        <f t="shared" si="13"/>
        <v>1.5962137055594825</v>
      </c>
    </row>
    <row r="27" spans="1:14" x14ac:dyDescent="0.45">
      <c r="A27" s="23">
        <v>42390</v>
      </c>
      <c r="B27">
        <v>106.39</v>
      </c>
      <c r="C27">
        <v>106.4</v>
      </c>
      <c r="G27">
        <f t="shared" si="6"/>
        <v>48.865694650635639</v>
      </c>
      <c r="H27">
        <f t="shared" si="7"/>
        <v>48.769874519844642</v>
      </c>
      <c r="I27">
        <f t="shared" si="8"/>
        <v>46.665183286739961</v>
      </c>
      <c r="J27">
        <f t="shared" si="9"/>
        <v>48.231732985900628</v>
      </c>
      <c r="K27">
        <f t="shared" si="10"/>
        <v>45.796508368415644</v>
      </c>
      <c r="L27">
        <f t="shared" si="11"/>
        <v>106.61432457946324</v>
      </c>
      <c r="M27">
        <f t="shared" si="12"/>
        <v>1.3856754205367565</v>
      </c>
      <c r="N27">
        <f t="shared" si="13"/>
        <v>1.920096371079717</v>
      </c>
    </row>
    <row r="28" spans="1:14" x14ac:dyDescent="0.45">
      <c r="A28" s="23">
        <v>42389</v>
      </c>
      <c r="B28">
        <v>103.75</v>
      </c>
      <c r="C28">
        <v>106.28</v>
      </c>
      <c r="G28">
        <f t="shared" si="6"/>
        <v>47.68302434137938</v>
      </c>
      <c r="H28">
        <f t="shared" si="7"/>
        <v>47.590168823140779</v>
      </c>
      <c r="I28">
        <f t="shared" si="8"/>
        <v>45.536920530125514</v>
      </c>
      <c r="J28">
        <f t="shared" si="9"/>
        <v>47.065653306867901</v>
      </c>
      <c r="K28">
        <f t="shared" si="10"/>
        <v>44.689836908155414</v>
      </c>
      <c r="L28">
        <f t="shared" si="11"/>
        <v>104.11080549669843</v>
      </c>
      <c r="M28">
        <f t="shared" si="12"/>
        <v>2.2791945033015679</v>
      </c>
      <c r="N28">
        <f t="shared" si="13"/>
        <v>5.1947275838800806</v>
      </c>
    </row>
    <row r="29" spans="1:14" x14ac:dyDescent="0.45">
      <c r="A29" s="23">
        <v>42388</v>
      </c>
      <c r="B29">
        <v>104.81</v>
      </c>
      <c r="C29">
        <v>105.32</v>
      </c>
      <c r="G29">
        <f t="shared" si="6"/>
        <v>48.164684338663996</v>
      </c>
      <c r="H29">
        <f t="shared" si="7"/>
        <v>48.070774480075464</v>
      </c>
      <c r="I29">
        <f t="shared" si="8"/>
        <v>45.996694193372846</v>
      </c>
      <c r="J29">
        <f t="shared" si="9"/>
        <v>47.540848229215683</v>
      </c>
      <c r="K29">
        <f t="shared" si="10"/>
        <v>45.140949173340118</v>
      </c>
      <c r="L29">
        <f t="shared" si="11"/>
        <v>105.13088331465222</v>
      </c>
      <c r="M29">
        <f t="shared" si="12"/>
        <v>-1.3808833146522232</v>
      </c>
      <c r="N29">
        <f t="shared" si="13"/>
        <v>1.9068387286849109</v>
      </c>
    </row>
    <row r="30" spans="1:14" x14ac:dyDescent="0.45">
      <c r="A30" s="23">
        <v>42384</v>
      </c>
      <c r="B30">
        <v>103.56</v>
      </c>
      <c r="C30">
        <v>102.76</v>
      </c>
      <c r="G30">
        <f t="shared" si="6"/>
        <v>47.595256800361128</v>
      </c>
      <c r="H30">
        <f t="shared" si="7"/>
        <v>47.502565098785517</v>
      </c>
      <c r="I30">
        <f t="shared" si="8"/>
        <v>45.453089937325728</v>
      </c>
      <c r="J30">
        <f t="shared" si="9"/>
        <v>46.979007052882302</v>
      </c>
      <c r="K30">
        <f t="shared" si="10"/>
        <v>44.607556794350842</v>
      </c>
      <c r="L30">
        <f t="shared" si="11"/>
        <v>103.92483541038554</v>
      </c>
      <c r="M30">
        <f t="shared" si="12"/>
        <v>0.88516458961446176</v>
      </c>
      <c r="N30">
        <f t="shared" si="13"/>
        <v>0.78351635070733849</v>
      </c>
    </row>
    <row r="31" spans="1:14" x14ac:dyDescent="0.45">
      <c r="A31" s="23">
        <v>42383</v>
      </c>
      <c r="B31">
        <v>106.74</v>
      </c>
      <c r="C31">
        <v>107.67</v>
      </c>
      <c r="G31">
        <f t="shared" si="6"/>
        <v>49.05857402565627</v>
      </c>
      <c r="H31">
        <f t="shared" si="7"/>
        <v>48.963070066440224</v>
      </c>
      <c r="I31">
        <f t="shared" si="8"/>
        <v>46.85061349477791</v>
      </c>
      <c r="J31">
        <f t="shared" si="9"/>
        <v>48.423451936909608</v>
      </c>
      <c r="K31">
        <f t="shared" si="10"/>
        <v>45.979119056959902</v>
      </c>
      <c r="L31">
        <f t="shared" si="11"/>
        <v>107.02515731359873</v>
      </c>
      <c r="M31">
        <f t="shared" si="12"/>
        <v>-3.4651573135987235</v>
      </c>
      <c r="N31">
        <f t="shared" si="13"/>
        <v>12.007315207986721</v>
      </c>
    </row>
    <row r="32" spans="1:14" x14ac:dyDescent="0.45">
      <c r="A32" s="23">
        <v>42382</v>
      </c>
      <c r="B32">
        <v>112.44</v>
      </c>
      <c r="C32">
        <v>106.37</v>
      </c>
      <c r="G32">
        <f t="shared" si="6"/>
        <v>51.659545912590531</v>
      </c>
      <c r="H32">
        <f t="shared" si="7"/>
        <v>51.558573766295787</v>
      </c>
      <c r="I32">
        <f t="shared" si="8"/>
        <v>49.333803286561036</v>
      </c>
      <c r="J32">
        <f t="shared" si="9"/>
        <v>50.989965766678715</v>
      </c>
      <c r="K32">
        <f t="shared" si="10"/>
        <v>48.415747853340676</v>
      </c>
      <c r="L32">
        <f t="shared" si="11"/>
        <v>112.53432574713815</v>
      </c>
      <c r="M32">
        <f t="shared" si="12"/>
        <v>-5.79432574713816</v>
      </c>
      <c r="N32">
        <f t="shared" si="13"/>
        <v>33.574210863948196</v>
      </c>
    </row>
    <row r="33" spans="1:14" x14ac:dyDescent="0.45">
      <c r="A33" s="23">
        <v>42381</v>
      </c>
      <c r="B33">
        <v>112.05</v>
      </c>
      <c r="C33">
        <v>111.9</v>
      </c>
      <c r="G33">
        <f t="shared" si="6"/>
        <v>51.483787295128849</v>
      </c>
      <c r="H33">
        <f t="shared" si="7"/>
        <v>51.383232876281454</v>
      </c>
      <c r="I33">
        <f t="shared" si="8"/>
        <v>49.166089494720481</v>
      </c>
      <c r="J33">
        <f t="shared" si="9"/>
        <v>50.81662956721847</v>
      </c>
      <c r="K33">
        <f t="shared" si="10"/>
        <v>48.251222402947676</v>
      </c>
      <c r="L33">
        <f t="shared" si="11"/>
        <v>112.16220127996299</v>
      </c>
      <c r="M33">
        <f t="shared" si="12"/>
        <v>0.277798720037012</v>
      </c>
      <c r="N33">
        <f t="shared" si="13"/>
        <v>7.7172128854202174E-2</v>
      </c>
    </row>
    <row r="34" spans="1:14" x14ac:dyDescent="0.45">
      <c r="A34" s="23">
        <v>42380</v>
      </c>
      <c r="B34">
        <v>112.11</v>
      </c>
      <c r="C34">
        <v>111.2</v>
      </c>
      <c r="G34">
        <f t="shared" si="6"/>
        <v>51.524345833106189</v>
      </c>
      <c r="H34">
        <f t="shared" si="7"/>
        <v>51.423991648912533</v>
      </c>
      <c r="I34">
        <f t="shared" si="8"/>
        <v>49.205320122778296</v>
      </c>
      <c r="J34">
        <f t="shared" si="9"/>
        <v>50.857204281646318</v>
      </c>
      <c r="K34">
        <f t="shared" si="10"/>
        <v>48.289978743707508</v>
      </c>
      <c r="L34">
        <f t="shared" si="11"/>
        <v>112.24901706137392</v>
      </c>
      <c r="M34">
        <f t="shared" si="12"/>
        <v>-0.19901706137392239</v>
      </c>
      <c r="N34">
        <f t="shared" si="13"/>
        <v>3.9607790717911588E-2</v>
      </c>
    </row>
    <row r="35" spans="1:14" x14ac:dyDescent="0.45">
      <c r="A35" s="23">
        <v>42377</v>
      </c>
      <c r="B35">
        <v>116.06</v>
      </c>
      <c r="C35">
        <v>111.41</v>
      </c>
      <c r="G35">
        <f t="shared" si="6"/>
        <v>53.324451719728188</v>
      </c>
      <c r="H35">
        <f t="shared" si="7"/>
        <v>53.22026322460534</v>
      </c>
      <c r="I35">
        <f t="shared" si="8"/>
        <v>50.923821315046901</v>
      </c>
      <c r="J35">
        <f t="shared" si="9"/>
        <v>52.633364843313743</v>
      </c>
      <c r="K35">
        <f t="shared" si="10"/>
        <v>49.976211142890499</v>
      </c>
      <c r="L35">
        <f t="shared" si="11"/>
        <v>116.0616967964235</v>
      </c>
      <c r="M35">
        <f t="shared" si="12"/>
        <v>-3.951696796423505</v>
      </c>
      <c r="N35">
        <f t="shared" si="13"/>
        <v>15.615907570863792</v>
      </c>
    </row>
    <row r="36" spans="1:14" x14ac:dyDescent="0.45">
      <c r="A36" s="23">
        <v>42376</v>
      </c>
      <c r="B36">
        <v>117.01</v>
      </c>
      <c r="C36">
        <v>114.81</v>
      </c>
      <c r="G36">
        <f t="shared" si="6"/>
        <v>53.772529671358207</v>
      </c>
      <c r="H36">
        <f t="shared" si="7"/>
        <v>53.667714504115835</v>
      </c>
      <c r="I36">
        <f t="shared" si="8"/>
        <v>51.352170617527079</v>
      </c>
      <c r="J36">
        <f t="shared" si="9"/>
        <v>53.076120002662179</v>
      </c>
      <c r="K36">
        <f t="shared" si="10"/>
        <v>50.396817852399948</v>
      </c>
      <c r="L36">
        <f t="shared" si="11"/>
        <v>117.0117834290522</v>
      </c>
      <c r="M36">
        <f t="shared" si="12"/>
        <v>-0.95178342905219893</v>
      </c>
      <c r="N36">
        <f t="shared" si="13"/>
        <v>0.90589169581836215</v>
      </c>
    </row>
    <row r="37" spans="1:14" x14ac:dyDescent="0.45">
      <c r="A37" s="23">
        <v>42375</v>
      </c>
      <c r="B37">
        <v>117.56</v>
      </c>
      <c r="C37">
        <v>119.04</v>
      </c>
      <c r="G37">
        <f t="shared" si="6"/>
        <v>54.03101580465664</v>
      </c>
      <c r="H37">
        <f t="shared" si="7"/>
        <v>53.925821585245544</v>
      </c>
      <c r="I37">
        <f t="shared" si="8"/>
        <v>51.599244003455176</v>
      </c>
      <c r="J37">
        <f t="shared" si="9"/>
        <v>53.331497076198957</v>
      </c>
      <c r="K37">
        <f t="shared" si="10"/>
        <v>50.639407360166885</v>
      </c>
      <c r="L37">
        <f t="shared" si="11"/>
        <v>117.55980817466934</v>
      </c>
      <c r="M37">
        <f t="shared" si="12"/>
        <v>-0.54980817466933729</v>
      </c>
      <c r="N37">
        <f t="shared" si="13"/>
        <v>0.30228902893322851</v>
      </c>
    </row>
    <row r="38" spans="1:14" x14ac:dyDescent="0.45">
      <c r="A38" s="23">
        <v>42374</v>
      </c>
      <c r="B38">
        <v>121.25</v>
      </c>
      <c r="C38">
        <v>119.93</v>
      </c>
      <c r="G38">
        <f t="shared" si="6"/>
        <v>55.708123387762924</v>
      </c>
      <c r="H38">
        <f t="shared" si="7"/>
        <v>55.599258539375732</v>
      </c>
      <c r="I38">
        <f t="shared" si="8"/>
        <v>53.200147750706421</v>
      </c>
      <c r="J38">
        <f t="shared" si="9"/>
        <v>54.986107354795536</v>
      </c>
      <c r="K38">
        <f t="shared" si="10"/>
        <v>52.21016097299924</v>
      </c>
      <c r="L38">
        <f t="shared" si="11"/>
        <v>121.11166246132223</v>
      </c>
      <c r="M38">
        <f t="shared" si="12"/>
        <v>-3.5516624613222234</v>
      </c>
      <c r="N38">
        <f t="shared" si="13"/>
        <v>12.614306239165433</v>
      </c>
    </row>
    <row r="39" spans="1:14" x14ac:dyDescent="0.45">
      <c r="A39" s="23">
        <v>42373</v>
      </c>
      <c r="B39">
        <v>121.26</v>
      </c>
      <c r="C39">
        <v>120.8</v>
      </c>
      <c r="G39">
        <f t="shared" si="6"/>
        <v>55.712214933367143</v>
      </c>
      <c r="H39">
        <f t="shared" si="7"/>
        <v>55.603330716130884</v>
      </c>
      <c r="I39">
        <f t="shared" si="8"/>
        <v>53.204034968980551</v>
      </c>
      <c r="J39">
        <f t="shared" si="9"/>
        <v>54.990125735620147</v>
      </c>
      <c r="K39">
        <f t="shared" si="10"/>
        <v>52.213966000215521</v>
      </c>
      <c r="L39">
        <f t="shared" si="11"/>
        <v>121.12029579763922</v>
      </c>
      <c r="M39">
        <f t="shared" si="12"/>
        <v>0.12970420236078439</v>
      </c>
      <c r="N39">
        <f t="shared" si="13"/>
        <v>1.6823180110047308E-2</v>
      </c>
    </row>
    <row r="40" spans="1:14" x14ac:dyDescent="0.45">
      <c r="A40" s="23">
        <v>42369</v>
      </c>
      <c r="B40">
        <v>125.49</v>
      </c>
      <c r="C40">
        <v>124.3</v>
      </c>
      <c r="G40">
        <f t="shared" si="6"/>
        <v>57.639419315079849</v>
      </c>
      <c r="H40">
        <f t="shared" si="7"/>
        <v>57.526417320745537</v>
      </c>
      <c r="I40">
        <f t="shared" si="8"/>
        <v>55.04385062015357</v>
      </c>
      <c r="J40">
        <f t="shared" si="9"/>
        <v>56.891672230426558</v>
      </c>
      <c r="K40">
        <f t="shared" si="10"/>
        <v>54.019225045738104</v>
      </c>
      <c r="L40">
        <f t="shared" si="11"/>
        <v>125.20213593909125</v>
      </c>
      <c r="M40">
        <f t="shared" si="12"/>
        <v>-3.9421359390912443</v>
      </c>
      <c r="N40">
        <f t="shared" si="13"/>
        <v>15.540435762274805</v>
      </c>
    </row>
    <row r="41" spans="1:14" x14ac:dyDescent="0.45">
      <c r="A41" s="23">
        <v>42368</v>
      </c>
      <c r="B41">
        <v>127.68</v>
      </c>
      <c r="C41">
        <v>126.27</v>
      </c>
      <c r="G41">
        <f t="shared" si="6"/>
        <v>58.64506142414141</v>
      </c>
      <c r="H41">
        <f t="shared" si="7"/>
        <v>58.530081295329438</v>
      </c>
      <c r="I41">
        <f t="shared" si="8"/>
        <v>56.004196065773151</v>
      </c>
      <c r="J41">
        <f t="shared" si="9"/>
        <v>57.884256684636632</v>
      </c>
      <c r="K41">
        <f t="shared" si="10"/>
        <v>54.961688951925687</v>
      </c>
      <c r="L41">
        <f t="shared" si="11"/>
        <v>127.3326397271474</v>
      </c>
      <c r="M41">
        <f t="shared" si="12"/>
        <v>-1.8426397271474002</v>
      </c>
      <c r="N41">
        <f t="shared" si="13"/>
        <v>3.3953211640618455</v>
      </c>
    </row>
    <row r="42" spans="1:14" x14ac:dyDescent="0.45">
      <c r="A42" s="23">
        <v>42367</v>
      </c>
      <c r="B42">
        <v>126.43</v>
      </c>
      <c r="C42">
        <v>127.7</v>
      </c>
      <c r="G42">
        <f t="shared" si="6"/>
        <v>58.068363459298347</v>
      </c>
      <c r="H42">
        <f t="shared" si="7"/>
        <v>57.954460527924276</v>
      </c>
      <c r="I42">
        <f t="shared" si="8"/>
        <v>55.453371889331336</v>
      </c>
      <c r="J42">
        <f t="shared" si="9"/>
        <v>57.314934058249577</v>
      </c>
      <c r="K42">
        <f t="shared" si="10"/>
        <v>54.421067782678108</v>
      </c>
      <c r="L42">
        <f t="shared" si="11"/>
        <v>126.11069254882224</v>
      </c>
      <c r="M42">
        <f t="shared" si="12"/>
        <v>1.5693074511777638</v>
      </c>
      <c r="N42">
        <f t="shared" si="13"/>
        <v>2.4627258763220494</v>
      </c>
    </row>
    <row r="43" spans="1:14" x14ac:dyDescent="0.45">
      <c r="A43" s="23">
        <v>42366</v>
      </c>
      <c r="B43">
        <v>126.3</v>
      </c>
      <c r="C43">
        <v>126.1</v>
      </c>
      <c r="G43">
        <f t="shared" si="6"/>
        <v>58.008153644266834</v>
      </c>
      <c r="H43">
        <f t="shared" si="7"/>
        <v>57.894357207175261</v>
      </c>
      <c r="I43">
        <f t="shared" si="8"/>
        <v>55.395853019957919</v>
      </c>
      <c r="J43">
        <f t="shared" si="9"/>
        <v>57.255485393889565</v>
      </c>
      <c r="K43">
        <f t="shared" si="10"/>
        <v>54.364609853829393</v>
      </c>
      <c r="L43">
        <f t="shared" si="11"/>
        <v>125.98309869330822</v>
      </c>
      <c r="M43">
        <f t="shared" si="12"/>
        <v>0.44690130669178529</v>
      </c>
      <c r="N43">
        <f t="shared" si="13"/>
        <v>0.19972077792282514</v>
      </c>
    </row>
    <row r="44" spans="1:14" x14ac:dyDescent="0.45">
      <c r="A44" s="23">
        <v>42362</v>
      </c>
      <c r="B44">
        <v>126.17</v>
      </c>
      <c r="C44">
        <v>126.47</v>
      </c>
      <c r="G44">
        <f t="shared" si="6"/>
        <v>57.958222708136994</v>
      </c>
      <c r="H44">
        <f t="shared" si="7"/>
        <v>57.844734397790631</v>
      </c>
      <c r="I44">
        <f t="shared" si="8"/>
        <v>55.348545210585925</v>
      </c>
      <c r="J44">
        <f t="shared" si="9"/>
        <v>57.206609265863953</v>
      </c>
      <c r="K44">
        <f t="shared" si="10"/>
        <v>54.318375265022439</v>
      </c>
      <c r="L44">
        <f t="shared" si="11"/>
        <v>125.87798500970267</v>
      </c>
      <c r="M44">
        <f t="shared" si="12"/>
        <v>0.42201499029732759</v>
      </c>
      <c r="N44">
        <f t="shared" si="13"/>
        <v>0.1780966520356535</v>
      </c>
    </row>
    <row r="45" spans="1:14" x14ac:dyDescent="0.45">
      <c r="A45" s="23">
        <v>42361</v>
      </c>
      <c r="B45">
        <v>128.30000000000001</v>
      </c>
      <c r="C45">
        <v>126.28</v>
      </c>
      <c r="G45">
        <f t="shared" si="6"/>
        <v>58.938097836665072</v>
      </c>
      <c r="H45">
        <f t="shared" si="7"/>
        <v>58.82272168265014</v>
      </c>
      <c r="I45">
        <f t="shared" si="8"/>
        <v>56.284354560641816</v>
      </c>
      <c r="J45">
        <f t="shared" si="9"/>
        <v>58.17383569094418</v>
      </c>
      <c r="K45">
        <f t="shared" si="10"/>
        <v>55.23679499301835</v>
      </c>
      <c r="L45">
        <f t="shared" si="11"/>
        <v>127.95402428716108</v>
      </c>
      <c r="M45">
        <f t="shared" si="12"/>
        <v>-1.7840242871610741</v>
      </c>
      <c r="N45">
        <f t="shared" si="13"/>
        <v>3.1827426571805786</v>
      </c>
    </row>
    <row r="46" spans="1:14" x14ac:dyDescent="0.45">
      <c r="A46" s="23">
        <v>42360</v>
      </c>
      <c r="B46">
        <v>126.33</v>
      </c>
      <c r="C46">
        <v>127.52</v>
      </c>
      <c r="G46">
        <f t="shared" si="6"/>
        <v>58.039947406519907</v>
      </c>
      <c r="H46">
        <f t="shared" si="7"/>
        <v>57.926478169431988</v>
      </c>
      <c r="I46">
        <f t="shared" si="8"/>
        <v>55.426908709905163</v>
      </c>
      <c r="J46">
        <f t="shared" si="9"/>
        <v>57.287617902232661</v>
      </c>
      <c r="K46">
        <f t="shared" si="10"/>
        <v>54.39544202187232</v>
      </c>
      <c r="L46">
        <f t="shared" si="11"/>
        <v>126.05169187685077</v>
      </c>
      <c r="M46">
        <f t="shared" si="12"/>
        <v>2.2483081231492434</v>
      </c>
      <c r="N46">
        <f t="shared" si="13"/>
        <v>5.0548894166188738</v>
      </c>
    </row>
    <row r="47" spans="1:14" x14ac:dyDescent="0.45">
      <c r="A47" s="23">
        <v>42359</v>
      </c>
      <c r="B47">
        <v>126.06</v>
      </c>
      <c r="C47">
        <v>125.58</v>
      </c>
      <c r="G47">
        <f t="shared" si="6"/>
        <v>57.897743665774556</v>
      </c>
      <c r="H47">
        <f t="shared" si="7"/>
        <v>57.784162178567357</v>
      </c>
      <c r="I47">
        <f t="shared" si="8"/>
        <v>55.290411673572052</v>
      </c>
      <c r="J47">
        <f t="shared" si="9"/>
        <v>57.146501678865398</v>
      </c>
      <c r="K47">
        <f t="shared" si="10"/>
        <v>54.261127648433153</v>
      </c>
      <c r="L47">
        <f t="shared" si="11"/>
        <v>125.74917977896391</v>
      </c>
      <c r="M47">
        <f t="shared" si="12"/>
        <v>0.58082022103609177</v>
      </c>
      <c r="N47">
        <f t="shared" si="13"/>
        <v>0.33735212916441448</v>
      </c>
    </row>
    <row r="48" spans="1:14" x14ac:dyDescent="0.45">
      <c r="A48" s="23">
        <v>42356</v>
      </c>
      <c r="B48">
        <v>128.66</v>
      </c>
      <c r="C48">
        <v>125.36</v>
      </c>
      <c r="G48">
        <f t="shared" si="6"/>
        <v>59.074398301333758</v>
      </c>
      <c r="H48">
        <f t="shared" si="7"/>
        <v>58.958128757288627</v>
      </c>
      <c r="I48">
        <f t="shared" si="8"/>
        <v>56.413401721713655</v>
      </c>
      <c r="J48">
        <f t="shared" si="9"/>
        <v>58.307158424301889</v>
      </c>
      <c r="K48">
        <f t="shared" si="10"/>
        <v>55.362867969052431</v>
      </c>
      <c r="L48">
        <f t="shared" si="11"/>
        <v>128.24079759544608</v>
      </c>
      <c r="M48">
        <f t="shared" si="12"/>
        <v>-2.1807975954460801</v>
      </c>
      <c r="N48">
        <f t="shared" si="13"/>
        <v>4.7558781523034046</v>
      </c>
    </row>
    <row r="49" spans="1:14" x14ac:dyDescent="0.45">
      <c r="A49" s="23">
        <v>42355</v>
      </c>
      <c r="B49">
        <v>131.22999999999999</v>
      </c>
      <c r="C49">
        <v>128.66999999999999</v>
      </c>
      <c r="G49">
        <f t="shared" si="6"/>
        <v>60.245833837166124</v>
      </c>
      <c r="H49">
        <f t="shared" si="7"/>
        <v>60.127071918271639</v>
      </c>
      <c r="I49">
        <f t="shared" si="8"/>
        <v>57.531737835073912</v>
      </c>
      <c r="J49">
        <f t="shared" si="9"/>
        <v>59.463018707584681</v>
      </c>
      <c r="K49">
        <f t="shared" si="10"/>
        <v>56.460209448997666</v>
      </c>
      <c r="L49">
        <f t="shared" si="11"/>
        <v>130.72194534211906</v>
      </c>
      <c r="M49">
        <f t="shared" si="12"/>
        <v>-2.0619453421190599</v>
      </c>
      <c r="N49">
        <f t="shared" si="13"/>
        <v>4.2516185938864872</v>
      </c>
    </row>
    <row r="50" spans="1:14" x14ac:dyDescent="0.45">
      <c r="A50" s="23">
        <v>42354</v>
      </c>
      <c r="B50">
        <v>131.12</v>
      </c>
      <c r="C50">
        <v>131.16</v>
      </c>
      <c r="G50">
        <f t="shared" si="6"/>
        <v>60.200182167156619</v>
      </c>
      <c r="H50">
        <f t="shared" si="7"/>
        <v>60.081614612132697</v>
      </c>
      <c r="I50">
        <f t="shared" si="8"/>
        <v>57.488328769480454</v>
      </c>
      <c r="J50">
        <f t="shared" si="9"/>
        <v>59.418161611981851</v>
      </c>
      <c r="K50">
        <f t="shared" si="10"/>
        <v>56.417704385727617</v>
      </c>
      <c r="L50">
        <f t="shared" si="11"/>
        <v>130.62556213812425</v>
      </c>
      <c r="M50">
        <f t="shared" si="12"/>
        <v>0.60443786187573778</v>
      </c>
      <c r="N50">
        <f t="shared" si="13"/>
        <v>0.36534512886891346</v>
      </c>
    </row>
    <row r="51" spans="1:14" x14ac:dyDescent="0.45">
      <c r="A51" s="23">
        <v>42353</v>
      </c>
      <c r="B51">
        <v>125.77</v>
      </c>
      <c r="C51">
        <v>130.24</v>
      </c>
      <c r="G51">
        <f t="shared" si="6"/>
        <v>57.762936319264057</v>
      </c>
      <c r="H51">
        <f t="shared" si="7"/>
        <v>57.649581901118985</v>
      </c>
      <c r="I51">
        <f t="shared" si="8"/>
        <v>55.16160920305898</v>
      </c>
      <c r="J51">
        <f t="shared" si="9"/>
        <v>57.013373400544182</v>
      </c>
      <c r="K51">
        <f t="shared" si="10"/>
        <v>54.134691393376954</v>
      </c>
      <c r="L51">
        <f t="shared" si="11"/>
        <v>125.46346530390571</v>
      </c>
      <c r="M51">
        <f t="shared" si="12"/>
        <v>5.6565346960942975</v>
      </c>
      <c r="N51">
        <f t="shared" si="13"/>
        <v>31.996384768118606</v>
      </c>
    </row>
    <row r="52" spans="1:14" x14ac:dyDescent="0.45">
      <c r="A52" s="23">
        <v>42352</v>
      </c>
      <c r="B52">
        <v>123.48</v>
      </c>
      <c r="C52">
        <v>124.3</v>
      </c>
      <c r="G52">
        <f t="shared" si="6"/>
        <v>56.71537593670655</v>
      </c>
      <c r="H52">
        <f t="shared" si="7"/>
        <v>56.604168219226011</v>
      </c>
      <c r="I52">
        <f t="shared" si="8"/>
        <v>54.161387036686378</v>
      </c>
      <c r="J52">
        <f t="shared" si="9"/>
        <v>55.979582259467463</v>
      </c>
      <c r="K52">
        <f t="shared" si="10"/>
        <v>53.153172083634367</v>
      </c>
      <c r="L52">
        <f t="shared" si="11"/>
        <v>123.24442955612457</v>
      </c>
      <c r="M52">
        <f t="shared" si="12"/>
        <v>2.5255704438754236</v>
      </c>
      <c r="N52">
        <f t="shared" si="13"/>
        <v>6.3785060669771045</v>
      </c>
    </row>
    <row r="53" spans="1:14" x14ac:dyDescent="0.45">
      <c r="A53" s="23">
        <v>42349</v>
      </c>
      <c r="B53">
        <v>123.55</v>
      </c>
      <c r="C53">
        <v>123.21</v>
      </c>
      <c r="G53">
        <f t="shared" si="6"/>
        <v>56.755943120654692</v>
      </c>
      <c r="H53">
        <f t="shared" si="7"/>
        <v>56.644836296220895</v>
      </c>
      <c r="I53">
        <f t="shared" si="8"/>
        <v>54.200449102666774</v>
      </c>
      <c r="J53">
        <f t="shared" si="9"/>
        <v>56.019974087470466</v>
      </c>
      <c r="K53">
        <f t="shared" si="10"/>
        <v>53.191672780362339</v>
      </c>
      <c r="L53">
        <f t="shared" si="11"/>
        <v>123.33094870462358</v>
      </c>
      <c r="M53">
        <f t="shared" si="12"/>
        <v>0.14905129537642381</v>
      </c>
      <c r="N53">
        <f t="shared" si="13"/>
        <v>2.2216288653389937E-2</v>
      </c>
    </row>
    <row r="54" spans="1:14" x14ac:dyDescent="0.45">
      <c r="A54" s="23">
        <v>42348</v>
      </c>
      <c r="B54">
        <v>124.8</v>
      </c>
      <c r="C54">
        <v>125.61</v>
      </c>
      <c r="G54">
        <f t="shared" si="6"/>
        <v>57.314017332783948</v>
      </c>
      <c r="H54">
        <f t="shared" si="7"/>
        <v>57.201471383360804</v>
      </c>
      <c r="I54">
        <f t="shared" si="8"/>
        <v>54.732777603451154</v>
      </c>
      <c r="J54">
        <f t="shared" si="9"/>
        <v>56.570137607621739</v>
      </c>
      <c r="K54">
        <f t="shared" si="10"/>
        <v>53.713775647282681</v>
      </c>
      <c r="L54">
        <f t="shared" si="11"/>
        <v>124.51216954534469</v>
      </c>
      <c r="M54">
        <f t="shared" si="12"/>
        <v>-0.96216954534469323</v>
      </c>
      <c r="N54">
        <f t="shared" si="13"/>
        <v>0.92577023398881364</v>
      </c>
    </row>
    <row r="55" spans="1:14" x14ac:dyDescent="0.45">
      <c r="A55" s="23">
        <v>42347</v>
      </c>
      <c r="B55">
        <v>125.03</v>
      </c>
      <c r="C55">
        <v>125.02</v>
      </c>
      <c r="G55">
        <f t="shared" si="6"/>
        <v>57.419834356945096</v>
      </c>
      <c r="H55">
        <f t="shared" si="7"/>
        <v>57.307083165822753</v>
      </c>
      <c r="I55">
        <f t="shared" si="8"/>
        <v>54.833833898837462</v>
      </c>
      <c r="J55">
        <f t="shared" si="9"/>
        <v>56.674589995185407</v>
      </c>
      <c r="K55">
        <f t="shared" si="10"/>
        <v>53.812954374290477</v>
      </c>
      <c r="L55">
        <f t="shared" si="11"/>
        <v>124.73636005883385</v>
      </c>
      <c r="M55">
        <f t="shared" si="12"/>
        <v>6.3639941166144354E-2</v>
      </c>
      <c r="N55">
        <f t="shared" si="13"/>
        <v>4.0500421116303146E-3</v>
      </c>
    </row>
    <row r="56" spans="1:14" x14ac:dyDescent="0.45">
      <c r="A56" s="23">
        <v>42346</v>
      </c>
      <c r="B56">
        <v>123.92</v>
      </c>
      <c r="C56">
        <v>125.63</v>
      </c>
      <c r="G56">
        <f t="shared" si="6"/>
        <v>56.919758081456131</v>
      </c>
      <c r="H56">
        <f t="shared" si="7"/>
        <v>56.808197849674819</v>
      </c>
      <c r="I56">
        <f t="shared" si="8"/>
        <v>54.356651710703517</v>
      </c>
      <c r="J56">
        <f t="shared" si="9"/>
        <v>56.181407388407415</v>
      </c>
      <c r="K56">
        <f t="shared" si="10"/>
        <v>53.344847008433533</v>
      </c>
      <c r="L56">
        <f t="shared" si="11"/>
        <v>123.67758177345391</v>
      </c>
      <c r="M56">
        <f t="shared" si="12"/>
        <v>1.3524182265460922</v>
      </c>
      <c r="N56">
        <f t="shared" si="13"/>
        <v>1.8290350594940772</v>
      </c>
    </row>
    <row r="57" spans="1:14" x14ac:dyDescent="0.45">
      <c r="A57" s="23">
        <v>42345</v>
      </c>
      <c r="B57">
        <v>126.34</v>
      </c>
      <c r="C57">
        <v>125.04</v>
      </c>
      <c r="G57">
        <f t="shared" si="6"/>
        <v>58.019326664869254</v>
      </c>
      <c r="H57">
        <f t="shared" si="7"/>
        <v>57.905352900137011</v>
      </c>
      <c r="I57">
        <f t="shared" si="8"/>
        <v>55.406246081381497</v>
      </c>
      <c r="J57">
        <f t="shared" si="9"/>
        <v>57.266211415172464</v>
      </c>
      <c r="K57">
        <f t="shared" si="10"/>
        <v>54.374667722980043</v>
      </c>
      <c r="L57">
        <f t="shared" si="11"/>
        <v>126.0062752246855</v>
      </c>
      <c r="M57">
        <f t="shared" si="12"/>
        <v>-2.0862752246854939</v>
      </c>
      <c r="N57">
        <f t="shared" si="13"/>
        <v>4.3525443131365078</v>
      </c>
    </row>
    <row r="58" spans="1:14" x14ac:dyDescent="0.45">
      <c r="A58" s="23">
        <v>42342</v>
      </c>
      <c r="B58">
        <v>123.11</v>
      </c>
      <c r="C58">
        <v>125.92</v>
      </c>
      <c r="G58">
        <f t="shared" si="6"/>
        <v>56.545221737000603</v>
      </c>
      <c r="H58">
        <f t="shared" si="7"/>
        <v>56.434342887312859</v>
      </c>
      <c r="I58">
        <f t="shared" si="8"/>
        <v>53.998886728058537</v>
      </c>
      <c r="J58">
        <f t="shared" si="9"/>
        <v>55.811627000729203</v>
      </c>
      <c r="K58">
        <f t="shared" si="10"/>
        <v>52.993692602403378</v>
      </c>
      <c r="L58">
        <f t="shared" si="11"/>
        <v>122.88393137785584</v>
      </c>
      <c r="M58">
        <f t="shared" si="12"/>
        <v>3.4560686221441586</v>
      </c>
      <c r="N58">
        <f t="shared" si="13"/>
        <v>11.944410320969423</v>
      </c>
    </row>
    <row r="59" spans="1:14" x14ac:dyDescent="0.45">
      <c r="A59" s="23">
        <v>42341</v>
      </c>
      <c r="B59">
        <v>123.39</v>
      </c>
      <c r="C59">
        <v>122.27</v>
      </c>
      <c r="G59">
        <f t="shared" si="6"/>
        <v>56.674970535362135</v>
      </c>
      <c r="H59">
        <f t="shared" si="7"/>
        <v>56.563861447719482</v>
      </c>
      <c r="I59">
        <f t="shared" si="8"/>
        <v>54.122835899415641</v>
      </c>
      <c r="J59">
        <f t="shared" si="9"/>
        <v>55.939739692978854</v>
      </c>
      <c r="K59">
        <f t="shared" si="10"/>
        <v>53.115356989993764</v>
      </c>
      <c r="L59">
        <f t="shared" si="11"/>
        <v>123.1588904868119</v>
      </c>
      <c r="M59">
        <f t="shared" si="12"/>
        <v>-4.8890486811899336E-2</v>
      </c>
      <c r="N59">
        <f t="shared" si="13"/>
        <v>2.390279700704503E-3</v>
      </c>
    </row>
    <row r="60" spans="1:14" x14ac:dyDescent="0.45">
      <c r="A60" s="23">
        <v>42340</v>
      </c>
      <c r="B60">
        <v>125</v>
      </c>
      <c r="C60">
        <v>123.11</v>
      </c>
      <c r="G60">
        <f t="shared" si="6"/>
        <v>57.400539997955718</v>
      </c>
      <c r="H60">
        <f t="shared" si="7"/>
        <v>57.287708496271797</v>
      </c>
      <c r="I60">
        <f t="shared" si="8"/>
        <v>54.815197740705045</v>
      </c>
      <c r="J60">
        <f t="shared" si="9"/>
        <v>56.655314933300076</v>
      </c>
      <c r="K60">
        <f t="shared" si="10"/>
        <v>53.794556482488559</v>
      </c>
      <c r="L60">
        <f t="shared" si="11"/>
        <v>124.69510668065114</v>
      </c>
      <c r="M60">
        <f t="shared" si="12"/>
        <v>-1.3051066806511358</v>
      </c>
      <c r="N60">
        <f t="shared" si="13"/>
        <v>1.7033034478802258</v>
      </c>
    </row>
    <row r="61" spans="1:14" x14ac:dyDescent="0.45">
      <c r="A61" s="23">
        <v>42339</v>
      </c>
      <c r="B61">
        <v>124.09</v>
      </c>
      <c r="C61">
        <v>125.04</v>
      </c>
      <c r="G61">
        <f t="shared" si="6"/>
        <v>56.989171097091486</v>
      </c>
      <c r="H61">
        <f t="shared" si="7"/>
        <v>56.877287563519445</v>
      </c>
      <c r="I61">
        <f t="shared" si="8"/>
        <v>54.422605534144431</v>
      </c>
      <c r="J61">
        <f t="shared" si="9"/>
        <v>56.249558724943448</v>
      </c>
      <c r="K61">
        <f t="shared" si="10"/>
        <v>53.409402438886282</v>
      </c>
      <c r="L61">
        <f t="shared" si="11"/>
        <v>123.824043910635</v>
      </c>
      <c r="M61">
        <f t="shared" si="12"/>
        <v>1.1759560893650018</v>
      </c>
      <c r="N61">
        <f t="shared" si="13"/>
        <v>1.3828727241146281</v>
      </c>
    </row>
    <row r="62" spans="1:14" x14ac:dyDescent="0.45">
      <c r="A62" s="23">
        <v>42338</v>
      </c>
      <c r="B62">
        <v>123.49</v>
      </c>
      <c r="C62">
        <v>123.11</v>
      </c>
      <c r="G62">
        <f t="shared" si="6"/>
        <v>56.729567286667098</v>
      </c>
      <c r="H62">
        <f t="shared" si="7"/>
        <v>56.618537116901429</v>
      </c>
      <c r="I62">
        <f t="shared" si="8"/>
        <v>54.175305581737383</v>
      </c>
      <c r="J62">
        <f t="shared" si="9"/>
        <v>55.99398855272154</v>
      </c>
      <c r="K62">
        <f t="shared" si="10"/>
        <v>53.167020637196217</v>
      </c>
      <c r="L62">
        <f t="shared" si="11"/>
        <v>123.27514919901742</v>
      </c>
      <c r="M62">
        <f t="shared" si="12"/>
        <v>0.81485080098258322</v>
      </c>
      <c r="N62">
        <f t="shared" si="13"/>
        <v>0.66398182786195747</v>
      </c>
    </row>
    <row r="63" spans="1:14" x14ac:dyDescent="0.45">
      <c r="A63" s="23">
        <v>42335</v>
      </c>
      <c r="B63">
        <v>124.09</v>
      </c>
      <c r="C63">
        <v>123.63</v>
      </c>
      <c r="G63">
        <f t="shared" si="6"/>
        <v>57.009943744349201</v>
      </c>
      <c r="H63">
        <f t="shared" si="7"/>
        <v>56.898468294486165</v>
      </c>
      <c r="I63">
        <f t="shared" si="8"/>
        <v>54.443242048790168</v>
      </c>
      <c r="J63">
        <f t="shared" si="9"/>
        <v>56.270927463388254</v>
      </c>
      <c r="K63">
        <f t="shared" si="10"/>
        <v>53.430063703394133</v>
      </c>
      <c r="L63">
        <f t="shared" si="11"/>
        <v>123.86947641002156</v>
      </c>
      <c r="M63">
        <f t="shared" si="12"/>
        <v>-0.37947641002156729</v>
      </c>
      <c r="N63">
        <f t="shared" si="13"/>
        <v>0.14400234576285664</v>
      </c>
    </row>
    <row r="64" spans="1:14" x14ac:dyDescent="0.45">
      <c r="A64" s="23">
        <v>42333</v>
      </c>
      <c r="B64">
        <v>121.82</v>
      </c>
      <c r="C64">
        <v>123.62</v>
      </c>
      <c r="G64">
        <f t="shared" si="6"/>
        <v>55.966340293730433</v>
      </c>
      <c r="H64">
        <f t="shared" si="7"/>
        <v>55.856892092834585</v>
      </c>
      <c r="I64">
        <f t="shared" si="8"/>
        <v>53.446599388663223</v>
      </c>
      <c r="J64">
        <f t="shared" si="9"/>
        <v>55.240824875426618</v>
      </c>
      <c r="K64">
        <f t="shared" si="10"/>
        <v>52.451954226220145</v>
      </c>
      <c r="L64">
        <f t="shared" si="11"/>
        <v>121.65846773097191</v>
      </c>
      <c r="M64">
        <f t="shared" si="12"/>
        <v>2.4315322690280965</v>
      </c>
      <c r="N64">
        <f t="shared" si="13"/>
        <v>5.9123491753249233</v>
      </c>
    </row>
    <row r="65" spans="1:14" x14ac:dyDescent="0.45">
      <c r="A65" s="23">
        <v>42332</v>
      </c>
      <c r="B65">
        <v>122.75</v>
      </c>
      <c r="C65">
        <v>121.27</v>
      </c>
      <c r="G65">
        <f t="shared" si="6"/>
        <v>56.373177993085015</v>
      </c>
      <c r="H65">
        <f t="shared" si="7"/>
        <v>56.262493583593653</v>
      </c>
      <c r="I65">
        <f t="shared" si="8"/>
        <v>53.834335478523016</v>
      </c>
      <c r="J65">
        <f t="shared" si="9"/>
        <v>55.641537693786567</v>
      </c>
      <c r="K65">
        <f t="shared" si="10"/>
        <v>52.832072592144705</v>
      </c>
      <c r="L65">
        <f t="shared" si="11"/>
        <v>122.51898936429033</v>
      </c>
      <c r="M65">
        <f t="shared" si="12"/>
        <v>-0.69898936429034109</v>
      </c>
      <c r="N65">
        <f t="shared" si="13"/>
        <v>0.48858613139101514</v>
      </c>
    </row>
    <row r="66" spans="1:14" x14ac:dyDescent="0.45">
      <c r="A66" s="23">
        <v>42331</v>
      </c>
      <c r="B66">
        <v>126.61</v>
      </c>
      <c r="C66">
        <v>124.92</v>
      </c>
      <c r="G66">
        <f t="shared" ref="G66:K66" si="14">SUMPRODUCT($B66:$B70,P$2:P$6)</f>
        <v>58.140542868902507</v>
      </c>
      <c r="H66">
        <f t="shared" si="14"/>
        <v>58.026269489913233</v>
      </c>
      <c r="I66">
        <f t="shared" si="14"/>
        <v>55.521893796219125</v>
      </c>
      <c r="J66">
        <f t="shared" si="14"/>
        <v>57.385739296884196</v>
      </c>
      <c r="K66">
        <f t="shared" si="14"/>
        <v>54.488107720119984</v>
      </c>
      <c r="L66">
        <f t="shared" ref="L66:L129" si="15">(G66+$P$7)*$U$2+(H66+$Q$7)*$U$3+(I66+$R$7)*$U$4+(J66+$S$7)*$U$5+(K66+$T$7)*$U$6+$U$7</f>
        <v>126.26288621970946</v>
      </c>
      <c r="M66">
        <f t="shared" si="12"/>
        <v>-3.5128862197094577</v>
      </c>
      <c r="N66">
        <f t="shared" si="13"/>
        <v>12.340369592624604</v>
      </c>
    </row>
    <row r="67" spans="1:14" x14ac:dyDescent="0.45">
      <c r="A67" s="23">
        <v>42328</v>
      </c>
      <c r="B67">
        <v>128.55000000000001</v>
      </c>
      <c r="C67">
        <v>126.25</v>
      </c>
      <c r="G67">
        <f t="shared" ref="G67:K67" si="16">SUMPRODUCT($B67:$B71,P$2:P$6)</f>
        <v>59.02118968551153</v>
      </c>
      <c r="H67">
        <f t="shared" si="16"/>
        <v>58.90496581675999</v>
      </c>
      <c r="I67">
        <f t="shared" si="16"/>
        <v>56.362484881806239</v>
      </c>
      <c r="J67">
        <f t="shared" si="16"/>
        <v>58.254524469766487</v>
      </c>
      <c r="K67">
        <f t="shared" si="16"/>
        <v>55.312846153213286</v>
      </c>
      <c r="L67">
        <f t="shared" si="15"/>
        <v>128.12788461799389</v>
      </c>
      <c r="M67">
        <f t="shared" ref="M67:M130" si="17">B66-L67</f>
        <v>-1.5178846179938859</v>
      </c>
      <c r="N67">
        <f t="shared" ref="N67:N130" si="18">M67^2</f>
        <v>2.3039737135424447</v>
      </c>
    </row>
    <row r="68" spans="1:14" x14ac:dyDescent="0.45">
      <c r="A68" s="23">
        <v>42327</v>
      </c>
      <c r="B68">
        <v>126</v>
      </c>
      <c r="C68">
        <v>128.09</v>
      </c>
      <c r="G68">
        <f t="shared" ref="G68:K68" si="19">SUMPRODUCT($B68:$B72,P$2:P$6)</f>
        <v>57.877492181237081</v>
      </c>
      <c r="H68">
        <f t="shared" si="19"/>
        <v>57.764103767992083</v>
      </c>
      <c r="I68">
        <f t="shared" si="19"/>
        <v>55.271346408999769</v>
      </c>
      <c r="J68">
        <f t="shared" si="19"/>
        <v>57.12681470191707</v>
      </c>
      <c r="K68">
        <f t="shared" si="19"/>
        <v>54.242561490650374</v>
      </c>
      <c r="L68">
        <f t="shared" si="15"/>
        <v>125.70676776645989</v>
      </c>
      <c r="M68">
        <f t="shared" si="17"/>
        <v>2.843232233540121</v>
      </c>
      <c r="N68">
        <f t="shared" si="18"/>
        <v>8.0839695338415449</v>
      </c>
    </row>
    <row r="69" spans="1:14" x14ac:dyDescent="0.45">
      <c r="A69" s="23">
        <v>42326</v>
      </c>
      <c r="B69">
        <v>121.26</v>
      </c>
      <c r="C69">
        <v>125.3</v>
      </c>
      <c r="G69">
        <f t="shared" ref="G69:K69" si="20">SUMPRODUCT($B69:$B73,P$2:P$6)</f>
        <v>55.719843508997997</v>
      </c>
      <c r="H69">
        <f t="shared" si="20"/>
        <v>55.611108961353921</v>
      </c>
      <c r="I69">
        <f t="shared" si="20"/>
        <v>53.211613251865153</v>
      </c>
      <c r="J69">
        <f t="shared" si="20"/>
        <v>54.997971486266366</v>
      </c>
      <c r="K69">
        <f t="shared" si="20"/>
        <v>52.221553393975448</v>
      </c>
      <c r="L69">
        <f t="shared" si="15"/>
        <v>121.13697939323936</v>
      </c>
      <c r="M69">
        <f t="shared" si="17"/>
        <v>4.8630206067606423</v>
      </c>
      <c r="N69">
        <f t="shared" si="18"/>
        <v>23.648969421778645</v>
      </c>
    </row>
    <row r="70" spans="1:14" x14ac:dyDescent="0.45">
      <c r="A70" s="23">
        <v>42325</v>
      </c>
      <c r="B70">
        <v>123.58</v>
      </c>
      <c r="C70">
        <v>120.89</v>
      </c>
      <c r="G70">
        <f t="shared" ref="G70:K70" si="21">SUMPRODUCT($B70:$B74,P$2:P$6)</f>
        <v>56.781863237821106</v>
      </c>
      <c r="H70">
        <f t="shared" si="21"/>
        <v>56.670968653892537</v>
      </c>
      <c r="I70">
        <f t="shared" si="21"/>
        <v>54.2256702974028</v>
      </c>
      <c r="J70">
        <f t="shared" si="21"/>
        <v>56.046065152988419</v>
      </c>
      <c r="K70">
        <f t="shared" si="21"/>
        <v>53.216663407291037</v>
      </c>
      <c r="L70">
        <f t="shared" si="15"/>
        <v>123.3866965162386</v>
      </c>
      <c r="M70">
        <f t="shared" si="17"/>
        <v>-2.1266965162385958</v>
      </c>
      <c r="N70">
        <f t="shared" si="18"/>
        <v>4.5228380721813801</v>
      </c>
    </row>
    <row r="71" spans="1:14" x14ac:dyDescent="0.45">
      <c r="A71" s="23">
        <v>42324</v>
      </c>
      <c r="B71">
        <v>122.62</v>
      </c>
      <c r="C71">
        <v>122.53</v>
      </c>
      <c r="G71">
        <f t="shared" ref="G71:K71" si="22">SUMPRODUCT($B71:$B75,P$2:P$6)</f>
        <v>56.344091334031013</v>
      </c>
      <c r="H71">
        <f t="shared" si="22"/>
        <v>56.234124196206899</v>
      </c>
      <c r="I71">
        <f t="shared" si="22"/>
        <v>53.807734815029534</v>
      </c>
      <c r="J71">
        <f t="shared" si="22"/>
        <v>55.614105202441117</v>
      </c>
      <c r="K71">
        <f t="shared" si="22"/>
        <v>52.806570022802063</v>
      </c>
      <c r="L71">
        <f t="shared" si="15"/>
        <v>122.45946479610745</v>
      </c>
      <c r="M71">
        <f t="shared" si="17"/>
        <v>1.120535203892544</v>
      </c>
      <c r="N71">
        <f t="shared" si="18"/>
        <v>1.2555991431625051</v>
      </c>
    </row>
    <row r="72" spans="1:14" x14ac:dyDescent="0.45">
      <c r="A72" s="23">
        <v>42321</v>
      </c>
      <c r="B72">
        <v>127.75</v>
      </c>
      <c r="C72">
        <v>125.2</v>
      </c>
      <c r="G72">
        <f t="shared" ref="G72:K72" si="23">SUMPRODUCT($B72:$B76,P$2:P$6)</f>
        <v>58.68935335863231</v>
      </c>
      <c r="H72">
        <f t="shared" si="23"/>
        <v>58.574548972232719</v>
      </c>
      <c r="I72">
        <f t="shared" si="23"/>
        <v>56.046961035338313</v>
      </c>
      <c r="J72">
        <f t="shared" si="23"/>
        <v>57.928481466089558</v>
      </c>
      <c r="K72">
        <f t="shared" si="23"/>
        <v>55.003896804252335</v>
      </c>
      <c r="L72">
        <f t="shared" si="15"/>
        <v>127.42730880735435</v>
      </c>
      <c r="M72">
        <f t="shared" si="17"/>
        <v>-4.807308807354346</v>
      </c>
      <c r="N72">
        <f t="shared" si="18"/>
        <v>23.110217969266664</v>
      </c>
    </row>
    <row r="73" spans="1:14" x14ac:dyDescent="0.45">
      <c r="A73" s="23">
        <v>42320</v>
      </c>
      <c r="B73">
        <v>128.43</v>
      </c>
      <c r="C73">
        <v>127.94</v>
      </c>
      <c r="G73">
        <f t="shared" ref="G73:K73" si="24">SUMPRODUCT($B73:$B77,P$2:P$6)</f>
        <v>59.021873861861366</v>
      </c>
      <c r="H73">
        <f t="shared" si="24"/>
        <v>58.906852259799997</v>
      </c>
      <c r="I73">
        <f t="shared" si="24"/>
        <v>56.365282266973473</v>
      </c>
      <c r="J73">
        <f t="shared" si="24"/>
        <v>58.257529580988148</v>
      </c>
      <c r="K73">
        <f t="shared" si="24"/>
        <v>55.31669004985072</v>
      </c>
      <c r="L73">
        <f t="shared" si="15"/>
        <v>128.13315851132663</v>
      </c>
      <c r="M73">
        <f t="shared" si="17"/>
        <v>-0.38315851132662715</v>
      </c>
      <c r="N73">
        <f t="shared" si="18"/>
        <v>0.14681044480203706</v>
      </c>
    </row>
    <row r="74" spans="1:14" x14ac:dyDescent="0.45">
      <c r="A74" s="23">
        <v>42319</v>
      </c>
      <c r="B74">
        <v>129.76</v>
      </c>
      <c r="C74">
        <v>128.74</v>
      </c>
      <c r="G74">
        <f t="shared" ref="G74:K74" si="25">SUMPRODUCT($B74:$B78,P$2:P$6)</f>
        <v>59.631268376629052</v>
      </c>
      <c r="H74">
        <f t="shared" si="25"/>
        <v>59.515022146701192</v>
      </c>
      <c r="I74">
        <f t="shared" si="25"/>
        <v>56.947181187907098</v>
      </c>
      <c r="J74">
        <f t="shared" si="25"/>
        <v>58.858956498840428</v>
      </c>
      <c r="K74">
        <f t="shared" si="25"/>
        <v>55.887727480156357</v>
      </c>
      <c r="L74">
        <f t="shared" si="15"/>
        <v>129.4241053272693</v>
      </c>
      <c r="M74">
        <f t="shared" si="17"/>
        <v>-0.99410532726929546</v>
      </c>
      <c r="N74">
        <f t="shared" si="18"/>
        <v>0.98824540170519304</v>
      </c>
    </row>
    <row r="75" spans="1:14" x14ac:dyDescent="0.45">
      <c r="A75" s="23">
        <v>42318</v>
      </c>
      <c r="B75">
        <v>129.68</v>
      </c>
      <c r="C75">
        <v>129.01</v>
      </c>
      <c r="G75">
        <f t="shared" ref="G75:K75" si="26">SUMPRODUCT($B75:$B79,P$2:P$6)</f>
        <v>59.587719909257729</v>
      </c>
      <c r="H75">
        <f t="shared" si="26"/>
        <v>59.471413210853441</v>
      </c>
      <c r="I75">
        <f t="shared" si="26"/>
        <v>56.905333734018569</v>
      </c>
      <c r="J75">
        <f t="shared" si="26"/>
        <v>58.815691757827324</v>
      </c>
      <c r="K75">
        <f t="shared" si="26"/>
        <v>55.846524993241154</v>
      </c>
      <c r="L75">
        <f t="shared" si="15"/>
        <v>129.33138133511929</v>
      </c>
      <c r="M75">
        <f t="shared" si="17"/>
        <v>0.42861866488070177</v>
      </c>
      <c r="N75">
        <f t="shared" si="18"/>
        <v>0.18371395988411532</v>
      </c>
    </row>
    <row r="76" spans="1:14" x14ac:dyDescent="0.45">
      <c r="A76" s="23">
        <v>42317</v>
      </c>
      <c r="B76">
        <v>131.76</v>
      </c>
      <c r="C76">
        <v>129.47999999999999</v>
      </c>
      <c r="G76">
        <f t="shared" ref="G76:K76" si="27">SUMPRODUCT($B76:$B80,P$2:P$6)</f>
        <v>60.529838708686327</v>
      </c>
      <c r="H76">
        <f t="shared" si="27"/>
        <v>60.411398127630868</v>
      </c>
      <c r="I76">
        <f t="shared" si="27"/>
        <v>57.80451709533034</v>
      </c>
      <c r="J76">
        <f t="shared" si="27"/>
        <v>59.745035463251853</v>
      </c>
      <c r="K76">
        <f t="shared" si="27"/>
        <v>56.728709415241596</v>
      </c>
      <c r="L76">
        <f t="shared" si="15"/>
        <v>131.32641632784993</v>
      </c>
      <c r="M76">
        <f t="shared" si="17"/>
        <v>-1.64641632784992</v>
      </c>
      <c r="N76">
        <f t="shared" si="18"/>
        <v>2.7106867246108153</v>
      </c>
    </row>
    <row r="77" spans="1:14" x14ac:dyDescent="0.45">
      <c r="A77" s="23">
        <v>42314</v>
      </c>
      <c r="B77">
        <v>138.08000000000001</v>
      </c>
      <c r="C77">
        <v>133.32</v>
      </c>
      <c r="G77">
        <f t="shared" ref="G77:K77" si="28">SUMPRODUCT($B77:$B81,P$2:P$6)</f>
        <v>63.412780201243152</v>
      </c>
      <c r="H77">
        <f t="shared" si="28"/>
        <v>63.288255548155739</v>
      </c>
      <c r="I77">
        <f t="shared" si="28"/>
        <v>60.556867354198225</v>
      </c>
      <c r="J77">
        <f t="shared" si="28"/>
        <v>62.589742965235068</v>
      </c>
      <c r="K77">
        <f t="shared" si="28"/>
        <v>59.429433310971412</v>
      </c>
      <c r="L77">
        <f t="shared" si="15"/>
        <v>137.43276020419347</v>
      </c>
      <c r="M77">
        <f t="shared" si="17"/>
        <v>-5.6727602041934801</v>
      </c>
      <c r="N77">
        <f t="shared" si="18"/>
        <v>32.180208334281254</v>
      </c>
    </row>
    <row r="78" spans="1:14" x14ac:dyDescent="0.45">
      <c r="A78" s="23">
        <v>42313</v>
      </c>
      <c r="B78">
        <v>139</v>
      </c>
      <c r="C78">
        <v>137.31</v>
      </c>
      <c r="G78">
        <f t="shared" ref="G78:K78" si="29">SUMPRODUCT($B78:$B82,P$2:P$6)</f>
        <v>63.831929583345293</v>
      </c>
      <c r="H78">
        <f t="shared" si="29"/>
        <v>63.706509581863763</v>
      </c>
      <c r="I78">
        <f t="shared" si="29"/>
        <v>60.957010802984961</v>
      </c>
      <c r="J78">
        <f t="shared" si="29"/>
        <v>63.003311223000601</v>
      </c>
      <c r="K78">
        <f t="shared" si="29"/>
        <v>59.822060854386592</v>
      </c>
      <c r="L78">
        <f t="shared" si="15"/>
        <v>138.32052318449794</v>
      </c>
      <c r="M78">
        <f t="shared" si="17"/>
        <v>-0.2405231844979312</v>
      </c>
      <c r="N78">
        <f t="shared" si="18"/>
        <v>5.7851402281025852E-2</v>
      </c>
    </row>
    <row r="79" spans="1:14" x14ac:dyDescent="0.45">
      <c r="A79" s="23">
        <v>42312</v>
      </c>
      <c r="B79">
        <v>137.02000000000001</v>
      </c>
      <c r="C79">
        <v>134.16999999999999</v>
      </c>
      <c r="G79">
        <f t="shared" ref="G79:K79" si="30">SUMPRODUCT($B79:$B83,P$2:P$6)</f>
        <v>62.892296842532048</v>
      </c>
      <c r="H79">
        <f t="shared" si="30"/>
        <v>62.768070702283772</v>
      </c>
      <c r="I79">
        <f t="shared" si="30"/>
        <v>60.058535259521271</v>
      </c>
      <c r="J79">
        <f t="shared" si="30"/>
        <v>62.07461055275612</v>
      </c>
      <c r="K79">
        <f t="shared" si="30"/>
        <v>58.939715595963627</v>
      </c>
      <c r="L79">
        <f t="shared" si="15"/>
        <v>136.32778218997427</v>
      </c>
      <c r="M79">
        <f t="shared" si="17"/>
        <v>2.6722178100257281</v>
      </c>
      <c r="N79">
        <f t="shared" si="18"/>
        <v>7.1407480242186985</v>
      </c>
    </row>
    <row r="80" spans="1:14" x14ac:dyDescent="0.45">
      <c r="A80" s="23">
        <v>42311</v>
      </c>
      <c r="B80">
        <v>135.41</v>
      </c>
      <c r="C80">
        <v>136.38999999999999</v>
      </c>
      <c r="G80">
        <f t="shared" ref="G80:K80" si="31">SUMPRODUCT($B80:$B84,P$2:P$6)</f>
        <v>62.166584120302204</v>
      </c>
      <c r="H80">
        <f t="shared" si="31"/>
        <v>62.044073219206268</v>
      </c>
      <c r="I80">
        <f t="shared" si="31"/>
        <v>59.366024428051993</v>
      </c>
      <c r="J80">
        <f t="shared" si="31"/>
        <v>61.358887699118405</v>
      </c>
      <c r="K80">
        <f t="shared" si="31"/>
        <v>58.260367426320691</v>
      </c>
      <c r="L80">
        <f t="shared" si="15"/>
        <v>134.79124519331438</v>
      </c>
      <c r="M80">
        <f t="shared" si="17"/>
        <v>2.2287548066856289</v>
      </c>
      <c r="N80">
        <f t="shared" si="18"/>
        <v>4.9673479883242946</v>
      </c>
    </row>
    <row r="81" spans="1:14" x14ac:dyDescent="0.45">
      <c r="A81" s="23">
        <v>42310</v>
      </c>
      <c r="B81">
        <v>136.19999999999999</v>
      </c>
      <c r="C81">
        <v>135.41</v>
      </c>
      <c r="G81">
        <f t="shared" ref="G81:K81" si="32">SUMPRODUCT($B81:$B85,P$2:P$6)</f>
        <v>62.529678216824372</v>
      </c>
      <c r="H81">
        <f t="shared" si="32"/>
        <v>62.406461170831186</v>
      </c>
      <c r="I81">
        <f t="shared" si="32"/>
        <v>59.712777981325281</v>
      </c>
      <c r="J81">
        <f t="shared" si="32"/>
        <v>61.717276988278641</v>
      </c>
      <c r="K81">
        <f t="shared" si="32"/>
        <v>58.600670843529528</v>
      </c>
      <c r="L81">
        <f t="shared" si="15"/>
        <v>135.56050087057793</v>
      </c>
      <c r="M81">
        <f t="shared" si="17"/>
        <v>-0.15050087057792894</v>
      </c>
      <c r="N81">
        <f t="shared" si="18"/>
        <v>2.2650512044714514E-2</v>
      </c>
    </row>
    <row r="82" spans="1:14" x14ac:dyDescent="0.45">
      <c r="A82" s="23">
        <v>42307</v>
      </c>
      <c r="B82">
        <v>136.16999999999999</v>
      </c>
      <c r="C82">
        <v>136.30000000000001</v>
      </c>
      <c r="G82">
        <f t="shared" ref="G82:K82" si="33">SUMPRODUCT($B82:$B86,P$2:P$6)</f>
        <v>62.505405585474954</v>
      </c>
      <c r="H82">
        <f t="shared" si="33"/>
        <v>62.382010887544197</v>
      </c>
      <c r="I82">
        <f t="shared" si="33"/>
        <v>59.689196876219235</v>
      </c>
      <c r="J82">
        <f t="shared" si="33"/>
        <v>61.692882604537026</v>
      </c>
      <c r="K82">
        <f t="shared" si="33"/>
        <v>58.577322022515204</v>
      </c>
      <c r="L82">
        <f t="shared" si="15"/>
        <v>135.5083609324584</v>
      </c>
      <c r="M82">
        <f t="shared" si="17"/>
        <v>0.69163906754158688</v>
      </c>
      <c r="N82">
        <f t="shared" si="18"/>
        <v>0.47836459974979578</v>
      </c>
    </row>
    <row r="83" spans="1:14" x14ac:dyDescent="0.45">
      <c r="A83" s="23">
        <v>42306</v>
      </c>
      <c r="B83">
        <v>125.75</v>
      </c>
      <c r="C83">
        <v>127.06</v>
      </c>
      <c r="G83">
        <f t="shared" ref="G83:K83" si="34">SUMPRODUCT($B83:$B87,P$2:P$6)</f>
        <v>57.769294081136032</v>
      </c>
      <c r="H83">
        <f t="shared" si="34"/>
        <v>57.656261932706435</v>
      </c>
      <c r="I83">
        <f t="shared" si="34"/>
        <v>55.168277074171861</v>
      </c>
      <c r="J83">
        <f t="shared" si="34"/>
        <v>57.020298783441113</v>
      </c>
      <c r="K83">
        <f t="shared" si="34"/>
        <v>54.141541207414377</v>
      </c>
      <c r="L83">
        <f t="shared" si="15"/>
        <v>125.47799957019738</v>
      </c>
      <c r="M83">
        <f t="shared" si="17"/>
        <v>10.692000429802604</v>
      </c>
      <c r="N83">
        <f t="shared" si="18"/>
        <v>114.31887319089907</v>
      </c>
    </row>
    <row r="84" spans="1:14" x14ac:dyDescent="0.45">
      <c r="A84" s="23">
        <v>42305</v>
      </c>
      <c r="B84">
        <v>127.98</v>
      </c>
      <c r="C84">
        <v>125.8</v>
      </c>
      <c r="G84">
        <f t="shared" ref="G84:K84" si="35">SUMPRODUCT($B84:$B88,P$2:P$6)</f>
        <v>58.776761519534048</v>
      </c>
      <c r="H84">
        <f t="shared" si="35"/>
        <v>58.661393428215256</v>
      </c>
      <c r="I84">
        <f t="shared" si="35"/>
        <v>56.129733978082967</v>
      </c>
      <c r="J84">
        <f t="shared" si="35"/>
        <v>58.013993887419801</v>
      </c>
      <c r="K84">
        <f t="shared" si="35"/>
        <v>55.084769891982006</v>
      </c>
      <c r="L84">
        <f t="shared" si="15"/>
        <v>127.61124084720554</v>
      </c>
      <c r="M84">
        <f t="shared" si="17"/>
        <v>-1.8612408472055364</v>
      </c>
      <c r="N84">
        <f t="shared" si="18"/>
        <v>3.4642174913063828</v>
      </c>
    </row>
    <row r="85" spans="1:14" x14ac:dyDescent="0.45">
      <c r="A85" s="23">
        <v>42304</v>
      </c>
      <c r="B85">
        <v>128.84</v>
      </c>
      <c r="C85">
        <v>127.11</v>
      </c>
      <c r="G85">
        <f t="shared" ref="G85:K85" si="36">SUMPRODUCT($B85:$B89,P$2:P$6)</f>
        <v>59.1797781316412</v>
      </c>
      <c r="H85">
        <f t="shared" si="36"/>
        <v>59.063790599447245</v>
      </c>
      <c r="I85">
        <f t="shared" si="36"/>
        <v>56.514906822281738</v>
      </c>
      <c r="J85">
        <f t="shared" si="36"/>
        <v>58.412117007463891</v>
      </c>
      <c r="K85">
        <f t="shared" si="36"/>
        <v>55.462930631864587</v>
      </c>
      <c r="L85">
        <f t="shared" si="15"/>
        <v>128.46560541162563</v>
      </c>
      <c r="M85">
        <f t="shared" si="17"/>
        <v>-0.48560541162562743</v>
      </c>
      <c r="N85">
        <f t="shared" si="18"/>
        <v>0.23581261580009505</v>
      </c>
    </row>
    <row r="86" spans="1:14" x14ac:dyDescent="0.45">
      <c r="A86" s="23">
        <v>42303</v>
      </c>
      <c r="B86">
        <v>125.88</v>
      </c>
      <c r="C86">
        <v>128.38999999999999</v>
      </c>
      <c r="G86">
        <f t="shared" ref="G86:K86" si="37">SUMPRODUCT($B86:$B90,P$2:P$6)</f>
        <v>57.832440718710878</v>
      </c>
      <c r="H86">
        <f t="shared" si="37"/>
        <v>57.719360426785457</v>
      </c>
      <c r="I86">
        <f t="shared" si="37"/>
        <v>55.22871452339794</v>
      </c>
      <c r="J86">
        <f t="shared" si="37"/>
        <v>57.082768689373935</v>
      </c>
      <c r="K86">
        <f t="shared" si="37"/>
        <v>54.200921142441423</v>
      </c>
      <c r="L86">
        <f t="shared" si="15"/>
        <v>125.61201781365199</v>
      </c>
      <c r="M86">
        <f t="shared" si="17"/>
        <v>3.2279821863480151</v>
      </c>
      <c r="N86">
        <f t="shared" si="18"/>
        <v>10.419868995380112</v>
      </c>
    </row>
    <row r="87" spans="1:14" x14ac:dyDescent="0.45">
      <c r="A87" s="23">
        <v>42300</v>
      </c>
      <c r="B87">
        <v>129.35</v>
      </c>
      <c r="C87">
        <v>125.41</v>
      </c>
      <c r="G87">
        <f t="shared" ref="G87:K87" si="38">SUMPRODUCT($B87:$B91,P$2:P$6)</f>
        <v>59.402987810536445</v>
      </c>
      <c r="H87">
        <f t="shared" si="38"/>
        <v>59.286326612349285</v>
      </c>
      <c r="I87">
        <f t="shared" si="38"/>
        <v>56.727644084785268</v>
      </c>
      <c r="J87">
        <f t="shared" si="38"/>
        <v>58.631970743013511</v>
      </c>
      <c r="K87">
        <f t="shared" si="38"/>
        <v>55.671490315237321</v>
      </c>
      <c r="L87">
        <f t="shared" si="15"/>
        <v>128.93773794490588</v>
      </c>
      <c r="M87">
        <f t="shared" si="17"/>
        <v>-3.057737944905881</v>
      </c>
      <c r="N87">
        <f t="shared" si="18"/>
        <v>9.3497613397172401</v>
      </c>
    </row>
    <row r="88" spans="1:14" x14ac:dyDescent="0.45">
      <c r="A88" s="23">
        <v>42299</v>
      </c>
      <c r="B88">
        <v>126.9</v>
      </c>
      <c r="C88">
        <v>127.58</v>
      </c>
      <c r="G88">
        <f t="shared" ref="G88:K88" si="39">SUMPRODUCT($B88:$B92,P$2:P$6)</f>
        <v>58.28004196850052</v>
      </c>
      <c r="H88">
        <f t="shared" si="39"/>
        <v>58.165633142224166</v>
      </c>
      <c r="I88">
        <f t="shared" si="39"/>
        <v>55.655356433154424</v>
      </c>
      <c r="J88">
        <f t="shared" si="39"/>
        <v>57.523692847433594</v>
      </c>
      <c r="K88">
        <f t="shared" si="39"/>
        <v>54.61920979253906</v>
      </c>
      <c r="L88">
        <f t="shared" si="15"/>
        <v>126.5588607521042</v>
      </c>
      <c r="M88">
        <f t="shared" si="17"/>
        <v>2.7911392478957993</v>
      </c>
      <c r="N88">
        <f t="shared" si="18"/>
        <v>7.7904583011443282</v>
      </c>
    </row>
    <row r="89" spans="1:14" x14ac:dyDescent="0.45">
      <c r="A89" s="23">
        <v>42298</v>
      </c>
      <c r="B89">
        <v>130</v>
      </c>
      <c r="C89">
        <v>129.13999999999999</v>
      </c>
      <c r="G89">
        <f t="shared" ref="G89:K89" si="40">SUMPRODUCT($B89:$B93,P$2:P$6)</f>
        <v>59.6815093078921</v>
      </c>
      <c r="H89">
        <f t="shared" si="40"/>
        <v>59.563868861331116</v>
      </c>
      <c r="I89">
        <f t="shared" si="40"/>
        <v>56.992852037114012</v>
      </c>
      <c r="J89">
        <f t="shared" si="40"/>
        <v>58.906042552450856</v>
      </c>
      <c r="K89">
        <f t="shared" si="40"/>
        <v>55.931367191967283</v>
      </c>
      <c r="L89">
        <f t="shared" si="15"/>
        <v>129.52643044808821</v>
      </c>
      <c r="M89">
        <f t="shared" si="17"/>
        <v>-2.6264304480882004</v>
      </c>
      <c r="N89">
        <f t="shared" si="18"/>
        <v>6.8981368986447853</v>
      </c>
    </row>
    <row r="90" spans="1:14" x14ac:dyDescent="0.45">
      <c r="A90" s="23">
        <v>42297</v>
      </c>
      <c r="B90">
        <v>130.44</v>
      </c>
      <c r="C90">
        <v>129.04</v>
      </c>
      <c r="G90">
        <f t="shared" ref="G90:K90" si="41">SUMPRODUCT($B90:$B94,P$2:P$6)</f>
        <v>59.888147791912772</v>
      </c>
      <c r="H90">
        <f t="shared" si="41"/>
        <v>59.770198257256546</v>
      </c>
      <c r="I90">
        <f t="shared" si="41"/>
        <v>57.190356886842608</v>
      </c>
      <c r="J90">
        <f t="shared" si="41"/>
        <v>59.110188781995994</v>
      </c>
      <c r="K90">
        <f t="shared" si="41"/>
        <v>56.125285080677919</v>
      </c>
      <c r="L90">
        <f t="shared" si="15"/>
        <v>129.96451605989125</v>
      </c>
      <c r="M90">
        <f t="shared" si="17"/>
        <v>3.5483940108747447E-2</v>
      </c>
      <c r="N90">
        <f t="shared" si="18"/>
        <v>1.2591100056411758E-3</v>
      </c>
    </row>
    <row r="91" spans="1:14" x14ac:dyDescent="0.45">
      <c r="A91" s="23">
        <v>42296</v>
      </c>
      <c r="B91">
        <v>127.43</v>
      </c>
      <c r="C91">
        <v>130.44999999999999</v>
      </c>
      <c r="G91">
        <f t="shared" ref="G91:K91" si="42">SUMPRODUCT($B91:$B95,P$2:P$6)</f>
        <v>58.523575992777246</v>
      </c>
      <c r="H91">
        <f t="shared" si="42"/>
        <v>58.408690130855234</v>
      </c>
      <c r="I91">
        <f t="shared" si="42"/>
        <v>55.887925001541937</v>
      </c>
      <c r="J91">
        <f t="shared" si="42"/>
        <v>57.764068372960729</v>
      </c>
      <c r="K91">
        <f t="shared" si="42"/>
        <v>54.8474512149661</v>
      </c>
      <c r="L91">
        <f t="shared" si="15"/>
        <v>127.07480709885819</v>
      </c>
      <c r="M91">
        <f t="shared" si="17"/>
        <v>3.3651929011418105</v>
      </c>
      <c r="N91">
        <f t="shared" si="18"/>
        <v>11.324523261895235</v>
      </c>
    </row>
    <row r="92" spans="1:14" x14ac:dyDescent="0.45">
      <c r="A92" s="23">
        <v>42293</v>
      </c>
      <c r="B92">
        <v>125.63</v>
      </c>
      <c r="C92">
        <v>127.38</v>
      </c>
      <c r="G92">
        <f t="shared" ref="G92:K92" si="43">SUMPRODUCT($B92:$B96,P$2:P$6)</f>
        <v>57.703541601170244</v>
      </c>
      <c r="H92">
        <f t="shared" si="43"/>
        <v>57.590409874338171</v>
      </c>
      <c r="I92">
        <f t="shared" si="43"/>
        <v>55.105078269343522</v>
      </c>
      <c r="J92">
        <f t="shared" si="43"/>
        <v>56.954954188497872</v>
      </c>
      <c r="K92">
        <f t="shared" si="43"/>
        <v>54.079309388966429</v>
      </c>
      <c r="L92">
        <f t="shared" si="15"/>
        <v>125.33797049093893</v>
      </c>
      <c r="M92">
        <f t="shared" si="17"/>
        <v>2.0920295090610779</v>
      </c>
      <c r="N92">
        <f t="shared" si="18"/>
        <v>4.3765874667823343</v>
      </c>
    </row>
    <row r="93" spans="1:14" x14ac:dyDescent="0.45">
      <c r="A93" s="23">
        <v>42292</v>
      </c>
      <c r="B93">
        <v>122.49</v>
      </c>
      <c r="C93">
        <v>125.18</v>
      </c>
      <c r="G93">
        <f t="shared" ref="G93:K93" si="44">SUMPRODUCT($B93:$B97,P$2:P$6)</f>
        <v>56.261533015742927</v>
      </c>
      <c r="H93">
        <f t="shared" si="44"/>
        <v>56.151234944790787</v>
      </c>
      <c r="I93">
        <f t="shared" si="44"/>
        <v>53.728016371487726</v>
      </c>
      <c r="J93">
        <f t="shared" si="44"/>
        <v>55.5316645163633</v>
      </c>
      <c r="K93">
        <f t="shared" si="44"/>
        <v>52.727885713261713</v>
      </c>
      <c r="L93">
        <f t="shared" si="15"/>
        <v>122.28299358896861</v>
      </c>
      <c r="M93">
        <f t="shared" si="17"/>
        <v>3.3470064110313871</v>
      </c>
      <c r="N93">
        <f t="shared" si="18"/>
        <v>11.202451915485206</v>
      </c>
    </row>
    <row r="94" spans="1:14" x14ac:dyDescent="0.45">
      <c r="A94" s="23">
        <v>42291</v>
      </c>
      <c r="B94">
        <v>124.2</v>
      </c>
      <c r="C94">
        <v>121.85</v>
      </c>
      <c r="G94">
        <f t="shared" ref="G94:K94" si="45">SUMPRODUCT($B94:$B98,P$2:P$6)</f>
        <v>57.038081923825914</v>
      </c>
      <c r="H94">
        <f t="shared" si="45"/>
        <v>56.926068351140508</v>
      </c>
      <c r="I94">
        <f t="shared" si="45"/>
        <v>54.469252853255441</v>
      </c>
      <c r="J94">
        <f t="shared" si="45"/>
        <v>56.297768536185721</v>
      </c>
      <c r="K94">
        <f t="shared" si="45"/>
        <v>53.455149605803022</v>
      </c>
      <c r="L94">
        <f t="shared" si="15"/>
        <v>123.92755583551794</v>
      </c>
      <c r="M94">
        <f t="shared" si="17"/>
        <v>-1.4375558355179407</v>
      </c>
      <c r="N94">
        <f t="shared" si="18"/>
        <v>2.0665667802316849</v>
      </c>
    </row>
    <row r="95" spans="1:14" x14ac:dyDescent="0.45">
      <c r="A95" s="23">
        <v>42290</v>
      </c>
      <c r="B95">
        <v>126.19</v>
      </c>
      <c r="C95">
        <v>128.1</v>
      </c>
      <c r="G95">
        <f t="shared" ref="G95:K95" si="46">SUMPRODUCT($B95:$B99,P$2:P$6)</f>
        <v>57.94681504408684</v>
      </c>
      <c r="H95">
        <f t="shared" si="46"/>
        <v>57.832904631241469</v>
      </c>
      <c r="I95">
        <f t="shared" si="46"/>
        <v>55.336859573791948</v>
      </c>
      <c r="J95">
        <f t="shared" si="46"/>
        <v>57.19448975399834</v>
      </c>
      <c r="K95">
        <f t="shared" si="46"/>
        <v>54.30650173799561</v>
      </c>
      <c r="L95">
        <f t="shared" si="15"/>
        <v>125.85240519121612</v>
      </c>
      <c r="M95">
        <f t="shared" si="17"/>
        <v>-1.6524051912161184</v>
      </c>
      <c r="N95">
        <f t="shared" si="18"/>
        <v>2.7304429159579766</v>
      </c>
    </row>
    <row r="96" spans="1:14" x14ac:dyDescent="0.45">
      <c r="A96" s="23">
        <v>42289</v>
      </c>
      <c r="B96">
        <v>126.26</v>
      </c>
      <c r="C96">
        <v>127.02</v>
      </c>
      <c r="G96">
        <f t="shared" ref="G96:K96" si="47">SUMPRODUCT($B96:$B100,P$2:P$6)</f>
        <v>57.982368140765885</v>
      </c>
      <c r="H96">
        <f t="shared" si="47"/>
        <v>57.868461359379275</v>
      </c>
      <c r="I96">
        <f t="shared" si="47"/>
        <v>55.370942310777458</v>
      </c>
      <c r="J96">
        <f t="shared" si="47"/>
        <v>57.229723111963885</v>
      </c>
      <c r="K96">
        <f t="shared" si="47"/>
        <v>54.34001699391586</v>
      </c>
      <c r="L96">
        <f t="shared" si="15"/>
        <v>125.92795975114625</v>
      </c>
      <c r="M96">
        <f t="shared" si="17"/>
        <v>0.26204024885375077</v>
      </c>
      <c r="N96">
        <f t="shared" si="18"/>
        <v>6.8665092019335627E-2</v>
      </c>
    </row>
    <row r="97" spans="1:14" x14ac:dyDescent="0.45">
      <c r="A97" s="23">
        <v>42286</v>
      </c>
      <c r="B97">
        <v>123.17</v>
      </c>
      <c r="C97">
        <v>125.34</v>
      </c>
      <c r="G97">
        <f t="shared" ref="G97:K97" si="48">SUMPRODUCT($B97:$B101,P$2:P$6)</f>
        <v>56.573495761168644</v>
      </c>
      <c r="H97">
        <f t="shared" si="48"/>
        <v>56.462576768541282</v>
      </c>
      <c r="I97">
        <f t="shared" si="48"/>
        <v>54.025914808478333</v>
      </c>
      <c r="J97">
        <f t="shared" si="48"/>
        <v>55.8395632378461</v>
      </c>
      <c r="K97">
        <f t="shared" si="48"/>
        <v>53.020231653065586</v>
      </c>
      <c r="L97">
        <f t="shared" si="15"/>
        <v>122.94388029154221</v>
      </c>
      <c r="M97">
        <f t="shared" si="17"/>
        <v>3.3161197084577907</v>
      </c>
      <c r="N97">
        <f t="shared" si="18"/>
        <v>10.996649920822183</v>
      </c>
    </row>
    <row r="98" spans="1:14" x14ac:dyDescent="0.45">
      <c r="A98" s="23">
        <v>42285</v>
      </c>
      <c r="B98">
        <v>122.41</v>
      </c>
      <c r="C98">
        <v>122.88</v>
      </c>
      <c r="G98">
        <f t="shared" ref="G98:K98" si="49">SUMPRODUCT($B98:$B102,P$2:P$6)</f>
        <v>56.206846111652361</v>
      </c>
      <c r="H98">
        <f t="shared" si="49"/>
        <v>56.096268371058237</v>
      </c>
      <c r="I98">
        <f t="shared" si="49"/>
        <v>53.675102889003774</v>
      </c>
      <c r="J98">
        <f t="shared" si="49"/>
        <v>55.47693818756737</v>
      </c>
      <c r="K98">
        <f t="shared" si="49"/>
        <v>52.675603969287344</v>
      </c>
      <c r="L98">
        <f t="shared" si="15"/>
        <v>122.16590616955581</v>
      </c>
      <c r="M98">
        <f t="shared" si="17"/>
        <v>1.0040938304441909</v>
      </c>
      <c r="N98">
        <f t="shared" si="18"/>
        <v>1.0082044203360876</v>
      </c>
    </row>
    <row r="99" spans="1:14" x14ac:dyDescent="0.45">
      <c r="A99" s="23">
        <v>42284</v>
      </c>
      <c r="B99">
        <v>122.93</v>
      </c>
      <c r="C99">
        <v>122.93</v>
      </c>
      <c r="G99">
        <f t="shared" ref="G99:K99" si="50">SUMPRODUCT($B99:$B103,P$2:P$6)</f>
        <v>56.445321587780121</v>
      </c>
      <c r="H99">
        <f t="shared" si="50"/>
        <v>56.334265638682268</v>
      </c>
      <c r="I99">
        <f t="shared" si="50"/>
        <v>53.902821211159505</v>
      </c>
      <c r="J99">
        <f t="shared" si="50"/>
        <v>55.712304330977751</v>
      </c>
      <c r="K99">
        <f t="shared" si="50"/>
        <v>52.899076355748896</v>
      </c>
      <c r="L99">
        <f t="shared" si="15"/>
        <v>122.67110326860654</v>
      </c>
      <c r="M99">
        <f t="shared" si="17"/>
        <v>-0.26110326860654709</v>
      </c>
      <c r="N99">
        <f t="shared" si="18"/>
        <v>6.8174916877022679E-2</v>
      </c>
    </row>
    <row r="100" spans="1:14" x14ac:dyDescent="0.45">
      <c r="A100" s="23">
        <v>42283</v>
      </c>
      <c r="B100">
        <v>123.95</v>
      </c>
      <c r="C100">
        <v>122.22</v>
      </c>
      <c r="G100">
        <f t="shared" ref="G100:K100" si="51">SUMPRODUCT($B100:$B104,P$2:P$6)</f>
        <v>56.899727670292116</v>
      </c>
      <c r="H100">
        <f t="shared" si="51"/>
        <v>56.787477502493481</v>
      </c>
      <c r="I100">
        <f t="shared" si="51"/>
        <v>54.336224326727738</v>
      </c>
      <c r="J100">
        <f t="shared" si="51"/>
        <v>56.160225262833137</v>
      </c>
      <c r="K100">
        <f t="shared" si="51"/>
        <v>53.324134249145672</v>
      </c>
      <c r="L100">
        <f t="shared" si="15"/>
        <v>123.63282886297482</v>
      </c>
      <c r="M100">
        <f t="shared" si="17"/>
        <v>-0.70282886297481184</v>
      </c>
      <c r="N100">
        <f t="shared" si="18"/>
        <v>0.49396841063046681</v>
      </c>
    </row>
    <row r="101" spans="1:14" x14ac:dyDescent="0.45">
      <c r="A101" s="23">
        <v>42282</v>
      </c>
      <c r="B101">
        <v>123.75</v>
      </c>
      <c r="C101">
        <v>123.95</v>
      </c>
      <c r="G101">
        <f t="shared" ref="G101:K101" si="52">SUMPRODUCT($B101:$B105,P$2:P$6)</f>
        <v>56.812452892029974</v>
      </c>
      <c r="H101">
        <f t="shared" si="52"/>
        <v>56.700471279314279</v>
      </c>
      <c r="I101">
        <f t="shared" si="52"/>
        <v>54.253053607194104</v>
      </c>
      <c r="J101">
        <f t="shared" si="52"/>
        <v>56.074274219234724</v>
      </c>
      <c r="K101">
        <f t="shared" si="52"/>
        <v>53.242602182005349</v>
      </c>
      <c r="L101">
        <f t="shared" si="15"/>
        <v>123.44824299404225</v>
      </c>
      <c r="M101">
        <f t="shared" si="17"/>
        <v>0.50175700595775652</v>
      </c>
      <c r="N101">
        <f t="shared" si="18"/>
        <v>0.25176009302769209</v>
      </c>
    </row>
    <row r="102" spans="1:14" x14ac:dyDescent="0.45">
      <c r="A102" s="23">
        <v>42279</v>
      </c>
      <c r="B102">
        <v>118.08</v>
      </c>
      <c r="C102">
        <v>122.62</v>
      </c>
      <c r="G102">
        <f t="shared" ref="G102:K102" si="53">SUMPRODUCT($B102:$B106,P$2:P$6)</f>
        <v>54.240373759714522</v>
      </c>
      <c r="H102">
        <f t="shared" si="53"/>
        <v>54.134130899046617</v>
      </c>
      <c r="I102">
        <f t="shared" si="53"/>
        <v>51.798038053795665</v>
      </c>
      <c r="J102">
        <f t="shared" si="53"/>
        <v>53.536907353135028</v>
      </c>
      <c r="K102">
        <f t="shared" si="53"/>
        <v>50.8339206061707</v>
      </c>
      <c r="L102">
        <f t="shared" si="15"/>
        <v>118.00132289112079</v>
      </c>
      <c r="M102">
        <f t="shared" si="17"/>
        <v>5.7486771088792068</v>
      </c>
      <c r="N102">
        <f t="shared" si="18"/>
        <v>33.047288502151794</v>
      </c>
    </row>
    <row r="103" spans="1:14" x14ac:dyDescent="0.45">
      <c r="A103" s="23">
        <v>42278</v>
      </c>
      <c r="B103">
        <v>118.5</v>
      </c>
      <c r="C103">
        <v>119.92</v>
      </c>
      <c r="G103">
        <f t="shared" ref="G103:K103" si="54">SUMPRODUCT($B103:$B107,P$2:P$6)</f>
        <v>54.438972412163032</v>
      </c>
      <c r="H103">
        <f t="shared" si="54"/>
        <v>54.332463756191345</v>
      </c>
      <c r="I103">
        <f t="shared" si="54"/>
        <v>51.98791345019287</v>
      </c>
      <c r="J103">
        <f t="shared" si="54"/>
        <v>53.733166951619175</v>
      </c>
      <c r="K103">
        <f t="shared" si="54"/>
        <v>51.020373401252712</v>
      </c>
      <c r="L103">
        <f t="shared" si="15"/>
        <v>118.42245932063275</v>
      </c>
      <c r="M103">
        <f t="shared" si="17"/>
        <v>-0.34245932063275575</v>
      </c>
      <c r="N103">
        <f t="shared" si="18"/>
        <v>0.1172783862882486</v>
      </c>
    </row>
    <row r="104" spans="1:14" x14ac:dyDescent="0.45">
      <c r="A104" s="23">
        <v>42277</v>
      </c>
      <c r="B104">
        <v>115.59</v>
      </c>
      <c r="C104">
        <v>117.68</v>
      </c>
      <c r="G104">
        <f t="shared" ref="G104:K104" si="55">SUMPRODUCT($B104:$B108,P$2:P$6)</f>
        <v>53.111233169436211</v>
      </c>
      <c r="H104">
        <f t="shared" si="55"/>
        <v>53.007520410579396</v>
      </c>
      <c r="I104">
        <f t="shared" si="55"/>
        <v>50.720306969319566</v>
      </c>
      <c r="J104">
        <f t="shared" si="55"/>
        <v>52.423024318609158</v>
      </c>
      <c r="K104">
        <f t="shared" si="55"/>
        <v>49.776537485589387</v>
      </c>
      <c r="L104">
        <f t="shared" si="15"/>
        <v>115.61016158939283</v>
      </c>
      <c r="M104">
        <f t="shared" si="17"/>
        <v>2.8898384106071688</v>
      </c>
      <c r="N104">
        <f t="shared" si="18"/>
        <v>8.3511660394205673</v>
      </c>
    </row>
    <row r="105" spans="1:14" x14ac:dyDescent="0.45">
      <c r="A105" s="23">
        <v>42276</v>
      </c>
      <c r="B105">
        <v>116.67</v>
      </c>
      <c r="C105">
        <v>114.01</v>
      </c>
      <c r="G105">
        <f t="shared" ref="G105:K105" si="56">SUMPRODUCT($B105:$B109,P$2:P$6)</f>
        <v>53.613360771738556</v>
      </c>
      <c r="H105">
        <f t="shared" si="56"/>
        <v>53.508793378768409</v>
      </c>
      <c r="I105">
        <f t="shared" si="56"/>
        <v>51.200054659232897</v>
      </c>
      <c r="J105">
        <f t="shared" si="56"/>
        <v>52.918891226068126</v>
      </c>
      <c r="K105">
        <f t="shared" si="56"/>
        <v>50.247474352288357</v>
      </c>
      <c r="L105">
        <f t="shared" si="15"/>
        <v>116.67436824036844</v>
      </c>
      <c r="M105">
        <f t="shared" si="17"/>
        <v>-1.084368240368434</v>
      </c>
      <c r="N105">
        <f t="shared" si="18"/>
        <v>1.175854480719734</v>
      </c>
    </row>
    <row r="106" spans="1:14" x14ac:dyDescent="0.45">
      <c r="A106" s="23">
        <v>42275</v>
      </c>
      <c r="B106">
        <v>119.97</v>
      </c>
      <c r="C106">
        <v>116.72</v>
      </c>
      <c r="G106">
        <f t="shared" ref="G106:K106" si="57">SUMPRODUCT($B106:$B110,P$2:P$6)</f>
        <v>55.120905716651407</v>
      </c>
      <c r="H106">
        <f t="shared" si="57"/>
        <v>55.013206346710597</v>
      </c>
      <c r="I106">
        <f t="shared" si="57"/>
        <v>52.639398769890562</v>
      </c>
      <c r="J106">
        <f t="shared" si="57"/>
        <v>54.40653595920945</v>
      </c>
      <c r="K106">
        <f t="shared" si="57"/>
        <v>51.659864140669633</v>
      </c>
      <c r="L106">
        <f t="shared" si="15"/>
        <v>119.86764674814904</v>
      </c>
      <c r="M106">
        <f t="shared" si="17"/>
        <v>-3.1976467481490403</v>
      </c>
      <c r="N106">
        <f t="shared" si="18"/>
        <v>10.224944725948133</v>
      </c>
    </row>
    <row r="107" spans="1:14" x14ac:dyDescent="0.45">
      <c r="A107" s="23">
        <v>42272</v>
      </c>
      <c r="B107">
        <v>121.98</v>
      </c>
      <c r="C107">
        <v>120.05</v>
      </c>
      <c r="G107">
        <f t="shared" ref="G107:K107" si="58">SUMPRODUCT($B107:$B111,P$2:P$6)</f>
        <v>56.044268611752472</v>
      </c>
      <c r="H107">
        <f t="shared" si="58"/>
        <v>55.934761559679949</v>
      </c>
      <c r="I107">
        <f t="shared" si="58"/>
        <v>53.521186272982504</v>
      </c>
      <c r="J107">
        <f t="shared" si="58"/>
        <v>55.317926339735457</v>
      </c>
      <c r="K107">
        <f t="shared" si="58"/>
        <v>52.525240215733312</v>
      </c>
      <c r="L107">
        <f t="shared" si="15"/>
        <v>121.82386494842156</v>
      </c>
      <c r="M107">
        <f t="shared" si="17"/>
        <v>-1.8538649484215597</v>
      </c>
      <c r="N107">
        <f t="shared" si="18"/>
        <v>3.4368152469860722</v>
      </c>
    </row>
    <row r="108" spans="1:14" x14ac:dyDescent="0.45">
      <c r="A108" s="23">
        <v>42271</v>
      </c>
      <c r="B108">
        <v>121.53</v>
      </c>
      <c r="C108">
        <v>120.5</v>
      </c>
      <c r="G108">
        <f t="shared" ref="G108:K108" si="59">SUMPRODUCT($B108:$B112,P$2:P$6)</f>
        <v>55.837764741397258</v>
      </c>
      <c r="H108">
        <f t="shared" si="59"/>
        <v>55.728667697889989</v>
      </c>
      <c r="I108">
        <f t="shared" si="59"/>
        <v>53.323990416420202</v>
      </c>
      <c r="J108">
        <f t="shared" si="59"/>
        <v>55.114109805012184</v>
      </c>
      <c r="K108">
        <f t="shared" si="59"/>
        <v>52.331718709889238</v>
      </c>
      <c r="L108">
        <f t="shared" si="15"/>
        <v>121.38638696069125</v>
      </c>
      <c r="M108">
        <f t="shared" si="17"/>
        <v>0.59361303930874953</v>
      </c>
      <c r="N108">
        <f t="shared" si="18"/>
        <v>0.35237644043737104</v>
      </c>
    </row>
    <row r="109" spans="1:14" x14ac:dyDescent="0.45">
      <c r="A109" s="23">
        <v>42270</v>
      </c>
      <c r="B109">
        <v>124.31</v>
      </c>
      <c r="C109">
        <v>122.14</v>
      </c>
      <c r="G109">
        <f t="shared" ref="G109:K109" si="60">SUMPRODUCT($B109:$B113,P$2:P$6)</f>
        <v>57.099134004733386</v>
      </c>
      <c r="H109">
        <f t="shared" si="60"/>
        <v>56.987228768398651</v>
      </c>
      <c r="I109">
        <f t="shared" si="60"/>
        <v>54.527961641532137</v>
      </c>
      <c r="J109">
        <f t="shared" si="60"/>
        <v>56.358467912920311</v>
      </c>
      <c r="K109">
        <f t="shared" si="60"/>
        <v>53.51297272355292</v>
      </c>
      <c r="L109">
        <f t="shared" si="15"/>
        <v>124.05762199084664</v>
      </c>
      <c r="M109">
        <f t="shared" si="17"/>
        <v>-2.5276219908466402</v>
      </c>
      <c r="N109">
        <f t="shared" si="18"/>
        <v>6.3888729286115327</v>
      </c>
    </row>
    <row r="110" spans="1:14" x14ac:dyDescent="0.45">
      <c r="A110" s="23">
        <v>42269</v>
      </c>
      <c r="B110">
        <v>125.34</v>
      </c>
      <c r="C110">
        <v>124.88</v>
      </c>
      <c r="G110">
        <f t="shared" ref="G110:K110" si="61">SUMPRODUCT($B110:$B114,P$2:P$6)</f>
        <v>57.545203859404033</v>
      </c>
      <c r="H110">
        <f t="shared" si="61"/>
        <v>57.431841849363124</v>
      </c>
      <c r="I110">
        <f t="shared" si="61"/>
        <v>54.952907115828239</v>
      </c>
      <c r="J110">
        <f t="shared" si="61"/>
        <v>56.797623690212497</v>
      </c>
      <c r="K110">
        <f t="shared" si="61"/>
        <v>53.92947587082719</v>
      </c>
      <c r="L110">
        <f t="shared" si="15"/>
        <v>125.0008017595264</v>
      </c>
      <c r="M110">
        <f t="shared" si="17"/>
        <v>-0.69080175952639422</v>
      </c>
      <c r="N110">
        <f t="shared" si="18"/>
        <v>0.47720707096476217</v>
      </c>
    </row>
    <row r="111" spans="1:14" x14ac:dyDescent="0.45">
      <c r="A111" s="23">
        <v>42268</v>
      </c>
      <c r="B111">
        <v>127.4</v>
      </c>
      <c r="C111">
        <v>126.33</v>
      </c>
      <c r="G111">
        <f t="shared" ref="G111:K111" si="62">SUMPRODUCT($B111:$B115,P$2:P$6)</f>
        <v>58.473838961082585</v>
      </c>
      <c r="H111">
        <f t="shared" si="62"/>
        <v>58.358275086790044</v>
      </c>
      <c r="I111">
        <f t="shared" si="62"/>
        <v>55.839046213627192</v>
      </c>
      <c r="J111">
        <f t="shared" si="62"/>
        <v>57.713478520578782</v>
      </c>
      <c r="K111">
        <f t="shared" si="62"/>
        <v>54.798774382995013</v>
      </c>
      <c r="L111">
        <f t="shared" si="15"/>
        <v>126.96697285209864</v>
      </c>
      <c r="M111">
        <f t="shared" si="17"/>
        <v>-1.626972852098632</v>
      </c>
      <c r="N111">
        <f t="shared" si="18"/>
        <v>2.6470406614659567</v>
      </c>
    </row>
    <row r="112" spans="1:14" x14ac:dyDescent="0.45">
      <c r="A112" s="23">
        <v>42265</v>
      </c>
      <c r="B112">
        <v>127</v>
      </c>
      <c r="C112">
        <v>126.49</v>
      </c>
      <c r="G112">
        <f t="shared" ref="G112:K112" si="63">SUMPRODUCT($B112:$B116,P$2:P$6)</f>
        <v>58.294561836561726</v>
      </c>
      <c r="H112">
        <f t="shared" si="63"/>
        <v>58.179444016090414</v>
      </c>
      <c r="I112">
        <f t="shared" si="63"/>
        <v>55.668010968903772</v>
      </c>
      <c r="J112">
        <f t="shared" si="63"/>
        <v>57.536710296823522</v>
      </c>
      <c r="K112">
        <f t="shared" si="63"/>
        <v>54.631010608670309</v>
      </c>
      <c r="L112">
        <f t="shared" si="15"/>
        <v>126.58746308929953</v>
      </c>
      <c r="M112">
        <f t="shared" si="17"/>
        <v>0.81253691070047296</v>
      </c>
      <c r="N112">
        <f t="shared" si="18"/>
        <v>0.66021623125066842</v>
      </c>
    </row>
    <row r="113" spans="1:14" x14ac:dyDescent="0.45">
      <c r="A113" s="23">
        <v>42264</v>
      </c>
      <c r="B113">
        <v>125.46</v>
      </c>
      <c r="C113">
        <v>128.83000000000001</v>
      </c>
      <c r="G113">
        <f t="shared" ref="G113:K113" si="64">SUMPRODUCT($B113:$B117,P$2:P$6)</f>
        <v>57.588392946658843</v>
      </c>
      <c r="H113">
        <f t="shared" si="64"/>
        <v>57.47468592081227</v>
      </c>
      <c r="I113">
        <f t="shared" si="64"/>
        <v>54.993688360570658</v>
      </c>
      <c r="J113">
        <f t="shared" si="64"/>
        <v>56.839750968839041</v>
      </c>
      <c r="K113">
        <f t="shared" si="64"/>
        <v>53.969263393354076</v>
      </c>
      <c r="L113">
        <f t="shared" si="15"/>
        <v>125.09147664334064</v>
      </c>
      <c r="M113">
        <f t="shared" si="17"/>
        <v>1.9085233566593587</v>
      </c>
      <c r="N113">
        <f t="shared" si="18"/>
        <v>3.6424614029143054</v>
      </c>
    </row>
    <row r="114" spans="1:14" x14ac:dyDescent="0.45">
      <c r="A114" s="23">
        <v>42263</v>
      </c>
      <c r="B114">
        <v>118.95</v>
      </c>
      <c r="C114">
        <v>124.68</v>
      </c>
      <c r="G114">
        <f t="shared" ref="G114:K114" si="65">SUMPRODUCT($B114:$B118,P$2:P$6)</f>
        <v>54.611846082906183</v>
      </c>
      <c r="H114">
        <f t="shared" si="65"/>
        <v>54.50426923320731</v>
      </c>
      <c r="I114">
        <f t="shared" si="65"/>
        <v>52.151703306975314</v>
      </c>
      <c r="J114">
        <f t="shared" si="65"/>
        <v>53.902387913148793</v>
      </c>
      <c r="K114">
        <f t="shared" si="65"/>
        <v>51.180448562112844</v>
      </c>
      <c r="L114">
        <f t="shared" si="15"/>
        <v>118.78638772014041</v>
      </c>
      <c r="M114">
        <f t="shared" si="17"/>
        <v>6.6736122798595829</v>
      </c>
      <c r="N114">
        <f t="shared" si="18"/>
        <v>44.537100861892618</v>
      </c>
    </row>
    <row r="115" spans="1:14" x14ac:dyDescent="0.45">
      <c r="A115" s="23">
        <v>42262</v>
      </c>
      <c r="B115">
        <v>116.12</v>
      </c>
      <c r="C115">
        <v>118.83</v>
      </c>
      <c r="G115">
        <f t="shared" ref="G115:K115" si="66">SUMPRODUCT($B115:$B119,P$2:P$6)</f>
        <v>53.329732572276477</v>
      </c>
      <c r="H115">
        <f t="shared" si="66"/>
        <v>53.225050972237582</v>
      </c>
      <c r="I115">
        <f t="shared" si="66"/>
        <v>50.928004988245405</v>
      </c>
      <c r="J115">
        <f t="shared" si="66"/>
        <v>52.637647629295543</v>
      </c>
      <c r="K115">
        <f t="shared" si="66"/>
        <v>49.97987853007222</v>
      </c>
      <c r="L115">
        <f t="shared" si="15"/>
        <v>116.07135430454927</v>
      </c>
      <c r="M115">
        <f t="shared" si="17"/>
        <v>2.8786456954507287</v>
      </c>
      <c r="N115">
        <f t="shared" si="18"/>
        <v>8.2866010399370094</v>
      </c>
    </row>
    <row r="116" spans="1:14" x14ac:dyDescent="0.45">
      <c r="A116" s="23">
        <v>42261</v>
      </c>
      <c r="B116">
        <v>116.96</v>
      </c>
      <c r="C116">
        <v>115.75</v>
      </c>
      <c r="G116">
        <f t="shared" ref="G116:K116" si="67">SUMPRODUCT($B116:$B120,P$2:P$6)</f>
        <v>53.705548376461671</v>
      </c>
      <c r="H116">
        <f t="shared" si="67"/>
        <v>53.599915337247779</v>
      </c>
      <c r="I116">
        <f t="shared" si="67"/>
        <v>51.286514703144768</v>
      </c>
      <c r="J116">
        <f t="shared" si="67"/>
        <v>53.008169374820739</v>
      </c>
      <c r="K116">
        <f t="shared" si="67"/>
        <v>50.331517545285521</v>
      </c>
      <c r="L116">
        <f t="shared" si="15"/>
        <v>116.86686229665527</v>
      </c>
      <c r="M116">
        <f t="shared" si="17"/>
        <v>-0.74686229665526582</v>
      </c>
      <c r="N116">
        <f t="shared" si="18"/>
        <v>0.55780329016517827</v>
      </c>
    </row>
    <row r="117" spans="1:14" x14ac:dyDescent="0.45">
      <c r="A117" s="23">
        <v>42258</v>
      </c>
      <c r="B117">
        <v>115.74</v>
      </c>
      <c r="C117">
        <v>116.61</v>
      </c>
      <c r="G117">
        <f t="shared" ref="G117:K117" si="68">SUMPRODUCT($B117:$B121,P$2:P$6)</f>
        <v>53.142879978975429</v>
      </c>
      <c r="H117">
        <f t="shared" si="68"/>
        <v>53.038300179361265</v>
      </c>
      <c r="I117">
        <f t="shared" si="68"/>
        <v>50.749095110563808</v>
      </c>
      <c r="J117">
        <f t="shared" si="68"/>
        <v>52.452705579851802</v>
      </c>
      <c r="K117">
        <f t="shared" si="68"/>
        <v>49.804056513973038</v>
      </c>
      <c r="L117">
        <f t="shared" si="15"/>
        <v>115.67465212849633</v>
      </c>
      <c r="M117">
        <f t="shared" si="17"/>
        <v>1.2853478715036601</v>
      </c>
      <c r="N117">
        <f t="shared" si="18"/>
        <v>1.6521191507789896</v>
      </c>
    </row>
    <row r="118" spans="1:14" x14ac:dyDescent="0.45">
      <c r="A118" s="23">
        <v>42257</v>
      </c>
      <c r="B118">
        <v>112.99</v>
      </c>
      <c r="C118">
        <v>115.94</v>
      </c>
      <c r="G118">
        <f t="shared" ref="G118:K118" si="69">SUMPRODUCT($B118:$B122,P$2:P$6)</f>
        <v>51.89801151172162</v>
      </c>
      <c r="H118">
        <f t="shared" si="69"/>
        <v>51.796265047529282</v>
      </c>
      <c r="I118">
        <f t="shared" si="69"/>
        <v>49.560984348063165</v>
      </c>
      <c r="J118">
        <f t="shared" si="69"/>
        <v>51.224747698193482</v>
      </c>
      <c r="K118">
        <f t="shared" si="69"/>
        <v>48.638421400080396</v>
      </c>
      <c r="L118">
        <f t="shared" si="15"/>
        <v>113.03855961177307</v>
      </c>
      <c r="M118">
        <f t="shared" si="17"/>
        <v>2.7014403882269278</v>
      </c>
      <c r="N118">
        <f t="shared" si="18"/>
        <v>7.2977801711436543</v>
      </c>
    </row>
    <row r="119" spans="1:14" x14ac:dyDescent="0.45">
      <c r="A119" s="23">
        <v>42256</v>
      </c>
      <c r="B119">
        <v>115.1</v>
      </c>
      <c r="C119">
        <v>113.35</v>
      </c>
      <c r="G119">
        <f t="shared" ref="G119:K119" si="70">SUMPRODUCT($B119:$B123,P$2:P$6)</f>
        <v>52.855520845051515</v>
      </c>
      <c r="H119">
        <f t="shared" si="70"/>
        <v>52.751646875174529</v>
      </c>
      <c r="I119">
        <f t="shared" si="70"/>
        <v>50.474929844305542</v>
      </c>
      <c r="J119">
        <f t="shared" si="70"/>
        <v>52.16934837937864</v>
      </c>
      <c r="K119">
        <f t="shared" si="70"/>
        <v>49.535124733463824</v>
      </c>
      <c r="L119">
        <f t="shared" si="15"/>
        <v>115.0663134761144</v>
      </c>
      <c r="M119">
        <f t="shared" si="17"/>
        <v>-2.0763134761144073</v>
      </c>
      <c r="N119">
        <f t="shared" si="18"/>
        <v>4.3110776510942932</v>
      </c>
    </row>
    <row r="120" spans="1:14" x14ac:dyDescent="0.45">
      <c r="A120" s="23">
        <v>42255</v>
      </c>
      <c r="B120">
        <v>113.15</v>
      </c>
      <c r="C120">
        <v>114.46</v>
      </c>
      <c r="G120">
        <f t="shared" ref="G120:K120" si="71">SUMPRODUCT($B120:$B124,P$2:P$6)</f>
        <v>51.962473423935201</v>
      </c>
      <c r="H120">
        <f t="shared" si="71"/>
        <v>51.860406906114612</v>
      </c>
      <c r="I120">
        <f t="shared" si="71"/>
        <v>49.622198199368889</v>
      </c>
      <c r="J120">
        <f t="shared" si="71"/>
        <v>51.287997043256503</v>
      </c>
      <c r="K120">
        <f t="shared" si="71"/>
        <v>48.698317940401253</v>
      </c>
      <c r="L120">
        <f t="shared" si="15"/>
        <v>113.17451001195396</v>
      </c>
      <c r="M120">
        <f t="shared" si="17"/>
        <v>1.9254899880460385</v>
      </c>
      <c r="N120">
        <f t="shared" si="18"/>
        <v>3.7075116940655337</v>
      </c>
    </row>
    <row r="121" spans="1:14" x14ac:dyDescent="0.45">
      <c r="A121" s="23">
        <v>42251</v>
      </c>
      <c r="B121">
        <v>111.28</v>
      </c>
      <c r="C121">
        <v>111.23</v>
      </c>
      <c r="G121">
        <f t="shared" ref="G121:K121" si="72">SUMPRODUCT($B121:$B125,P$2:P$6)</f>
        <v>51.12493664981794</v>
      </c>
      <c r="H121">
        <f t="shared" si="72"/>
        <v>51.024972188826915</v>
      </c>
      <c r="I121">
        <f t="shared" si="72"/>
        <v>48.823196473420111</v>
      </c>
      <c r="J121">
        <f t="shared" si="72"/>
        <v>50.462217272942652</v>
      </c>
      <c r="K121">
        <f t="shared" si="72"/>
        <v>47.91461044766438</v>
      </c>
      <c r="L121">
        <f t="shared" si="15"/>
        <v>111.40159254405009</v>
      </c>
      <c r="M121">
        <f t="shared" si="17"/>
        <v>1.7484074559499163</v>
      </c>
      <c r="N121">
        <f t="shared" si="18"/>
        <v>3.0569286320212585</v>
      </c>
    </row>
    <row r="122" spans="1:14" x14ac:dyDescent="0.45">
      <c r="A122" s="23">
        <v>42250</v>
      </c>
      <c r="B122">
        <v>113.61</v>
      </c>
      <c r="C122">
        <v>112.89</v>
      </c>
      <c r="G122">
        <f t="shared" ref="G122:K122" si="73">SUMPRODUCT($B122:$B126,P$2:P$6)</f>
        <v>52.191083739154337</v>
      </c>
      <c r="H122">
        <f t="shared" si="73"/>
        <v>52.088942649175323</v>
      </c>
      <c r="I122">
        <f t="shared" si="73"/>
        <v>49.841179487387983</v>
      </c>
      <c r="J122">
        <f t="shared" si="73"/>
        <v>51.514362917763577</v>
      </c>
      <c r="K122">
        <f t="shared" si="73"/>
        <v>48.913564051112367</v>
      </c>
      <c r="L122">
        <f t="shared" si="15"/>
        <v>113.66002340083453</v>
      </c>
      <c r="M122">
        <f t="shared" si="17"/>
        <v>-2.3800234008345313</v>
      </c>
      <c r="N122">
        <f t="shared" si="18"/>
        <v>5.6645113885199683</v>
      </c>
    </row>
    <row r="123" spans="1:14" x14ac:dyDescent="0.45">
      <c r="A123" s="23">
        <v>42249</v>
      </c>
      <c r="B123">
        <v>112.48</v>
      </c>
      <c r="C123">
        <v>113.38</v>
      </c>
      <c r="G123">
        <f t="shared" ref="G123:K123" si="74">SUMPRODUCT($B123:$B127,P$2:P$6)</f>
        <v>51.677022357188406</v>
      </c>
      <c r="H123">
        <f t="shared" si="74"/>
        <v>51.575996878834879</v>
      </c>
      <c r="I123">
        <f t="shared" si="74"/>
        <v>49.35045871251566</v>
      </c>
      <c r="J123">
        <f t="shared" si="74"/>
        <v>51.007179339772399</v>
      </c>
      <c r="K123">
        <f t="shared" si="74"/>
        <v>48.43207557921194</v>
      </c>
      <c r="L123">
        <f t="shared" si="15"/>
        <v>112.57129040418825</v>
      </c>
      <c r="M123">
        <f t="shared" si="17"/>
        <v>1.0387095958117527</v>
      </c>
      <c r="N123">
        <f t="shared" si="18"/>
        <v>1.0789176244314147</v>
      </c>
    </row>
    <row r="124" spans="1:14" x14ac:dyDescent="0.45">
      <c r="A124" s="23">
        <v>42248</v>
      </c>
      <c r="B124">
        <v>111.25</v>
      </c>
      <c r="C124">
        <v>110.36</v>
      </c>
      <c r="G124">
        <f t="shared" ref="G124:K124" si="75">SUMPRODUCT($B124:$B128,P$2:P$6)</f>
        <v>51.097404861743605</v>
      </c>
      <c r="H124">
        <f t="shared" si="75"/>
        <v>50.997201146328365</v>
      </c>
      <c r="I124">
        <f t="shared" si="75"/>
        <v>48.796381278494437</v>
      </c>
      <c r="J124">
        <f t="shared" si="75"/>
        <v>50.434470826609477</v>
      </c>
      <c r="K124">
        <f t="shared" si="75"/>
        <v>47.888023384714749</v>
      </c>
      <c r="L124">
        <f t="shared" si="15"/>
        <v>111.3423287737991</v>
      </c>
      <c r="M124">
        <f t="shared" si="17"/>
        <v>1.1376712262009079</v>
      </c>
      <c r="N124">
        <f t="shared" si="18"/>
        <v>1.2942958189254774</v>
      </c>
    </row>
    <row r="125" spans="1:14" x14ac:dyDescent="0.45">
      <c r="A125" s="23">
        <v>42247</v>
      </c>
      <c r="B125">
        <v>115.34</v>
      </c>
      <c r="C125">
        <v>114.99</v>
      </c>
      <c r="G125">
        <f t="shared" ref="G125:K125" si="76">SUMPRODUCT($B125:$B129,P$2:P$6)</f>
        <v>52.96371029918177</v>
      </c>
      <c r="H125">
        <f t="shared" si="76"/>
        <v>52.8595791655029</v>
      </c>
      <c r="I125">
        <f t="shared" si="76"/>
        <v>50.578167373224467</v>
      </c>
      <c r="J125">
        <f t="shared" si="76"/>
        <v>52.276051003850142</v>
      </c>
      <c r="K125">
        <f t="shared" si="76"/>
        <v>49.636400319434763</v>
      </c>
      <c r="L125">
        <f t="shared" si="15"/>
        <v>115.29537958924416</v>
      </c>
      <c r="M125">
        <f t="shared" si="17"/>
        <v>-4.0453795892441633</v>
      </c>
      <c r="N125">
        <f t="shared" si="18"/>
        <v>16.365096021073274</v>
      </c>
    </row>
    <row r="126" spans="1:14" x14ac:dyDescent="0.45">
      <c r="A126" s="23">
        <v>42244</v>
      </c>
      <c r="B126">
        <v>116.55</v>
      </c>
      <c r="C126">
        <v>116.51</v>
      </c>
      <c r="G126">
        <f t="shared" ref="G126:K126" si="77">SUMPRODUCT($B126:$B130,P$2:P$6)</f>
        <v>53.498470236535553</v>
      </c>
      <c r="H126">
        <f t="shared" si="77"/>
        <v>53.392838667173351</v>
      </c>
      <c r="I126">
        <f t="shared" si="77"/>
        <v>51.088040941360354</v>
      </c>
      <c r="J126">
        <f t="shared" si="77"/>
        <v>52.802995079687605</v>
      </c>
      <c r="K126">
        <f t="shared" si="77"/>
        <v>50.136368993472821</v>
      </c>
      <c r="L126">
        <f t="shared" si="15"/>
        <v>116.42686751669659</v>
      </c>
      <c r="M126">
        <f t="shared" si="17"/>
        <v>-1.0868675166965858</v>
      </c>
      <c r="N126">
        <f t="shared" si="18"/>
        <v>1.1812809988502031</v>
      </c>
    </row>
    <row r="127" spans="1:14" x14ac:dyDescent="0.45">
      <c r="A127" s="23">
        <v>42243</v>
      </c>
      <c r="B127">
        <v>116.8</v>
      </c>
      <c r="C127">
        <v>117.45</v>
      </c>
      <c r="G127">
        <f t="shared" ref="G127:K127" si="78">SUMPRODUCT($B127:$B131,P$2:P$6)</f>
        <v>53.646422885698776</v>
      </c>
      <c r="H127">
        <f t="shared" si="78"/>
        <v>53.541211335676053</v>
      </c>
      <c r="I127">
        <f t="shared" si="78"/>
        <v>51.230597101415441</v>
      </c>
      <c r="J127">
        <f t="shared" si="78"/>
        <v>52.950409571402091</v>
      </c>
      <c r="K127">
        <f t="shared" si="78"/>
        <v>50.276923989834195</v>
      </c>
      <c r="L127">
        <f t="shared" si="15"/>
        <v>116.7425775984772</v>
      </c>
      <c r="M127">
        <f t="shared" si="17"/>
        <v>-0.19257759847720024</v>
      </c>
      <c r="N127">
        <f t="shared" si="18"/>
        <v>3.7086131435245757E-2</v>
      </c>
    </row>
    <row r="128" spans="1:14" x14ac:dyDescent="0.45">
      <c r="A128" s="23">
        <v>42242</v>
      </c>
      <c r="B128">
        <v>111.47</v>
      </c>
      <c r="C128">
        <v>115.24</v>
      </c>
      <c r="G128">
        <f t="shared" ref="G128:K128" si="79">SUMPRODUCT($B128:$B132,P$2:P$6)</f>
        <v>51.234049876638949</v>
      </c>
      <c r="H128">
        <f t="shared" si="79"/>
        <v>51.134343674859892</v>
      </c>
      <c r="I128">
        <f t="shared" si="79"/>
        <v>48.928237046712979</v>
      </c>
      <c r="J128">
        <f t="shared" si="79"/>
        <v>50.570823751365872</v>
      </c>
      <c r="K128">
        <f t="shared" si="79"/>
        <v>48.018125671215351</v>
      </c>
      <c r="L128">
        <f t="shared" si="15"/>
        <v>111.63425394752015</v>
      </c>
      <c r="M128">
        <f t="shared" si="17"/>
        <v>5.1657460524798466</v>
      </c>
      <c r="N128">
        <f t="shared" si="18"/>
        <v>26.68493227871112</v>
      </c>
    </row>
    <row r="129" spans="1:14" x14ac:dyDescent="0.45">
      <c r="A129" s="23">
        <v>42241</v>
      </c>
      <c r="B129">
        <v>112.15</v>
      </c>
      <c r="C129">
        <v>108.42</v>
      </c>
      <c r="G129">
        <f t="shared" ref="G129:K129" si="80">SUMPRODUCT($B129:$B133,P$2:P$6)</f>
        <v>51.548806184971738</v>
      </c>
      <c r="H129">
        <f t="shared" si="80"/>
        <v>51.448536746805225</v>
      </c>
      <c r="I129">
        <f t="shared" si="80"/>
        <v>49.228915029452764</v>
      </c>
      <c r="J129">
        <f t="shared" si="80"/>
        <v>50.881601112867742</v>
      </c>
      <c r="K129">
        <f t="shared" si="80"/>
        <v>48.313254174027072</v>
      </c>
      <c r="L129">
        <f t="shared" si="15"/>
        <v>112.30125745203227</v>
      </c>
      <c r="M129">
        <f t="shared" si="17"/>
        <v>-0.83125745203227552</v>
      </c>
      <c r="N129">
        <f t="shared" si="18"/>
        <v>0.69098895155919082</v>
      </c>
    </row>
    <row r="130" spans="1:14" x14ac:dyDescent="0.45">
      <c r="A130" s="23">
        <v>42240</v>
      </c>
      <c r="B130">
        <v>107.5</v>
      </c>
      <c r="C130">
        <v>108.34</v>
      </c>
      <c r="G130">
        <f t="shared" ref="G130:K130" si="81">SUMPRODUCT($B130:$B134,P$2:P$6)</f>
        <v>49.430989875532021</v>
      </c>
      <c r="H130">
        <f t="shared" si="81"/>
        <v>49.335262108684319</v>
      </c>
      <c r="I130">
        <f t="shared" si="81"/>
        <v>47.207160197939579</v>
      </c>
      <c r="J130">
        <f t="shared" si="81"/>
        <v>48.792012820064244</v>
      </c>
      <c r="K130">
        <f t="shared" si="81"/>
        <v>46.329487932504271</v>
      </c>
      <c r="L130">
        <f t="shared" ref="L130:L193" si="82">(G130+$P$7)*$U$2+(H130+$Q$7)*$U$3+(I130+$R$7)*$U$4+(J130+$S$7)*$U$5+(K130+$T$7)*$U$6+$U$7</f>
        <v>107.81575175362111</v>
      </c>
      <c r="M130">
        <f t="shared" si="17"/>
        <v>4.3342482463788912</v>
      </c>
      <c r="N130">
        <f t="shared" si="18"/>
        <v>18.785707861238492</v>
      </c>
    </row>
    <row r="131" spans="1:14" x14ac:dyDescent="0.45">
      <c r="A131" s="23">
        <v>42237</v>
      </c>
      <c r="B131">
        <v>117</v>
      </c>
      <c r="C131">
        <v>114.51</v>
      </c>
      <c r="G131">
        <f t="shared" ref="G131:K131" si="83">SUMPRODUCT($B131:$B135,P$2:P$6)</f>
        <v>53.753646568310138</v>
      </c>
      <c r="H131">
        <f t="shared" si="83"/>
        <v>53.648562075637628</v>
      </c>
      <c r="I131">
        <f t="shared" si="83"/>
        <v>51.333591667544155</v>
      </c>
      <c r="J131">
        <f t="shared" si="83"/>
        <v>53.056886736217997</v>
      </c>
      <c r="K131">
        <f t="shared" si="83"/>
        <v>50.378303260264246</v>
      </c>
      <c r="L131">
        <f t="shared" si="82"/>
        <v>116.97080271251865</v>
      </c>
      <c r="M131">
        <f t="shared" ref="M131:M194" si="84">B130-L131</f>
        <v>-9.4708027125186476</v>
      </c>
      <c r="N131">
        <f t="shared" ref="N131:N194" si="85">M131^2</f>
        <v>89.696104019450573</v>
      </c>
    </row>
    <row r="132" spans="1:14" x14ac:dyDescent="0.45">
      <c r="A132" s="23">
        <v>42236</v>
      </c>
      <c r="B132">
        <v>121.63</v>
      </c>
      <c r="C132">
        <v>118.7</v>
      </c>
      <c r="G132">
        <f t="shared" ref="G132:K132" si="86">SUMPRODUCT($B132:$B136,P$2:P$6)</f>
        <v>55.860271334179963</v>
      </c>
      <c r="H132">
        <f t="shared" si="86"/>
        <v>55.750623783017524</v>
      </c>
      <c r="I132">
        <f t="shared" si="86"/>
        <v>53.344581761093579</v>
      </c>
      <c r="J132">
        <f t="shared" si="86"/>
        <v>55.135346964674525</v>
      </c>
      <c r="K132">
        <f t="shared" si="86"/>
        <v>52.351465674969553</v>
      </c>
      <c r="L132">
        <f t="shared" si="82"/>
        <v>121.43246167063162</v>
      </c>
      <c r="M132">
        <f t="shared" si="84"/>
        <v>-4.4324616706316249</v>
      </c>
      <c r="N132">
        <f t="shared" si="85"/>
        <v>19.646716461618496</v>
      </c>
    </row>
    <row r="133" spans="1:14" x14ac:dyDescent="0.45">
      <c r="A133" s="23">
        <v>42235</v>
      </c>
      <c r="B133">
        <v>122.99</v>
      </c>
      <c r="C133">
        <v>123.14</v>
      </c>
      <c r="G133">
        <f t="shared" ref="G133:K133" si="87">SUMPRODUCT($B133:$B137,P$2:P$6)</f>
        <v>56.478824588671642</v>
      </c>
      <c r="H133">
        <f t="shared" si="87"/>
        <v>56.367831851260036</v>
      </c>
      <c r="I133">
        <f t="shared" si="87"/>
        <v>53.935044964182076</v>
      </c>
      <c r="J133">
        <f t="shared" si="87"/>
        <v>55.745619651288976</v>
      </c>
      <c r="K133">
        <f t="shared" si="87"/>
        <v>52.930817239252747</v>
      </c>
      <c r="L133">
        <f t="shared" si="82"/>
        <v>122.74248972845781</v>
      </c>
      <c r="M133">
        <f t="shared" si="84"/>
        <v>-1.1124897284578168</v>
      </c>
      <c r="N133">
        <f t="shared" si="85"/>
        <v>1.237633395924147</v>
      </c>
    </row>
    <row r="134" spans="1:14" x14ac:dyDescent="0.45">
      <c r="A134" s="23">
        <v>42234</v>
      </c>
      <c r="B134">
        <v>123.34</v>
      </c>
      <c r="C134">
        <v>123.32</v>
      </c>
      <c r="G134">
        <f t="shared" ref="G134:K134" si="88">SUMPRODUCT($B134:$B138,P$2:P$6)</f>
        <v>56.637142576444532</v>
      </c>
      <c r="H134">
        <f t="shared" si="88"/>
        <v>56.525786633655173</v>
      </c>
      <c r="I134">
        <f t="shared" si="88"/>
        <v>54.086139654239723</v>
      </c>
      <c r="J134">
        <f t="shared" si="88"/>
        <v>55.901781494178941</v>
      </c>
      <c r="K134">
        <f t="shared" si="88"/>
        <v>53.079051276659072</v>
      </c>
      <c r="L134">
        <f t="shared" si="82"/>
        <v>123.07772974299834</v>
      </c>
      <c r="M134">
        <f t="shared" si="84"/>
        <v>-8.772974299834857E-2</v>
      </c>
      <c r="N134">
        <f t="shared" si="85"/>
        <v>7.6965078065562896E-3</v>
      </c>
    </row>
    <row r="135" spans="1:14" x14ac:dyDescent="0.45">
      <c r="A135" s="23">
        <v>42233</v>
      </c>
      <c r="B135">
        <v>121.49</v>
      </c>
      <c r="C135">
        <v>123.01</v>
      </c>
      <c r="G135">
        <f t="shared" ref="G135:K135" si="89">SUMPRODUCT($B135:$B139,P$2:P$6)</f>
        <v>55.796256492816759</v>
      </c>
      <c r="H135">
        <f t="shared" si="89"/>
        <v>55.686740012011846</v>
      </c>
      <c r="I135">
        <f t="shared" si="89"/>
        <v>53.283459670322706</v>
      </c>
      <c r="J135">
        <f t="shared" si="89"/>
        <v>55.072173505909625</v>
      </c>
      <c r="K135">
        <f t="shared" si="89"/>
        <v>52.291487103918065</v>
      </c>
      <c r="L135">
        <f t="shared" si="82"/>
        <v>121.29685991064997</v>
      </c>
      <c r="M135">
        <f t="shared" si="84"/>
        <v>2.0431400893500324</v>
      </c>
      <c r="N135">
        <f t="shared" si="85"/>
        <v>4.1744214247092586</v>
      </c>
    </row>
    <row r="136" spans="1:14" x14ac:dyDescent="0.45">
      <c r="A136" s="23">
        <v>42230</v>
      </c>
      <c r="B136">
        <v>120.56</v>
      </c>
      <c r="C136">
        <v>121.65</v>
      </c>
      <c r="G136">
        <f t="shared" ref="G136:K136" si="90">SUMPRODUCT($B136:$B140,P$2:P$6)</f>
        <v>55.375450978926828</v>
      </c>
      <c r="H136">
        <f t="shared" si="90"/>
        <v>55.266896876282459</v>
      </c>
      <c r="I136">
        <f t="shared" si="90"/>
        <v>52.881848176225056</v>
      </c>
      <c r="J136">
        <f t="shared" si="90"/>
        <v>54.657092322257505</v>
      </c>
      <c r="K136">
        <f t="shared" si="90"/>
        <v>51.897476628300431</v>
      </c>
      <c r="L136">
        <f t="shared" si="82"/>
        <v>120.40578992148136</v>
      </c>
      <c r="M136">
        <f t="shared" si="84"/>
        <v>1.0842100785186375</v>
      </c>
      <c r="N136">
        <f t="shared" si="85"/>
        <v>1.17551149436139</v>
      </c>
    </row>
    <row r="137" spans="1:14" x14ac:dyDescent="0.45">
      <c r="A137" s="23">
        <v>42229</v>
      </c>
      <c r="B137">
        <v>120.22</v>
      </c>
      <c r="C137">
        <v>120.66</v>
      </c>
      <c r="G137">
        <f t="shared" ref="G137:K137" si="91">SUMPRODUCT($B137:$B141,P$2:P$6)</f>
        <v>55.220006829849943</v>
      </c>
      <c r="H137">
        <f t="shared" si="91"/>
        <v>55.111773546392406</v>
      </c>
      <c r="I137">
        <f t="shared" si="91"/>
        <v>52.733432361617659</v>
      </c>
      <c r="J137">
        <f t="shared" si="91"/>
        <v>54.503695227188729</v>
      </c>
      <c r="K137">
        <f t="shared" si="91"/>
        <v>51.751837724060636</v>
      </c>
      <c r="L137">
        <f t="shared" si="82"/>
        <v>120.07652105265305</v>
      </c>
      <c r="M137">
        <f t="shared" si="84"/>
        <v>0.48347894734695274</v>
      </c>
      <c r="N137">
        <f t="shared" si="85"/>
        <v>0.2337518925277175</v>
      </c>
    </row>
    <row r="138" spans="1:14" x14ac:dyDescent="0.45">
      <c r="A138" s="23">
        <v>42228</v>
      </c>
      <c r="B138">
        <v>119.89</v>
      </c>
      <c r="C138">
        <v>120.78</v>
      </c>
      <c r="G138">
        <f t="shared" ref="G138:K138" si="92">SUMPRODUCT($B138:$B142,P$2:P$6)</f>
        <v>55.086776570364172</v>
      </c>
      <c r="H138">
        <f t="shared" si="92"/>
        <v>54.979199013532956</v>
      </c>
      <c r="I138">
        <f t="shared" si="92"/>
        <v>52.60690468158429</v>
      </c>
      <c r="J138">
        <f t="shared" si="92"/>
        <v>54.372958594792038</v>
      </c>
      <c r="K138">
        <f t="shared" si="92"/>
        <v>51.628026548653473</v>
      </c>
      <c r="L138">
        <f t="shared" si="82"/>
        <v>119.79551838367969</v>
      </c>
      <c r="M138">
        <f t="shared" si="84"/>
        <v>0.4244816163203069</v>
      </c>
      <c r="N138">
        <f t="shared" si="85"/>
        <v>0.18018464259390024</v>
      </c>
    </row>
    <row r="139" spans="1:14" x14ac:dyDescent="0.45">
      <c r="A139" s="23">
        <v>42227</v>
      </c>
      <c r="B139">
        <v>120.5</v>
      </c>
      <c r="C139">
        <v>121.13</v>
      </c>
      <c r="G139">
        <f t="shared" ref="G139:K139" si="93">SUMPRODUCT($B139:$B143,P$2:P$6)</f>
        <v>55.365657447836341</v>
      </c>
      <c r="H139">
        <f t="shared" si="93"/>
        <v>55.257507026911192</v>
      </c>
      <c r="I139">
        <f t="shared" si="93"/>
        <v>52.873180219600854</v>
      </c>
      <c r="J139">
        <f t="shared" si="93"/>
        <v>54.648167057899677</v>
      </c>
      <c r="K139">
        <f t="shared" si="93"/>
        <v>51.889319666475032</v>
      </c>
      <c r="L139">
        <f t="shared" si="82"/>
        <v>120.38626115796943</v>
      </c>
      <c r="M139">
        <f t="shared" si="84"/>
        <v>-0.49626115796942827</v>
      </c>
      <c r="N139">
        <f t="shared" si="85"/>
        <v>0.24627513690915784</v>
      </c>
    </row>
    <row r="140" spans="1:14" x14ac:dyDescent="0.45">
      <c r="A140" s="23">
        <v>42226</v>
      </c>
      <c r="B140">
        <v>121.34</v>
      </c>
      <c r="C140">
        <v>121.49</v>
      </c>
      <c r="G140">
        <f t="shared" ref="G140:K140" si="94">SUMPRODUCT($B140:$B144,P$2:P$6)</f>
        <v>55.732806044027804</v>
      </c>
      <c r="H140">
        <f t="shared" si="94"/>
        <v>55.62353397626422</v>
      </c>
      <c r="I140">
        <f t="shared" si="94"/>
        <v>53.223079621105725</v>
      </c>
      <c r="J140">
        <f t="shared" si="94"/>
        <v>55.009775532021841</v>
      </c>
      <c r="K140">
        <f t="shared" si="94"/>
        <v>52.232338034777605</v>
      </c>
      <c r="L140">
        <f t="shared" si="82"/>
        <v>121.16281410876311</v>
      </c>
      <c r="M140">
        <f t="shared" si="84"/>
        <v>-0.66281410876311497</v>
      </c>
      <c r="N140">
        <f t="shared" si="85"/>
        <v>0.43932254277544242</v>
      </c>
    </row>
    <row r="141" spans="1:14" x14ac:dyDescent="0.45">
      <c r="A141" s="23">
        <v>42223</v>
      </c>
      <c r="B141">
        <v>121.2</v>
      </c>
      <c r="C141">
        <v>121.04</v>
      </c>
      <c r="G141">
        <f t="shared" ref="G141:K141" si="95">SUMPRODUCT($B141:$B145,P$2:P$6)</f>
        <v>55.668934462300861</v>
      </c>
      <c r="H141">
        <f t="shared" si="95"/>
        <v>55.559795030391513</v>
      </c>
      <c r="I141">
        <f t="shared" si="95"/>
        <v>53.162097940980033</v>
      </c>
      <c r="J141">
        <f t="shared" si="95"/>
        <v>54.946750726893875</v>
      </c>
      <c r="K141">
        <f t="shared" si="95"/>
        <v>52.172500183599894</v>
      </c>
      <c r="L141">
        <f t="shared" si="82"/>
        <v>121.02752413402997</v>
      </c>
      <c r="M141">
        <f t="shared" si="84"/>
        <v>0.31247586597002908</v>
      </c>
      <c r="N141">
        <f t="shared" si="85"/>
        <v>9.7641166813719579E-2</v>
      </c>
    </row>
    <row r="142" spans="1:14" x14ac:dyDescent="0.45">
      <c r="A142" s="23">
        <v>42222</v>
      </c>
      <c r="B142">
        <v>125.99</v>
      </c>
      <c r="C142">
        <v>121.6</v>
      </c>
      <c r="G142">
        <f t="shared" ref="G142:K142" si="96">SUMPRODUCT($B142:$B146,P$2:P$6)</f>
        <v>57.83214186038996</v>
      </c>
      <c r="H142">
        <f t="shared" si="96"/>
        <v>57.717965616188799</v>
      </c>
      <c r="I142">
        <f t="shared" si="96"/>
        <v>55.226475909801906</v>
      </c>
      <c r="J142">
        <f t="shared" si="96"/>
        <v>57.080352757146514</v>
      </c>
      <c r="K142">
        <f t="shared" si="96"/>
        <v>54.197723653776265</v>
      </c>
      <c r="L142">
        <f t="shared" si="82"/>
        <v>125.60790136153173</v>
      </c>
      <c r="M142">
        <f t="shared" si="84"/>
        <v>-4.407901361531728</v>
      </c>
      <c r="N142">
        <f t="shared" si="85"/>
        <v>19.429594412993261</v>
      </c>
    </row>
    <row r="143" spans="1:14" x14ac:dyDescent="0.45">
      <c r="A143" s="23">
        <v>42221</v>
      </c>
      <c r="B143">
        <v>126.24</v>
      </c>
      <c r="C143">
        <v>126.79</v>
      </c>
      <c r="G143">
        <f t="shared" ref="G143:K143" si="97">SUMPRODUCT($B143:$B147,P$2:P$6)</f>
        <v>57.915233709236425</v>
      </c>
      <c r="H143">
        <f t="shared" si="97"/>
        <v>57.800209567625821</v>
      </c>
      <c r="I143">
        <f t="shared" si="97"/>
        <v>55.304605951569251</v>
      </c>
      <c r="J143">
        <f t="shared" si="97"/>
        <v>57.161043350834419</v>
      </c>
      <c r="K143">
        <f t="shared" si="97"/>
        <v>54.273774554838361</v>
      </c>
      <c r="L143">
        <f t="shared" si="82"/>
        <v>125.78176218693753</v>
      </c>
      <c r="M143">
        <f t="shared" si="84"/>
        <v>0.20823781306246758</v>
      </c>
      <c r="N143">
        <f t="shared" si="85"/>
        <v>4.3362986789039194E-2</v>
      </c>
    </row>
    <row r="144" spans="1:14" x14ac:dyDescent="0.45">
      <c r="A144" s="23">
        <v>42220</v>
      </c>
      <c r="B144">
        <v>121.87</v>
      </c>
      <c r="C144">
        <v>124.56</v>
      </c>
      <c r="G144">
        <f t="shared" ref="G144:K144" si="98">SUMPRODUCT($B144:$B148,P$2:P$6)</f>
        <v>55.922725149434179</v>
      </c>
      <c r="H144">
        <f t="shared" si="98"/>
        <v>55.811921477229859</v>
      </c>
      <c r="I144">
        <f t="shared" si="98"/>
        <v>53.402382659515524</v>
      </c>
      <c r="J144">
        <f t="shared" si="98"/>
        <v>55.194995655756649</v>
      </c>
      <c r="K144">
        <f t="shared" si="98"/>
        <v>52.407250190155814</v>
      </c>
      <c r="L144">
        <f t="shared" si="82"/>
        <v>121.56149456367474</v>
      </c>
      <c r="M144">
        <f t="shared" si="84"/>
        <v>4.6785054363252527</v>
      </c>
      <c r="N144">
        <f t="shared" si="85"/>
        <v>21.888413117724944</v>
      </c>
    </row>
    <row r="145" spans="1:14" x14ac:dyDescent="0.45">
      <c r="A145" s="23">
        <v>42219</v>
      </c>
      <c r="B145">
        <v>121.85</v>
      </c>
      <c r="C145">
        <v>122.59</v>
      </c>
      <c r="G145">
        <f t="shared" ref="G145:K145" si="99">SUMPRODUCT($B145:$B149,P$2:P$6)</f>
        <v>55.907665595685259</v>
      </c>
      <c r="H145">
        <f t="shared" si="99"/>
        <v>55.79676503481155</v>
      </c>
      <c r="I145">
        <f t="shared" si="99"/>
        <v>53.387776004307206</v>
      </c>
      <c r="J145">
        <f t="shared" si="99"/>
        <v>55.179883330366629</v>
      </c>
      <c r="K145">
        <f t="shared" si="99"/>
        <v>52.392799783530087</v>
      </c>
      <c r="L145">
        <f t="shared" si="82"/>
        <v>121.52918647510397</v>
      </c>
      <c r="M145">
        <f t="shared" si="84"/>
        <v>0.34081352489603489</v>
      </c>
      <c r="N145">
        <f t="shared" si="85"/>
        <v>0.11615385875206019</v>
      </c>
    </row>
    <row r="146" spans="1:14" x14ac:dyDescent="0.45">
      <c r="A146" s="23">
        <v>42216</v>
      </c>
      <c r="B146">
        <v>116.36</v>
      </c>
      <c r="C146">
        <v>121.44</v>
      </c>
      <c r="G146">
        <f t="shared" ref="G146:K146" si="100">SUMPRODUCT($B146:$B150,P$2:P$6)</f>
        <v>53.404757420612512</v>
      </c>
      <c r="H146">
        <f t="shared" si="100"/>
        <v>53.299168287313989</v>
      </c>
      <c r="I146">
        <f t="shared" si="100"/>
        <v>50.99829702419742</v>
      </c>
      <c r="J146">
        <f t="shared" si="100"/>
        <v>52.710227905712799</v>
      </c>
      <c r="K146">
        <f t="shared" si="100"/>
        <v>50.048168980260748</v>
      </c>
      <c r="L146">
        <f t="shared" si="82"/>
        <v>116.22788435944146</v>
      </c>
      <c r="M146">
        <f t="shared" si="84"/>
        <v>5.6221156405585333</v>
      </c>
      <c r="N146">
        <f t="shared" si="85"/>
        <v>31.608184275812889</v>
      </c>
    </row>
    <row r="147" spans="1:14" x14ac:dyDescent="0.45">
      <c r="A147" s="23">
        <v>42215</v>
      </c>
      <c r="B147">
        <v>107.75</v>
      </c>
      <c r="C147">
        <v>107.61</v>
      </c>
      <c r="G147">
        <f t="shared" ref="G147:K147" si="101">SUMPRODUCT($B147:$B151,P$2:P$6)</f>
        <v>49.49355978148423</v>
      </c>
      <c r="H147">
        <f t="shared" si="101"/>
        <v>49.396577724996327</v>
      </c>
      <c r="I147">
        <f t="shared" si="101"/>
        <v>47.264897840564345</v>
      </c>
      <c r="J147">
        <f t="shared" si="101"/>
        <v>48.851586068520341</v>
      </c>
      <c r="K147">
        <f t="shared" si="101"/>
        <v>46.38512234198393</v>
      </c>
      <c r="L147">
        <f t="shared" si="82"/>
        <v>107.94472005992503</v>
      </c>
      <c r="M147">
        <f t="shared" si="84"/>
        <v>8.4152799400749672</v>
      </c>
      <c r="N147">
        <f t="shared" si="85"/>
        <v>70.81693646982815</v>
      </c>
    </row>
    <row r="148" spans="1:14" x14ac:dyDescent="0.45">
      <c r="A148" s="23">
        <v>42214</v>
      </c>
      <c r="B148">
        <v>107.46</v>
      </c>
      <c r="C148">
        <v>106.87</v>
      </c>
      <c r="G148">
        <f t="shared" ref="G148:K148" si="102">SUMPRODUCT($B148:$B152,P$2:P$6)</f>
        <v>49.369425277875109</v>
      </c>
      <c r="H148">
        <f t="shared" si="102"/>
        <v>49.272883235312833</v>
      </c>
      <c r="I148">
        <f t="shared" si="102"/>
        <v>47.146703276930737</v>
      </c>
      <c r="J148">
        <f t="shared" si="102"/>
        <v>48.729439967871684</v>
      </c>
      <c r="K148">
        <f t="shared" si="102"/>
        <v>46.269306346894993</v>
      </c>
      <c r="L148">
        <f t="shared" si="82"/>
        <v>107.6823553796491</v>
      </c>
      <c r="M148">
        <f t="shared" si="84"/>
        <v>6.7644620350904461E-2</v>
      </c>
      <c r="N148">
        <f t="shared" si="85"/>
        <v>4.5757946624179983E-3</v>
      </c>
    </row>
    <row r="149" spans="1:14" x14ac:dyDescent="0.45">
      <c r="A149" s="23">
        <v>42213</v>
      </c>
      <c r="B149">
        <v>105.8</v>
      </c>
      <c r="C149">
        <v>107.17</v>
      </c>
      <c r="G149">
        <f t="shared" ref="G149:K149" si="103">SUMPRODUCT($B149:$B153,P$2:P$6)</f>
        <v>48.606565079999896</v>
      </c>
      <c r="H149">
        <f t="shared" si="103"/>
        <v>48.511511817298164</v>
      </c>
      <c r="I149">
        <f t="shared" si="103"/>
        <v>46.418182972709978</v>
      </c>
      <c r="J149">
        <f t="shared" si="103"/>
        <v>47.976461619234911</v>
      </c>
      <c r="K149">
        <f t="shared" si="103"/>
        <v>45.554339267528903</v>
      </c>
      <c r="L149">
        <f t="shared" si="82"/>
        <v>106.06615901153593</v>
      </c>
      <c r="M149">
        <f t="shared" si="84"/>
        <v>1.3938409884640635</v>
      </c>
      <c r="N149">
        <f t="shared" si="85"/>
        <v>1.9427927011224775</v>
      </c>
    </row>
    <row r="150" spans="1:14" x14ac:dyDescent="0.45">
      <c r="A150" s="23">
        <v>42212</v>
      </c>
      <c r="B150">
        <v>105.51</v>
      </c>
      <c r="C150">
        <v>104.92</v>
      </c>
      <c r="G150">
        <f t="shared" ref="G150:K150" si="104">SUMPRODUCT($B150:$B154,P$2:P$6)</f>
        <v>48.474551296396477</v>
      </c>
      <c r="H150">
        <f t="shared" si="104"/>
        <v>48.379781718740318</v>
      </c>
      <c r="I150">
        <f t="shared" si="104"/>
        <v>46.292158412450995</v>
      </c>
      <c r="J150">
        <f t="shared" si="104"/>
        <v>47.846210902644422</v>
      </c>
      <c r="K150">
        <f t="shared" si="104"/>
        <v>45.43068405860538</v>
      </c>
      <c r="L150">
        <f t="shared" si="82"/>
        <v>105.78655905441651</v>
      </c>
      <c r="M150">
        <f t="shared" si="84"/>
        <v>1.3440945583482744E-2</v>
      </c>
      <c r="N150">
        <f t="shared" si="85"/>
        <v>1.8065901817814427E-4</v>
      </c>
    </row>
    <row r="151" spans="1:14" x14ac:dyDescent="0.45">
      <c r="A151" s="23">
        <v>42209</v>
      </c>
      <c r="B151">
        <v>109</v>
      </c>
      <c r="C151">
        <v>105.7</v>
      </c>
      <c r="G151">
        <f t="shared" ref="G151:K151" si="105">SUMPRODUCT($B151:$B155,P$2:P$6)</f>
        <v>50.067285108874891</v>
      </c>
      <c r="H151">
        <f t="shared" si="105"/>
        <v>49.969170488893816</v>
      </c>
      <c r="I151">
        <f t="shared" si="105"/>
        <v>47.81277349822723</v>
      </c>
      <c r="J151">
        <f t="shared" si="105"/>
        <v>49.417852022210774</v>
      </c>
      <c r="K151">
        <f t="shared" si="105"/>
        <v>46.922791114302079</v>
      </c>
      <c r="L151">
        <f t="shared" si="82"/>
        <v>109.16017137516957</v>
      </c>
      <c r="M151">
        <f t="shared" si="84"/>
        <v>-3.6501713751695632</v>
      </c>
      <c r="N151">
        <f t="shared" si="85"/>
        <v>13.32375106810726</v>
      </c>
    </row>
    <row r="152" spans="1:14" x14ac:dyDescent="0.45">
      <c r="A152" s="23">
        <v>42208</v>
      </c>
      <c r="B152">
        <v>111.24</v>
      </c>
      <c r="C152">
        <v>109.52</v>
      </c>
      <c r="G152">
        <f t="shared" ref="G152:K152" si="106">SUMPRODUCT($B152:$B156,P$2:P$6)</f>
        <v>51.088908082324387</v>
      </c>
      <c r="H152">
        <f t="shared" si="106"/>
        <v>50.98863412220706</v>
      </c>
      <c r="I152">
        <f t="shared" si="106"/>
        <v>48.788112997818601</v>
      </c>
      <c r="J152">
        <f t="shared" si="106"/>
        <v>50.425918846394254</v>
      </c>
      <c r="K152">
        <f t="shared" si="106"/>
        <v>47.8798323871642</v>
      </c>
      <c r="L152">
        <f t="shared" si="82"/>
        <v>111.3240545598298</v>
      </c>
      <c r="M152">
        <f t="shared" si="84"/>
        <v>-2.3240545598298041</v>
      </c>
      <c r="N152">
        <f t="shared" si="85"/>
        <v>5.4012295970657043</v>
      </c>
    </row>
    <row r="153" spans="1:14" x14ac:dyDescent="0.45">
      <c r="A153" s="23">
        <v>42207</v>
      </c>
      <c r="B153">
        <v>109.46</v>
      </c>
      <c r="C153">
        <v>110.66</v>
      </c>
      <c r="G153">
        <f t="shared" ref="G153:K153" si="107">SUMPRODUCT($B153:$B157,P$2:P$6)</f>
        <v>50.270645913203182</v>
      </c>
      <c r="H153">
        <f t="shared" si="107"/>
        <v>50.171962395747954</v>
      </c>
      <c r="I153">
        <f t="shared" si="107"/>
        <v>48.00667335845619</v>
      </c>
      <c r="J153">
        <f t="shared" si="107"/>
        <v>49.618244362517281</v>
      </c>
      <c r="K153">
        <f t="shared" si="107"/>
        <v>47.112925523926265</v>
      </c>
      <c r="L153">
        <f t="shared" si="82"/>
        <v>109.59046389991722</v>
      </c>
      <c r="M153">
        <f t="shared" si="84"/>
        <v>1.64953610008277</v>
      </c>
      <c r="N153">
        <f t="shared" si="85"/>
        <v>2.720969345476274</v>
      </c>
    </row>
    <row r="154" spans="1:14" x14ac:dyDescent="0.45">
      <c r="A154" s="23">
        <v>42206</v>
      </c>
      <c r="B154">
        <v>109.5</v>
      </c>
      <c r="C154">
        <v>110.09</v>
      </c>
      <c r="G154">
        <f t="shared" ref="G154:K154" si="108">SUMPRODUCT($B154:$B158,P$2:P$6)</f>
        <v>50.284182717803894</v>
      </c>
      <c r="H154">
        <f t="shared" si="108"/>
        <v>50.185367777364547</v>
      </c>
      <c r="I154">
        <f t="shared" si="108"/>
        <v>48.019413898538403</v>
      </c>
      <c r="J154">
        <f t="shared" si="108"/>
        <v>49.631404008309133</v>
      </c>
      <c r="K154">
        <f t="shared" si="108"/>
        <v>47.125333747165406</v>
      </c>
      <c r="L154">
        <f t="shared" si="82"/>
        <v>109.61881032607211</v>
      </c>
      <c r="M154">
        <f t="shared" si="84"/>
        <v>-0.15881032607211409</v>
      </c>
      <c r="N154">
        <f t="shared" si="85"/>
        <v>2.52207196671312E-2</v>
      </c>
    </row>
    <row r="155" spans="1:14" x14ac:dyDescent="0.45">
      <c r="A155" s="23">
        <v>42205</v>
      </c>
      <c r="B155">
        <v>110.14</v>
      </c>
      <c r="C155">
        <v>109.56</v>
      </c>
      <c r="G155">
        <f t="shared" ref="G155:K155" si="109">SUMPRODUCT($B155:$B159,P$2:P$6)</f>
        <v>50.587479486261742</v>
      </c>
      <c r="H155">
        <f t="shared" si="109"/>
        <v>50.488269798670416</v>
      </c>
      <c r="I155">
        <f t="shared" si="109"/>
        <v>48.309409269109167</v>
      </c>
      <c r="J155">
        <f t="shared" si="109"/>
        <v>49.931154377351916</v>
      </c>
      <c r="K155">
        <f t="shared" si="109"/>
        <v>47.410114844757686</v>
      </c>
      <c r="L155">
        <f t="shared" si="82"/>
        <v>110.26200246350727</v>
      </c>
      <c r="M155">
        <f t="shared" si="84"/>
        <v>-0.76200246350727241</v>
      </c>
      <c r="N155">
        <f t="shared" si="85"/>
        <v>0.58064775439115202</v>
      </c>
    </row>
    <row r="156" spans="1:14" x14ac:dyDescent="0.45">
      <c r="A156" s="23">
        <v>42202</v>
      </c>
      <c r="B156">
        <v>110.37</v>
      </c>
      <c r="C156">
        <v>110.79</v>
      </c>
      <c r="G156">
        <f t="shared" ref="G156:K156" si="110">SUMPRODUCT($B156:$B160,P$2:P$6)</f>
        <v>50.687422865336238</v>
      </c>
      <c r="H156">
        <f t="shared" si="110"/>
        <v>50.587896037430859</v>
      </c>
      <c r="I156">
        <f t="shared" si="110"/>
        <v>48.404635750888971</v>
      </c>
      <c r="J156">
        <f t="shared" si="110"/>
        <v>50.029563009845326</v>
      </c>
      <c r="K156">
        <f t="shared" si="110"/>
        <v>47.503456372706452</v>
      </c>
      <c r="L156">
        <f t="shared" si="82"/>
        <v>110.47335175357956</v>
      </c>
      <c r="M156">
        <f t="shared" si="84"/>
        <v>-0.33335175357956359</v>
      </c>
      <c r="N156">
        <f t="shared" si="85"/>
        <v>0.11112339161457009</v>
      </c>
    </row>
    <row r="157" spans="1:14" x14ac:dyDescent="0.45">
      <c r="A157" s="23">
        <v>42201</v>
      </c>
      <c r="B157">
        <v>108.39</v>
      </c>
      <c r="C157">
        <v>110.05</v>
      </c>
      <c r="G157">
        <f t="shared" ref="G157:K157" si="111">SUMPRODUCT($B157:$B161,P$2:P$6)</f>
        <v>49.774722936139888</v>
      </c>
      <c r="H157">
        <f t="shared" si="111"/>
        <v>49.676915711491468</v>
      </c>
      <c r="I157">
        <f t="shared" si="111"/>
        <v>47.532911377560005</v>
      </c>
      <c r="J157">
        <f t="shared" si="111"/>
        <v>49.128569607930864</v>
      </c>
      <c r="K157">
        <f t="shared" si="111"/>
        <v>46.647894746582715</v>
      </c>
      <c r="L157">
        <f t="shared" si="82"/>
        <v>108.53951137316896</v>
      </c>
      <c r="M157">
        <f t="shared" si="84"/>
        <v>1.8304886268310412</v>
      </c>
      <c r="N157">
        <f t="shared" si="85"/>
        <v>3.3506886129577906</v>
      </c>
    </row>
    <row r="158" spans="1:14" x14ac:dyDescent="0.45">
      <c r="A158" s="23">
        <v>42200</v>
      </c>
      <c r="B158">
        <v>107.08</v>
      </c>
      <c r="C158">
        <v>107.45</v>
      </c>
      <c r="G158">
        <f t="shared" ref="G158:K158" si="112">SUMPRODUCT($B158:$B162,P$2:P$6)</f>
        <v>49.179385157667276</v>
      </c>
      <c r="H158">
        <f t="shared" si="112"/>
        <v>49.082881246541007</v>
      </c>
      <c r="I158">
        <f t="shared" si="112"/>
        <v>46.964625156839148</v>
      </c>
      <c r="J158">
        <f t="shared" si="112"/>
        <v>48.541220400970268</v>
      </c>
      <c r="K158">
        <f t="shared" si="112"/>
        <v>46.090312406957075</v>
      </c>
      <c r="L158">
        <f t="shared" si="82"/>
        <v>107.27868054642947</v>
      </c>
      <c r="M158">
        <f t="shared" si="84"/>
        <v>1.1113194535705304</v>
      </c>
      <c r="N158">
        <f t="shared" si="85"/>
        <v>1.2350309278843024</v>
      </c>
    </row>
    <row r="159" spans="1:14" x14ac:dyDescent="0.45">
      <c r="A159" s="23">
        <v>42199</v>
      </c>
      <c r="B159">
        <v>110.33</v>
      </c>
      <c r="C159">
        <v>107.26</v>
      </c>
      <c r="G159">
        <f t="shared" ref="G159:K159" si="113">SUMPRODUCT($B159:$B163,P$2:P$6)</f>
        <v>50.657805166565332</v>
      </c>
      <c r="H159">
        <f t="shared" si="113"/>
        <v>50.558092925453607</v>
      </c>
      <c r="I159">
        <f t="shared" si="113"/>
        <v>48.375918290159952</v>
      </c>
      <c r="J159">
        <f t="shared" si="113"/>
        <v>49.999860323077357</v>
      </c>
      <c r="K159">
        <f t="shared" si="113"/>
        <v>47.475052171416024</v>
      </c>
      <c r="L159">
        <f t="shared" si="82"/>
        <v>110.40983244121038</v>
      </c>
      <c r="M159">
        <f t="shared" si="84"/>
        <v>-3.3298324412103852</v>
      </c>
      <c r="N159">
        <f t="shared" si="85"/>
        <v>11.087784086537114</v>
      </c>
    </row>
    <row r="160" spans="1:14" x14ac:dyDescent="0.45">
      <c r="A160" s="23">
        <v>42198</v>
      </c>
      <c r="B160">
        <v>108.97</v>
      </c>
      <c r="C160">
        <v>111.12</v>
      </c>
      <c r="G160">
        <f t="shared" ref="G160:K160" si="114">SUMPRODUCT($B160:$B164,P$2:P$6)</f>
        <v>50.042725958252952</v>
      </c>
      <c r="H160">
        <f t="shared" si="114"/>
        <v>49.944426050896453</v>
      </c>
      <c r="I160">
        <f t="shared" si="114"/>
        <v>47.788904682307724</v>
      </c>
      <c r="J160">
        <f t="shared" si="114"/>
        <v>49.393160931088097</v>
      </c>
      <c r="K160">
        <f t="shared" si="114"/>
        <v>46.899154463703539</v>
      </c>
      <c r="L160">
        <f t="shared" si="82"/>
        <v>109.10740052104792</v>
      </c>
      <c r="M160">
        <f t="shared" si="84"/>
        <v>1.2225994789520769</v>
      </c>
      <c r="N160">
        <f t="shared" si="85"/>
        <v>1.4947494859338899</v>
      </c>
    </row>
    <row r="161" spans="1:14" x14ac:dyDescent="0.45">
      <c r="A161" s="23">
        <v>42195</v>
      </c>
      <c r="B161">
        <v>106.07</v>
      </c>
      <c r="C161">
        <v>107.97</v>
      </c>
      <c r="G161">
        <f t="shared" ref="G161:K161" si="115">SUMPRODUCT($B161:$B165,P$2:P$6)</f>
        <v>48.718326148039978</v>
      </c>
      <c r="H161">
        <f t="shared" si="115"/>
        <v>48.622788315824621</v>
      </c>
      <c r="I161">
        <f t="shared" si="115"/>
        <v>46.524438728544204</v>
      </c>
      <c r="J161">
        <f t="shared" si="115"/>
        <v>48.086260599379251</v>
      </c>
      <c r="K161">
        <f t="shared" si="115"/>
        <v>45.658375952220901</v>
      </c>
      <c r="L161">
        <f t="shared" si="82"/>
        <v>106.30209064589344</v>
      </c>
      <c r="M161">
        <f t="shared" si="84"/>
        <v>2.6679093541065555</v>
      </c>
      <c r="N161">
        <f t="shared" si="85"/>
        <v>7.1177403217292579</v>
      </c>
    </row>
    <row r="162" spans="1:14" x14ac:dyDescent="0.45">
      <c r="A162" s="23">
        <v>42194</v>
      </c>
      <c r="B162">
        <v>106.53</v>
      </c>
      <c r="C162">
        <v>104.55</v>
      </c>
      <c r="G162">
        <f t="shared" ref="G162:K162" si="116">SUMPRODUCT($B162:$B166,P$2:P$6)</f>
        <v>48.932323980360586</v>
      </c>
      <c r="H162">
        <f t="shared" si="116"/>
        <v>48.83642438523804</v>
      </c>
      <c r="I162">
        <f t="shared" si="116"/>
        <v>46.728903104779221</v>
      </c>
      <c r="J162">
        <f t="shared" si="116"/>
        <v>48.297595707198631</v>
      </c>
      <c r="K162">
        <f t="shared" si="116"/>
        <v>45.859087754762946</v>
      </c>
      <c r="L162">
        <f t="shared" si="82"/>
        <v>106.75564486856715</v>
      </c>
      <c r="M162">
        <f t="shared" si="84"/>
        <v>-0.68564486856715234</v>
      </c>
      <c r="N162">
        <f t="shared" si="85"/>
        <v>0.47010888579246762</v>
      </c>
    </row>
    <row r="163" spans="1:14" x14ac:dyDescent="0.45">
      <c r="A163" s="23">
        <v>42193</v>
      </c>
      <c r="B163">
        <v>105.79</v>
      </c>
      <c r="C163">
        <v>104.86</v>
      </c>
      <c r="G163">
        <f t="shared" ref="G163:K163" si="117">SUMPRODUCT($B163:$B167,P$2:P$6)</f>
        <v>48.601076752942156</v>
      </c>
      <c r="H163">
        <f t="shared" si="117"/>
        <v>48.506013352585839</v>
      </c>
      <c r="I163">
        <f t="shared" si="117"/>
        <v>46.412904966191384</v>
      </c>
      <c r="J163">
        <f t="shared" si="117"/>
        <v>47.971006150913276</v>
      </c>
      <c r="K163">
        <f t="shared" si="117"/>
        <v>45.549142017082026</v>
      </c>
      <c r="L163">
        <f t="shared" si="82"/>
        <v>106.05446714062093</v>
      </c>
      <c r="M163">
        <f t="shared" si="84"/>
        <v>0.47553285937907219</v>
      </c>
      <c r="N163">
        <f t="shared" si="85"/>
        <v>0.22613150034923646</v>
      </c>
    </row>
    <row r="164" spans="1:14" x14ac:dyDescent="0.45">
      <c r="A164" s="23">
        <v>42192</v>
      </c>
      <c r="B164">
        <v>107.1</v>
      </c>
      <c r="C164">
        <v>107.06</v>
      </c>
      <c r="G164">
        <f t="shared" ref="G164:K164" si="118">SUMPRODUCT($B164:$B168,P$2:P$6)</f>
        <v>49.194767045597771</v>
      </c>
      <c r="H164">
        <f t="shared" si="118"/>
        <v>49.098367587701574</v>
      </c>
      <c r="I164">
        <f t="shared" si="118"/>
        <v>46.9795539185113</v>
      </c>
      <c r="J164">
        <f t="shared" si="118"/>
        <v>48.556660502353502</v>
      </c>
      <c r="K164">
        <f t="shared" si="118"/>
        <v>46.105085167402962</v>
      </c>
      <c r="L164">
        <f t="shared" si="82"/>
        <v>107.31169401880892</v>
      </c>
      <c r="M164">
        <f t="shared" si="84"/>
        <v>-1.5216940188089154</v>
      </c>
      <c r="N164">
        <f t="shared" si="85"/>
        <v>2.3155526868788279</v>
      </c>
    </row>
    <row r="165" spans="1:14" x14ac:dyDescent="0.45">
      <c r="A165" s="23">
        <v>42191</v>
      </c>
      <c r="B165">
        <v>106.31</v>
      </c>
      <c r="C165">
        <v>106.5</v>
      </c>
      <c r="G165">
        <f t="shared" ref="G165:K165" si="119">SUMPRODUCT($B165:$B169,P$2:P$6)</f>
        <v>48.838119632707297</v>
      </c>
      <c r="H165">
        <f t="shared" si="119"/>
        <v>48.742552887715206</v>
      </c>
      <c r="I165">
        <f t="shared" si="119"/>
        <v>46.639204680505443</v>
      </c>
      <c r="J165">
        <f t="shared" si="119"/>
        <v>48.204899726344536</v>
      </c>
      <c r="K165">
        <f t="shared" si="119"/>
        <v>45.771193755179297</v>
      </c>
      <c r="L165">
        <f t="shared" si="82"/>
        <v>106.55653654935777</v>
      </c>
      <c r="M165">
        <f t="shared" si="84"/>
        <v>0.54346345064222135</v>
      </c>
      <c r="N165">
        <f t="shared" si="85"/>
        <v>0.29535252218395014</v>
      </c>
    </row>
    <row r="166" spans="1:14" x14ac:dyDescent="0.45">
      <c r="A166" s="23">
        <v>42187</v>
      </c>
      <c r="B166">
        <v>107.53</v>
      </c>
      <c r="C166">
        <v>107.07</v>
      </c>
      <c r="G166">
        <f t="shared" ref="G166:K166" si="120">SUMPRODUCT($B166:$B170,P$2:P$6)</f>
        <v>49.395093459652202</v>
      </c>
      <c r="H166">
        <f t="shared" si="120"/>
        <v>49.298361738890129</v>
      </c>
      <c r="I166">
        <f t="shared" si="120"/>
        <v>47.170967228221166</v>
      </c>
      <c r="J166">
        <f t="shared" si="120"/>
        <v>48.754505851912278</v>
      </c>
      <c r="K166">
        <f t="shared" si="120"/>
        <v>46.292990941768821</v>
      </c>
      <c r="L166">
        <f t="shared" si="82"/>
        <v>107.73629231256704</v>
      </c>
      <c r="M166">
        <f t="shared" si="84"/>
        <v>-1.4262923125670426</v>
      </c>
      <c r="N166">
        <f t="shared" si="85"/>
        <v>2.0343097608878424</v>
      </c>
    </row>
    <row r="167" spans="1:14" x14ac:dyDescent="0.45">
      <c r="A167" s="23">
        <v>42186</v>
      </c>
      <c r="B167">
        <v>109.2</v>
      </c>
      <c r="C167">
        <v>107.19</v>
      </c>
      <c r="G167">
        <f t="shared" ref="G167:K167" si="121">SUMPRODUCT($B167:$B171,P$2:P$6)</f>
        <v>50.156744596589995</v>
      </c>
      <c r="H167">
        <f t="shared" si="121"/>
        <v>50.058402819689164</v>
      </c>
      <c r="I167">
        <f t="shared" si="121"/>
        <v>47.898112283479406</v>
      </c>
      <c r="J167">
        <f t="shared" si="121"/>
        <v>49.506050589461907</v>
      </c>
      <c r="K167">
        <f t="shared" si="121"/>
        <v>47.006494018889434</v>
      </c>
      <c r="L167">
        <f t="shared" si="82"/>
        <v>109.34953297369853</v>
      </c>
      <c r="M167">
        <f t="shared" si="84"/>
        <v>-1.8195329736985286</v>
      </c>
      <c r="N167">
        <f t="shared" si="85"/>
        <v>3.3107002423762104</v>
      </c>
    </row>
    <row r="168" spans="1:14" x14ac:dyDescent="0.45">
      <c r="A168" s="23">
        <v>42185</v>
      </c>
      <c r="B168">
        <v>108.28</v>
      </c>
      <c r="C168">
        <v>109.35</v>
      </c>
      <c r="G168">
        <f t="shared" ref="G168:K168" si="122">SUMPRODUCT($B168:$B172,P$2:P$6)</f>
        <v>49.737308695215333</v>
      </c>
      <c r="H168">
        <f t="shared" si="122"/>
        <v>49.639857095126132</v>
      </c>
      <c r="I168">
        <f t="shared" si="122"/>
        <v>47.497684892332501</v>
      </c>
      <c r="J168">
        <f t="shared" si="122"/>
        <v>49.092187078485864</v>
      </c>
      <c r="K168">
        <f t="shared" si="122"/>
        <v>46.613582141023251</v>
      </c>
      <c r="L168">
        <f t="shared" si="82"/>
        <v>108.46114388407662</v>
      </c>
      <c r="M168">
        <f t="shared" si="84"/>
        <v>0.73885611592338307</v>
      </c>
      <c r="N168">
        <f t="shared" si="85"/>
        <v>0.54590836003738763</v>
      </c>
    </row>
    <row r="169" spans="1:14" x14ac:dyDescent="0.45">
      <c r="A169" s="23">
        <v>42184</v>
      </c>
      <c r="B169">
        <v>109.22</v>
      </c>
      <c r="C169">
        <v>106.95</v>
      </c>
      <c r="G169">
        <f t="shared" ref="G169:K169" si="123">SUMPRODUCT($B169:$B173,P$2:P$6)</f>
        <v>50.166861692887935</v>
      </c>
      <c r="H169">
        <f t="shared" si="123"/>
        <v>50.068520140916341</v>
      </c>
      <c r="I169">
        <f t="shared" si="123"/>
        <v>47.907809532211061</v>
      </c>
      <c r="J169">
        <f t="shared" si="123"/>
        <v>49.516075409575414</v>
      </c>
      <c r="K169">
        <f t="shared" si="123"/>
        <v>47.016029082351309</v>
      </c>
      <c r="L169">
        <f t="shared" si="82"/>
        <v>109.37103056591415</v>
      </c>
      <c r="M169">
        <f t="shared" si="84"/>
        <v>-1.0910305659141528</v>
      </c>
      <c r="N169">
        <f t="shared" si="85"/>
        <v>1.1903476957589565</v>
      </c>
    </row>
    <row r="170" spans="1:14" x14ac:dyDescent="0.45">
      <c r="A170" s="23">
        <v>42181</v>
      </c>
      <c r="B170">
        <v>109.5</v>
      </c>
      <c r="C170">
        <v>110.71</v>
      </c>
      <c r="G170">
        <f t="shared" ref="G170:K170" si="124">SUMPRODUCT($B170:$B174,P$2:P$6)</f>
        <v>50.29893846033869</v>
      </c>
      <c r="H170">
        <f t="shared" si="124"/>
        <v>50.200412579114378</v>
      </c>
      <c r="I170">
        <f t="shared" si="124"/>
        <v>48.034071684357954</v>
      </c>
      <c r="J170">
        <f t="shared" si="124"/>
        <v>49.646583257778232</v>
      </c>
      <c r="K170">
        <f t="shared" si="124"/>
        <v>47.140009204989546</v>
      </c>
      <c r="L170">
        <f t="shared" si="82"/>
        <v>109.65108171382718</v>
      </c>
      <c r="M170">
        <f t="shared" si="84"/>
        <v>-0.43108171382718297</v>
      </c>
      <c r="N170">
        <f t="shared" si="85"/>
        <v>0.18583144399618126</v>
      </c>
    </row>
    <row r="171" spans="1:14" x14ac:dyDescent="0.45">
      <c r="A171" s="23">
        <v>42180</v>
      </c>
      <c r="B171">
        <v>109.67</v>
      </c>
      <c r="C171">
        <v>109.27</v>
      </c>
      <c r="G171">
        <f t="shared" ref="G171:K171" si="125">SUMPRODUCT($B171:$B175,P$2:P$6)</f>
        <v>50.372112041425872</v>
      </c>
      <c r="H171">
        <f t="shared" si="125"/>
        <v>50.273337605711276</v>
      </c>
      <c r="I171">
        <f t="shared" si="125"/>
        <v>48.103762759332085</v>
      </c>
      <c r="J171">
        <f t="shared" si="125"/>
        <v>49.718602918139361</v>
      </c>
      <c r="K171">
        <f t="shared" si="125"/>
        <v>47.208306271034708</v>
      </c>
      <c r="L171">
        <f t="shared" si="82"/>
        <v>109.80577010171365</v>
      </c>
      <c r="M171">
        <f t="shared" si="84"/>
        <v>-0.30577010171364805</v>
      </c>
      <c r="N171">
        <f t="shared" si="85"/>
        <v>9.3495355101974667E-2</v>
      </c>
    </row>
    <row r="172" spans="1:14" x14ac:dyDescent="0.45">
      <c r="A172" s="23">
        <v>42179</v>
      </c>
      <c r="B172">
        <v>109.62</v>
      </c>
      <c r="C172">
        <v>108.98</v>
      </c>
      <c r="G172">
        <f t="shared" ref="G172:K172" si="126">SUMPRODUCT($B172:$B176,P$2:P$6)</f>
        <v>50.34212754759352</v>
      </c>
      <c r="H172">
        <f t="shared" si="126"/>
        <v>50.243260459960133</v>
      </c>
      <c r="I172">
        <f t="shared" si="126"/>
        <v>48.074858755551645</v>
      </c>
      <c r="J172">
        <f t="shared" si="126"/>
        <v>49.688715267205069</v>
      </c>
      <c r="K172">
        <f t="shared" si="126"/>
        <v>47.179802131384243</v>
      </c>
      <c r="L172">
        <f t="shared" si="82"/>
        <v>109.74176512802315</v>
      </c>
      <c r="M172">
        <f t="shared" si="84"/>
        <v>-7.1765128023145053E-2</v>
      </c>
      <c r="N172">
        <f t="shared" si="85"/>
        <v>5.1502336001783998E-3</v>
      </c>
    </row>
    <row r="173" spans="1:14" x14ac:dyDescent="0.45">
      <c r="A173" s="23">
        <v>42178</v>
      </c>
      <c r="B173">
        <v>109.95</v>
      </c>
      <c r="C173">
        <v>109.83</v>
      </c>
      <c r="G173">
        <f t="shared" ref="G173:K173" si="127">SUMPRODUCT($B173:$B177,P$2:P$6)</f>
        <v>50.493014557248337</v>
      </c>
      <c r="H173">
        <f t="shared" si="127"/>
        <v>50.393835842192658</v>
      </c>
      <c r="I173">
        <f t="shared" si="127"/>
        <v>48.218923233353593</v>
      </c>
      <c r="J173">
        <f t="shared" si="127"/>
        <v>49.837615623049778</v>
      </c>
      <c r="K173">
        <f t="shared" si="127"/>
        <v>47.3211714494402</v>
      </c>
      <c r="L173">
        <f t="shared" si="82"/>
        <v>110.06138086870989</v>
      </c>
      <c r="M173">
        <f t="shared" si="84"/>
        <v>-0.44138086870988502</v>
      </c>
      <c r="N173">
        <f t="shared" si="85"/>
        <v>0.19481707126309275</v>
      </c>
    </row>
    <row r="174" spans="1:14" x14ac:dyDescent="0.45">
      <c r="A174" s="23">
        <v>42177</v>
      </c>
      <c r="B174">
        <v>111.2</v>
      </c>
      <c r="C174">
        <v>109.5</v>
      </c>
      <c r="G174">
        <f t="shared" ref="G174:K174" si="128">SUMPRODUCT($B174:$B178,P$2:P$6)</f>
        <v>51.05939782828068</v>
      </c>
      <c r="H174">
        <f t="shared" si="128"/>
        <v>50.958941352218886</v>
      </c>
      <c r="I174">
        <f t="shared" si="128"/>
        <v>48.759503480605673</v>
      </c>
      <c r="J174">
        <f t="shared" si="128"/>
        <v>50.396326500375821</v>
      </c>
      <c r="K174">
        <f t="shared" si="128"/>
        <v>47.851536170160252</v>
      </c>
      <c r="L174">
        <f t="shared" si="82"/>
        <v>111.2607714891876</v>
      </c>
      <c r="M174">
        <f t="shared" si="84"/>
        <v>-1.3107714891876014</v>
      </c>
      <c r="N174">
        <f t="shared" si="85"/>
        <v>1.7181218968670824</v>
      </c>
    </row>
    <row r="175" spans="1:14" x14ac:dyDescent="0.45">
      <c r="A175" s="23">
        <v>42174</v>
      </c>
      <c r="B175">
        <v>110</v>
      </c>
      <c r="C175">
        <v>108.68</v>
      </c>
      <c r="G175">
        <f t="shared" ref="G175:K175" si="129">SUMPRODUCT($B175:$B179,P$2:P$6)</f>
        <v>50.512433652906516</v>
      </c>
      <c r="H175">
        <f t="shared" si="129"/>
        <v>50.413140237705939</v>
      </c>
      <c r="I175">
        <f t="shared" si="129"/>
        <v>48.237331396581212</v>
      </c>
      <c r="J175">
        <f t="shared" si="129"/>
        <v>49.856634197327359</v>
      </c>
      <c r="K175">
        <f t="shared" si="129"/>
        <v>47.339167137199382</v>
      </c>
      <c r="L175">
        <f t="shared" si="82"/>
        <v>110.10227806555211</v>
      </c>
      <c r="M175">
        <f t="shared" si="84"/>
        <v>1.0977219344478897</v>
      </c>
      <c r="N175">
        <f t="shared" si="85"/>
        <v>1.2049934453680171</v>
      </c>
    </row>
    <row r="176" spans="1:14" x14ac:dyDescent="0.45">
      <c r="A176" s="23">
        <v>42173</v>
      </c>
      <c r="B176">
        <v>107.99</v>
      </c>
      <c r="C176">
        <v>109.68</v>
      </c>
      <c r="G176">
        <f t="shared" ref="G176:K176" si="130">SUMPRODUCT($B176:$B180,P$2:P$6)</f>
        <v>49.596197924709386</v>
      </c>
      <c r="H176">
        <f t="shared" si="130"/>
        <v>49.498851919876415</v>
      </c>
      <c r="I176">
        <f t="shared" si="130"/>
        <v>47.362623914330989</v>
      </c>
      <c r="J176">
        <f t="shared" si="130"/>
        <v>48.952576389207479</v>
      </c>
      <c r="K176">
        <f t="shared" si="130"/>
        <v>46.480879606543724</v>
      </c>
      <c r="L176">
        <f t="shared" si="82"/>
        <v>108.161647819561</v>
      </c>
      <c r="M176">
        <f t="shared" si="84"/>
        <v>1.8383521804390028</v>
      </c>
      <c r="N176">
        <f t="shared" si="85"/>
        <v>3.3795387393248362</v>
      </c>
    </row>
    <row r="177" spans="1:14" x14ac:dyDescent="0.45">
      <c r="A177" s="23">
        <v>42172</v>
      </c>
      <c r="B177">
        <v>108.13</v>
      </c>
      <c r="C177">
        <v>107.89</v>
      </c>
      <c r="G177">
        <f t="shared" ref="G177:K177" si="131">SUMPRODUCT($B177:$B181,P$2:P$6)</f>
        <v>49.664009146433486</v>
      </c>
      <c r="H177">
        <f t="shared" si="131"/>
        <v>49.566605517966295</v>
      </c>
      <c r="I177">
        <f t="shared" si="131"/>
        <v>47.427515771466126</v>
      </c>
      <c r="J177">
        <f t="shared" si="131"/>
        <v>49.019654066129668</v>
      </c>
      <c r="K177">
        <f t="shared" si="131"/>
        <v>46.54463259301712</v>
      </c>
      <c r="L177">
        <f t="shared" si="82"/>
        <v>108.30555035605498</v>
      </c>
      <c r="M177">
        <f t="shared" si="84"/>
        <v>-0.3155503560549846</v>
      </c>
      <c r="N177">
        <f t="shared" si="85"/>
        <v>9.9572027206427563E-2</v>
      </c>
    </row>
    <row r="178" spans="1:14" x14ac:dyDescent="0.45">
      <c r="A178" s="23">
        <v>42171</v>
      </c>
      <c r="B178">
        <v>107.22</v>
      </c>
      <c r="C178">
        <v>107.95</v>
      </c>
      <c r="G178">
        <f t="shared" ref="G178:K178" si="132">SUMPRODUCT($B178:$B182,P$2:P$6)</f>
        <v>49.241251104486572</v>
      </c>
      <c r="H178">
        <f t="shared" si="132"/>
        <v>49.144574382180927</v>
      </c>
      <c r="I178">
        <f t="shared" si="132"/>
        <v>47.02361316185354</v>
      </c>
      <c r="J178">
        <f t="shared" si="132"/>
        <v>48.602181360949743</v>
      </c>
      <c r="K178">
        <f t="shared" si="132"/>
        <v>46.148154279258364</v>
      </c>
      <c r="L178">
        <f t="shared" si="82"/>
        <v>107.40958233637352</v>
      </c>
      <c r="M178">
        <f t="shared" si="84"/>
        <v>0.72041766362647763</v>
      </c>
      <c r="N178">
        <f t="shared" si="85"/>
        <v>0.51900161006503265</v>
      </c>
    </row>
    <row r="179" spans="1:14" x14ac:dyDescent="0.45">
      <c r="A179" s="23">
        <v>42170</v>
      </c>
      <c r="B179">
        <v>107.19</v>
      </c>
      <c r="C179">
        <v>107.22</v>
      </c>
      <c r="G179">
        <f t="shared" ref="G179:K179" si="133">SUMPRODUCT($B179:$B183,P$2:P$6)</f>
        <v>49.223747490950444</v>
      </c>
      <c r="H179">
        <f t="shared" si="133"/>
        <v>49.1270240146292</v>
      </c>
      <c r="I179">
        <f t="shared" si="133"/>
        <v>47.006753531106106</v>
      </c>
      <c r="J179">
        <f t="shared" si="133"/>
        <v>48.584749982874044</v>
      </c>
      <c r="K179">
        <f t="shared" si="133"/>
        <v>46.131535228501981</v>
      </c>
      <c r="L179">
        <f t="shared" si="82"/>
        <v>107.37224349702366</v>
      </c>
      <c r="M179">
        <f t="shared" si="84"/>
        <v>-0.15224349702366169</v>
      </c>
      <c r="N179">
        <f t="shared" si="85"/>
        <v>2.3178082385993684E-2</v>
      </c>
    </row>
    <row r="180" spans="1:14" x14ac:dyDescent="0.45">
      <c r="A180" s="23">
        <v>42167</v>
      </c>
      <c r="B180">
        <v>107.12</v>
      </c>
      <c r="C180">
        <v>107.69</v>
      </c>
      <c r="G180">
        <f t="shared" ref="G180:K180" si="134">SUMPRODUCT($B180:$B184,P$2:P$6)</f>
        <v>49.195715525175061</v>
      </c>
      <c r="H180">
        <f t="shared" si="134"/>
        <v>49.099135154081878</v>
      </c>
      <c r="I180">
        <f t="shared" si="134"/>
        <v>46.980141078972622</v>
      </c>
      <c r="J180">
        <f t="shared" si="134"/>
        <v>48.557252623307619</v>
      </c>
      <c r="K180">
        <f t="shared" si="134"/>
        <v>46.10549933149268</v>
      </c>
      <c r="L180">
        <f t="shared" si="82"/>
        <v>107.31313649120247</v>
      </c>
      <c r="M180">
        <f t="shared" si="84"/>
        <v>-0.12313649120247305</v>
      </c>
      <c r="N180">
        <f t="shared" si="85"/>
        <v>1.5162595465656724E-2</v>
      </c>
    </row>
    <row r="181" spans="1:14" x14ac:dyDescent="0.45">
      <c r="A181" s="23">
        <v>42166</v>
      </c>
      <c r="B181">
        <v>108.24</v>
      </c>
      <c r="C181">
        <v>107.87</v>
      </c>
      <c r="G181">
        <f t="shared" ref="G181:K181" si="135">SUMPRODUCT($B181:$B185,P$2:P$6)</f>
        <v>49.705434657173328</v>
      </c>
      <c r="H181">
        <f t="shared" si="135"/>
        <v>49.607753607277715</v>
      </c>
      <c r="I181">
        <f t="shared" si="135"/>
        <v>47.466726322296907</v>
      </c>
      <c r="J181">
        <f t="shared" si="135"/>
        <v>49.060161893893998</v>
      </c>
      <c r="K181">
        <f t="shared" si="135"/>
        <v>46.582934109938449</v>
      </c>
      <c r="L181">
        <f t="shared" si="82"/>
        <v>108.3926895274851</v>
      </c>
      <c r="M181">
        <f t="shared" si="84"/>
        <v>-1.2726895274850989</v>
      </c>
      <c r="N181">
        <f t="shared" si="85"/>
        <v>1.6197386333702444</v>
      </c>
    </row>
    <row r="182" spans="1:14" x14ac:dyDescent="0.45">
      <c r="A182" s="23">
        <v>42165</v>
      </c>
      <c r="B182">
        <v>105.99</v>
      </c>
      <c r="C182">
        <v>108.17</v>
      </c>
      <c r="G182">
        <f t="shared" ref="G182:K182" si="136">SUMPRODUCT($B182:$B186,P$2:P$6)</f>
        <v>48.680042472301196</v>
      </c>
      <c r="H182">
        <f t="shared" si="136"/>
        <v>48.584546074173375</v>
      </c>
      <c r="I182">
        <f t="shared" si="136"/>
        <v>46.487819230394358</v>
      </c>
      <c r="J182">
        <f t="shared" si="136"/>
        <v>48.048409537390505</v>
      </c>
      <c r="K182">
        <f t="shared" si="136"/>
        <v>45.622407863086195</v>
      </c>
      <c r="L182">
        <f t="shared" si="82"/>
        <v>106.22087789506125</v>
      </c>
      <c r="M182">
        <f t="shared" si="84"/>
        <v>2.0191221049387451</v>
      </c>
      <c r="N182">
        <f t="shared" si="85"/>
        <v>4.0768540746522692</v>
      </c>
    </row>
    <row r="183" spans="1:14" x14ac:dyDescent="0.45">
      <c r="A183" s="23">
        <v>42164</v>
      </c>
      <c r="B183">
        <v>104.92</v>
      </c>
      <c r="C183">
        <v>105.02</v>
      </c>
      <c r="G183">
        <f t="shared" ref="G183:K183" si="137">SUMPRODUCT($B183:$B187,P$2:P$6)</f>
        <v>48.20396095485993</v>
      </c>
      <c r="H183">
        <f t="shared" si="137"/>
        <v>48.109729220661428</v>
      </c>
      <c r="I183">
        <f t="shared" si="137"/>
        <v>46.033766508378356</v>
      </c>
      <c r="J183">
        <f t="shared" si="137"/>
        <v>47.579145953969032</v>
      </c>
      <c r="K183">
        <f t="shared" si="137"/>
        <v>45.177110142440505</v>
      </c>
      <c r="L183">
        <f t="shared" si="82"/>
        <v>105.21331899170217</v>
      </c>
      <c r="M183">
        <f t="shared" si="84"/>
        <v>0.77668100829782816</v>
      </c>
      <c r="N183">
        <f t="shared" si="85"/>
        <v>0.603233388650531</v>
      </c>
    </row>
    <row r="184" spans="1:14" x14ac:dyDescent="0.45">
      <c r="A184" s="23">
        <v>42163</v>
      </c>
      <c r="B184">
        <v>106</v>
      </c>
      <c r="C184">
        <v>104.79</v>
      </c>
      <c r="G184">
        <f t="shared" ref="G184:K184" si="138">SUMPRODUCT($B184:$B188,P$2:P$6)</f>
        <v>48.689219734992648</v>
      </c>
      <c r="H184">
        <f t="shared" si="138"/>
        <v>48.593805342789487</v>
      </c>
      <c r="I184">
        <f t="shared" si="138"/>
        <v>46.496761076871742</v>
      </c>
      <c r="J184">
        <f t="shared" si="138"/>
        <v>48.057658791996943</v>
      </c>
      <c r="K184">
        <f t="shared" si="138"/>
        <v>45.631273415481232</v>
      </c>
      <c r="L184">
        <f t="shared" si="82"/>
        <v>106.24063648877858</v>
      </c>
      <c r="M184">
        <f t="shared" si="84"/>
        <v>-1.3206364887785753</v>
      </c>
      <c r="N184">
        <f t="shared" si="85"/>
        <v>1.744080735493404</v>
      </c>
    </row>
    <row r="185" spans="1:14" x14ac:dyDescent="0.45">
      <c r="A185" s="23">
        <v>42160</v>
      </c>
      <c r="B185">
        <v>105.81</v>
      </c>
      <c r="C185">
        <v>106.4</v>
      </c>
      <c r="G185">
        <f t="shared" ref="G185:K185" si="139">SUMPRODUCT($B185:$B189,P$2:P$6)</f>
        <v>48.603815977972694</v>
      </c>
      <c r="H185">
        <f t="shared" si="139"/>
        <v>48.508608370957646</v>
      </c>
      <c r="I185">
        <f t="shared" si="139"/>
        <v>46.415273471933645</v>
      </c>
      <c r="J185">
        <f t="shared" si="139"/>
        <v>47.973442061987136</v>
      </c>
      <c r="K185">
        <f t="shared" si="139"/>
        <v>45.551339490678728</v>
      </c>
      <c r="L185">
        <f t="shared" si="82"/>
        <v>106.05982952133392</v>
      </c>
      <c r="M185">
        <f t="shared" si="84"/>
        <v>-5.9829521333924163E-2</v>
      </c>
      <c r="N185">
        <f t="shared" si="85"/>
        <v>3.5795716230464865E-3</v>
      </c>
    </row>
    <row r="186" spans="1:14" x14ac:dyDescent="0.45">
      <c r="A186" s="23">
        <v>42159</v>
      </c>
      <c r="B186">
        <v>105.8</v>
      </c>
      <c r="C186">
        <v>105.64</v>
      </c>
      <c r="G186">
        <f t="shared" ref="G186:K186" si="140">SUMPRODUCT($B186:$B190,P$2:P$6)</f>
        <v>48.605060853819168</v>
      </c>
      <c r="H186">
        <f t="shared" si="140"/>
        <v>48.509976492794259</v>
      </c>
      <c r="I186">
        <f t="shared" si="140"/>
        <v>46.416686237616354</v>
      </c>
      <c r="J186">
        <f t="shared" si="140"/>
        <v>47.97491346580145</v>
      </c>
      <c r="K186">
        <f t="shared" si="140"/>
        <v>45.552840911863612</v>
      </c>
      <c r="L186">
        <f t="shared" si="82"/>
        <v>106.0628661200172</v>
      </c>
      <c r="M186">
        <f t="shared" si="84"/>
        <v>-0.25286612001720243</v>
      </c>
      <c r="N186">
        <f t="shared" si="85"/>
        <v>6.3941274652554225E-2</v>
      </c>
    </row>
    <row r="187" spans="1:14" x14ac:dyDescent="0.45">
      <c r="A187" s="23">
        <v>42158</v>
      </c>
      <c r="B187">
        <v>109.02</v>
      </c>
      <c r="C187">
        <v>106.61</v>
      </c>
      <c r="G187">
        <f t="shared" ref="G187:K187" si="141">SUMPRODUCT($B187:$B191,P$2:P$6)</f>
        <v>50.076793351718727</v>
      </c>
      <c r="H187">
        <f t="shared" si="141"/>
        <v>49.978666799730206</v>
      </c>
      <c r="I187">
        <f t="shared" si="141"/>
        <v>47.821865584028039</v>
      </c>
      <c r="J187">
        <f t="shared" si="141"/>
        <v>49.427249556919016</v>
      </c>
      <c r="K187">
        <f t="shared" si="141"/>
        <v>46.93172031113351</v>
      </c>
      <c r="L187">
        <f t="shared" si="82"/>
        <v>109.18033656920122</v>
      </c>
      <c r="M187">
        <f t="shared" si="84"/>
        <v>-3.3803365692012193</v>
      </c>
      <c r="N187">
        <f t="shared" si="85"/>
        <v>11.42667532107907</v>
      </c>
    </row>
    <row r="188" spans="1:14" x14ac:dyDescent="0.45">
      <c r="A188" s="23">
        <v>42157</v>
      </c>
      <c r="B188">
        <v>107.09</v>
      </c>
      <c r="C188">
        <v>107.63</v>
      </c>
      <c r="G188">
        <f t="shared" ref="G188:K188" si="142">SUMPRODUCT($B188:$B192,P$2:P$6)</f>
        <v>49.201097638531486</v>
      </c>
      <c r="H188">
        <f t="shared" si="142"/>
        <v>49.104921135066583</v>
      </c>
      <c r="I188">
        <f t="shared" si="142"/>
        <v>46.986018763750749</v>
      </c>
      <c r="J188">
        <f t="shared" si="142"/>
        <v>48.563364993478189</v>
      </c>
      <c r="K188">
        <f t="shared" si="142"/>
        <v>46.11164474996945</v>
      </c>
      <c r="L188">
        <f t="shared" si="82"/>
        <v>107.32585403901737</v>
      </c>
      <c r="M188">
        <f t="shared" si="84"/>
        <v>1.6941459609826239</v>
      </c>
      <c r="N188">
        <f t="shared" si="85"/>
        <v>2.8701305371137384</v>
      </c>
    </row>
    <row r="189" spans="1:14" x14ac:dyDescent="0.45">
      <c r="A189" s="23">
        <v>42156</v>
      </c>
      <c r="B189">
        <v>107.42</v>
      </c>
      <c r="C189">
        <v>107.45</v>
      </c>
      <c r="G189">
        <f t="shared" ref="G189:K189" si="143">SUMPRODUCT($B189:$B193,P$2:P$6)</f>
        <v>49.358861110726792</v>
      </c>
      <c r="H189">
        <f t="shared" si="143"/>
        <v>49.262508735414691</v>
      </c>
      <c r="I189">
        <f t="shared" si="143"/>
        <v>47.136915657835075</v>
      </c>
      <c r="J189">
        <f t="shared" si="143"/>
        <v>48.719340222047926</v>
      </c>
      <c r="K189">
        <f t="shared" si="143"/>
        <v>46.259854603507641</v>
      </c>
      <c r="L189">
        <f t="shared" si="82"/>
        <v>107.66051110812664</v>
      </c>
      <c r="M189">
        <f t="shared" si="84"/>
        <v>-0.57051110812663808</v>
      </c>
      <c r="N189">
        <f t="shared" si="85"/>
        <v>0.32548292449588451</v>
      </c>
    </row>
    <row r="190" spans="1:14" x14ac:dyDescent="0.45">
      <c r="A190" s="23">
        <v>42153</v>
      </c>
      <c r="B190">
        <v>109.04</v>
      </c>
      <c r="C190">
        <v>107.26</v>
      </c>
      <c r="G190">
        <f t="shared" ref="G190:K190" si="144">SUMPRODUCT($B190:$B194,P$2:P$6)</f>
        <v>50.089345861833088</v>
      </c>
      <c r="H190">
        <f t="shared" si="144"/>
        <v>49.99126900905307</v>
      </c>
      <c r="I190">
        <f t="shared" si="144"/>
        <v>47.833984779250002</v>
      </c>
      <c r="J190">
        <f t="shared" si="144"/>
        <v>49.439781046943324</v>
      </c>
      <c r="K190">
        <f t="shared" si="144"/>
        <v>46.943680041976698</v>
      </c>
      <c r="L190">
        <f t="shared" si="82"/>
        <v>109.20716409057262</v>
      </c>
      <c r="M190">
        <f t="shared" si="84"/>
        <v>-1.7871640905726167</v>
      </c>
      <c r="N190">
        <f t="shared" si="85"/>
        <v>3.1939554866322482</v>
      </c>
    </row>
    <row r="191" spans="1:14" x14ac:dyDescent="0.45">
      <c r="A191" s="23">
        <v>42152</v>
      </c>
      <c r="B191">
        <v>110.25</v>
      </c>
      <c r="C191">
        <v>109.24</v>
      </c>
      <c r="G191">
        <f t="shared" ref="G191:K191" si="145">SUMPRODUCT($B191:$B195,P$2:P$6)</f>
        <v>50.619342416281221</v>
      </c>
      <c r="H191">
        <f t="shared" si="145"/>
        <v>50.519670769586376</v>
      </c>
      <c r="I191">
        <f t="shared" si="145"/>
        <v>48.339124987455264</v>
      </c>
      <c r="J191">
        <f t="shared" si="145"/>
        <v>49.961827739161073</v>
      </c>
      <c r="K191">
        <f t="shared" si="145"/>
        <v>47.438909767257641</v>
      </c>
      <c r="L191">
        <f t="shared" si="82"/>
        <v>110.32823374746057</v>
      </c>
      <c r="M191">
        <f t="shared" si="84"/>
        <v>-1.2882337474605663</v>
      </c>
      <c r="N191">
        <f t="shared" si="85"/>
        <v>1.6595461880962941</v>
      </c>
    </row>
    <row r="192" spans="1:14" x14ac:dyDescent="0.45">
      <c r="A192" s="23">
        <v>42151</v>
      </c>
      <c r="B192">
        <v>111.32</v>
      </c>
      <c r="C192">
        <v>110.93</v>
      </c>
      <c r="G192">
        <f t="shared" ref="G192:K192" si="146">SUMPRODUCT($B192:$B196,P$2:P$6)</f>
        <v>51.101834802445133</v>
      </c>
      <c r="H192">
        <f t="shared" si="146"/>
        <v>51.001021107447485</v>
      </c>
      <c r="I192">
        <f t="shared" si="146"/>
        <v>48.799541475538007</v>
      </c>
      <c r="J192">
        <f t="shared" si="146"/>
        <v>50.437685418352913</v>
      </c>
      <c r="K192">
        <f t="shared" si="146"/>
        <v>47.890579261409727</v>
      </c>
      <c r="L192">
        <f t="shared" si="82"/>
        <v>111.34980811075431</v>
      </c>
      <c r="M192">
        <f t="shared" si="84"/>
        <v>-1.0998081107543101</v>
      </c>
      <c r="N192">
        <f t="shared" si="85"/>
        <v>1.2095778804809647</v>
      </c>
    </row>
    <row r="193" spans="1:14" x14ac:dyDescent="0.45">
      <c r="A193" s="23">
        <v>42150</v>
      </c>
      <c r="B193">
        <v>113.38</v>
      </c>
      <c r="C193">
        <v>110.64</v>
      </c>
      <c r="G193">
        <f t="shared" ref="G193:K193" si="147">SUMPRODUCT($B193:$B197,P$2:P$6)</f>
        <v>52.042217194297017</v>
      </c>
      <c r="H193">
        <f t="shared" si="147"/>
        <v>51.939433469881472</v>
      </c>
      <c r="I193">
        <f t="shared" si="147"/>
        <v>49.697352494021452</v>
      </c>
      <c r="J193">
        <f t="shared" si="147"/>
        <v>51.365623240679646</v>
      </c>
      <c r="K193">
        <f t="shared" si="147"/>
        <v>48.771563573540668</v>
      </c>
      <c r="L193">
        <f t="shared" si="82"/>
        <v>113.34167323135757</v>
      </c>
      <c r="M193">
        <f t="shared" si="84"/>
        <v>-2.0216732313575818</v>
      </c>
      <c r="N193">
        <f t="shared" si="85"/>
        <v>4.0871626543878063</v>
      </c>
    </row>
    <row r="194" spans="1:14" x14ac:dyDescent="0.45">
      <c r="A194" s="23">
        <v>42146</v>
      </c>
      <c r="B194">
        <v>111.21</v>
      </c>
      <c r="C194">
        <v>113</v>
      </c>
      <c r="G194">
        <f t="shared" ref="G194:K194" si="148">SUMPRODUCT($B194:$B198,P$2:P$6)</f>
        <v>51.050667636439606</v>
      </c>
      <c r="H194">
        <f t="shared" si="148"/>
        <v>50.949940050885694</v>
      </c>
      <c r="I194">
        <f t="shared" si="148"/>
        <v>48.750653210669931</v>
      </c>
      <c r="J194">
        <f t="shared" si="148"/>
        <v>50.387152475222834</v>
      </c>
      <c r="K194">
        <f t="shared" si="148"/>
        <v>47.842588416386121</v>
      </c>
      <c r="L194">
        <f t="shared" ref="L194:L246" si="149">(G194+$P$7)*$U$2+(H194+$Q$7)*$U$3+(I194+$R$7)*$U$4+(J194+$S$7)*$U$5+(K194+$T$7)*$U$6+$U$7</f>
        <v>111.24136104169973</v>
      </c>
      <c r="M194">
        <f t="shared" si="84"/>
        <v>2.1386389583002625</v>
      </c>
      <c r="N194">
        <f t="shared" si="85"/>
        <v>4.5737765939596322</v>
      </c>
    </row>
    <row r="195" spans="1:14" x14ac:dyDescent="0.45">
      <c r="A195" s="23">
        <v>42145</v>
      </c>
      <c r="B195">
        <v>105.23</v>
      </c>
      <c r="C195">
        <v>105.89</v>
      </c>
      <c r="G195">
        <f t="shared" ref="G195:K195" si="150">SUMPRODUCT($B195:$B199,P$2:P$6)</f>
        <v>48.32911556786447</v>
      </c>
      <c r="H195">
        <f t="shared" si="150"/>
        <v>48.234266747947586</v>
      </c>
      <c r="I195">
        <f t="shared" si="150"/>
        <v>46.152623115993279</v>
      </c>
      <c r="J195">
        <f t="shared" si="150"/>
        <v>47.701957744930674</v>
      </c>
      <c r="K195">
        <f t="shared" si="150"/>
        <v>45.29341500045107</v>
      </c>
      <c r="L195">
        <f t="shared" si="149"/>
        <v>105.47728686986447</v>
      </c>
      <c r="M195">
        <f t="shared" ref="M195:M246" si="151">B194-L195</f>
        <v>5.7327131301355223</v>
      </c>
      <c r="N195">
        <f t="shared" ref="N195:N246" si="152">M195^2</f>
        <v>32.86399983242822</v>
      </c>
    </row>
    <row r="196" spans="1:14" x14ac:dyDescent="0.45">
      <c r="A196" s="23">
        <v>42144</v>
      </c>
      <c r="B196">
        <v>103.8</v>
      </c>
      <c r="C196">
        <v>105.5</v>
      </c>
      <c r="G196">
        <f t="shared" ref="G196:K196" si="153">SUMPRODUCT($B196:$B200,P$2:P$6)</f>
        <v>47.673290101058626</v>
      </c>
      <c r="H196">
        <f t="shared" si="153"/>
        <v>47.579749507432901</v>
      </c>
      <c r="I196">
        <f t="shared" si="153"/>
        <v>45.526370005443802</v>
      </c>
      <c r="J196">
        <f t="shared" si="153"/>
        <v>47.054681939001377</v>
      </c>
      <c r="K196">
        <f t="shared" si="153"/>
        <v>44.678838912259977</v>
      </c>
      <c r="L196">
        <f t="shared" si="149"/>
        <v>104.08794448967686</v>
      </c>
      <c r="M196">
        <f t="shared" si="151"/>
        <v>1.1420555103231464</v>
      </c>
      <c r="N196">
        <f t="shared" si="152"/>
        <v>1.3042907886594626</v>
      </c>
    </row>
    <row r="197" spans="1:14" x14ac:dyDescent="0.45">
      <c r="A197" s="23">
        <v>42143</v>
      </c>
      <c r="B197">
        <v>104.25</v>
      </c>
      <c r="C197">
        <v>103.72</v>
      </c>
      <c r="G197">
        <f t="shared" ref="G197:K197" si="154">SUMPRODUCT($B197:$B201,P$2:P$6)</f>
        <v>47.879077673232537</v>
      </c>
      <c r="H197">
        <f t="shared" si="154"/>
        <v>47.785113473770132</v>
      </c>
      <c r="I197">
        <f t="shared" si="154"/>
        <v>45.722854983921238</v>
      </c>
      <c r="J197">
        <f t="shared" si="154"/>
        <v>47.257762377676201</v>
      </c>
      <c r="K197">
        <f t="shared" si="154"/>
        <v>44.87164863392956</v>
      </c>
      <c r="L197">
        <f t="shared" si="149"/>
        <v>104.52385697641621</v>
      </c>
      <c r="M197">
        <f t="shared" si="151"/>
        <v>-0.72385697641621505</v>
      </c>
      <c r="N197">
        <f t="shared" si="152"/>
        <v>0.52396892230642489</v>
      </c>
    </row>
    <row r="198" spans="1:14" x14ac:dyDescent="0.45">
      <c r="A198" s="23">
        <v>42142</v>
      </c>
      <c r="B198">
        <v>103.51</v>
      </c>
      <c r="C198">
        <v>103.45</v>
      </c>
      <c r="G198">
        <f t="shared" ref="G198:K198" si="155">SUMPRODUCT($B198:$B202,P$2:P$6)</f>
        <v>47.538769273820648</v>
      </c>
      <c r="H198">
        <f t="shared" si="155"/>
        <v>47.445463736674242</v>
      </c>
      <c r="I198">
        <f t="shared" si="155"/>
        <v>45.397855784094652</v>
      </c>
      <c r="J198">
        <f t="shared" si="155"/>
        <v>46.921851267900458</v>
      </c>
      <c r="K198">
        <f t="shared" si="155"/>
        <v>44.552690986092749</v>
      </c>
      <c r="L198">
        <f t="shared" si="149"/>
        <v>103.80286192360212</v>
      </c>
      <c r="M198">
        <f t="shared" si="151"/>
        <v>0.44713807639787717</v>
      </c>
      <c r="N198">
        <f t="shared" si="152"/>
        <v>0.19993245936479384</v>
      </c>
    </row>
    <row r="199" spans="1:14" x14ac:dyDescent="0.45">
      <c r="A199" s="23">
        <v>42139</v>
      </c>
      <c r="B199">
        <v>104.52</v>
      </c>
      <c r="C199">
        <v>103.41</v>
      </c>
      <c r="G199">
        <f t="shared" ref="G199:K199" si="156">SUMPRODUCT($B199:$B203,P$2:P$6)</f>
        <v>47.99796590817656</v>
      </c>
      <c r="H199">
        <f t="shared" si="156"/>
        <v>47.903657972384217</v>
      </c>
      <c r="I199">
        <f t="shared" si="156"/>
        <v>45.836192450608799</v>
      </c>
      <c r="J199">
        <f t="shared" si="156"/>
        <v>47.374894074504681</v>
      </c>
      <c r="K199">
        <f t="shared" si="156"/>
        <v>44.982775430467264</v>
      </c>
      <c r="L199">
        <f t="shared" si="149"/>
        <v>104.77537849590313</v>
      </c>
      <c r="M199">
        <f t="shared" si="151"/>
        <v>-1.2653784959031213</v>
      </c>
      <c r="N199">
        <f t="shared" si="152"/>
        <v>1.6011827378940457</v>
      </c>
    </row>
    <row r="200" spans="1:14" x14ac:dyDescent="0.45">
      <c r="A200" s="23">
        <v>42138</v>
      </c>
      <c r="B200">
        <v>103.36</v>
      </c>
      <c r="C200">
        <v>104.14</v>
      </c>
      <c r="G200">
        <f t="shared" ref="G200:K200" si="157">SUMPRODUCT($B200:$B204,P$2:P$6)</f>
        <v>47.465971133765713</v>
      </c>
      <c r="H200">
        <f t="shared" si="157"/>
        <v>47.372723986329106</v>
      </c>
      <c r="I200">
        <f t="shared" si="157"/>
        <v>45.32818565442939</v>
      </c>
      <c r="J200">
        <f t="shared" si="157"/>
        <v>46.849834691430139</v>
      </c>
      <c r="K200">
        <f t="shared" si="157"/>
        <v>44.484240963712033</v>
      </c>
      <c r="L200">
        <f t="shared" si="149"/>
        <v>103.64836628419579</v>
      </c>
      <c r="M200">
        <f t="shared" si="151"/>
        <v>0.87163371580420801</v>
      </c>
      <c r="N200">
        <f t="shared" si="152"/>
        <v>0.75974533452665083</v>
      </c>
    </row>
    <row r="201" spans="1:14" x14ac:dyDescent="0.45">
      <c r="A201" s="23">
        <v>42137</v>
      </c>
      <c r="B201">
        <v>103.56</v>
      </c>
      <c r="C201">
        <v>101.99</v>
      </c>
      <c r="G201">
        <f t="shared" ref="G201:K201" si="158">SUMPRODUCT($B201:$B205,P$2:P$6)</f>
        <v>47.54794530548623</v>
      </c>
      <c r="H201">
        <f t="shared" si="158"/>
        <v>47.45432430049631</v>
      </c>
      <c r="I201">
        <f t="shared" si="158"/>
        <v>45.406088714029458</v>
      </c>
      <c r="J201">
        <f t="shared" si="158"/>
        <v>46.930332938197317</v>
      </c>
      <c r="K201">
        <f t="shared" si="158"/>
        <v>44.560499185311897</v>
      </c>
      <c r="L201">
        <f t="shared" si="149"/>
        <v>103.82135701709946</v>
      </c>
      <c r="M201">
        <f t="shared" si="151"/>
        <v>-0.4613570170994592</v>
      </c>
      <c r="N201">
        <f t="shared" si="152"/>
        <v>0.21285029722691068</v>
      </c>
    </row>
    <row r="202" spans="1:14" x14ac:dyDescent="0.45">
      <c r="A202" s="23">
        <v>42136</v>
      </c>
      <c r="B202">
        <v>102.7</v>
      </c>
      <c r="C202">
        <v>103.22</v>
      </c>
      <c r="G202">
        <f t="shared" ref="G202:K202" si="159">SUMPRODUCT($B202:$B206,P$2:P$6)</f>
        <v>47.155565721371389</v>
      </c>
      <c r="H202">
        <f t="shared" si="159"/>
        <v>47.062769799252997</v>
      </c>
      <c r="I202">
        <f t="shared" si="159"/>
        <v>45.031478102958168</v>
      </c>
      <c r="J202">
        <f t="shared" si="159"/>
        <v>46.54315330705618</v>
      </c>
      <c r="K202">
        <f t="shared" si="159"/>
        <v>44.192913721042231</v>
      </c>
      <c r="L202">
        <f t="shared" si="149"/>
        <v>102.9902519479344</v>
      </c>
      <c r="M202">
        <f t="shared" si="151"/>
        <v>0.56974805206560575</v>
      </c>
      <c r="N202">
        <f t="shared" si="152"/>
        <v>0.32461284283255221</v>
      </c>
    </row>
    <row r="203" spans="1:14" x14ac:dyDescent="0.45">
      <c r="A203" s="23">
        <v>42135</v>
      </c>
      <c r="B203">
        <v>102.4</v>
      </c>
      <c r="C203">
        <v>103.81</v>
      </c>
      <c r="G203">
        <f t="shared" ref="G203:K203" si="160">SUMPRODUCT($B203:$B207,P$2:P$6)</f>
        <v>47.024760998705382</v>
      </c>
      <c r="H203">
        <f t="shared" si="160"/>
        <v>46.932371895827046</v>
      </c>
      <c r="I203">
        <f t="shared" si="160"/>
        <v>44.906831633334427</v>
      </c>
      <c r="J203">
        <f t="shared" si="160"/>
        <v>46.414336061071616</v>
      </c>
      <c r="K203">
        <f t="shared" si="160"/>
        <v>44.070725149934816</v>
      </c>
      <c r="L203">
        <f t="shared" si="149"/>
        <v>102.71361077488034</v>
      </c>
      <c r="M203">
        <f t="shared" si="151"/>
        <v>-1.361077488033402E-2</v>
      </c>
      <c r="N203">
        <f t="shared" si="152"/>
        <v>1.8525319284313157E-4</v>
      </c>
    </row>
    <row r="204" spans="1:14" x14ac:dyDescent="0.45">
      <c r="A204" s="23">
        <v>42132</v>
      </c>
      <c r="B204">
        <v>101.46</v>
      </c>
      <c r="C204">
        <v>102.76</v>
      </c>
      <c r="G204">
        <f t="shared" ref="G204:K204" si="161">SUMPRODUCT($B204:$B208,P$2:P$6)</f>
        <v>46.599720679574972</v>
      </c>
      <c r="H204">
        <f t="shared" si="161"/>
        <v>46.508310430489999</v>
      </c>
      <c r="I204">
        <f t="shared" si="161"/>
        <v>44.501190479577708</v>
      </c>
      <c r="J204">
        <f t="shared" si="161"/>
        <v>45.995090029908951</v>
      </c>
      <c r="K204">
        <f t="shared" si="161"/>
        <v>43.672767043773767</v>
      </c>
      <c r="L204">
        <f t="shared" si="149"/>
        <v>101.81359438865125</v>
      </c>
      <c r="M204">
        <f t="shared" si="151"/>
        <v>0.58640561134875213</v>
      </c>
      <c r="N204">
        <f t="shared" si="152"/>
        <v>0.34387154102130374</v>
      </c>
    </row>
    <row r="205" spans="1:14" x14ac:dyDescent="0.45">
      <c r="A205" s="23">
        <v>42131</v>
      </c>
      <c r="B205">
        <v>98.9</v>
      </c>
      <c r="C205">
        <v>100.96</v>
      </c>
      <c r="G205">
        <f t="shared" ref="G205:K205" si="162">SUMPRODUCT($B205:$B209,P$2:P$6)</f>
        <v>45.428616123894983</v>
      </c>
      <c r="H205">
        <f t="shared" si="162"/>
        <v>45.339605340932678</v>
      </c>
      <c r="I205">
        <f t="shared" si="162"/>
        <v>43.383006179704921</v>
      </c>
      <c r="J205">
        <f t="shared" si="162"/>
        <v>44.839377320525053</v>
      </c>
      <c r="K205">
        <f t="shared" si="162"/>
        <v>42.575490668257281</v>
      </c>
      <c r="L205">
        <f t="shared" si="149"/>
        <v>99.33285466875266</v>
      </c>
      <c r="M205">
        <f t="shared" si="151"/>
        <v>2.1271453312473341</v>
      </c>
      <c r="N205">
        <f t="shared" si="152"/>
        <v>4.5247472602473309</v>
      </c>
    </row>
    <row r="206" spans="1:14" x14ac:dyDescent="0.45">
      <c r="A206" s="23">
        <v>42130</v>
      </c>
      <c r="B206">
        <v>98.77</v>
      </c>
      <c r="C206">
        <v>99.1</v>
      </c>
      <c r="G206">
        <f t="shared" ref="G206:K206" si="163">SUMPRODUCT($B206:$B210,P$2:P$6)</f>
        <v>45.352540304147666</v>
      </c>
      <c r="H206">
        <f t="shared" si="163"/>
        <v>45.263326274788064</v>
      </c>
      <c r="I206">
        <f t="shared" si="163"/>
        <v>43.30972826656923</v>
      </c>
      <c r="J206">
        <f t="shared" si="163"/>
        <v>44.763606516901802</v>
      </c>
      <c r="K206">
        <f t="shared" si="163"/>
        <v>42.503254575461689</v>
      </c>
      <c r="L206">
        <f t="shared" si="149"/>
        <v>99.170562706174834</v>
      </c>
      <c r="M206">
        <f t="shared" si="151"/>
        <v>-0.2705627061748288</v>
      </c>
      <c r="N206">
        <f t="shared" si="152"/>
        <v>7.320417797264675E-2</v>
      </c>
    </row>
    <row r="207" spans="1:14" x14ac:dyDescent="0.45">
      <c r="A207" s="23">
        <v>42129</v>
      </c>
      <c r="B207">
        <v>100.42</v>
      </c>
      <c r="C207">
        <v>98.77</v>
      </c>
      <c r="G207">
        <f t="shared" ref="G207:K207" si="164">SUMPRODUCT($B207:$B211,P$2:P$6)</f>
        <v>46.112705737872197</v>
      </c>
      <c r="H207">
        <f t="shared" si="164"/>
        <v>46.022047941142951</v>
      </c>
      <c r="I207">
        <f t="shared" si="164"/>
        <v>44.035746232534294</v>
      </c>
      <c r="J207">
        <f t="shared" si="164"/>
        <v>45.514005064349455</v>
      </c>
      <c r="K207">
        <f t="shared" si="164"/>
        <v>43.215803371130527</v>
      </c>
      <c r="L207">
        <f t="shared" si="149"/>
        <v>100.78117840601743</v>
      </c>
      <c r="M207">
        <f t="shared" si="151"/>
        <v>-2.0111784060174358</v>
      </c>
      <c r="N207">
        <f t="shared" si="152"/>
        <v>4.0448385808308336</v>
      </c>
    </row>
    <row r="208" spans="1:14" x14ac:dyDescent="0.45">
      <c r="A208" s="23">
        <v>42128</v>
      </c>
      <c r="B208">
        <v>101.35</v>
      </c>
      <c r="C208">
        <v>100.9</v>
      </c>
      <c r="G208">
        <f t="shared" ref="G208:K208" si="165">SUMPRODUCT($B208:$B212,P$2:P$6)</f>
        <v>46.539492341575993</v>
      </c>
      <c r="H208">
        <f t="shared" si="165"/>
        <v>46.447990348693217</v>
      </c>
      <c r="I208">
        <f t="shared" si="165"/>
        <v>44.443300662822345</v>
      </c>
      <c r="J208">
        <f t="shared" si="165"/>
        <v>45.935237207672863</v>
      </c>
      <c r="K208">
        <f t="shared" si="165"/>
        <v>43.615763833531716</v>
      </c>
      <c r="L208">
        <f t="shared" si="149"/>
        <v>101.68533019375305</v>
      </c>
      <c r="M208">
        <f t="shared" si="151"/>
        <v>-1.2653301937530443</v>
      </c>
      <c r="N208">
        <f t="shared" si="152"/>
        <v>1.6010604992231168</v>
      </c>
    </row>
    <row r="209" spans="1:14" x14ac:dyDescent="0.45">
      <c r="A209" s="23">
        <v>42125</v>
      </c>
      <c r="B209">
        <v>100.1</v>
      </c>
      <c r="C209">
        <v>101.69</v>
      </c>
      <c r="G209">
        <f t="shared" ref="G209:K209" si="166">SUMPRODUCT($B209:$B213,P$2:P$6)</f>
        <v>45.973109070543657</v>
      </c>
      <c r="H209">
        <f t="shared" si="166"/>
        <v>45.882885270844142</v>
      </c>
      <c r="I209">
        <f t="shared" si="166"/>
        <v>43.902721076582871</v>
      </c>
      <c r="J209">
        <f t="shared" si="166"/>
        <v>45.376526440453731</v>
      </c>
      <c r="K209">
        <f t="shared" si="166"/>
        <v>43.085399725882048</v>
      </c>
      <c r="L209">
        <f t="shared" si="149"/>
        <v>100.48594035224197</v>
      </c>
      <c r="M209">
        <f t="shared" si="151"/>
        <v>0.86405964775802602</v>
      </c>
      <c r="N209">
        <f t="shared" si="152"/>
        <v>0.74659907488372401</v>
      </c>
    </row>
    <row r="210" spans="1:14" x14ac:dyDescent="0.45">
      <c r="A210" s="23">
        <v>42124</v>
      </c>
      <c r="B210">
        <v>95.4</v>
      </c>
      <c r="C210">
        <v>94.23</v>
      </c>
      <c r="G210">
        <f t="shared" ref="G210:K210" si="167">SUMPRODUCT($B210:$B214,P$2:P$6)</f>
        <v>43.829498611632189</v>
      </c>
      <c r="H210">
        <f t="shared" si="167"/>
        <v>43.743806055314508</v>
      </c>
      <c r="I210">
        <f t="shared" si="167"/>
        <v>41.856224977045251</v>
      </c>
      <c r="J210">
        <f t="shared" si="167"/>
        <v>43.261359272309626</v>
      </c>
      <c r="K210">
        <f t="shared" si="167"/>
        <v>41.07729708379798</v>
      </c>
      <c r="L210">
        <f t="shared" si="149"/>
        <v>95.945593545932383</v>
      </c>
      <c r="M210">
        <f t="shared" si="151"/>
        <v>4.1544064540676118</v>
      </c>
      <c r="N210">
        <f t="shared" si="152"/>
        <v>17.259092985598627</v>
      </c>
    </row>
    <row r="211" spans="1:14" x14ac:dyDescent="0.45">
      <c r="A211" s="23">
        <v>42123</v>
      </c>
      <c r="B211">
        <v>97.7</v>
      </c>
      <c r="C211">
        <v>96.26</v>
      </c>
      <c r="G211">
        <f t="shared" ref="G211:K211" si="168">SUMPRODUCT($B211:$B215,P$2:P$6)</f>
        <v>44.879574683795049</v>
      </c>
      <c r="H211">
        <f t="shared" si="168"/>
        <v>44.791685702878603</v>
      </c>
      <c r="I211">
        <f t="shared" si="168"/>
        <v>42.858769755263573</v>
      </c>
      <c r="J211">
        <f t="shared" si="168"/>
        <v>44.297547667514657</v>
      </c>
      <c r="K211">
        <f t="shared" si="168"/>
        <v>42.061054869861962</v>
      </c>
      <c r="L211">
        <f t="shared" si="149"/>
        <v>98.169817023356131</v>
      </c>
      <c r="M211">
        <f t="shared" si="151"/>
        <v>-2.7698170233561257</v>
      </c>
      <c r="N211">
        <f t="shared" si="152"/>
        <v>7.6718863428733881</v>
      </c>
    </row>
    <row r="212" spans="1:14" x14ac:dyDescent="0.45">
      <c r="A212" s="23">
        <v>42122</v>
      </c>
      <c r="B212">
        <v>98.53</v>
      </c>
      <c r="C212">
        <v>97.8</v>
      </c>
      <c r="G212">
        <f t="shared" ref="G212:K212" si="169">SUMPRODUCT($B212:$B216,P$2:P$6)</f>
        <v>45.254092505283104</v>
      </c>
      <c r="H212">
        <f t="shared" si="169"/>
        <v>45.165324790824286</v>
      </c>
      <c r="I212">
        <f t="shared" si="169"/>
        <v>43.216165146624611</v>
      </c>
      <c r="J212">
        <f t="shared" si="169"/>
        <v>44.666926517101857</v>
      </c>
      <c r="K212">
        <f t="shared" si="169"/>
        <v>42.411665252241114</v>
      </c>
      <c r="L212">
        <f t="shared" si="149"/>
        <v>98.962799737154285</v>
      </c>
      <c r="M212">
        <f t="shared" si="151"/>
        <v>-1.2627997371542818</v>
      </c>
      <c r="N212">
        <f t="shared" si="152"/>
        <v>1.5946631761569232</v>
      </c>
    </row>
    <row r="213" spans="1:14" x14ac:dyDescent="0.45">
      <c r="A213" s="23">
        <v>42121</v>
      </c>
      <c r="B213">
        <v>99.44</v>
      </c>
      <c r="C213">
        <v>98.82</v>
      </c>
      <c r="G213">
        <f t="shared" ref="G213:K213" si="170">SUMPRODUCT($B213:$B217,P$2:P$6)</f>
        <v>45.663491586148766</v>
      </c>
      <c r="H213">
        <f t="shared" si="170"/>
        <v>45.573735933612696</v>
      </c>
      <c r="I213">
        <f t="shared" si="170"/>
        <v>43.606798496227228</v>
      </c>
      <c r="J213">
        <f t="shared" si="170"/>
        <v>45.070656764160113</v>
      </c>
      <c r="K213">
        <f t="shared" si="170"/>
        <v>42.794858233062335</v>
      </c>
      <c r="L213">
        <f t="shared" si="149"/>
        <v>99.829552273246321</v>
      </c>
      <c r="M213">
        <f t="shared" si="151"/>
        <v>-1.2995522732463201</v>
      </c>
      <c r="N213">
        <f t="shared" si="152"/>
        <v>1.6888361108996781</v>
      </c>
    </row>
    <row r="214" spans="1:14" x14ac:dyDescent="0.45">
      <c r="A214" s="23">
        <v>42118</v>
      </c>
      <c r="B214">
        <v>98.95</v>
      </c>
      <c r="C214">
        <v>98.9</v>
      </c>
      <c r="G214">
        <f t="shared" ref="G214:K214" si="171">SUMPRODUCT($B214:$B218,P$2:P$6)</f>
        <v>45.4392963817413</v>
      </c>
      <c r="H214">
        <f t="shared" si="171"/>
        <v>45.34999851144353</v>
      </c>
      <c r="I214">
        <f t="shared" si="171"/>
        <v>43.392731687849967</v>
      </c>
      <c r="J214">
        <f t="shared" si="171"/>
        <v>44.849406035592715</v>
      </c>
      <c r="K214">
        <f t="shared" si="171"/>
        <v>42.584793367750656</v>
      </c>
      <c r="L214">
        <f t="shared" si="149"/>
        <v>99.35463757089282</v>
      </c>
      <c r="M214">
        <f t="shared" si="151"/>
        <v>8.5362429107178173E-2</v>
      </c>
      <c r="N214">
        <f t="shared" si="152"/>
        <v>7.2867443030780197E-3</v>
      </c>
    </row>
    <row r="215" spans="1:14" x14ac:dyDescent="0.45">
      <c r="A215" s="23">
        <v>42117</v>
      </c>
      <c r="B215">
        <v>99.49</v>
      </c>
      <c r="C215">
        <v>98.92</v>
      </c>
      <c r="G215">
        <f t="shared" ref="G215:K215" si="172">SUMPRODUCT($B215:$B219,P$2:P$6)</f>
        <v>45.683447905442911</v>
      </c>
      <c r="H215">
        <f t="shared" si="172"/>
        <v>45.59358762373563</v>
      </c>
      <c r="I215">
        <f t="shared" si="172"/>
        <v>43.625739623803447</v>
      </c>
      <c r="J215">
        <f t="shared" si="172"/>
        <v>45.090227744591559</v>
      </c>
      <c r="K215">
        <f t="shared" si="172"/>
        <v>42.813387578823459</v>
      </c>
      <c r="L215">
        <f t="shared" si="149"/>
        <v>99.871623529152942</v>
      </c>
      <c r="M215">
        <f t="shared" si="151"/>
        <v>-0.92162352915293866</v>
      </c>
      <c r="N215">
        <f t="shared" si="152"/>
        <v>0.8493899294883176</v>
      </c>
    </row>
    <row r="216" spans="1:14" x14ac:dyDescent="0.45">
      <c r="A216" s="23">
        <v>42116</v>
      </c>
      <c r="B216">
        <v>98.45</v>
      </c>
      <c r="C216">
        <v>99.47</v>
      </c>
      <c r="G216">
        <f t="shared" ref="G216:K216" si="173">SUMPRODUCT($B216:$B220,P$2:P$6)</f>
        <v>45.215844644453398</v>
      </c>
      <c r="H216">
        <f t="shared" si="173"/>
        <v>45.127118163997338</v>
      </c>
      <c r="I216">
        <f t="shared" si="173"/>
        <v>43.179579846502833</v>
      </c>
      <c r="J216">
        <f t="shared" si="173"/>
        <v>44.629111372226035</v>
      </c>
      <c r="K216">
        <f t="shared" si="173"/>
        <v>42.375731504053256</v>
      </c>
      <c r="L216">
        <f t="shared" si="149"/>
        <v>98.881663381676148</v>
      </c>
      <c r="M216">
        <f t="shared" si="151"/>
        <v>0.60833661832384678</v>
      </c>
      <c r="N216">
        <f t="shared" si="152"/>
        <v>0.37007344119369362</v>
      </c>
    </row>
    <row r="217" spans="1:14" x14ac:dyDescent="0.45">
      <c r="A217" s="23">
        <v>42115</v>
      </c>
      <c r="B217">
        <v>96.97</v>
      </c>
      <c r="C217">
        <v>98.31</v>
      </c>
      <c r="G217">
        <f t="shared" ref="G217:K217" si="174">SUMPRODUCT($B217:$B221,P$2:P$6)</f>
        <v>44.543930868532414</v>
      </c>
      <c r="H217">
        <f t="shared" si="174"/>
        <v>44.456692401968517</v>
      </c>
      <c r="I217">
        <f t="shared" si="174"/>
        <v>42.538227000900342</v>
      </c>
      <c r="J217">
        <f t="shared" si="174"/>
        <v>43.966242806215519</v>
      </c>
      <c r="K217">
        <f t="shared" si="174"/>
        <v>41.746472163245144</v>
      </c>
      <c r="L217">
        <f t="shared" si="149"/>
        <v>97.458707840673824</v>
      </c>
      <c r="M217">
        <f t="shared" si="151"/>
        <v>0.99129215932617853</v>
      </c>
      <c r="N217">
        <f t="shared" si="152"/>
        <v>0.98266014514155775</v>
      </c>
    </row>
    <row r="218" spans="1:14" x14ac:dyDescent="0.45">
      <c r="A218" s="23">
        <v>42114</v>
      </c>
      <c r="B218">
        <v>96.72</v>
      </c>
      <c r="C218">
        <v>97.4</v>
      </c>
      <c r="G218">
        <f t="shared" ref="G218:K218" si="175">SUMPRODUCT($B218:$B222,P$2:P$6)</f>
        <v>44.430217272435357</v>
      </c>
      <c r="H218">
        <f t="shared" si="175"/>
        <v>44.343226147944819</v>
      </c>
      <c r="I218">
        <f t="shared" si="175"/>
        <v>42.429677444613397</v>
      </c>
      <c r="J218">
        <f t="shared" si="175"/>
        <v>43.854051659089073</v>
      </c>
      <c r="K218">
        <f t="shared" si="175"/>
        <v>41.639965150208617</v>
      </c>
      <c r="L218">
        <f t="shared" si="149"/>
        <v>97.217874924026432</v>
      </c>
      <c r="M218">
        <f t="shared" si="151"/>
        <v>-0.24787492402643352</v>
      </c>
      <c r="N218">
        <f t="shared" si="152"/>
        <v>6.1441977961110186E-2</v>
      </c>
    </row>
    <row r="219" spans="1:14" x14ac:dyDescent="0.45">
      <c r="A219" s="23">
        <v>42111</v>
      </c>
      <c r="B219">
        <v>96.18</v>
      </c>
      <c r="C219">
        <v>96.1</v>
      </c>
      <c r="G219">
        <f t="shared" ref="G219:K219" si="176">SUMPRODUCT($B219:$B223,P$2:P$6)</f>
        <v>44.186423897824383</v>
      </c>
      <c r="H219">
        <f t="shared" si="176"/>
        <v>44.100002099220383</v>
      </c>
      <c r="I219">
        <f t="shared" si="176"/>
        <v>42.19702512488098</v>
      </c>
      <c r="J219">
        <f t="shared" si="176"/>
        <v>43.613598093034199</v>
      </c>
      <c r="K219">
        <f t="shared" si="176"/>
        <v>41.411726995551206</v>
      </c>
      <c r="L219">
        <f t="shared" si="149"/>
        <v>96.701671954004794</v>
      </c>
      <c r="M219">
        <f t="shared" si="151"/>
        <v>1.8328045995204434E-2</v>
      </c>
      <c r="N219">
        <f t="shared" si="152"/>
        <v>3.3591727000232928E-4</v>
      </c>
    </row>
    <row r="220" spans="1:14" x14ac:dyDescent="0.45">
      <c r="A220" s="23">
        <v>42110</v>
      </c>
      <c r="B220">
        <v>97.95</v>
      </c>
      <c r="C220">
        <v>97.17</v>
      </c>
      <c r="G220">
        <f t="shared" ref="G220:K220" si="177">SUMPRODUCT($B220:$B224,P$2:P$6)</f>
        <v>44.989348639894963</v>
      </c>
      <c r="H220">
        <f t="shared" si="177"/>
        <v>44.901135825480829</v>
      </c>
      <c r="I220">
        <f t="shared" si="177"/>
        <v>42.963406872106191</v>
      </c>
      <c r="J220">
        <f t="shared" si="177"/>
        <v>44.405686425039192</v>
      </c>
      <c r="K220">
        <f t="shared" si="177"/>
        <v>42.163644649258814</v>
      </c>
      <c r="L220">
        <f t="shared" si="149"/>
        <v>98.402035092291399</v>
      </c>
      <c r="M220">
        <f t="shared" si="151"/>
        <v>-2.2220350922913923</v>
      </c>
      <c r="N220">
        <f t="shared" si="152"/>
        <v>4.937439951374416</v>
      </c>
    </row>
    <row r="221" spans="1:14" x14ac:dyDescent="0.45">
      <c r="A221" s="23">
        <v>42109</v>
      </c>
      <c r="B221">
        <v>98.66</v>
      </c>
      <c r="C221">
        <v>97.96</v>
      </c>
      <c r="G221">
        <f t="shared" ref="G221:K221" si="178">SUMPRODUCT($B221:$B225,P$2:P$6)</f>
        <v>45.315197693041242</v>
      </c>
      <c r="H221">
        <f t="shared" si="178"/>
        <v>45.226339587574564</v>
      </c>
      <c r="I221">
        <f t="shared" si="178"/>
        <v>43.274571247284236</v>
      </c>
      <c r="J221">
        <f t="shared" si="178"/>
        <v>44.727297234088525</v>
      </c>
      <c r="K221">
        <f t="shared" si="178"/>
        <v>42.469011644085128</v>
      </c>
      <c r="L221">
        <f t="shared" si="149"/>
        <v>99.0923498148248</v>
      </c>
      <c r="M221">
        <f t="shared" si="151"/>
        <v>-1.1423498148247972</v>
      </c>
      <c r="N221">
        <f t="shared" si="152"/>
        <v>1.3049630994302486</v>
      </c>
    </row>
    <row r="222" spans="1:14" x14ac:dyDescent="0.45">
      <c r="A222" s="23">
        <v>42108</v>
      </c>
      <c r="B222">
        <v>98.72</v>
      </c>
      <c r="C222">
        <v>98.09</v>
      </c>
      <c r="G222">
        <f t="shared" ref="G222:K222" si="179">SUMPRODUCT($B222:$B226,P$2:P$6)</f>
        <v>45.34246889975546</v>
      </c>
      <c r="H222">
        <f t="shared" si="179"/>
        <v>45.2535514013083</v>
      </c>
      <c r="I222">
        <f t="shared" si="179"/>
        <v>43.300603771286205</v>
      </c>
      <c r="J222">
        <f t="shared" si="179"/>
        <v>44.754202247240521</v>
      </c>
      <c r="K222">
        <f t="shared" si="179"/>
        <v>42.494553893528007</v>
      </c>
      <c r="L222">
        <f t="shared" si="149"/>
        <v>99.150106360610508</v>
      </c>
      <c r="M222">
        <f t="shared" si="151"/>
        <v>-0.49010636061051116</v>
      </c>
      <c r="N222">
        <f t="shared" si="152"/>
        <v>0.24020424471088039</v>
      </c>
    </row>
    <row r="223" spans="1:14" x14ac:dyDescent="0.45">
      <c r="A223" s="23">
        <v>42107</v>
      </c>
      <c r="B223">
        <v>99.36</v>
      </c>
      <c r="C223">
        <v>98.76</v>
      </c>
      <c r="G223">
        <f t="shared" ref="G223:K223" si="180">SUMPRODUCT($B223:$B227,P$2:P$6)</f>
        <v>45.632943930768029</v>
      </c>
      <c r="H223">
        <f t="shared" si="180"/>
        <v>45.543381691056183</v>
      </c>
      <c r="I223">
        <f t="shared" si="180"/>
        <v>43.577864324955755</v>
      </c>
      <c r="J223">
        <f t="shared" si="180"/>
        <v>45.040763627416673</v>
      </c>
      <c r="K223">
        <f t="shared" si="180"/>
        <v>42.766584687692664</v>
      </c>
      <c r="L223">
        <f t="shared" si="149"/>
        <v>99.765259177650236</v>
      </c>
      <c r="M223">
        <f t="shared" si="151"/>
        <v>-1.0452591776502373</v>
      </c>
      <c r="N223">
        <f t="shared" si="152"/>
        <v>1.0925667484620505</v>
      </c>
    </row>
    <row r="224" spans="1:14" x14ac:dyDescent="0.45">
      <c r="A224" s="23">
        <v>42104</v>
      </c>
      <c r="B224">
        <v>98.33</v>
      </c>
      <c r="C224">
        <v>99.2</v>
      </c>
      <c r="G224">
        <f t="shared" ref="G224:K224" si="181">SUMPRODUCT($B224:$B228,P$2:P$6)</f>
        <v>45.15786399975471</v>
      </c>
      <c r="H224">
        <f t="shared" si="181"/>
        <v>45.069190771030669</v>
      </c>
      <c r="I224">
        <f t="shared" si="181"/>
        <v>43.124102174817786</v>
      </c>
      <c r="J224">
        <f t="shared" si="181"/>
        <v>44.571764431618156</v>
      </c>
      <c r="K224">
        <f t="shared" si="181"/>
        <v>42.321230061911152</v>
      </c>
      <c r="L224">
        <f t="shared" si="149"/>
        <v>98.758633816779664</v>
      </c>
      <c r="M224">
        <f t="shared" si="151"/>
        <v>0.60136618322033542</v>
      </c>
      <c r="N224">
        <f t="shared" si="152"/>
        <v>0.36164128632099402</v>
      </c>
    </row>
    <row r="225" spans="1:14" x14ac:dyDescent="0.45">
      <c r="A225" s="23">
        <v>42103</v>
      </c>
      <c r="B225">
        <v>98.97</v>
      </c>
      <c r="C225">
        <v>97.82</v>
      </c>
      <c r="G225">
        <f t="shared" ref="G225:K225" si="182">SUMPRODUCT($B225:$B229,P$2:P$6)</f>
        <v>45.44167745768118</v>
      </c>
      <c r="H225">
        <f t="shared" si="182"/>
        <v>45.352228604366161</v>
      </c>
      <c r="I225">
        <f t="shared" si="182"/>
        <v>43.394744788622617</v>
      </c>
      <c r="J225">
        <f t="shared" si="182"/>
        <v>44.851472546985114</v>
      </c>
      <c r="K225">
        <f t="shared" si="182"/>
        <v>42.586634980861675</v>
      </c>
      <c r="L225">
        <f t="shared" si="149"/>
        <v>99.359216640530462</v>
      </c>
      <c r="M225">
        <f t="shared" si="151"/>
        <v>-1.0292166405304641</v>
      </c>
      <c r="N225">
        <f t="shared" si="152"/>
        <v>1.0592868931448147</v>
      </c>
    </row>
    <row r="226" spans="1:14" x14ac:dyDescent="0.45">
      <c r="A226" s="23">
        <v>42102</v>
      </c>
      <c r="B226">
        <v>98.95</v>
      </c>
      <c r="C226">
        <v>98.65</v>
      </c>
      <c r="G226">
        <f t="shared" ref="G226:K226" si="183">SUMPRODUCT($B226:$B230,P$2:P$6)</f>
        <v>45.428874243203374</v>
      </c>
      <c r="H226">
        <f t="shared" si="183"/>
        <v>45.339371749207096</v>
      </c>
      <c r="I226">
        <f t="shared" si="183"/>
        <v>43.382378036543244</v>
      </c>
      <c r="J226">
        <f t="shared" si="183"/>
        <v>44.83868402931153</v>
      </c>
      <c r="K226">
        <f t="shared" si="183"/>
        <v>42.574427285334899</v>
      </c>
      <c r="L226">
        <f t="shared" si="149"/>
        <v>99.331842843427594</v>
      </c>
      <c r="M226">
        <f t="shared" si="151"/>
        <v>-0.36184284342759554</v>
      </c>
      <c r="N226">
        <f t="shared" si="152"/>
        <v>0.13093024333976741</v>
      </c>
    </row>
    <row r="227" spans="1:14" x14ac:dyDescent="0.45">
      <c r="A227" s="23">
        <v>42101</v>
      </c>
      <c r="B227">
        <v>98.62</v>
      </c>
      <c r="C227">
        <v>98.47</v>
      </c>
      <c r="G227">
        <f t="shared" ref="G227:K227" si="184">SUMPRODUCT($B227:$B231,P$2:P$6)</f>
        <v>45.278058863366674</v>
      </c>
      <c r="H227">
        <f t="shared" si="184"/>
        <v>45.188868042166639</v>
      </c>
      <c r="I227">
        <f t="shared" si="184"/>
        <v>43.238382636253732</v>
      </c>
      <c r="J227">
        <f t="shared" si="184"/>
        <v>44.689856073414376</v>
      </c>
      <c r="K227">
        <f t="shared" si="184"/>
        <v>42.433127281203987</v>
      </c>
      <c r="L227">
        <f t="shared" si="149"/>
        <v>99.012380896647684</v>
      </c>
      <c r="M227">
        <f t="shared" si="151"/>
        <v>-6.2380896647681539E-2</v>
      </c>
      <c r="N227">
        <f t="shared" si="152"/>
        <v>3.8913762665687256E-3</v>
      </c>
    </row>
    <row r="228" spans="1:14" x14ac:dyDescent="0.45">
      <c r="A228" s="23">
        <v>42100</v>
      </c>
      <c r="B228">
        <v>97.03</v>
      </c>
      <c r="C228">
        <v>98.58</v>
      </c>
      <c r="G228">
        <f t="shared" ref="G228:K228" si="185">SUMPRODUCT($B228:$B232,P$2:P$6)</f>
        <v>44.556052368712123</v>
      </c>
      <c r="H228">
        <f t="shared" si="185"/>
        <v>44.468456262794248</v>
      </c>
      <c r="I228">
        <f t="shared" si="185"/>
        <v>42.549208142751219</v>
      </c>
      <c r="J228">
        <f t="shared" si="185"/>
        <v>43.977562497542834</v>
      </c>
      <c r="K228">
        <f t="shared" si="185"/>
        <v>41.75694504972779</v>
      </c>
      <c r="L228">
        <f t="shared" si="149"/>
        <v>97.483328546352709</v>
      </c>
      <c r="M228">
        <f t="shared" si="151"/>
        <v>1.1366714536472955</v>
      </c>
      <c r="N228">
        <f t="shared" si="152"/>
        <v>1.2920219935366559</v>
      </c>
    </row>
    <row r="229" spans="1:14" x14ac:dyDescent="0.45">
      <c r="A229" s="23">
        <v>42096</v>
      </c>
      <c r="B229">
        <v>94.84</v>
      </c>
      <c r="C229">
        <v>97.98</v>
      </c>
      <c r="G229">
        <f t="shared" ref="G229:K229" si="186">SUMPRODUCT($B229:$B233,P$2:P$6)</f>
        <v>43.552523339285408</v>
      </c>
      <c r="H229">
        <f t="shared" si="186"/>
        <v>43.466946925584445</v>
      </c>
      <c r="I229">
        <f t="shared" si="186"/>
        <v>41.59096199880765</v>
      </c>
      <c r="J229">
        <f t="shared" si="186"/>
        <v>42.987151716664165</v>
      </c>
      <c r="K229">
        <f t="shared" si="186"/>
        <v>40.816582957796612</v>
      </c>
      <c r="L229">
        <f t="shared" si="149"/>
        <v>95.357446398372119</v>
      </c>
      <c r="M229">
        <f t="shared" si="151"/>
        <v>1.6725536016278824</v>
      </c>
      <c r="N229">
        <f t="shared" si="152"/>
        <v>2.7974355503184012</v>
      </c>
    </row>
    <row r="230" spans="1:14" x14ac:dyDescent="0.45">
      <c r="A230" s="23">
        <v>42095</v>
      </c>
      <c r="B230">
        <v>93.81</v>
      </c>
      <c r="C230">
        <v>94.17</v>
      </c>
      <c r="G230">
        <f t="shared" ref="G230:K230" si="187">SUMPRODUCT($B230:$B234,P$2:P$6)</f>
        <v>43.084570575176024</v>
      </c>
      <c r="H230">
        <f t="shared" si="187"/>
        <v>43.000021916047707</v>
      </c>
      <c r="I230">
        <f t="shared" si="187"/>
        <v>41.144278363493001</v>
      </c>
      <c r="J230">
        <f t="shared" si="187"/>
        <v>42.525484664234511</v>
      </c>
      <c r="K230">
        <f t="shared" si="187"/>
        <v>40.378315479633891</v>
      </c>
      <c r="L230">
        <f t="shared" si="149"/>
        <v>94.366407138166593</v>
      </c>
      <c r="M230">
        <f t="shared" si="151"/>
        <v>0.47359286183340998</v>
      </c>
      <c r="N230">
        <f t="shared" si="152"/>
        <v>0.22429019877955936</v>
      </c>
    </row>
    <row r="231" spans="1:14" x14ac:dyDescent="0.45">
      <c r="A231" s="23">
        <v>42094</v>
      </c>
      <c r="B231">
        <v>93.69</v>
      </c>
      <c r="C231">
        <v>94.13</v>
      </c>
      <c r="G231">
        <f t="shared" ref="G231:K231" si="188">SUMPRODUCT($B231:$B235,P$2:P$6)</f>
        <v>43.03737021810592</v>
      </c>
      <c r="H231">
        <f t="shared" si="188"/>
        <v>42.953084575622164</v>
      </c>
      <c r="I231">
        <f t="shared" si="188"/>
        <v>41.099507247139719</v>
      </c>
      <c r="J231">
        <f t="shared" si="188"/>
        <v>42.479226194670616</v>
      </c>
      <c r="K231">
        <f t="shared" si="188"/>
        <v>40.334533660838261</v>
      </c>
      <c r="L231">
        <f t="shared" si="149"/>
        <v>94.266951550016373</v>
      </c>
      <c r="M231">
        <f t="shared" si="151"/>
        <v>-0.45695155001637033</v>
      </c>
      <c r="N231">
        <f t="shared" si="152"/>
        <v>0.20880471906236339</v>
      </c>
    </row>
    <row r="232" spans="1:14" x14ac:dyDescent="0.45">
      <c r="A232" s="23">
        <v>42093</v>
      </c>
      <c r="B232">
        <v>94.41</v>
      </c>
      <c r="C232">
        <v>94.19</v>
      </c>
      <c r="G232">
        <f t="shared" ref="G232:K232" si="189">SUMPRODUCT($B232:$B236,P$2:P$6)</f>
        <v>43.364947032858119</v>
      </c>
      <c r="H232">
        <f t="shared" si="189"/>
        <v>43.279952483237899</v>
      </c>
      <c r="I232">
        <f t="shared" si="189"/>
        <v>41.412213896950668</v>
      </c>
      <c r="J232">
        <f t="shared" si="189"/>
        <v>42.802422788965693</v>
      </c>
      <c r="K232">
        <f t="shared" si="189"/>
        <v>40.641357679948889</v>
      </c>
      <c r="L232">
        <f t="shared" si="149"/>
        <v>94.960732969965775</v>
      </c>
      <c r="M232">
        <f t="shared" si="151"/>
        <v>-1.2707329699657777</v>
      </c>
      <c r="N232">
        <f t="shared" si="152"/>
        <v>1.614762280958046</v>
      </c>
    </row>
    <row r="233" spans="1:14" x14ac:dyDescent="0.45">
      <c r="A233" s="23">
        <v>42090</v>
      </c>
      <c r="B233">
        <v>92.87</v>
      </c>
      <c r="C233">
        <v>93.68</v>
      </c>
      <c r="G233">
        <f t="shared" ref="G233:K233" si="190">SUMPRODUCT($B233:$B237,P$2:P$6)</f>
        <v>42.663326636406509</v>
      </c>
      <c r="H233">
        <f t="shared" si="190"/>
        <v>42.579831329277447</v>
      </c>
      <c r="I233">
        <f t="shared" si="190"/>
        <v>40.74240858433739</v>
      </c>
      <c r="J233">
        <f t="shared" si="190"/>
        <v>42.110144457271296</v>
      </c>
      <c r="K233">
        <f t="shared" si="190"/>
        <v>39.984133280488678</v>
      </c>
      <c r="L233">
        <f t="shared" si="149"/>
        <v>93.474694015911766</v>
      </c>
      <c r="M233">
        <f t="shared" si="151"/>
        <v>0.93530598408823096</v>
      </c>
      <c r="N233">
        <f t="shared" si="152"/>
        <v>0.87479728387125411</v>
      </c>
    </row>
    <row r="234" spans="1:14" x14ac:dyDescent="0.45">
      <c r="A234" s="23">
        <v>42089</v>
      </c>
      <c r="B234">
        <v>93.27</v>
      </c>
      <c r="C234">
        <v>92.76</v>
      </c>
      <c r="G234">
        <f t="shared" ref="G234:K234" si="191">SUMPRODUCT($B234:$B238,P$2:P$6)</f>
        <v>42.844681025653138</v>
      </c>
      <c r="H234">
        <f t="shared" si="191"/>
        <v>42.76077902104759</v>
      </c>
      <c r="I234">
        <f t="shared" si="191"/>
        <v>40.915505259659326</v>
      </c>
      <c r="J234">
        <f t="shared" si="191"/>
        <v>42.289047077085904</v>
      </c>
      <c r="K234">
        <f t="shared" si="191"/>
        <v>40.153961121474076</v>
      </c>
      <c r="L234">
        <f t="shared" si="149"/>
        <v>93.858743478583804</v>
      </c>
      <c r="M234">
        <f t="shared" si="151"/>
        <v>-0.98874347858379963</v>
      </c>
      <c r="N234">
        <f t="shared" si="152"/>
        <v>0.97761366644199266</v>
      </c>
    </row>
    <row r="235" spans="1:14" x14ac:dyDescent="0.45">
      <c r="A235" s="23">
        <v>42088</v>
      </c>
      <c r="B235">
        <v>95.36</v>
      </c>
      <c r="C235">
        <v>93.95</v>
      </c>
      <c r="G235">
        <f t="shared" ref="G235:K235" si="192">SUMPRODUCT($B235:$B239,P$2:P$6)</f>
        <v>43.792932820502664</v>
      </c>
      <c r="H235">
        <f t="shared" si="192"/>
        <v>43.706918782703532</v>
      </c>
      <c r="I235">
        <f t="shared" si="192"/>
        <v>41.820605613647651</v>
      </c>
      <c r="J235">
        <f t="shared" si="192"/>
        <v>43.224508082709107</v>
      </c>
      <c r="K235">
        <f t="shared" si="192"/>
        <v>41.041982653881483</v>
      </c>
      <c r="L235">
        <f t="shared" si="149"/>
        <v>95.866878115093826</v>
      </c>
      <c r="M235">
        <f t="shared" si="151"/>
        <v>-2.5968781150938298</v>
      </c>
      <c r="N235">
        <f t="shared" si="152"/>
        <v>6.7437759446532821</v>
      </c>
    </row>
    <row r="236" spans="1:14" x14ac:dyDescent="0.45">
      <c r="A236" s="23">
        <v>42087</v>
      </c>
      <c r="B236">
        <v>95.21</v>
      </c>
      <c r="C236">
        <v>95.47</v>
      </c>
      <c r="G236">
        <f t="shared" ref="G236:K236" si="193">SUMPRODUCT($B236:$B240,P$2:P$6)</f>
        <v>43.719060233175774</v>
      </c>
      <c r="H236">
        <f t="shared" si="193"/>
        <v>43.633083583240193</v>
      </c>
      <c r="I236">
        <f t="shared" si="193"/>
        <v>41.749868240074541</v>
      </c>
      <c r="J236">
        <f t="shared" si="193"/>
        <v>43.151386352219966</v>
      </c>
      <c r="K236">
        <f t="shared" si="193"/>
        <v>40.972464095676429</v>
      </c>
      <c r="L236">
        <f t="shared" si="149"/>
        <v>95.710032753381</v>
      </c>
      <c r="M236">
        <f t="shared" si="151"/>
        <v>-0.35003275338100082</v>
      </c>
      <c r="N236">
        <f t="shared" si="152"/>
        <v>0.12252292843948454</v>
      </c>
    </row>
    <row r="237" spans="1:14" x14ac:dyDescent="0.45">
      <c r="A237" s="23">
        <v>42086</v>
      </c>
      <c r="B237">
        <v>95.26</v>
      </c>
      <c r="C237">
        <v>95.4</v>
      </c>
      <c r="G237">
        <f t="shared" ref="G237:K237" si="194">SUMPRODUCT($B237:$B241,P$2:P$6)</f>
        <v>43.74266967319457</v>
      </c>
      <c r="H237">
        <f t="shared" si="194"/>
        <v>43.65665986986982</v>
      </c>
      <c r="I237">
        <f t="shared" si="194"/>
        <v>41.772438103244625</v>
      </c>
      <c r="J237">
        <f t="shared" si="194"/>
        <v>43.174715885245469</v>
      </c>
      <c r="K237">
        <f t="shared" si="194"/>
        <v>40.994626561837201</v>
      </c>
      <c r="L237">
        <f t="shared" si="149"/>
        <v>95.760093637956814</v>
      </c>
      <c r="M237">
        <f t="shared" si="151"/>
        <v>-0.5500936379568202</v>
      </c>
      <c r="N237">
        <f t="shared" si="152"/>
        <v>0.3026030105205692</v>
      </c>
    </row>
    <row r="238" spans="1:14" x14ac:dyDescent="0.45">
      <c r="A238" s="23">
        <v>42083</v>
      </c>
      <c r="B238">
        <v>95</v>
      </c>
      <c r="C238">
        <v>95.91</v>
      </c>
      <c r="G238">
        <f t="shared" ref="G238:K238" si="195">SUMPRODUCT($B238:$B242,P$2:P$6)</f>
        <v>43.621283040586789</v>
      </c>
      <c r="H238">
        <f t="shared" si="195"/>
        <v>43.535469186091539</v>
      </c>
      <c r="I238">
        <f t="shared" si="195"/>
        <v>41.656442692786563</v>
      </c>
      <c r="J238">
        <f t="shared" si="195"/>
        <v>43.054821579085896</v>
      </c>
      <c r="K238">
        <f t="shared" si="195"/>
        <v>40.880751663156772</v>
      </c>
      <c r="L238">
        <f t="shared" si="149"/>
        <v>95.502793287762884</v>
      </c>
      <c r="M238">
        <f t="shared" si="151"/>
        <v>-0.24279328776287912</v>
      </c>
      <c r="N238">
        <f t="shared" si="152"/>
        <v>5.8948580582708229E-2</v>
      </c>
    </row>
    <row r="239" spans="1:14" x14ac:dyDescent="0.45">
      <c r="A239" s="23">
        <v>42082</v>
      </c>
      <c r="B239">
        <v>93.83</v>
      </c>
      <c r="C239">
        <v>94.68</v>
      </c>
      <c r="G239">
        <f t="shared" ref="G239:K239" si="196">SUMPRODUCT($B239:$B243,P$2:P$6)</f>
        <v>43.086378612570876</v>
      </c>
      <c r="H239">
        <f t="shared" si="196"/>
        <v>43.001667228253822</v>
      </c>
      <c r="I239">
        <f t="shared" si="196"/>
        <v>41.145721439772551</v>
      </c>
      <c r="J239">
        <f t="shared" si="196"/>
        <v>42.526960897013296</v>
      </c>
      <c r="K239">
        <f t="shared" si="196"/>
        <v>40.37958643926455</v>
      </c>
      <c r="L239">
        <f t="shared" si="149"/>
        <v>94.369731726139136</v>
      </c>
      <c r="M239">
        <f t="shared" si="151"/>
        <v>0.63026827386086381</v>
      </c>
      <c r="N239">
        <f t="shared" si="152"/>
        <v>0.39723809703555285</v>
      </c>
    </row>
    <row r="240" spans="1:14" x14ac:dyDescent="0.45">
      <c r="A240" s="23">
        <v>42081</v>
      </c>
      <c r="B240">
        <v>92.29</v>
      </c>
      <c r="C240">
        <v>94.04</v>
      </c>
      <c r="G240">
        <f t="shared" ref="G240:K240" si="197">SUMPRODUCT($B240:$B244,P$2:P$6)</f>
        <v>42.376305897579918</v>
      </c>
      <c r="H240">
        <f t="shared" si="197"/>
        <v>42.292928429250253</v>
      </c>
      <c r="I240">
        <f t="shared" si="197"/>
        <v>40.467520303811554</v>
      </c>
      <c r="J240">
        <f t="shared" si="197"/>
        <v>41.825986391245237</v>
      </c>
      <c r="K240">
        <f t="shared" si="197"/>
        <v>39.713956065802357</v>
      </c>
      <c r="L240">
        <f t="shared" si="149"/>
        <v>92.865207084652795</v>
      </c>
      <c r="M240">
        <f t="shared" si="151"/>
        <v>0.96479291534720346</v>
      </c>
      <c r="N240">
        <f t="shared" si="152"/>
        <v>0.93082536950415606</v>
      </c>
    </row>
    <row r="241" spans="1:14" x14ac:dyDescent="0.45">
      <c r="A241" s="23">
        <v>42080</v>
      </c>
      <c r="B241">
        <v>92.52</v>
      </c>
      <c r="C241">
        <v>92.33</v>
      </c>
      <c r="G241">
        <f t="shared" ref="G241:K241" si="198">SUMPRODUCT($B241:$B245,P$2:P$6)</f>
        <v>42.482839219922369</v>
      </c>
      <c r="H241">
        <f t="shared" si="198"/>
        <v>42.399270918054022</v>
      </c>
      <c r="I241">
        <f t="shared" si="198"/>
        <v>40.569288717533169</v>
      </c>
      <c r="J241">
        <f t="shared" si="198"/>
        <v>41.931174548333409</v>
      </c>
      <c r="K241">
        <f t="shared" si="198"/>
        <v>39.813847727281633</v>
      </c>
      <c r="L241">
        <f t="shared" si="149"/>
        <v>93.0909643247508</v>
      </c>
      <c r="M241">
        <f t="shared" si="151"/>
        <v>-0.80096432475079382</v>
      </c>
      <c r="N241">
        <f t="shared" si="152"/>
        <v>0.64154384952349508</v>
      </c>
    </row>
    <row r="242" spans="1:14" x14ac:dyDescent="0.45">
      <c r="A242" s="23">
        <v>42079</v>
      </c>
      <c r="B242">
        <v>91.71</v>
      </c>
      <c r="C242">
        <v>92.96</v>
      </c>
      <c r="G242">
        <f t="shared" ref="G242:K242" si="199">SUMPRODUCT($B242:$B246,P$2:P$6)</f>
        <v>42.114498854735103</v>
      </c>
      <c r="H242">
        <f t="shared" si="199"/>
        <v>42.031732921894466</v>
      </c>
      <c r="I242">
        <f t="shared" si="199"/>
        <v>40.217677985539076</v>
      </c>
      <c r="J242">
        <f t="shared" si="199"/>
        <v>41.567766496638129</v>
      </c>
      <c r="K242">
        <f t="shared" si="199"/>
        <v>39.468855035677805</v>
      </c>
      <c r="L242">
        <f t="shared" si="149"/>
        <v>92.310863467265676</v>
      </c>
      <c r="M242">
        <f t="shared" si="151"/>
        <v>0.20913653273431976</v>
      </c>
      <c r="N242">
        <f t="shared" si="152"/>
        <v>4.37380893241332E-2</v>
      </c>
    </row>
    <row r="243" spans="1:14" x14ac:dyDescent="0.45">
      <c r="A243" s="23">
        <v>42076</v>
      </c>
      <c r="B243">
        <v>91.23</v>
      </c>
      <c r="C243">
        <v>91.35</v>
      </c>
      <c r="G243">
        <f t="shared" ref="G243:K243" si="200">SUMPRODUCT($B243:$B247,P$2:P$6)</f>
        <v>41.898012501747409</v>
      </c>
      <c r="H243">
        <f t="shared" si="200"/>
        <v>41.815756987865001</v>
      </c>
      <c r="I243">
        <f t="shared" si="200"/>
        <v>40.011093437279392</v>
      </c>
      <c r="J243">
        <f t="shared" si="200"/>
        <v>41.354255091008142</v>
      </c>
      <c r="K243">
        <f t="shared" si="200"/>
        <v>39.266194444738368</v>
      </c>
      <c r="L243">
        <f t="shared" si="149"/>
        <v>91.852495142174405</v>
      </c>
      <c r="M243">
        <f t="shared" si="151"/>
        <v>-0.14249514217441117</v>
      </c>
      <c r="N243">
        <f t="shared" si="152"/>
        <v>2.0304865543305652E-2</v>
      </c>
    </row>
    <row r="244" spans="1:14" x14ac:dyDescent="0.45">
      <c r="A244" s="23">
        <v>42075</v>
      </c>
      <c r="B244">
        <v>88.92</v>
      </c>
      <c r="C244">
        <v>91.39</v>
      </c>
      <c r="G244">
        <f t="shared" ref="G244:K244" si="201">SUMPRODUCT($B244:$B248,P$2:P$6)</f>
        <v>40.845671444342656</v>
      </c>
      <c r="H244">
        <f t="shared" si="201"/>
        <v>40.765666924919209</v>
      </c>
      <c r="I244">
        <f t="shared" si="201"/>
        <v>39.006474987429037</v>
      </c>
      <c r="J244">
        <f t="shared" si="201"/>
        <v>40.315928595526472</v>
      </c>
      <c r="K244">
        <f t="shared" si="201"/>
        <v>38.280447430060171</v>
      </c>
      <c r="L244">
        <f t="shared" si="149"/>
        <v>89.623632680085123</v>
      </c>
      <c r="M244">
        <f t="shared" si="151"/>
        <v>1.6063673199148809</v>
      </c>
      <c r="N244">
        <f t="shared" si="152"/>
        <v>2.5804159664905173</v>
      </c>
    </row>
    <row r="245" spans="1:14" x14ac:dyDescent="0.45">
      <c r="A245" s="23">
        <v>42074</v>
      </c>
      <c r="B245">
        <v>89.4</v>
      </c>
      <c r="C245">
        <v>88.95</v>
      </c>
      <c r="G245">
        <f t="shared" ref="G245:K245" si="202">SUMPRODUCT($B245:$B249,P$2:P$6)</f>
        <v>41.062623391148193</v>
      </c>
      <c r="H245">
        <f t="shared" si="202"/>
        <v>40.982117694209791</v>
      </c>
      <c r="I245">
        <f t="shared" si="202"/>
        <v>39.213522223161831</v>
      </c>
      <c r="J245">
        <f t="shared" si="202"/>
        <v>40.529919388486</v>
      </c>
      <c r="K245">
        <f t="shared" si="202"/>
        <v>38.483571252701381</v>
      </c>
      <c r="L245">
        <f t="shared" si="149"/>
        <v>90.083019671466758</v>
      </c>
      <c r="M245">
        <f t="shared" si="151"/>
        <v>-1.1630196714667562</v>
      </c>
      <c r="N245">
        <f t="shared" si="152"/>
        <v>1.3526147562186415</v>
      </c>
    </row>
    <row r="246" spans="1:14" x14ac:dyDescent="0.45">
      <c r="A246" s="23">
        <v>42073</v>
      </c>
      <c r="B246">
        <v>89.62</v>
      </c>
      <c r="C246">
        <v>89.35</v>
      </c>
      <c r="G246">
        <f t="shared" ref="G246:K246" si="203">SUMPRODUCT($B246:$B250,P$2:P$6)</f>
        <v>41.165280057340823</v>
      </c>
      <c r="H246">
        <f t="shared" si="203"/>
        <v>41.0846073446953</v>
      </c>
      <c r="I246">
        <f t="shared" si="203"/>
        <v>39.311617247643497</v>
      </c>
      <c r="J246">
        <f t="shared" si="203"/>
        <v>40.631311277638481</v>
      </c>
      <c r="K246">
        <f t="shared" si="203"/>
        <v>38.579871946802733</v>
      </c>
      <c r="L246">
        <f t="shared" si="149"/>
        <v>90.300614418695233</v>
      </c>
      <c r="M246">
        <f t="shared" si="151"/>
        <v>-0.90061441869522696</v>
      </c>
      <c r="N246">
        <f t="shared" si="152"/>
        <v>0.81110633116174158</v>
      </c>
    </row>
    <row r="247" spans="1:14" x14ac:dyDescent="0.45">
      <c r="A247" s="23">
        <v>42072</v>
      </c>
      <c r="B247">
        <v>90.25</v>
      </c>
      <c r="C247">
        <v>90.55</v>
      </c>
      <c r="G247">
        <f>SUMPRODUCT($B247:$B251,P$2:P$6)</f>
        <v>41.457501372926778</v>
      </c>
      <c r="H247">
        <f>SUMPRODUCT($B247:$B251,Q$2:Q$6)</f>
        <v>41.376317124184737</v>
      </c>
      <c r="I247">
        <f>SUMPRODUCT($B247:$B251,R$2:R$6)</f>
        <v>39.590788856296889</v>
      </c>
      <c r="J247">
        <f>SUMPRODUCT($B247:$B251,S$2:S$6)</f>
        <v>40.91986017099088</v>
      </c>
      <c r="K247">
        <f>SUMPRODUCT($B247:$B251,T$2:T$6)</f>
        <v>38.853903036785432</v>
      </c>
      <c r="L247">
        <f>(G247+$P$7)*$U$2+(H247+$Q$7)*$U$3+(I247+$R$7)*$U$4+(J247+$S$7)*$U$5+(K247+$T$7)*$U$6+$U$7</f>
        <v>90.919900803115212</v>
      </c>
      <c r="M247">
        <f>B246-L247</f>
        <v>-1.2999008031152073</v>
      </c>
      <c r="N247">
        <f>M247^2</f>
        <v>1.689742097939561</v>
      </c>
    </row>
    <row r="248" spans="1:14" x14ac:dyDescent="0.45">
      <c r="A248" s="23">
        <v>42069</v>
      </c>
      <c r="B248">
        <v>90.35</v>
      </c>
      <c r="C248">
        <v>90.25</v>
      </c>
    </row>
    <row r="249" spans="1:14" x14ac:dyDescent="0.45">
      <c r="A249" s="23">
        <v>42068</v>
      </c>
      <c r="B249">
        <v>89.85</v>
      </c>
      <c r="C249">
        <v>91.38</v>
      </c>
    </row>
    <row r="250" spans="1:14" x14ac:dyDescent="0.45">
      <c r="A250" s="23">
        <v>42067</v>
      </c>
      <c r="B250">
        <v>90.52</v>
      </c>
      <c r="C250">
        <v>89.87</v>
      </c>
    </row>
    <row r="251" spans="1:14" x14ac:dyDescent="0.45">
      <c r="A251" s="23">
        <v>42066</v>
      </c>
      <c r="B251">
        <v>91.95</v>
      </c>
      <c r="C251">
        <v>91.02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W251"/>
  <sheetViews>
    <sheetView workbookViewId="0">
      <selection activeCell="C2" sqref="C2"/>
    </sheetView>
  </sheetViews>
  <sheetFormatPr defaultRowHeight="14.25" x14ac:dyDescent="0.45"/>
  <sheetData>
    <row r="1" spans="1:23" x14ac:dyDescent="0.45">
      <c r="A1" t="s">
        <v>3</v>
      </c>
      <c r="B1" t="s">
        <v>4</v>
      </c>
      <c r="C1" t="s">
        <v>5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</row>
    <row r="2" spans="1:23" x14ac:dyDescent="0.45">
      <c r="A2" s="23">
        <v>42426</v>
      </c>
      <c r="B2">
        <v>100.91</v>
      </c>
      <c r="C2">
        <v>95.75</v>
      </c>
      <c r="G2">
        <f t="shared" ref="G2" si="0">SUMPRODUCT($B2:$B6,P$2:P$6)</f>
        <v>75.278045564668389</v>
      </c>
      <c r="H2">
        <f t="shared" ref="H2" si="1">SUMPRODUCT($B2:$B6,Q$2:Q$6)</f>
        <v>52.51537312599126</v>
      </c>
      <c r="I2">
        <f t="shared" ref="I2" si="2">SUMPRODUCT($B2:$B6,R$2:R$6)</f>
        <v>34.380084945853874</v>
      </c>
      <c r="J2">
        <f t="shared" ref="J2" si="3">SUMPRODUCT($B2:$B6,S$2:S$6)</f>
        <v>14.264145623368194</v>
      </c>
      <c r="K2">
        <f t="shared" ref="K2" si="4">SUMPRODUCT($B2:$B6,T$2:T$6)</f>
        <v>3.5733146707026613</v>
      </c>
      <c r="L2">
        <f t="shared" ref="L2" si="5">(G2+$P$7)*$U$2+(H2+$Q$7)*$U$3+(I2+$R$7)*$U$4+(J2+$S$7)*$U$5+(K2+$T$7)*$U$6+$U$7</f>
        <v>100.74964443357081</v>
      </c>
      <c r="P2">
        <v>0.73764722054805254</v>
      </c>
      <c r="Q2">
        <v>0.51442182446724183</v>
      </c>
      <c r="R2">
        <v>0.33767940188854734</v>
      </c>
      <c r="S2">
        <v>0.14063782544683381</v>
      </c>
      <c r="T2">
        <v>2.4265316806406596E-2</v>
      </c>
      <c r="U2">
        <v>0.74158610780567713</v>
      </c>
      <c r="W2" t="s">
        <v>31</v>
      </c>
    </row>
    <row r="3" spans="1:23" x14ac:dyDescent="0.45">
      <c r="A3" s="23">
        <v>42425</v>
      </c>
      <c r="B3">
        <v>99.1</v>
      </c>
      <c r="C3">
        <v>100.07</v>
      </c>
      <c r="G3">
        <f t="shared" ref="G3:G65" si="6">SUMPRODUCT($B3:$B7,P$2:P$6)</f>
        <v>73.940842018883316</v>
      </c>
      <c r="H3">
        <f t="shared" ref="H3:H65" si="7">SUMPRODUCT($B3:$B7,Q$2:Q$6)</f>
        <v>51.582547026994504</v>
      </c>
      <c r="I3">
        <f t="shared" ref="I3:I65" si="8">SUMPRODUCT($B3:$B7,R$2:R$6)</f>
        <v>33.769132197298248</v>
      </c>
      <c r="J3">
        <f t="shared" ref="J3:J65" si="9">SUMPRODUCT($B3:$B7,S$2:S$6)</f>
        <v>14.010485143351548</v>
      </c>
      <c r="K3">
        <f t="shared" ref="K3:K65" si="10">SUMPRODUCT($B3:$B7,T$2:T$6)</f>
        <v>3.5013411840493402</v>
      </c>
      <c r="L3">
        <f t="shared" ref="L3:L65" si="11">(G3+$P$7)*$U$2+(H3+$Q$7)*$U$3+(I3+$R$7)*$U$4+(J3+$S$7)*$U$5+(K3+$T$7)*$U$6+$U$7</f>
        <v>99.034716153263133</v>
      </c>
      <c r="M3">
        <f t="shared" ref="M3:M66" si="12">B2-L3</f>
        <v>1.8752838467368633</v>
      </c>
      <c r="N3">
        <f t="shared" ref="N3:N66" si="13">M3^2</f>
        <v>3.5166895058322076</v>
      </c>
      <c r="P3">
        <v>0</v>
      </c>
      <c r="Q3">
        <v>0</v>
      </c>
      <c r="R3">
        <v>0</v>
      </c>
      <c r="S3">
        <v>0</v>
      </c>
      <c r="T3">
        <v>1.055475705042682E-2</v>
      </c>
      <c r="U3">
        <v>0.51780723730009515</v>
      </c>
      <c r="V3" t="s">
        <v>29</v>
      </c>
      <c r="W3">
        <f>SUM(N3:N251)</f>
        <v>793.46363047212731</v>
      </c>
    </row>
    <row r="4" spans="1:23" x14ac:dyDescent="0.45">
      <c r="A4" s="23">
        <v>42424</v>
      </c>
      <c r="B4">
        <v>96.35</v>
      </c>
      <c r="C4">
        <v>98.83</v>
      </c>
      <c r="G4">
        <f t="shared" si="6"/>
        <v>71.920585936473643</v>
      </c>
      <c r="H4">
        <f t="shared" si="7"/>
        <v>50.173883953975029</v>
      </c>
      <c r="I4">
        <f t="shared" si="8"/>
        <v>32.843295548319134</v>
      </c>
      <c r="J4">
        <f t="shared" si="9"/>
        <v>13.624211921513057</v>
      </c>
      <c r="K4">
        <f t="shared" si="10"/>
        <v>3.4476946514017026</v>
      </c>
      <c r="L4">
        <f t="shared" si="11"/>
        <v>96.442784126746218</v>
      </c>
      <c r="M4">
        <f t="shared" si="12"/>
        <v>2.6572158732537758</v>
      </c>
      <c r="N4">
        <f t="shared" si="13"/>
        <v>7.0607961970718263</v>
      </c>
      <c r="P4">
        <v>4.3189290626575198E-3</v>
      </c>
      <c r="Q4">
        <v>3.0179234788858E-3</v>
      </c>
      <c r="R4">
        <v>1.9160285858731156E-3</v>
      </c>
      <c r="S4">
        <v>7.5124709422101979E-4</v>
      </c>
      <c r="T4">
        <v>8.1707449995717179E-4</v>
      </c>
      <c r="U4">
        <v>0.33927999863960551</v>
      </c>
      <c r="V4" t="s">
        <v>30</v>
      </c>
      <c r="W4">
        <f>MAX(N3:N251)</f>
        <v>193.27685210878855</v>
      </c>
    </row>
    <row r="5" spans="1:23" x14ac:dyDescent="0.45">
      <c r="A5" s="23">
        <v>42423</v>
      </c>
      <c r="B5">
        <v>97.54</v>
      </c>
      <c r="C5">
        <v>97.36</v>
      </c>
      <c r="G5">
        <f t="shared" si="6"/>
        <v>72.78267022698904</v>
      </c>
      <c r="H5">
        <f t="shared" si="7"/>
        <v>50.774729886855681</v>
      </c>
      <c r="I5">
        <f t="shared" si="8"/>
        <v>33.239540647695627</v>
      </c>
      <c r="J5">
        <f t="shared" si="9"/>
        <v>13.790323863618383</v>
      </c>
      <c r="K5">
        <f t="shared" si="10"/>
        <v>3.4819690792436711</v>
      </c>
      <c r="L5">
        <f t="shared" si="11"/>
        <v>97.549244036529075</v>
      </c>
      <c r="M5">
        <f t="shared" si="12"/>
        <v>-1.1992440365290804</v>
      </c>
      <c r="N5">
        <f t="shared" si="13"/>
        <v>1.4381862591505623</v>
      </c>
      <c r="P5">
        <v>0</v>
      </c>
      <c r="Q5">
        <v>0</v>
      </c>
      <c r="R5">
        <v>0</v>
      </c>
      <c r="S5">
        <v>0</v>
      </c>
      <c r="T5">
        <v>0</v>
      </c>
      <c r="U5">
        <v>0.12997119039217514</v>
      </c>
    </row>
    <row r="6" spans="1:23" x14ac:dyDescent="0.45">
      <c r="A6" s="23">
        <v>42422</v>
      </c>
      <c r="B6">
        <v>98.18</v>
      </c>
      <c r="C6">
        <v>98.25</v>
      </c>
      <c r="G6">
        <f t="shared" si="6"/>
        <v>73.251052261171893</v>
      </c>
      <c r="H6">
        <f t="shared" si="7"/>
        <v>51.101006158067882</v>
      </c>
      <c r="I6">
        <f t="shared" si="8"/>
        <v>33.455492325468825</v>
      </c>
      <c r="J6">
        <f t="shared" si="9"/>
        <v>13.881286155714019</v>
      </c>
      <c r="K6">
        <f t="shared" si="10"/>
        <v>3.4810156699110086</v>
      </c>
      <c r="L6">
        <f t="shared" si="11"/>
        <v>98.150628423143388</v>
      </c>
      <c r="M6">
        <f t="shared" si="12"/>
        <v>-0.61062842314338184</v>
      </c>
      <c r="N6">
        <f t="shared" si="13"/>
        <v>0.37286707115057299</v>
      </c>
      <c r="P6">
        <v>4.3383145648539026E-3</v>
      </c>
      <c r="Q6">
        <v>3.2011600306705917E-3</v>
      </c>
      <c r="R6">
        <v>1.2247621412882972E-3</v>
      </c>
      <c r="S6">
        <v>0</v>
      </c>
      <c r="T6">
        <v>0</v>
      </c>
      <c r="U6">
        <v>0</v>
      </c>
    </row>
    <row r="7" spans="1:23" x14ac:dyDescent="0.45">
      <c r="A7" s="23">
        <v>42419</v>
      </c>
      <c r="B7">
        <v>96.52</v>
      </c>
      <c r="C7">
        <v>97.19</v>
      </c>
      <c r="G7">
        <f t="shared" si="6"/>
        <v>72.014882615176333</v>
      </c>
      <c r="H7">
        <f t="shared" si="7"/>
        <v>50.238783773376461</v>
      </c>
      <c r="I7">
        <f t="shared" si="8"/>
        <v>32.89027586565652</v>
      </c>
      <c r="J7">
        <f t="shared" si="9"/>
        <v>13.646347408696656</v>
      </c>
      <c r="K7">
        <f t="shared" si="10"/>
        <v>3.4525301487014994</v>
      </c>
      <c r="L7">
        <f t="shared" si="11"/>
        <v>96.565135287491373</v>
      </c>
      <c r="M7">
        <f t="shared" si="12"/>
        <v>1.6148647125086342</v>
      </c>
      <c r="N7">
        <f t="shared" si="13"/>
        <v>2.6077880397055937</v>
      </c>
      <c r="O7" t="s">
        <v>28</v>
      </c>
      <c r="P7">
        <v>1E-8</v>
      </c>
      <c r="Q7">
        <v>1E-8</v>
      </c>
      <c r="R7">
        <v>1E-8</v>
      </c>
      <c r="S7">
        <v>1E-8</v>
      </c>
      <c r="T7">
        <v>1E-8</v>
      </c>
      <c r="U7">
        <v>4.2132481683549914</v>
      </c>
    </row>
    <row r="8" spans="1:23" x14ac:dyDescent="0.45">
      <c r="A8" s="23">
        <v>42418</v>
      </c>
      <c r="B8">
        <v>97.79</v>
      </c>
      <c r="C8">
        <v>96.47</v>
      </c>
      <c r="G8">
        <f t="shared" si="6"/>
        <v>72.921714545748245</v>
      </c>
      <c r="H8">
        <f t="shared" si="7"/>
        <v>50.87033592452741</v>
      </c>
      <c r="I8">
        <f t="shared" si="8"/>
        <v>33.309187867174749</v>
      </c>
      <c r="J8">
        <f t="shared" si="9"/>
        <v>13.823364803174389</v>
      </c>
      <c r="K8">
        <f t="shared" si="10"/>
        <v>3.4608220317163862</v>
      </c>
      <c r="L8">
        <f t="shared" si="11"/>
        <v>97.729787148702115</v>
      </c>
      <c r="M8">
        <f t="shared" si="12"/>
        <v>-1.2097871487021195</v>
      </c>
      <c r="N8">
        <f t="shared" si="13"/>
        <v>1.463584945164804</v>
      </c>
    </row>
    <row r="9" spans="1:23" x14ac:dyDescent="0.45">
      <c r="A9" s="23">
        <v>42417</v>
      </c>
      <c r="B9">
        <v>95.82</v>
      </c>
      <c r="C9">
        <v>98.36</v>
      </c>
      <c r="G9">
        <f t="shared" si="6"/>
        <v>71.478888861349517</v>
      </c>
      <c r="H9">
        <f t="shared" si="7"/>
        <v>49.864677453882727</v>
      </c>
      <c r="I9">
        <f t="shared" si="8"/>
        <v>32.646369754846027</v>
      </c>
      <c r="J9">
        <f t="shared" si="9"/>
        <v>13.545759876665343</v>
      </c>
      <c r="K9">
        <f t="shared" si="10"/>
        <v>3.3900468082758914</v>
      </c>
      <c r="L9">
        <f t="shared" si="11"/>
        <v>95.87810885980852</v>
      </c>
      <c r="M9">
        <f t="shared" si="12"/>
        <v>1.9118911401914858</v>
      </c>
      <c r="N9">
        <f t="shared" si="13"/>
        <v>3.6553277319426996</v>
      </c>
    </row>
    <row r="10" spans="1:23" x14ac:dyDescent="0.45">
      <c r="A10" s="23">
        <v>42416</v>
      </c>
      <c r="B10">
        <v>93.7</v>
      </c>
      <c r="C10">
        <v>95.36</v>
      </c>
      <c r="G10">
        <f t="shared" si="6"/>
        <v>69.889139916809086</v>
      </c>
      <c r="H10">
        <f t="shared" si="7"/>
        <v>48.75577576127673</v>
      </c>
      <c r="I10">
        <f t="shared" si="8"/>
        <v>31.919822771060566</v>
      </c>
      <c r="J10">
        <f t="shared" si="9"/>
        <v>13.244001700665795</v>
      </c>
      <c r="K10">
        <f t="shared" si="10"/>
        <v>3.3269774063997035</v>
      </c>
      <c r="L10">
        <f t="shared" si="11"/>
        <v>93.839253076737322</v>
      </c>
      <c r="M10">
        <f t="shared" si="12"/>
        <v>1.9807469232626715</v>
      </c>
      <c r="N10">
        <f t="shared" si="13"/>
        <v>3.9233583740145397</v>
      </c>
    </row>
    <row r="11" spans="1:23" x14ac:dyDescent="0.45">
      <c r="A11" s="23">
        <v>42412</v>
      </c>
      <c r="B11">
        <v>92.97</v>
      </c>
      <c r="C11">
        <v>94.56</v>
      </c>
      <c r="G11">
        <f t="shared" si="6"/>
        <v>69.367690116282688</v>
      </c>
      <c r="H11">
        <f t="shared" si="7"/>
        <v>48.392290534260425</v>
      </c>
      <c r="I11">
        <f t="shared" si="8"/>
        <v>31.680292209161262</v>
      </c>
      <c r="J11">
        <f t="shared" si="9"/>
        <v>13.143672466552633</v>
      </c>
      <c r="K11">
        <f t="shared" si="10"/>
        <v>3.2611419929838448</v>
      </c>
      <c r="L11">
        <f t="shared" si="11"/>
        <v>93.170030028844025</v>
      </c>
      <c r="M11">
        <f t="shared" si="12"/>
        <v>0.52996997115597821</v>
      </c>
      <c r="N11">
        <f t="shared" si="13"/>
        <v>0.2808681703270684</v>
      </c>
    </row>
    <row r="12" spans="1:23" x14ac:dyDescent="0.45">
      <c r="A12" s="23">
        <v>42411</v>
      </c>
      <c r="B12">
        <v>88.17</v>
      </c>
      <c r="C12">
        <v>91.41</v>
      </c>
      <c r="G12">
        <f t="shared" si="6"/>
        <v>65.844273212222802</v>
      </c>
      <c r="H12">
        <f t="shared" si="7"/>
        <v>45.936026277601883</v>
      </c>
      <c r="I12">
        <f t="shared" si="8"/>
        <v>30.063476113685063</v>
      </c>
      <c r="J12">
        <f t="shared" si="9"/>
        <v>12.467709407894768</v>
      </c>
      <c r="K12">
        <f t="shared" si="10"/>
        <v>3.1765132773399718</v>
      </c>
      <c r="L12">
        <f t="shared" si="11"/>
        <v>88.648832505897644</v>
      </c>
      <c r="M12">
        <f t="shared" si="12"/>
        <v>4.3211674941023546</v>
      </c>
      <c r="N12">
        <f t="shared" si="13"/>
        <v>18.672488512086822</v>
      </c>
    </row>
    <row r="13" spans="1:23" x14ac:dyDescent="0.45">
      <c r="A13" s="23">
        <v>42410</v>
      </c>
      <c r="B13">
        <v>91.28</v>
      </c>
      <c r="C13">
        <v>90.26</v>
      </c>
      <c r="G13">
        <f t="shared" si="6"/>
        <v>68.14059590173413</v>
      </c>
      <c r="H13">
        <f t="shared" si="7"/>
        <v>47.537390668572968</v>
      </c>
      <c r="I13">
        <f t="shared" si="8"/>
        <v>31.11486968102092</v>
      </c>
      <c r="J13">
        <f t="shared" si="9"/>
        <v>12.905716580122624</v>
      </c>
      <c r="K13">
        <f t="shared" si="10"/>
        <v>3.2399908759823486</v>
      </c>
      <c r="L13">
        <f t="shared" si="11"/>
        <v>91.59459670434785</v>
      </c>
      <c r="M13">
        <f t="shared" si="12"/>
        <v>-3.4245967043478487</v>
      </c>
      <c r="N13">
        <f t="shared" si="13"/>
        <v>11.727862587430147</v>
      </c>
    </row>
    <row r="14" spans="1:23" x14ac:dyDescent="0.45">
      <c r="A14" s="23">
        <v>42409</v>
      </c>
      <c r="B14">
        <v>90.08</v>
      </c>
      <c r="C14">
        <v>90.13</v>
      </c>
      <c r="G14">
        <f t="shared" si="6"/>
        <v>67.274407404260458</v>
      </c>
      <c r="H14">
        <f t="shared" si="7"/>
        <v>46.933220418008979</v>
      </c>
      <c r="I14">
        <f t="shared" si="8"/>
        <v>30.718624112359279</v>
      </c>
      <c r="J14">
        <f t="shared" si="9"/>
        <v>12.740842649534487</v>
      </c>
      <c r="K14">
        <f t="shared" si="10"/>
        <v>3.223865390076293</v>
      </c>
      <c r="L14">
        <f t="shared" si="11"/>
        <v>90.48353256255723</v>
      </c>
      <c r="M14">
        <f t="shared" si="12"/>
        <v>0.7964674374427716</v>
      </c>
      <c r="N14">
        <f t="shared" si="13"/>
        <v>0.63436037890665531</v>
      </c>
    </row>
    <row r="15" spans="1:23" x14ac:dyDescent="0.45">
      <c r="A15" s="23">
        <v>42408</v>
      </c>
      <c r="B15">
        <v>90.91</v>
      </c>
      <c r="C15">
        <v>90.92</v>
      </c>
      <c r="G15">
        <f t="shared" si="6"/>
        <v>67.88666060682101</v>
      </c>
      <c r="H15">
        <f t="shared" si="7"/>
        <v>47.360247335647855</v>
      </c>
      <c r="I15">
        <f t="shared" si="8"/>
        <v>30.998683723328949</v>
      </c>
      <c r="J15">
        <f t="shared" si="9"/>
        <v>12.857339158056151</v>
      </c>
      <c r="K15">
        <f t="shared" si="10"/>
        <v>3.298425951451835</v>
      </c>
      <c r="L15">
        <f t="shared" si="11"/>
        <v>91.268848474828928</v>
      </c>
      <c r="M15">
        <f t="shared" si="12"/>
        <v>-1.1888484748289301</v>
      </c>
      <c r="N15">
        <f t="shared" si="13"/>
        <v>1.4133606961030731</v>
      </c>
    </row>
    <row r="16" spans="1:23" x14ac:dyDescent="0.45">
      <c r="A16" s="23">
        <v>42405</v>
      </c>
      <c r="B16">
        <v>96.09</v>
      </c>
      <c r="C16">
        <v>91.79</v>
      </c>
      <c r="G16">
        <f t="shared" si="6"/>
        <v>71.704174295154104</v>
      </c>
      <c r="H16">
        <f t="shared" si="7"/>
        <v>50.02250237127371</v>
      </c>
      <c r="I16">
        <f t="shared" si="8"/>
        <v>32.74633177995041</v>
      </c>
      <c r="J16">
        <f t="shared" si="9"/>
        <v>13.585257121137259</v>
      </c>
      <c r="K16">
        <f t="shared" si="10"/>
        <v>3.4202109997134222</v>
      </c>
      <c r="L16">
        <f t="shared" si="11"/>
        <v>96.165948911882992</v>
      </c>
      <c r="M16">
        <f t="shared" si="12"/>
        <v>-5.2559489118829958</v>
      </c>
      <c r="N16">
        <f t="shared" si="13"/>
        <v>27.62499896432405</v>
      </c>
    </row>
    <row r="17" spans="1:14" x14ac:dyDescent="0.45">
      <c r="A17" s="23">
        <v>42404</v>
      </c>
      <c r="B17">
        <v>95.78</v>
      </c>
      <c r="C17">
        <v>96.75</v>
      </c>
      <c r="G17">
        <f t="shared" si="6"/>
        <v>71.465736439507609</v>
      </c>
      <c r="H17">
        <f t="shared" si="7"/>
        <v>49.855772192288804</v>
      </c>
      <c r="I17">
        <f t="shared" si="8"/>
        <v>32.639109743144878</v>
      </c>
      <c r="J17">
        <f t="shared" si="9"/>
        <v>13.541892281847948</v>
      </c>
      <c r="K17">
        <f t="shared" si="10"/>
        <v>3.4047093340990897</v>
      </c>
      <c r="L17">
        <f t="shared" si="11"/>
        <v>95.860778144920715</v>
      </c>
      <c r="M17">
        <f t="shared" si="12"/>
        <v>0.22922185507928816</v>
      </c>
      <c r="N17">
        <f t="shared" si="13"/>
        <v>5.2542658845990187E-2</v>
      </c>
    </row>
    <row r="18" spans="1:14" x14ac:dyDescent="0.45">
      <c r="A18" s="23">
        <v>42403</v>
      </c>
      <c r="B18">
        <v>95</v>
      </c>
      <c r="C18">
        <v>95.89</v>
      </c>
      <c r="G18">
        <f t="shared" si="6"/>
        <v>70.885947108189043</v>
      </c>
      <c r="H18">
        <f t="shared" si="7"/>
        <v>49.451263483069624</v>
      </c>
      <c r="I18">
        <f t="shared" si="8"/>
        <v>32.374449814294366</v>
      </c>
      <c r="J18">
        <f t="shared" si="9"/>
        <v>13.432172240586592</v>
      </c>
      <c r="K18">
        <f t="shared" si="10"/>
        <v>3.3890298494407265</v>
      </c>
      <c r="L18">
        <f t="shared" si="11"/>
        <v>95.117302629503357</v>
      </c>
      <c r="M18">
        <f t="shared" si="12"/>
        <v>0.66269737049664457</v>
      </c>
      <c r="N18">
        <f t="shared" si="13"/>
        <v>0.43916780486316698</v>
      </c>
    </row>
    <row r="19" spans="1:14" x14ac:dyDescent="0.45">
      <c r="A19" s="23">
        <v>42402</v>
      </c>
      <c r="B19">
        <v>95.31</v>
      </c>
      <c r="C19">
        <v>94.15</v>
      </c>
      <c r="G19">
        <f t="shared" si="6"/>
        <v>71.106511342062646</v>
      </c>
      <c r="H19">
        <f t="shared" si="7"/>
        <v>49.605185153369376</v>
      </c>
      <c r="I19">
        <f t="shared" si="8"/>
        <v>32.475058233956055</v>
      </c>
      <c r="J19">
        <f t="shared" si="9"/>
        <v>13.473846773913905</v>
      </c>
      <c r="K19">
        <f t="shared" si="10"/>
        <v>3.3941437442193085</v>
      </c>
      <c r="L19">
        <f t="shared" si="11"/>
        <v>95.400122669272889</v>
      </c>
      <c r="M19">
        <f t="shared" si="12"/>
        <v>-0.4001226692728892</v>
      </c>
      <c r="N19">
        <f t="shared" si="13"/>
        <v>0.16009815046606188</v>
      </c>
    </row>
    <row r="20" spans="1:14" x14ac:dyDescent="0.45">
      <c r="A20" s="23">
        <v>42401</v>
      </c>
      <c r="B20">
        <v>95.28</v>
      </c>
      <c r="C20">
        <v>96.37</v>
      </c>
      <c r="G20">
        <f t="shared" si="6"/>
        <v>71.0780671778287</v>
      </c>
      <c r="H20">
        <f t="shared" si="7"/>
        <v>49.585260209176852</v>
      </c>
      <c r="I20">
        <f t="shared" si="8"/>
        <v>32.462455345392975</v>
      </c>
      <c r="J20">
        <f t="shared" si="9"/>
        <v>13.468883904527219</v>
      </c>
      <c r="K20">
        <f t="shared" si="10"/>
        <v>3.3655867029110667</v>
      </c>
      <c r="L20">
        <f t="shared" si="11"/>
        <v>95.363790653866673</v>
      </c>
      <c r="M20">
        <f t="shared" si="12"/>
        <v>-5.3790653866670368E-2</v>
      </c>
      <c r="N20">
        <f t="shared" si="13"/>
        <v>2.8934344434039397E-3</v>
      </c>
    </row>
    <row r="21" spans="1:14" x14ac:dyDescent="0.45">
      <c r="A21" s="23">
        <v>42398</v>
      </c>
      <c r="B21">
        <v>92.72</v>
      </c>
      <c r="C21">
        <v>95.51</v>
      </c>
      <c r="G21">
        <f t="shared" si="6"/>
        <v>69.199264786272508</v>
      </c>
      <c r="H21">
        <f t="shared" si="7"/>
        <v>48.27529030135328</v>
      </c>
      <c r="I21">
        <f t="shared" si="8"/>
        <v>31.601172862072861</v>
      </c>
      <c r="J21">
        <f t="shared" si="9"/>
        <v>13.109361919407396</v>
      </c>
      <c r="K21">
        <f t="shared" si="10"/>
        <v>3.2935738930667138</v>
      </c>
      <c r="L21">
        <f t="shared" si="11"/>
        <v>92.953241581912792</v>
      </c>
      <c r="M21">
        <f t="shared" si="12"/>
        <v>2.3267584180872092</v>
      </c>
      <c r="N21">
        <f t="shared" si="13"/>
        <v>5.4138047361396922</v>
      </c>
    </row>
    <row r="22" spans="1:14" x14ac:dyDescent="0.45">
      <c r="A22" s="23">
        <v>42397</v>
      </c>
      <c r="B22">
        <v>91.73</v>
      </c>
      <c r="C22">
        <v>92.02</v>
      </c>
      <c r="G22">
        <f t="shared" si="6"/>
        <v>68.465228815444547</v>
      </c>
      <c r="H22">
        <f t="shared" si="7"/>
        <v>47.763313807083364</v>
      </c>
      <c r="I22">
        <f t="shared" si="8"/>
        <v>31.265479815911327</v>
      </c>
      <c r="J22">
        <f t="shared" si="9"/>
        <v>12.969777386080747</v>
      </c>
      <c r="K22">
        <f t="shared" si="10"/>
        <v>3.2763444392076821</v>
      </c>
      <c r="L22">
        <f t="shared" si="11"/>
        <v>92.011749665054808</v>
      </c>
      <c r="M22">
        <f t="shared" si="12"/>
        <v>0.70825033494519118</v>
      </c>
      <c r="N22">
        <f t="shared" si="13"/>
        <v>0.50161853694997549</v>
      </c>
    </row>
    <row r="23" spans="1:14" x14ac:dyDescent="0.45">
      <c r="A23" s="23">
        <v>42396</v>
      </c>
      <c r="B23">
        <v>92.41</v>
      </c>
      <c r="C23">
        <v>90.77</v>
      </c>
      <c r="G23">
        <f t="shared" si="6"/>
        <v>68.972265541950563</v>
      </c>
      <c r="H23">
        <f t="shared" si="7"/>
        <v>48.116873757435499</v>
      </c>
      <c r="I23">
        <f t="shared" si="8"/>
        <v>31.497702647153773</v>
      </c>
      <c r="J23">
        <f t="shared" si="9"/>
        <v>13.06656051543875</v>
      </c>
      <c r="K23">
        <f t="shared" si="10"/>
        <v>3.2891342428072723</v>
      </c>
      <c r="L23">
        <f t="shared" si="11"/>
        <v>92.662204539091306</v>
      </c>
      <c r="M23">
        <f t="shared" si="12"/>
        <v>-0.93220453909130185</v>
      </c>
      <c r="N23">
        <f t="shared" si="13"/>
        <v>0.86900530270242649</v>
      </c>
    </row>
    <row r="24" spans="1:14" x14ac:dyDescent="0.45">
      <c r="A24" s="23">
        <v>42395</v>
      </c>
      <c r="B24">
        <v>91.94</v>
      </c>
      <c r="C24">
        <v>92.64</v>
      </c>
      <c r="G24">
        <f t="shared" si="6"/>
        <v>68.609657488040838</v>
      </c>
      <c r="H24">
        <f t="shared" si="7"/>
        <v>47.863420537244053</v>
      </c>
      <c r="I24">
        <f t="shared" si="8"/>
        <v>31.334221944629796</v>
      </c>
      <c r="J24">
        <f t="shared" si="9"/>
        <v>13.000160238641051</v>
      </c>
      <c r="K24">
        <f t="shared" si="10"/>
        <v>3.2935514923954314</v>
      </c>
      <c r="L24">
        <f t="shared" si="11"/>
        <v>92.197963676453554</v>
      </c>
      <c r="M24">
        <f t="shared" si="12"/>
        <v>0.21203632354644242</v>
      </c>
      <c r="N24">
        <f t="shared" si="13"/>
        <v>4.4959402503091613E-2</v>
      </c>
    </row>
    <row r="25" spans="1:14" x14ac:dyDescent="0.45">
      <c r="A25" s="23">
        <v>42394</v>
      </c>
      <c r="B25">
        <v>93.47</v>
      </c>
      <c r="C25">
        <v>91.73</v>
      </c>
      <c r="G25">
        <f t="shared" si="6"/>
        <v>69.751451445842136</v>
      </c>
      <c r="H25">
        <f t="shared" si="7"/>
        <v>48.660266929041157</v>
      </c>
      <c r="I25">
        <f t="shared" si="8"/>
        <v>31.854408064488748</v>
      </c>
      <c r="J25">
        <f t="shared" si="9"/>
        <v>13.215133274859268</v>
      </c>
      <c r="K25">
        <f t="shared" si="10"/>
        <v>3.3262349141740741</v>
      </c>
      <c r="L25">
        <f t="shared" si="11"/>
        <v>93.661744089682031</v>
      </c>
      <c r="M25">
        <f t="shared" si="12"/>
        <v>-1.7217440896820335</v>
      </c>
      <c r="N25">
        <f t="shared" si="13"/>
        <v>2.9644027103550141</v>
      </c>
    </row>
    <row r="26" spans="1:14" x14ac:dyDescent="0.45">
      <c r="A26" s="23">
        <v>42391</v>
      </c>
      <c r="B26">
        <v>93.07</v>
      </c>
      <c r="C26">
        <v>93.61</v>
      </c>
      <c r="G26">
        <f t="shared" si="6"/>
        <v>69.43615263605156</v>
      </c>
      <c r="H26">
        <f t="shared" si="7"/>
        <v>48.440115953835047</v>
      </c>
      <c r="I26">
        <f t="shared" si="8"/>
        <v>31.711343975638311</v>
      </c>
      <c r="J26">
        <f t="shared" si="9"/>
        <v>13.156421566682431</v>
      </c>
      <c r="K26">
        <f t="shared" si="10"/>
        <v>3.3110071694330361</v>
      </c>
      <c r="L26">
        <f t="shared" si="11"/>
        <v>93.257757489801037</v>
      </c>
      <c r="M26">
        <f t="shared" si="12"/>
        <v>0.21224251019896201</v>
      </c>
      <c r="N26">
        <f t="shared" si="13"/>
        <v>4.5046883135556492E-2</v>
      </c>
    </row>
    <row r="27" spans="1:14" x14ac:dyDescent="0.45">
      <c r="A27" s="23">
        <v>42390</v>
      </c>
      <c r="B27">
        <v>92.8</v>
      </c>
      <c r="C27">
        <v>91.95</v>
      </c>
      <c r="G27">
        <f t="shared" si="6"/>
        <v>69.255101258518067</v>
      </c>
      <c r="H27">
        <f t="shared" si="7"/>
        <v>48.314028408771001</v>
      </c>
      <c r="I27">
        <f t="shared" si="8"/>
        <v>31.627590382431972</v>
      </c>
      <c r="J27">
        <f t="shared" si="9"/>
        <v>13.120935981693657</v>
      </c>
      <c r="K27">
        <f t="shared" si="10"/>
        <v>3.2726459949352695</v>
      </c>
      <c r="L27">
        <f t="shared" si="11"/>
        <v>93.025175237343703</v>
      </c>
      <c r="M27">
        <f t="shared" si="12"/>
        <v>4.4824762656290318E-2</v>
      </c>
      <c r="N27">
        <f t="shared" si="13"/>
        <v>2.0092593471927591E-3</v>
      </c>
    </row>
    <row r="28" spans="1:14" x14ac:dyDescent="0.45">
      <c r="A28" s="23">
        <v>42389</v>
      </c>
      <c r="B28">
        <v>89.53</v>
      </c>
      <c r="C28">
        <v>91.99</v>
      </c>
      <c r="G28">
        <f t="shared" si="6"/>
        <v>66.849052438129164</v>
      </c>
      <c r="H28">
        <f t="shared" si="7"/>
        <v>46.636577018743772</v>
      </c>
      <c r="I28">
        <f t="shared" si="8"/>
        <v>30.524106471945952</v>
      </c>
      <c r="J28">
        <f t="shared" si="9"/>
        <v>12.65999103407966</v>
      </c>
      <c r="K28">
        <f t="shared" si="10"/>
        <v>3.2270825797702929</v>
      </c>
      <c r="L28">
        <f t="shared" si="11"/>
        <v>89.937986804270665</v>
      </c>
      <c r="M28">
        <f t="shared" si="12"/>
        <v>2.8620131957293324</v>
      </c>
      <c r="N28">
        <f t="shared" si="13"/>
        <v>8.1911195325288269</v>
      </c>
    </row>
    <row r="29" spans="1:14" x14ac:dyDescent="0.45">
      <c r="A29" s="23">
        <v>42388</v>
      </c>
      <c r="B29">
        <v>92.84</v>
      </c>
      <c r="C29">
        <v>90.88</v>
      </c>
      <c r="G29">
        <f t="shared" si="6"/>
        <v>69.292643303601125</v>
      </c>
      <c r="H29">
        <f t="shared" si="7"/>
        <v>48.340624543178883</v>
      </c>
      <c r="I29">
        <f t="shared" si="8"/>
        <v>31.64299699725327</v>
      </c>
      <c r="J29">
        <f t="shared" si="9"/>
        <v>13.126163333751595</v>
      </c>
      <c r="K29">
        <f t="shared" si="10"/>
        <v>3.2932375965183591</v>
      </c>
      <c r="L29">
        <f t="shared" si="11"/>
        <v>93.072694128741674</v>
      </c>
      <c r="M29">
        <f t="shared" si="12"/>
        <v>-3.5426941287416724</v>
      </c>
      <c r="N29">
        <f t="shared" si="13"/>
        <v>12.550681689820717</v>
      </c>
    </row>
    <row r="30" spans="1:14" x14ac:dyDescent="0.45">
      <c r="A30" s="23">
        <v>42384</v>
      </c>
      <c r="B30">
        <v>91.43</v>
      </c>
      <c r="C30">
        <v>91.49</v>
      </c>
      <c r="G30">
        <f t="shared" si="6"/>
        <v>68.260879390332391</v>
      </c>
      <c r="H30">
        <f t="shared" si="7"/>
        <v>47.620954947194271</v>
      </c>
      <c r="I30">
        <f t="shared" si="8"/>
        <v>31.171168377567945</v>
      </c>
      <c r="J30">
        <f t="shared" si="9"/>
        <v>12.929967491735377</v>
      </c>
      <c r="K30">
        <f t="shared" si="10"/>
        <v>3.2705994946255816</v>
      </c>
      <c r="L30">
        <f t="shared" si="11"/>
        <v>91.749320398278897</v>
      </c>
      <c r="M30">
        <f t="shared" si="12"/>
        <v>1.0906796017211065</v>
      </c>
      <c r="N30">
        <f t="shared" si="13"/>
        <v>1.1895819936105114</v>
      </c>
    </row>
    <row r="31" spans="1:14" x14ac:dyDescent="0.45">
      <c r="A31" s="23">
        <v>42383</v>
      </c>
      <c r="B31">
        <v>92.31</v>
      </c>
      <c r="C31">
        <v>94.32</v>
      </c>
      <c r="G31">
        <f t="shared" si="6"/>
        <v>68.913053906521</v>
      </c>
      <c r="H31">
        <f t="shared" si="7"/>
        <v>48.075963924098659</v>
      </c>
      <c r="I31">
        <f t="shared" si="8"/>
        <v>31.468893252822042</v>
      </c>
      <c r="J31">
        <f t="shared" si="9"/>
        <v>13.053413254349017</v>
      </c>
      <c r="K31">
        <f t="shared" si="10"/>
        <v>3.3211631218664324</v>
      </c>
      <c r="L31">
        <f t="shared" si="11"/>
        <v>92.585627388613815</v>
      </c>
      <c r="M31">
        <f t="shared" si="12"/>
        <v>-1.1556273886138086</v>
      </c>
      <c r="N31">
        <f t="shared" si="13"/>
        <v>1.3354746613143706</v>
      </c>
    </row>
    <row r="32" spans="1:14" x14ac:dyDescent="0.45">
      <c r="A32" s="23">
        <v>42382</v>
      </c>
      <c r="B32">
        <v>95.11</v>
      </c>
      <c r="C32">
        <v>91.7</v>
      </c>
      <c r="G32">
        <f t="shared" si="6"/>
        <v>70.972799797362498</v>
      </c>
      <c r="H32">
        <f t="shared" si="7"/>
        <v>49.512310928766802</v>
      </c>
      <c r="I32">
        <f t="shared" si="8"/>
        <v>32.412189737898096</v>
      </c>
      <c r="J32">
        <f t="shared" si="9"/>
        <v>13.446545580628179</v>
      </c>
      <c r="K32">
        <f t="shared" si="10"/>
        <v>3.3839621561482285</v>
      </c>
      <c r="L32">
        <f t="shared" si="11"/>
        <v>95.22799470776468</v>
      </c>
      <c r="M32">
        <f t="shared" si="12"/>
        <v>-2.9179947077646773</v>
      </c>
      <c r="N32">
        <f t="shared" si="13"/>
        <v>8.5146931145426645</v>
      </c>
    </row>
    <row r="33" spans="1:14" x14ac:dyDescent="0.45">
      <c r="A33" s="23">
        <v>42381</v>
      </c>
      <c r="B33">
        <v>94.69</v>
      </c>
      <c r="C33">
        <v>94.85</v>
      </c>
      <c r="G33">
        <f t="shared" si="6"/>
        <v>70.667521483262945</v>
      </c>
      <c r="H33">
        <f t="shared" si="7"/>
        <v>49.299409755584762</v>
      </c>
      <c r="I33">
        <f t="shared" si="8"/>
        <v>32.272424607771192</v>
      </c>
      <c r="J33">
        <f t="shared" si="9"/>
        <v>13.388319090686037</v>
      </c>
      <c r="K33">
        <f t="shared" si="10"/>
        <v>3.3655032078956189</v>
      </c>
      <c r="L33">
        <f t="shared" si="11"/>
        <v>94.836375503341301</v>
      </c>
      <c r="M33">
        <f t="shared" si="12"/>
        <v>0.27362449665869804</v>
      </c>
      <c r="N33">
        <f t="shared" si="13"/>
        <v>7.487036517172585E-2</v>
      </c>
    </row>
    <row r="34" spans="1:14" x14ac:dyDescent="0.45">
      <c r="A34" s="23">
        <v>42380</v>
      </c>
      <c r="B34">
        <v>93.82</v>
      </c>
      <c r="C34">
        <v>94</v>
      </c>
      <c r="G34">
        <f t="shared" si="6"/>
        <v>70.027815938852598</v>
      </c>
      <c r="H34">
        <f t="shared" si="7"/>
        <v>48.853447937595469</v>
      </c>
      <c r="I34">
        <f t="shared" si="8"/>
        <v>31.978915009098944</v>
      </c>
      <c r="J34">
        <f t="shared" si="9"/>
        <v>13.265633633825834</v>
      </c>
      <c r="K34">
        <f t="shared" si="10"/>
        <v>3.3558541973905416</v>
      </c>
      <c r="L34">
        <f t="shared" si="11"/>
        <v>94.01552899049581</v>
      </c>
      <c r="M34">
        <f t="shared" si="12"/>
        <v>0.67447100950418815</v>
      </c>
      <c r="N34">
        <f t="shared" si="13"/>
        <v>0.45491114266159866</v>
      </c>
    </row>
    <row r="35" spans="1:14" x14ac:dyDescent="0.45">
      <c r="A35" s="23">
        <v>42377</v>
      </c>
      <c r="B35">
        <v>94.94</v>
      </c>
      <c r="C35">
        <v>93.14</v>
      </c>
      <c r="G35">
        <f t="shared" si="6"/>
        <v>70.848689439082449</v>
      </c>
      <c r="H35">
        <f t="shared" si="7"/>
        <v>49.42570779231999</v>
      </c>
      <c r="I35">
        <f t="shared" si="8"/>
        <v>32.355573340750624</v>
      </c>
      <c r="J35">
        <f t="shared" si="9"/>
        <v>13.423095411029692</v>
      </c>
      <c r="K35">
        <f t="shared" si="10"/>
        <v>3.3783300638965326</v>
      </c>
      <c r="L35">
        <f t="shared" si="11"/>
        <v>95.068855801799572</v>
      </c>
      <c r="M35">
        <f t="shared" si="12"/>
        <v>-1.2488558017995786</v>
      </c>
      <c r="N35">
        <f t="shared" si="13"/>
        <v>1.5596408136884683</v>
      </c>
    </row>
    <row r="36" spans="1:14" x14ac:dyDescent="0.45">
      <c r="A36" s="23">
        <v>42376</v>
      </c>
      <c r="B36">
        <v>94.5</v>
      </c>
      <c r="C36">
        <v>94.44</v>
      </c>
      <c r="G36">
        <f t="shared" si="6"/>
        <v>70.543846352504389</v>
      </c>
      <c r="H36">
        <f t="shared" si="7"/>
        <v>49.213760722431822</v>
      </c>
      <c r="I36">
        <f t="shared" si="8"/>
        <v>32.213196124127101</v>
      </c>
      <c r="J36">
        <f t="shared" si="9"/>
        <v>13.361898402688828</v>
      </c>
      <c r="K36">
        <f t="shared" si="10"/>
        <v>3.3676580293031448</v>
      </c>
      <c r="L36">
        <f t="shared" si="11"/>
        <v>94.676781087135183</v>
      </c>
      <c r="M36">
        <f t="shared" si="12"/>
        <v>0.26321891286481502</v>
      </c>
      <c r="N36">
        <f t="shared" si="13"/>
        <v>6.9284196089735087E-2</v>
      </c>
    </row>
    <row r="37" spans="1:14" x14ac:dyDescent="0.45">
      <c r="A37" s="23">
        <v>42375</v>
      </c>
      <c r="B37">
        <v>94.43</v>
      </c>
      <c r="C37">
        <v>96.29</v>
      </c>
      <c r="G37">
        <f t="shared" si="6"/>
        <v>70.492797321287</v>
      </c>
      <c r="H37">
        <f t="shared" si="7"/>
        <v>49.178378067557666</v>
      </c>
      <c r="I37">
        <f t="shared" si="8"/>
        <v>32.188922828662001</v>
      </c>
      <c r="J37">
        <f t="shared" si="9"/>
        <v>13.351189820749196</v>
      </c>
      <c r="K37">
        <f t="shared" si="10"/>
        <v>3.3746246503676343</v>
      </c>
      <c r="L37">
        <f t="shared" si="11"/>
        <v>94.61097518920424</v>
      </c>
      <c r="M37">
        <f t="shared" si="12"/>
        <v>-0.11097518920423965</v>
      </c>
      <c r="N37">
        <f t="shared" si="13"/>
        <v>1.231549261891679E-2</v>
      </c>
    </row>
    <row r="38" spans="1:14" x14ac:dyDescent="0.45">
      <c r="A38" s="23">
        <v>42374</v>
      </c>
      <c r="B38">
        <v>95.34</v>
      </c>
      <c r="C38">
        <v>95.95</v>
      </c>
      <c r="G38">
        <f t="shared" si="6"/>
        <v>71.177694802782653</v>
      </c>
      <c r="H38">
        <f t="shared" si="7"/>
        <v>49.65595061247128</v>
      </c>
      <c r="I38">
        <f t="shared" si="8"/>
        <v>32.502597542605336</v>
      </c>
      <c r="J38">
        <f t="shared" si="9"/>
        <v>13.48190478132878</v>
      </c>
      <c r="K38">
        <f t="shared" si="10"/>
        <v>3.3875422692333177</v>
      </c>
      <c r="L38">
        <f t="shared" si="11"/>
        <v>95.489588902393166</v>
      </c>
      <c r="M38">
        <f t="shared" si="12"/>
        <v>-1.0595889023931591</v>
      </c>
      <c r="N38">
        <f t="shared" si="13"/>
        <v>1.1227286420747395</v>
      </c>
    </row>
    <row r="39" spans="1:14" x14ac:dyDescent="0.45">
      <c r="A39" s="23">
        <v>42373</v>
      </c>
      <c r="B39">
        <v>94.19</v>
      </c>
      <c r="C39">
        <v>94.38</v>
      </c>
      <c r="G39">
        <f t="shared" si="6"/>
        <v>70.328291107068367</v>
      </c>
      <c r="H39">
        <f t="shared" si="7"/>
        <v>49.063330681539995</v>
      </c>
      <c r="I39">
        <f t="shared" si="8"/>
        <v>32.114844860947251</v>
      </c>
      <c r="J39">
        <f t="shared" si="9"/>
        <v>13.321132878345521</v>
      </c>
      <c r="K39">
        <f t="shared" si="10"/>
        <v>3.3991023259294484</v>
      </c>
      <c r="L39">
        <f t="shared" si="11"/>
        <v>94.400367587610333</v>
      </c>
      <c r="M39">
        <f t="shared" si="12"/>
        <v>0.93963241238967044</v>
      </c>
      <c r="N39">
        <f t="shared" si="13"/>
        <v>0.88290907041323163</v>
      </c>
    </row>
    <row r="40" spans="1:14" x14ac:dyDescent="0.45">
      <c r="A40" s="23">
        <v>42369</v>
      </c>
      <c r="B40">
        <v>97.83</v>
      </c>
      <c r="C40">
        <v>96.5</v>
      </c>
      <c r="G40">
        <f t="shared" si="6"/>
        <v>73.014724555565081</v>
      </c>
      <c r="H40">
        <f t="shared" si="7"/>
        <v>50.936938447355416</v>
      </c>
      <c r="I40">
        <f t="shared" si="8"/>
        <v>33.344057999813373</v>
      </c>
      <c r="J40">
        <f t="shared" si="9"/>
        <v>13.83269396436677</v>
      </c>
      <c r="K40">
        <f t="shared" si="10"/>
        <v>3.5005459723693355</v>
      </c>
      <c r="L40">
        <f t="shared" si="11"/>
        <v>97.846292608951671</v>
      </c>
      <c r="M40">
        <f t="shared" si="12"/>
        <v>-3.6562926089516736</v>
      </c>
      <c r="N40">
        <f t="shared" si="13"/>
        <v>13.368475642274635</v>
      </c>
    </row>
    <row r="41" spans="1:14" x14ac:dyDescent="0.45">
      <c r="A41" s="23">
        <v>42368</v>
      </c>
      <c r="B41">
        <v>99.11</v>
      </c>
      <c r="C41">
        <v>98.28</v>
      </c>
      <c r="G41">
        <f t="shared" si="6"/>
        <v>73.951697672361661</v>
      </c>
      <c r="H41">
        <f t="shared" si="7"/>
        <v>51.590332797346505</v>
      </c>
      <c r="I41">
        <f t="shared" si="8"/>
        <v>33.773184643794544</v>
      </c>
      <c r="J41">
        <f t="shared" si="9"/>
        <v>14.01156097288456</v>
      </c>
      <c r="K41">
        <f t="shared" si="10"/>
        <v>3.5252891705123961</v>
      </c>
      <c r="L41">
        <f t="shared" si="11"/>
        <v>99.04831282419687</v>
      </c>
      <c r="M41">
        <f t="shared" si="12"/>
        <v>-1.2183128241968717</v>
      </c>
      <c r="N41">
        <f t="shared" si="13"/>
        <v>1.4842861376025576</v>
      </c>
    </row>
    <row r="42" spans="1:14" x14ac:dyDescent="0.45">
      <c r="A42" s="23">
        <v>42367</v>
      </c>
      <c r="B42">
        <v>98.63</v>
      </c>
      <c r="C42">
        <v>99.34</v>
      </c>
      <c r="G42">
        <f t="shared" si="6"/>
        <v>73.595485723960039</v>
      </c>
      <c r="H42">
        <f t="shared" si="7"/>
        <v>51.341695163945772</v>
      </c>
      <c r="I42">
        <f t="shared" si="8"/>
        <v>33.611051410594477</v>
      </c>
      <c r="J42">
        <f t="shared" si="9"/>
        <v>13.944655814345456</v>
      </c>
      <c r="K42">
        <f t="shared" si="10"/>
        <v>3.4981466997581339</v>
      </c>
      <c r="L42">
        <f t="shared" si="11"/>
        <v>98.591700319549503</v>
      </c>
      <c r="M42">
        <f t="shared" si="12"/>
        <v>0.51829968045049668</v>
      </c>
      <c r="N42">
        <f t="shared" si="13"/>
        <v>0.26863455875508696</v>
      </c>
    </row>
    <row r="43" spans="1:14" x14ac:dyDescent="0.45">
      <c r="A43" s="23">
        <v>42366</v>
      </c>
      <c r="B43">
        <v>97.1</v>
      </c>
      <c r="C43">
        <v>98.22</v>
      </c>
      <c r="G43">
        <f t="shared" si="6"/>
        <v>72.464328584898581</v>
      </c>
      <c r="H43">
        <f t="shared" si="7"/>
        <v>50.552766741210043</v>
      </c>
      <c r="I43">
        <f t="shared" si="8"/>
        <v>33.093582538739398</v>
      </c>
      <c r="J43">
        <f t="shared" si="9"/>
        <v>13.72937476681861</v>
      </c>
      <c r="K43">
        <f t="shared" si="10"/>
        <v>3.4693501802546796</v>
      </c>
      <c r="L43">
        <f t="shared" si="11"/>
        <v>97.14078988031703</v>
      </c>
      <c r="M43">
        <f t="shared" si="12"/>
        <v>1.4892101196829657</v>
      </c>
      <c r="N43">
        <f t="shared" si="13"/>
        <v>2.217746780566153</v>
      </c>
    </row>
    <row r="44" spans="1:14" x14ac:dyDescent="0.45">
      <c r="A44" s="23">
        <v>42362</v>
      </c>
      <c r="B44">
        <v>97.9</v>
      </c>
      <c r="C44">
        <v>97.59</v>
      </c>
      <c r="G44">
        <f t="shared" si="6"/>
        <v>73.053994154032722</v>
      </c>
      <c r="H44">
        <f t="shared" si="7"/>
        <v>50.964188448332273</v>
      </c>
      <c r="I44">
        <f t="shared" si="8"/>
        <v>33.362699602701191</v>
      </c>
      <c r="J44">
        <f t="shared" si="9"/>
        <v>13.840915918424532</v>
      </c>
      <c r="K44">
        <f t="shared" si="10"/>
        <v>3.4862307416078004</v>
      </c>
      <c r="L44">
        <f t="shared" si="11"/>
        <v>97.896917985515273</v>
      </c>
      <c r="M44">
        <f t="shared" si="12"/>
        <v>-0.79691798551527882</v>
      </c>
      <c r="N44">
        <f t="shared" si="13"/>
        <v>0.63507827563773012</v>
      </c>
    </row>
    <row r="45" spans="1:14" x14ac:dyDescent="0.45">
      <c r="A45" s="23">
        <v>42361</v>
      </c>
      <c r="B45">
        <v>97.76</v>
      </c>
      <c r="C45">
        <v>98</v>
      </c>
      <c r="G45">
        <f t="shared" si="6"/>
        <v>72.957933868809647</v>
      </c>
      <c r="H45">
        <f t="shared" si="7"/>
        <v>50.897565775006079</v>
      </c>
      <c r="I45">
        <f t="shared" si="8"/>
        <v>33.317146521691264</v>
      </c>
      <c r="J45">
        <f t="shared" si="9"/>
        <v>13.820888561669577</v>
      </c>
      <c r="K45">
        <f t="shared" si="10"/>
        <v>3.4688502771348717</v>
      </c>
      <c r="L45">
        <f t="shared" si="11"/>
        <v>97.773125081404487</v>
      </c>
      <c r="M45">
        <f t="shared" si="12"/>
        <v>0.12687491859551869</v>
      </c>
      <c r="N45">
        <f t="shared" si="13"/>
        <v>1.6097244968619494E-2</v>
      </c>
    </row>
    <row r="46" spans="1:14" x14ac:dyDescent="0.45">
      <c r="A46" s="23">
        <v>42360</v>
      </c>
      <c r="B46">
        <v>96.47</v>
      </c>
      <c r="C46">
        <v>97.21</v>
      </c>
      <c r="G46">
        <f t="shared" si="6"/>
        <v>72.007777723216449</v>
      </c>
      <c r="H46">
        <f t="shared" si="7"/>
        <v>50.23480178512235</v>
      </c>
      <c r="I46">
        <f t="shared" si="8"/>
        <v>32.882759959166272</v>
      </c>
      <c r="J46">
        <f t="shared" si="9"/>
        <v>13.640352238414341</v>
      </c>
      <c r="K46">
        <f t="shared" si="10"/>
        <v>3.4337625256918645</v>
      </c>
      <c r="L46">
        <f t="shared" si="11"/>
        <v>96.554475299817653</v>
      </c>
      <c r="M46">
        <f t="shared" si="12"/>
        <v>1.2055247001823517</v>
      </c>
      <c r="N46">
        <f t="shared" si="13"/>
        <v>1.4532898027497489</v>
      </c>
    </row>
    <row r="47" spans="1:14" x14ac:dyDescent="0.45">
      <c r="A47" s="23">
        <v>42359</v>
      </c>
      <c r="B47">
        <v>96.02</v>
      </c>
      <c r="C47">
        <v>95.68</v>
      </c>
      <c r="G47">
        <f t="shared" si="6"/>
        <v>71.680654482872825</v>
      </c>
      <c r="H47">
        <f t="shared" si="7"/>
        <v>50.006510634222167</v>
      </c>
      <c r="I47">
        <f t="shared" si="8"/>
        <v>32.733634534112745</v>
      </c>
      <c r="J47">
        <f t="shared" si="9"/>
        <v>13.578650348332072</v>
      </c>
      <c r="K47">
        <f t="shared" si="10"/>
        <v>3.4370217736433948</v>
      </c>
      <c r="L47">
        <f t="shared" si="11"/>
        <v>96.135059696978018</v>
      </c>
      <c r="M47">
        <f t="shared" si="12"/>
        <v>0.33494030302198041</v>
      </c>
      <c r="N47">
        <f t="shared" si="13"/>
        <v>0.11218500658845607</v>
      </c>
    </row>
    <row r="48" spans="1:14" x14ac:dyDescent="0.45">
      <c r="A48" s="23">
        <v>42356</v>
      </c>
      <c r="B48">
        <v>97.2</v>
      </c>
      <c r="C48">
        <v>95.57</v>
      </c>
      <c r="G48">
        <f t="shared" si="6"/>
        <v>72.542591584249294</v>
      </c>
      <c r="H48">
        <f t="shared" si="7"/>
        <v>50.607409864502422</v>
      </c>
      <c r="I48">
        <f t="shared" si="8"/>
        <v>33.129108118066412</v>
      </c>
      <c r="J48">
        <f t="shared" si="9"/>
        <v>13.743964422329247</v>
      </c>
      <c r="K48">
        <f t="shared" si="10"/>
        <v>3.4872308715263922</v>
      </c>
      <c r="L48">
        <f t="shared" si="11"/>
        <v>97.241072591500085</v>
      </c>
      <c r="M48">
        <f t="shared" si="12"/>
        <v>-1.2210725915000893</v>
      </c>
      <c r="N48">
        <f t="shared" si="13"/>
        <v>1.491018273712744</v>
      </c>
    </row>
    <row r="49" spans="1:14" x14ac:dyDescent="0.45">
      <c r="A49" s="23">
        <v>42355</v>
      </c>
      <c r="B49">
        <v>99.31</v>
      </c>
      <c r="C49">
        <v>97.87</v>
      </c>
      <c r="G49">
        <f t="shared" si="6"/>
        <v>74.092582322551223</v>
      </c>
      <c r="H49">
        <f t="shared" si="7"/>
        <v>51.688251589868877</v>
      </c>
      <c r="I49">
        <f t="shared" si="8"/>
        <v>33.839102406680588</v>
      </c>
      <c r="J49">
        <f t="shared" si="9"/>
        <v>14.039966499398789</v>
      </c>
      <c r="K49">
        <f t="shared" si="10"/>
        <v>3.5286502427400892</v>
      </c>
      <c r="L49">
        <f t="shared" si="11"/>
        <v>99.229550461613343</v>
      </c>
      <c r="M49">
        <f t="shared" si="12"/>
        <v>-2.02955046161334</v>
      </c>
      <c r="N49">
        <f t="shared" si="13"/>
        <v>4.1190750762349211</v>
      </c>
    </row>
    <row r="50" spans="1:14" x14ac:dyDescent="0.45">
      <c r="A50" s="23">
        <v>42354</v>
      </c>
      <c r="B50">
        <v>98.46</v>
      </c>
      <c r="C50">
        <v>99.05</v>
      </c>
      <c r="G50">
        <f t="shared" si="6"/>
        <v>73.470158933285902</v>
      </c>
      <c r="H50">
        <f t="shared" si="7"/>
        <v>51.254557649676393</v>
      </c>
      <c r="I50">
        <f t="shared" si="8"/>
        <v>33.552593609570188</v>
      </c>
      <c r="J50">
        <f t="shared" si="9"/>
        <v>13.919590463494393</v>
      </c>
      <c r="K50">
        <f t="shared" si="10"/>
        <v>3.496668561279769</v>
      </c>
      <c r="L50">
        <f t="shared" si="11"/>
        <v>98.430547940980958</v>
      </c>
      <c r="M50">
        <f t="shared" si="12"/>
        <v>0.87945205901904444</v>
      </c>
      <c r="N50">
        <f t="shared" si="13"/>
        <v>0.77343592411283679</v>
      </c>
    </row>
    <row r="51" spans="1:14" x14ac:dyDescent="0.45">
      <c r="A51" s="23">
        <v>42353</v>
      </c>
      <c r="B51">
        <v>97.47</v>
      </c>
      <c r="C51">
        <v>97.98</v>
      </c>
      <c r="G51">
        <f t="shared" si="6"/>
        <v>72.738119168722847</v>
      </c>
      <c r="H51">
        <f t="shared" si="7"/>
        <v>50.744059186117148</v>
      </c>
      <c r="I51">
        <f t="shared" si="8"/>
        <v>33.217443216000298</v>
      </c>
      <c r="J51">
        <f t="shared" si="9"/>
        <v>13.779983392754918</v>
      </c>
      <c r="K51">
        <f t="shared" si="10"/>
        <v>3.4605215800654743</v>
      </c>
      <c r="L51">
        <f t="shared" si="11"/>
        <v>97.491482899912469</v>
      </c>
      <c r="M51">
        <f t="shared" si="12"/>
        <v>0.96851710008752434</v>
      </c>
      <c r="N51">
        <f t="shared" si="13"/>
        <v>0.93802537316194767</v>
      </c>
    </row>
    <row r="52" spans="1:14" x14ac:dyDescent="0.45">
      <c r="A52" s="23">
        <v>42352</v>
      </c>
      <c r="B52">
        <v>96.36</v>
      </c>
      <c r="C52">
        <v>96.3</v>
      </c>
      <c r="G52">
        <f t="shared" si="6"/>
        <v>71.927401529466039</v>
      </c>
      <c r="H52">
        <f t="shared" si="7"/>
        <v>50.178641339264011</v>
      </c>
      <c r="I52">
        <f t="shared" si="8"/>
        <v>32.84640252062853</v>
      </c>
      <c r="J52">
        <f t="shared" si="9"/>
        <v>13.625498100232452</v>
      </c>
      <c r="K52">
        <f t="shared" si="10"/>
        <v>3.4300745808050563</v>
      </c>
      <c r="L52">
        <f t="shared" si="11"/>
        <v>96.451523184099216</v>
      </c>
      <c r="M52">
        <f t="shared" si="12"/>
        <v>1.0184768159007831</v>
      </c>
      <c r="N52">
        <f t="shared" si="13"/>
        <v>1.0372950245273975</v>
      </c>
    </row>
    <row r="53" spans="1:14" x14ac:dyDescent="0.45">
      <c r="A53" s="23">
        <v>42349</v>
      </c>
      <c r="B53">
        <v>95.86</v>
      </c>
      <c r="C53">
        <v>96.12</v>
      </c>
      <c r="G53">
        <f t="shared" si="6"/>
        <v>71.562871105916031</v>
      </c>
      <c r="H53">
        <f t="shared" si="7"/>
        <v>49.92458308417109</v>
      </c>
      <c r="I53">
        <f t="shared" si="8"/>
        <v>32.678837548184141</v>
      </c>
      <c r="J53">
        <f t="shared" si="9"/>
        <v>13.555246799747515</v>
      </c>
      <c r="K53">
        <f t="shared" si="10"/>
        <v>3.4408137343357712</v>
      </c>
      <c r="L53">
        <f t="shared" si="11"/>
        <v>95.98365719416546</v>
      </c>
      <c r="M53">
        <f t="shared" si="12"/>
        <v>0.37634280583453972</v>
      </c>
      <c r="N53">
        <f t="shared" si="13"/>
        <v>0.14163390750341406</v>
      </c>
    </row>
    <row r="54" spans="1:14" x14ac:dyDescent="0.45">
      <c r="A54" s="23">
        <v>42348</v>
      </c>
      <c r="B54">
        <v>98.02</v>
      </c>
      <c r="C54">
        <v>96.99</v>
      </c>
      <c r="G54">
        <f t="shared" si="6"/>
        <v>73.15155272751106</v>
      </c>
      <c r="H54">
        <f t="shared" si="7"/>
        <v>51.032362122387525</v>
      </c>
      <c r="I54">
        <f t="shared" si="8"/>
        <v>33.406714093503297</v>
      </c>
      <c r="J54">
        <f t="shared" si="9"/>
        <v>13.858806641055351</v>
      </c>
      <c r="K54">
        <f t="shared" si="10"/>
        <v>3.4939397951671602</v>
      </c>
      <c r="L54">
        <f t="shared" si="11"/>
        <v>98.021825405020067</v>
      </c>
      <c r="M54">
        <f t="shared" si="12"/>
        <v>-2.1618254050200676</v>
      </c>
      <c r="N54">
        <f t="shared" si="13"/>
        <v>4.6734890817901791</v>
      </c>
    </row>
    <row r="55" spans="1:14" x14ac:dyDescent="0.45">
      <c r="A55" s="23">
        <v>42347</v>
      </c>
      <c r="B55">
        <v>98.11</v>
      </c>
      <c r="C55">
        <v>97.72</v>
      </c>
      <c r="G55">
        <f t="shared" si="6"/>
        <v>73.22842225165536</v>
      </c>
      <c r="H55">
        <f t="shared" si="7"/>
        <v>51.086241980967195</v>
      </c>
      <c r="I55">
        <f t="shared" si="8"/>
        <v>33.44069130385531</v>
      </c>
      <c r="J55">
        <f t="shared" si="9"/>
        <v>13.872140167730365</v>
      </c>
      <c r="K55">
        <f t="shared" si="10"/>
        <v>3.4937981611850741</v>
      </c>
      <c r="L55">
        <f t="shared" si="11"/>
        <v>98.119990919172452</v>
      </c>
      <c r="M55">
        <f t="shared" si="12"/>
        <v>-9.9990919172455506E-2</v>
      </c>
      <c r="N55">
        <f t="shared" si="13"/>
        <v>9.9981839169525303E-3</v>
      </c>
    </row>
    <row r="56" spans="1:14" x14ac:dyDescent="0.45">
      <c r="A56" s="23">
        <v>42346</v>
      </c>
      <c r="B56">
        <v>97.82</v>
      </c>
      <c r="C56">
        <v>98.32</v>
      </c>
      <c r="G56">
        <f t="shared" si="6"/>
        <v>73.019248441263812</v>
      </c>
      <c r="H56">
        <f t="shared" si="7"/>
        <v>50.940691840815518</v>
      </c>
      <c r="I56">
        <f t="shared" si="8"/>
        <v>33.343560080214857</v>
      </c>
      <c r="J56">
        <f t="shared" si="9"/>
        <v>13.83076922561729</v>
      </c>
      <c r="K56">
        <f t="shared" si="10"/>
        <v>3.4956231825466344</v>
      </c>
      <c r="L56">
        <f t="shared" si="11"/>
        <v>97.851171899290051</v>
      </c>
      <c r="M56">
        <f t="shared" si="12"/>
        <v>0.25882810070994822</v>
      </c>
      <c r="N56">
        <f t="shared" si="13"/>
        <v>6.699198571711909E-2</v>
      </c>
    </row>
    <row r="57" spans="1:14" x14ac:dyDescent="0.45">
      <c r="A57" s="23">
        <v>42345</v>
      </c>
      <c r="B57">
        <v>98.72</v>
      </c>
      <c r="C57">
        <v>98.83</v>
      </c>
      <c r="G57">
        <f t="shared" si="6"/>
        <v>73.68800376925202</v>
      </c>
      <c r="H57">
        <f t="shared" si="7"/>
        <v>51.407010274111983</v>
      </c>
      <c r="I57">
        <f t="shared" si="8"/>
        <v>33.649906248129973</v>
      </c>
      <c r="J57">
        <f t="shared" si="9"/>
        <v>13.958485164102656</v>
      </c>
      <c r="K57">
        <f t="shared" si="10"/>
        <v>3.5104712104130025</v>
      </c>
      <c r="L57">
        <f t="shared" si="11"/>
        <v>98.709111139684964</v>
      </c>
      <c r="M57">
        <f t="shared" si="12"/>
        <v>-0.88911113968497091</v>
      </c>
      <c r="N57">
        <f t="shared" si="13"/>
        <v>0.79051861871190787</v>
      </c>
    </row>
    <row r="58" spans="1:14" x14ac:dyDescent="0.45">
      <c r="A58" s="23">
        <v>42342</v>
      </c>
      <c r="B58">
        <v>97.94</v>
      </c>
      <c r="C58">
        <v>98.63</v>
      </c>
      <c r="G58">
        <f t="shared" si="6"/>
        <v>73.118372644706682</v>
      </c>
      <c r="H58">
        <f t="shared" si="7"/>
        <v>51.009676141516486</v>
      </c>
      <c r="I58">
        <f t="shared" si="8"/>
        <v>33.389437916556197</v>
      </c>
      <c r="J58">
        <f t="shared" si="9"/>
        <v>13.850192492320319</v>
      </c>
      <c r="K58">
        <f t="shared" si="10"/>
        <v>3.5091154233355732</v>
      </c>
      <c r="L58">
        <f t="shared" si="11"/>
        <v>97.97849149901981</v>
      </c>
      <c r="M58">
        <f t="shared" si="12"/>
        <v>0.7415085009801885</v>
      </c>
      <c r="N58">
        <f t="shared" si="13"/>
        <v>0.54983485702588619</v>
      </c>
    </row>
    <row r="59" spans="1:14" x14ac:dyDescent="0.45">
      <c r="A59" s="23">
        <v>42341</v>
      </c>
      <c r="B59">
        <v>99.46</v>
      </c>
      <c r="C59">
        <v>96.38</v>
      </c>
      <c r="G59">
        <f t="shared" si="6"/>
        <v>74.236567160090175</v>
      </c>
      <c r="H59">
        <f t="shared" si="7"/>
        <v>51.789427964940423</v>
      </c>
      <c r="I59">
        <f t="shared" si="8"/>
        <v>33.901583680014497</v>
      </c>
      <c r="J59">
        <f t="shared" si="9"/>
        <v>14.06366900063276</v>
      </c>
      <c r="K59">
        <f t="shared" si="10"/>
        <v>3.5654174415106268</v>
      </c>
      <c r="L59">
        <f t="shared" si="11"/>
        <v>99.412996764755107</v>
      </c>
      <c r="M59">
        <f t="shared" si="12"/>
        <v>-1.4729967647551092</v>
      </c>
      <c r="N59">
        <f t="shared" si="13"/>
        <v>2.1697194689790185</v>
      </c>
    </row>
    <row r="60" spans="1:14" x14ac:dyDescent="0.45">
      <c r="A60" s="23">
        <v>42340</v>
      </c>
      <c r="B60">
        <v>101.33</v>
      </c>
      <c r="C60">
        <v>99.5</v>
      </c>
      <c r="G60">
        <f t="shared" si="6"/>
        <v>75.613158026219068</v>
      </c>
      <c r="H60">
        <f t="shared" si="7"/>
        <v>52.749414970412197</v>
      </c>
      <c r="I60">
        <f t="shared" si="8"/>
        <v>34.531874782274166</v>
      </c>
      <c r="J60">
        <f t="shared" si="9"/>
        <v>14.326256060787461</v>
      </c>
      <c r="K60">
        <f t="shared" si="10"/>
        <v>3.6062360084589637</v>
      </c>
      <c r="L60">
        <f t="shared" si="11"/>
        <v>101.17891956346291</v>
      </c>
      <c r="M60">
        <f t="shared" si="12"/>
        <v>-1.7189195634629186</v>
      </c>
      <c r="N60">
        <f t="shared" si="13"/>
        <v>2.9546844656555509</v>
      </c>
    </row>
    <row r="61" spans="1:14" x14ac:dyDescent="0.45">
      <c r="A61" s="23">
        <v>42339</v>
      </c>
      <c r="B61">
        <v>100.94</v>
      </c>
      <c r="C61">
        <v>101.79</v>
      </c>
      <c r="G61">
        <f t="shared" si="6"/>
        <v>75.324397041069801</v>
      </c>
      <c r="H61">
        <f t="shared" si="7"/>
        <v>52.548046972193355</v>
      </c>
      <c r="I61">
        <f t="shared" si="8"/>
        <v>34.399659332404497</v>
      </c>
      <c r="J61">
        <f t="shared" si="9"/>
        <v>14.271174422263988</v>
      </c>
      <c r="K61">
        <f t="shared" si="10"/>
        <v>3.5908196730022479</v>
      </c>
      <c r="L61">
        <f t="shared" si="11"/>
        <v>100.80849153778202</v>
      </c>
      <c r="M61">
        <f t="shared" si="12"/>
        <v>0.5215084622179802</v>
      </c>
      <c r="N61">
        <f t="shared" si="13"/>
        <v>0.27197107616496247</v>
      </c>
    </row>
    <row r="62" spans="1:14" x14ac:dyDescent="0.45">
      <c r="A62" s="23">
        <v>42338</v>
      </c>
      <c r="B62">
        <v>100.4</v>
      </c>
      <c r="C62">
        <v>100.2</v>
      </c>
      <c r="G62">
        <f t="shared" si="6"/>
        <v>74.936351479897795</v>
      </c>
      <c r="H62">
        <f t="shared" si="7"/>
        <v>52.277866092274436</v>
      </c>
      <c r="I62">
        <f t="shared" si="8"/>
        <v>34.220139102350622</v>
      </c>
      <c r="J62">
        <f t="shared" si="9"/>
        <v>14.195147359342334</v>
      </c>
      <c r="K62">
        <f t="shared" si="10"/>
        <v>3.5743545490461606</v>
      </c>
      <c r="L62">
        <f t="shared" si="11"/>
        <v>100.31003177414068</v>
      </c>
      <c r="M62">
        <f t="shared" si="12"/>
        <v>0.62996822585931511</v>
      </c>
      <c r="N62">
        <f t="shared" si="13"/>
        <v>0.39685996559233305</v>
      </c>
    </row>
    <row r="63" spans="1:14" x14ac:dyDescent="0.45">
      <c r="A63" s="23">
        <v>42335</v>
      </c>
      <c r="B63">
        <v>100.09</v>
      </c>
      <c r="C63">
        <v>100.18</v>
      </c>
      <c r="G63">
        <f t="shared" si="6"/>
        <v>74.724252040035523</v>
      </c>
      <c r="H63">
        <f t="shared" si="7"/>
        <v>52.130612763813645</v>
      </c>
      <c r="I63">
        <f t="shared" si="8"/>
        <v>34.120178555131574</v>
      </c>
      <c r="J63">
        <f t="shared" si="9"/>
        <v>14.151594708279468</v>
      </c>
      <c r="K63">
        <f t="shared" si="10"/>
        <v>3.5657203020306252</v>
      </c>
      <c r="L63">
        <f t="shared" si="11"/>
        <v>100.03691773264406</v>
      </c>
      <c r="M63">
        <f t="shared" si="12"/>
        <v>0.36308226735594928</v>
      </c>
      <c r="N63">
        <f t="shared" si="13"/>
        <v>0.13182873286833705</v>
      </c>
    </row>
    <row r="64" spans="1:14" x14ac:dyDescent="0.45">
      <c r="A64" s="23">
        <v>42333</v>
      </c>
      <c r="B64">
        <v>99.98</v>
      </c>
      <c r="C64">
        <v>99.85</v>
      </c>
      <c r="G64">
        <f t="shared" si="6"/>
        <v>74.613258548669222</v>
      </c>
      <c r="H64">
        <f t="shared" si="7"/>
        <v>52.051579967063113</v>
      </c>
      <c r="I64">
        <f t="shared" si="8"/>
        <v>34.076334045795747</v>
      </c>
      <c r="J64">
        <f t="shared" si="9"/>
        <v>14.137987640273984</v>
      </c>
      <c r="K64">
        <f t="shared" si="10"/>
        <v>3.5657107473648399</v>
      </c>
      <c r="L64">
        <f t="shared" si="11"/>
        <v>99.897038655354237</v>
      </c>
      <c r="M64">
        <f t="shared" si="12"/>
        <v>0.19296134464576653</v>
      </c>
      <c r="N64">
        <f t="shared" si="13"/>
        <v>3.7234080527502295E-2</v>
      </c>
    </row>
    <row r="65" spans="1:14" x14ac:dyDescent="0.45">
      <c r="A65" s="23">
        <v>42332</v>
      </c>
      <c r="B65">
        <v>100.04</v>
      </c>
      <c r="C65">
        <v>99.76</v>
      </c>
      <c r="G65">
        <f t="shared" si="6"/>
        <v>74.67202122935177</v>
      </c>
      <c r="H65">
        <f t="shared" si="7"/>
        <v>52.09251220479949</v>
      </c>
      <c r="I65">
        <f t="shared" si="8"/>
        <v>34.103309172535432</v>
      </c>
      <c r="J65">
        <f t="shared" si="9"/>
        <v>14.149250598875067</v>
      </c>
      <c r="K65">
        <f t="shared" si="10"/>
        <v>3.5964146639781225</v>
      </c>
      <c r="L65">
        <f t="shared" si="11"/>
        <v>99.972427233044868</v>
      </c>
      <c r="M65">
        <f t="shared" si="12"/>
        <v>7.5727669551355348E-3</v>
      </c>
      <c r="N65">
        <f t="shared" si="13"/>
        <v>5.7346799356792715E-5</v>
      </c>
    </row>
    <row r="66" spans="1:14" x14ac:dyDescent="0.45">
      <c r="A66" s="23">
        <v>42331</v>
      </c>
      <c r="B66">
        <v>102.52</v>
      </c>
      <c r="C66">
        <v>101.03</v>
      </c>
      <c r="G66">
        <f t="shared" ref="G66:K66" si="14">SUMPRODUCT($B66:$B70,P$2:P$6)</f>
        <v>76.461308031594612</v>
      </c>
      <c r="H66">
        <f t="shared" si="14"/>
        <v>53.340284826152811</v>
      </c>
      <c r="I66">
        <f t="shared" si="14"/>
        <v>34.922924955291002</v>
      </c>
      <c r="J66">
        <f t="shared" si="14"/>
        <v>14.491008245652246</v>
      </c>
      <c r="K66">
        <f t="shared" si="14"/>
        <v>3.6886388895930149</v>
      </c>
      <c r="L66">
        <f t="shared" ref="L66:L129" si="15">(G66+$P$7)*$U$2+(H66+$Q$7)*$U$3+(I66+$R$7)*$U$4+(J66+$S$7)*$U$5+(K66+$T$7)*$U$6+$U$7</f>
        <v>102.26794105214543</v>
      </c>
      <c r="M66">
        <f t="shared" si="12"/>
        <v>-2.2279410521454253</v>
      </c>
      <c r="N66">
        <f t="shared" si="13"/>
        <v>4.9637213318348641</v>
      </c>
    </row>
    <row r="67" spans="1:14" x14ac:dyDescent="0.45">
      <c r="A67" s="23">
        <v>42328</v>
      </c>
      <c r="B67">
        <v>106.28</v>
      </c>
      <c r="C67">
        <v>103.2</v>
      </c>
      <c r="G67">
        <f t="shared" ref="G67:K67" si="16">SUMPRODUCT($B67:$B71,P$2:P$6)</f>
        <v>79.234392120454046</v>
      </c>
      <c r="H67">
        <f t="shared" si="16"/>
        <v>55.274232053166983</v>
      </c>
      <c r="I67">
        <f t="shared" si="16"/>
        <v>36.192188275978559</v>
      </c>
      <c r="J67">
        <f t="shared" si="16"/>
        <v>15.019505970494652</v>
      </c>
      <c r="K67">
        <f t="shared" si="16"/>
        <v>3.6808626725636304</v>
      </c>
      <c r="L67">
        <f t="shared" si="15"/>
        <v>105.82515869505845</v>
      </c>
      <c r="M67">
        <f t="shared" ref="M67:M130" si="17">B66-L67</f>
        <v>-3.3051586950584522</v>
      </c>
      <c r="N67">
        <f t="shared" ref="N67:N130" si="18">M67^2</f>
        <v>10.924073999520491</v>
      </c>
    </row>
    <row r="68" spans="1:14" x14ac:dyDescent="0.45">
      <c r="A68" s="23">
        <v>42327</v>
      </c>
      <c r="B68">
        <v>96.93</v>
      </c>
      <c r="C68">
        <v>97.42</v>
      </c>
      <c r="G68">
        <f t="shared" ref="G68:K68" si="19">SUMPRODUCT($B68:$B72,P$2:P$6)</f>
        <v>72.342638611968084</v>
      </c>
      <c r="H68">
        <f t="shared" si="19"/>
        <v>50.468248571476764</v>
      </c>
      <c r="I68">
        <f t="shared" si="19"/>
        <v>33.036416219162732</v>
      </c>
      <c r="J68">
        <f t="shared" si="19"/>
        <v>13.704594889863353</v>
      </c>
      <c r="K68">
        <f t="shared" si="19"/>
        <v>3.4498172528185553</v>
      </c>
      <c r="L68">
        <f t="shared" si="15"/>
        <v>96.984166108027424</v>
      </c>
      <c r="M68">
        <f t="shared" si="17"/>
        <v>9.2958338919725776</v>
      </c>
      <c r="N68">
        <f t="shared" si="18"/>
        <v>86.412527747146044</v>
      </c>
    </row>
    <row r="69" spans="1:14" x14ac:dyDescent="0.45">
      <c r="A69" s="23">
        <v>42326</v>
      </c>
      <c r="B69">
        <v>96.53</v>
      </c>
      <c r="C69">
        <v>96.62</v>
      </c>
      <c r="G69">
        <f t="shared" ref="G69:K69" si="20">SUMPRODUCT($B69:$B73,P$2:P$6)</f>
        <v>72.053777891780953</v>
      </c>
      <c r="H69">
        <f t="shared" si="20"/>
        <v>50.267004361933701</v>
      </c>
      <c r="I69">
        <f t="shared" si="20"/>
        <v>32.903296335538286</v>
      </c>
      <c r="J69">
        <f t="shared" si="20"/>
        <v>13.648557621341944</v>
      </c>
      <c r="K69">
        <f t="shared" si="20"/>
        <v>3.4410869106945099</v>
      </c>
      <c r="L69">
        <f t="shared" si="15"/>
        <v>96.613297158248713</v>
      </c>
      <c r="M69">
        <f t="shared" si="17"/>
        <v>0.31670284175129382</v>
      </c>
      <c r="N69">
        <f t="shared" si="18"/>
        <v>0.10030068997334506</v>
      </c>
    </row>
    <row r="70" spans="1:14" x14ac:dyDescent="0.45">
      <c r="A70" s="23">
        <v>42325</v>
      </c>
      <c r="B70">
        <v>96.6</v>
      </c>
      <c r="C70">
        <v>96.43</v>
      </c>
      <c r="G70">
        <f t="shared" ref="G70:K70" si="21">SUMPRODUCT($B70:$B74,P$2:P$6)</f>
        <v>72.111421354991947</v>
      </c>
      <c r="H70">
        <f t="shared" si="21"/>
        <v>50.307254612420003</v>
      </c>
      <c r="I70">
        <f t="shared" si="21"/>
        <v>32.929424356793696</v>
      </c>
      <c r="J70">
        <f t="shared" si="21"/>
        <v>13.659258690810633</v>
      </c>
      <c r="K70">
        <f t="shared" si="21"/>
        <v>3.4467778273455334</v>
      </c>
      <c r="L70">
        <f t="shared" si="15"/>
        <v>96.687142166530066</v>
      </c>
      <c r="M70">
        <f t="shared" si="17"/>
        <v>-0.15714216653006474</v>
      </c>
      <c r="N70">
        <f t="shared" si="18"/>
        <v>2.4693660501762599E-2</v>
      </c>
    </row>
    <row r="71" spans="1:14" x14ac:dyDescent="0.45">
      <c r="A71" s="23">
        <v>42324</v>
      </c>
      <c r="B71">
        <v>96.89</v>
      </c>
      <c r="C71">
        <v>96.9</v>
      </c>
      <c r="G71">
        <f t="shared" ref="G71:K71" si="22">SUMPRODUCT($B71:$B75,P$2:P$6)</f>
        <v>72.321672765243918</v>
      </c>
      <c r="H71">
        <f t="shared" si="22"/>
        <v>50.453539077420714</v>
      </c>
      <c r="I71">
        <f t="shared" si="22"/>
        <v>33.027110626889517</v>
      </c>
      <c r="J71">
        <f t="shared" si="22"/>
        <v>13.700900081877627</v>
      </c>
      <c r="K71">
        <f t="shared" si="22"/>
        <v>3.4667786571868291</v>
      </c>
      <c r="L71">
        <f t="shared" si="15"/>
        <v>96.957364024953193</v>
      </c>
      <c r="M71">
        <f t="shared" si="17"/>
        <v>-0.35736402495319908</v>
      </c>
      <c r="N71">
        <f t="shared" si="18"/>
        <v>0.1277090463307507</v>
      </c>
    </row>
    <row r="72" spans="1:14" x14ac:dyDescent="0.45">
      <c r="A72" s="23">
        <v>42321</v>
      </c>
      <c r="B72">
        <v>98.03</v>
      </c>
      <c r="C72">
        <v>96.53</v>
      </c>
      <c r="G72">
        <f t="shared" ref="G72:K72" si="23">SUMPRODUCT($B72:$B76,P$2:P$6)</f>
        <v>73.166880681712357</v>
      </c>
      <c r="H72">
        <f t="shared" si="23"/>
        <v>51.043103296605786</v>
      </c>
      <c r="I72">
        <f t="shared" si="23"/>
        <v>33.413450476173487</v>
      </c>
      <c r="J72">
        <f t="shared" si="23"/>
        <v>13.861415014660572</v>
      </c>
      <c r="K72">
        <f t="shared" si="23"/>
        <v>3.5066778100086085</v>
      </c>
      <c r="L72">
        <f t="shared" si="15"/>
        <v>98.041378793989779</v>
      </c>
      <c r="M72">
        <f t="shared" si="17"/>
        <v>-1.1513787939897782</v>
      </c>
      <c r="N72">
        <f t="shared" si="18"/>
        <v>1.325673127249356</v>
      </c>
    </row>
    <row r="73" spans="1:14" x14ac:dyDescent="0.45">
      <c r="A73" s="23">
        <v>42320</v>
      </c>
      <c r="B73">
        <v>99.17</v>
      </c>
      <c r="C73">
        <v>98.05</v>
      </c>
      <c r="G73">
        <f t="shared" ref="G73:K73" si="24">SUMPRODUCT($B73:$B77,P$2:P$6)</f>
        <v>73.997555090912797</v>
      </c>
      <c r="H73">
        <f t="shared" si="24"/>
        <v>51.622320235598288</v>
      </c>
      <c r="I73">
        <f t="shared" si="24"/>
        <v>33.7941336004913</v>
      </c>
      <c r="J73">
        <f t="shared" si="24"/>
        <v>14.020254666423407</v>
      </c>
      <c r="K73">
        <f t="shared" si="24"/>
        <v>3.5353611529206033</v>
      </c>
      <c r="L73">
        <f t="shared" si="15"/>
        <v>99.10712086746139</v>
      </c>
      <c r="M73">
        <f t="shared" si="17"/>
        <v>-1.0771208674613888</v>
      </c>
      <c r="N73">
        <f t="shared" si="18"/>
        <v>1.1601893631207747</v>
      </c>
    </row>
    <row r="74" spans="1:14" x14ac:dyDescent="0.45">
      <c r="A74" s="23">
        <v>42319</v>
      </c>
      <c r="B74">
        <v>99.42</v>
      </c>
      <c r="C74">
        <v>99.39</v>
      </c>
      <c r="G74">
        <f t="shared" ref="G74:K74" si="25">SUMPRODUCT($B74:$B78,P$2:P$6)</f>
        <v>74.191323310238246</v>
      </c>
      <c r="H74">
        <f t="shared" si="25"/>
        <v>51.757704602333021</v>
      </c>
      <c r="I74">
        <f t="shared" si="25"/>
        <v>33.881710474357611</v>
      </c>
      <c r="J74">
        <f t="shared" si="25"/>
        <v>14.055970045634838</v>
      </c>
      <c r="K74">
        <f t="shared" si="25"/>
        <v>3.5211336982923283</v>
      </c>
      <c r="L74">
        <f t="shared" si="15"/>
        <v>99.35527474395758</v>
      </c>
      <c r="M74">
        <f t="shared" si="17"/>
        <v>-0.18527474395757793</v>
      </c>
      <c r="N74">
        <f t="shared" si="18"/>
        <v>3.4326730748546058E-2</v>
      </c>
    </row>
    <row r="75" spans="1:14" x14ac:dyDescent="0.45">
      <c r="A75" s="23">
        <v>42318</v>
      </c>
      <c r="B75">
        <v>97.44</v>
      </c>
      <c r="C75">
        <v>98.88</v>
      </c>
      <c r="G75">
        <f t="shared" ref="G75:K75" si="26">SUMPRODUCT($B75:$B79,P$2:P$6)</f>
        <v>72.722633342517057</v>
      </c>
      <c r="H75">
        <f t="shared" si="26"/>
        <v>50.733202671285412</v>
      </c>
      <c r="I75">
        <f t="shared" si="26"/>
        <v>33.210533111879272</v>
      </c>
      <c r="J75">
        <f t="shared" si="26"/>
        <v>13.777214164883361</v>
      </c>
      <c r="K75">
        <f t="shared" si="26"/>
        <v>3.4805802321779757</v>
      </c>
      <c r="L75">
        <f t="shared" si="15"/>
        <v>97.471672864418906</v>
      </c>
      <c r="M75">
        <f t="shared" si="17"/>
        <v>1.9483271355810956</v>
      </c>
      <c r="N75">
        <f t="shared" si="18"/>
        <v>3.7959786272416367</v>
      </c>
    </row>
    <row r="76" spans="1:14" x14ac:dyDescent="0.45">
      <c r="A76" s="23">
        <v>42317</v>
      </c>
      <c r="B76">
        <v>98.18</v>
      </c>
      <c r="C76">
        <v>97.51</v>
      </c>
      <c r="G76">
        <f t="shared" ref="G76:K76" si="27">SUMPRODUCT($B76:$B80,P$2:P$6)</f>
        <v>73.27219570883527</v>
      </c>
      <c r="H76">
        <f t="shared" si="27"/>
        <v>51.116367623114023</v>
      </c>
      <c r="I76">
        <f t="shared" si="27"/>
        <v>33.462450763069626</v>
      </c>
      <c r="J76">
        <f t="shared" si="27"/>
        <v>13.882352926587812</v>
      </c>
      <c r="K76">
        <f t="shared" si="27"/>
        <v>3.4955804571549898</v>
      </c>
      <c r="L76">
        <f t="shared" si="15"/>
        <v>98.176761896158169</v>
      </c>
      <c r="M76">
        <f t="shared" si="17"/>
        <v>-0.73676189615817123</v>
      </c>
      <c r="N76">
        <f t="shared" si="18"/>
        <v>0.54281809163058392</v>
      </c>
    </row>
    <row r="77" spans="1:14" x14ac:dyDescent="0.45">
      <c r="A77" s="23">
        <v>42314</v>
      </c>
      <c r="B77">
        <v>97.79</v>
      </c>
      <c r="C77">
        <v>98.28</v>
      </c>
      <c r="G77">
        <f t="shared" ref="G77:K77" si="28">SUMPRODUCT($B77:$B81,P$2:P$6)</f>
        <v>72.981939188480879</v>
      </c>
      <c r="H77">
        <f t="shared" si="28"/>
        <v>50.914095438015551</v>
      </c>
      <c r="I77">
        <f t="shared" si="28"/>
        <v>33.328990952045885</v>
      </c>
      <c r="J77">
        <f t="shared" si="28"/>
        <v>13.826384816493158</v>
      </c>
      <c r="K77">
        <f t="shared" si="28"/>
        <v>3.4998872976071609</v>
      </c>
      <c r="L77">
        <f t="shared" si="15"/>
        <v>97.804219205219255</v>
      </c>
      <c r="M77">
        <f t="shared" si="17"/>
        <v>0.3757807947807521</v>
      </c>
      <c r="N77">
        <f t="shared" si="18"/>
        <v>0.14121120572605372</v>
      </c>
    </row>
    <row r="78" spans="1:14" x14ac:dyDescent="0.45">
      <c r="A78" s="23">
        <v>42313</v>
      </c>
      <c r="B78">
        <v>99.21</v>
      </c>
      <c r="C78">
        <v>97.78</v>
      </c>
      <c r="G78">
        <f t="shared" ref="G78:K78" si="29">SUMPRODUCT($B78:$B82,P$2:P$6)</f>
        <v>74.026545809927541</v>
      </c>
      <c r="H78">
        <f t="shared" si="29"/>
        <v>51.642564275607782</v>
      </c>
      <c r="I78">
        <f t="shared" si="29"/>
        <v>33.807300250505406</v>
      </c>
      <c r="J78">
        <f t="shared" si="29"/>
        <v>14.025669830254897</v>
      </c>
      <c r="K78">
        <f t="shared" si="29"/>
        <v>3.5181598977471458</v>
      </c>
      <c r="L78">
        <f t="shared" si="15"/>
        <v>99.144273488655372</v>
      </c>
      <c r="M78">
        <f t="shared" si="17"/>
        <v>-1.354273488655366</v>
      </c>
      <c r="N78">
        <f t="shared" si="18"/>
        <v>1.8340566820747757</v>
      </c>
    </row>
    <row r="79" spans="1:14" x14ac:dyDescent="0.45">
      <c r="A79" s="23">
        <v>42312</v>
      </c>
      <c r="B79">
        <v>97.72</v>
      </c>
      <c r="C79">
        <v>98.85</v>
      </c>
      <c r="G79">
        <f t="shared" ref="G79:K79" si="30">SUMPRODUCT($B79:$B83,P$2:P$6)</f>
        <v>72.931078382448462</v>
      </c>
      <c r="H79">
        <f t="shared" si="30"/>
        <v>50.878601651046274</v>
      </c>
      <c r="I79">
        <f t="shared" si="30"/>
        <v>33.305801969025829</v>
      </c>
      <c r="J79">
        <f t="shared" si="30"/>
        <v>13.816788080252971</v>
      </c>
      <c r="K79">
        <f t="shared" si="30"/>
        <v>3.4768211080623228</v>
      </c>
      <c r="L79">
        <f t="shared" si="15"/>
        <v>97.739007740901428</v>
      </c>
      <c r="M79">
        <f t="shared" si="17"/>
        <v>1.4709922590985656</v>
      </c>
      <c r="N79">
        <f t="shared" si="18"/>
        <v>2.1638182263279013</v>
      </c>
    </row>
    <row r="80" spans="1:14" x14ac:dyDescent="0.45">
      <c r="A80" s="23">
        <v>42311</v>
      </c>
      <c r="B80">
        <v>97.16</v>
      </c>
      <c r="C80">
        <v>97.71</v>
      </c>
      <c r="G80">
        <f t="shared" ref="G80:K80" si="31">SUMPRODUCT($B80:$B84,P$2:P$6)</f>
        <v>72.519342755006889</v>
      </c>
      <c r="H80">
        <f t="shared" si="31"/>
        <v>50.591536112609305</v>
      </c>
      <c r="I80">
        <f t="shared" si="31"/>
        <v>33.11701205358758</v>
      </c>
      <c r="J80">
        <f t="shared" si="31"/>
        <v>13.737955773293322</v>
      </c>
      <c r="K80">
        <f t="shared" si="31"/>
        <v>3.4725445569756195</v>
      </c>
      <c r="L80">
        <f t="shared" si="15"/>
        <v>97.210727135090025</v>
      </c>
      <c r="M80">
        <f t="shared" si="17"/>
        <v>0.50927286490997403</v>
      </c>
      <c r="N80">
        <f t="shared" si="18"/>
        <v>0.25935885093361266</v>
      </c>
    </row>
    <row r="81" spans="1:14" x14ac:dyDescent="0.45">
      <c r="A81" s="23">
        <v>42310</v>
      </c>
      <c r="B81">
        <v>98.05</v>
      </c>
      <c r="C81">
        <v>97.51</v>
      </c>
      <c r="G81">
        <f t="shared" ref="G81:K81" si="32">SUMPRODUCT($B81:$B85,P$2:P$6)</f>
        <v>73.172769547228697</v>
      </c>
      <c r="H81">
        <f t="shared" si="32"/>
        <v>51.047107874590964</v>
      </c>
      <c r="I81">
        <f t="shared" si="32"/>
        <v>33.416642576825836</v>
      </c>
      <c r="J81">
        <f t="shared" si="32"/>
        <v>13.863085875586293</v>
      </c>
      <c r="K81">
        <f t="shared" si="32"/>
        <v>3.4930443595032812</v>
      </c>
      <c r="L81">
        <f t="shared" si="15"/>
        <v>98.049119673998959</v>
      </c>
      <c r="M81">
        <f t="shared" si="17"/>
        <v>-0.88911967399896241</v>
      </c>
      <c r="N81">
        <f t="shared" si="18"/>
        <v>0.79053379469202123</v>
      </c>
    </row>
    <row r="82" spans="1:14" x14ac:dyDescent="0.45">
      <c r="A82" s="23">
        <v>42307</v>
      </c>
      <c r="B82">
        <v>97.95</v>
      </c>
      <c r="C82">
        <v>97.43</v>
      </c>
      <c r="G82">
        <f t="shared" ref="G82:K82" si="33">SUMPRODUCT($B82:$B86,P$2:P$6)</f>
        <v>73.102857977080717</v>
      </c>
      <c r="H82">
        <f t="shared" si="33"/>
        <v>50.998439597585303</v>
      </c>
      <c r="I82">
        <f t="shared" si="33"/>
        <v>33.384248094185018</v>
      </c>
      <c r="J82">
        <f t="shared" si="33"/>
        <v>13.849330104350242</v>
      </c>
      <c r="K82">
        <f t="shared" si="33"/>
        <v>3.4904250905151013</v>
      </c>
      <c r="L82">
        <f t="shared" si="15"/>
        <v>97.959294784753268</v>
      </c>
      <c r="M82">
        <f t="shared" si="17"/>
        <v>9.0705215246728699E-2</v>
      </c>
      <c r="N82">
        <f t="shared" si="18"/>
        <v>8.2274360729553842E-3</v>
      </c>
    </row>
    <row r="83" spans="1:14" x14ac:dyDescent="0.45">
      <c r="A83" s="23">
        <v>42306</v>
      </c>
      <c r="B83">
        <v>97.9</v>
      </c>
      <c r="C83">
        <v>97.74</v>
      </c>
      <c r="G83">
        <f t="shared" ref="G83:K83" si="34">SUMPRODUCT($B83:$B87,P$2:P$6)</f>
        <v>73.060652283569993</v>
      </c>
      <c r="H83">
        <f t="shared" si="34"/>
        <v>50.968902015648403</v>
      </c>
      <c r="I83">
        <f t="shared" si="34"/>
        <v>33.365401430803381</v>
      </c>
      <c r="J83">
        <f t="shared" si="34"/>
        <v>13.841802389995713</v>
      </c>
      <c r="K83">
        <f t="shared" si="34"/>
        <v>3.4930000058954844</v>
      </c>
      <c r="L83">
        <f t="shared" si="15"/>
        <v>97.905328173154075</v>
      </c>
      <c r="M83">
        <f t="shared" si="17"/>
        <v>4.4671826845927853E-2</v>
      </c>
      <c r="N83">
        <f t="shared" si="18"/>
        <v>1.9955721137525605E-3</v>
      </c>
    </row>
    <row r="84" spans="1:14" x14ac:dyDescent="0.45">
      <c r="A84" s="23">
        <v>42305</v>
      </c>
      <c r="B84">
        <v>98.31</v>
      </c>
      <c r="C84">
        <v>97.99</v>
      </c>
      <c r="G84">
        <f t="shared" ref="G84:K84" si="35">SUMPRODUCT($B84:$B88,P$2:P$6)</f>
        <v>73.351581805356773</v>
      </c>
      <c r="H84">
        <f t="shared" si="35"/>
        <v>51.171243936053834</v>
      </c>
      <c r="I84">
        <f t="shared" si="35"/>
        <v>33.500936173796674</v>
      </c>
      <c r="J84">
        <f t="shared" si="35"/>
        <v>13.899824497034142</v>
      </c>
      <c r="K84">
        <f t="shared" si="35"/>
        <v>3.4963748418928091</v>
      </c>
      <c r="L84">
        <f t="shared" si="15"/>
        <v>98.279377005396057</v>
      </c>
      <c r="M84">
        <f t="shared" si="17"/>
        <v>-0.37937700539605146</v>
      </c>
      <c r="N84">
        <f t="shared" si="18"/>
        <v>0.14392691222327567</v>
      </c>
    </row>
    <row r="85" spans="1:14" x14ac:dyDescent="0.45">
      <c r="A85" s="23">
        <v>42304</v>
      </c>
      <c r="B85">
        <v>97.65</v>
      </c>
      <c r="C85">
        <v>98.03</v>
      </c>
      <c r="G85">
        <f t="shared" ref="G85:K85" si="36">SUMPRODUCT($B85:$B89,P$2:P$6)</f>
        <v>72.864311858074828</v>
      </c>
      <c r="H85">
        <f t="shared" si="36"/>
        <v>50.831509860736908</v>
      </c>
      <c r="I85">
        <f t="shared" si="36"/>
        <v>33.277551270462688</v>
      </c>
      <c r="J85">
        <f t="shared" si="36"/>
        <v>13.806575321395526</v>
      </c>
      <c r="K85">
        <f t="shared" si="36"/>
        <v>3.4849602837198099</v>
      </c>
      <c r="L85">
        <f t="shared" si="15"/>
        <v>97.654197882723906</v>
      </c>
      <c r="M85">
        <f t="shared" si="17"/>
        <v>0.65580211727609594</v>
      </c>
      <c r="N85">
        <f t="shared" si="18"/>
        <v>0.43007641702381028</v>
      </c>
    </row>
    <row r="86" spans="1:14" x14ac:dyDescent="0.45">
      <c r="A86" s="23">
        <v>42303</v>
      </c>
      <c r="B86">
        <v>98.13</v>
      </c>
      <c r="C86">
        <v>97.71</v>
      </c>
      <c r="G86">
        <f t="shared" ref="G86:K86" si="37">SUMPRODUCT($B86:$B90,P$2:P$6)</f>
        <v>73.200482578261273</v>
      </c>
      <c r="H86">
        <f t="shared" si="37"/>
        <v>51.065753064361289</v>
      </c>
      <c r="I86">
        <f t="shared" si="37"/>
        <v>33.432403204132697</v>
      </c>
      <c r="J86">
        <f t="shared" si="37"/>
        <v>13.871730074205093</v>
      </c>
      <c r="K86">
        <f t="shared" si="37"/>
        <v>3.4880339810832752</v>
      </c>
      <c r="L86">
        <f t="shared" si="15"/>
        <v>98.085796649417532</v>
      </c>
      <c r="M86">
        <f t="shared" si="17"/>
        <v>-0.43579664941752583</v>
      </c>
      <c r="N86">
        <f t="shared" si="18"/>
        <v>0.18991871964354193</v>
      </c>
    </row>
    <row r="87" spans="1:14" x14ac:dyDescent="0.45">
      <c r="A87" s="23">
        <v>42300</v>
      </c>
      <c r="B87">
        <v>97.56</v>
      </c>
      <c r="C87">
        <v>97.94</v>
      </c>
      <c r="G87">
        <f t="shared" ref="G87:K87" si="38">SUMPRODUCT($B87:$B91,P$2:P$6)</f>
        <v>72.780491765964982</v>
      </c>
      <c r="H87">
        <f t="shared" si="38"/>
        <v>50.772798630838999</v>
      </c>
      <c r="I87">
        <f t="shared" si="38"/>
        <v>33.240385564120729</v>
      </c>
      <c r="J87">
        <f t="shared" si="38"/>
        <v>13.791919599834682</v>
      </c>
      <c r="K87">
        <f t="shared" si="38"/>
        <v>3.4415503859507677</v>
      </c>
      <c r="L87">
        <f t="shared" si="15"/>
        <v>97.547122564733854</v>
      </c>
      <c r="M87">
        <f t="shared" si="17"/>
        <v>0.58287743526614122</v>
      </c>
      <c r="N87">
        <f t="shared" si="18"/>
        <v>0.33974610454243465</v>
      </c>
    </row>
    <row r="88" spans="1:14" x14ac:dyDescent="0.45">
      <c r="A88" s="23">
        <v>42299</v>
      </c>
      <c r="B88">
        <v>94.43</v>
      </c>
      <c r="C88">
        <v>96.86</v>
      </c>
      <c r="G88">
        <f t="shared" ref="G88:K88" si="39">SUMPRODUCT($B88:$B92,P$2:P$6)</f>
        <v>70.46312906531405</v>
      </c>
      <c r="H88">
        <f t="shared" si="39"/>
        <v>49.156537103913415</v>
      </c>
      <c r="I88">
        <f t="shared" si="39"/>
        <v>32.180338075682215</v>
      </c>
      <c r="J88">
        <f t="shared" si="39"/>
        <v>13.35096444662093</v>
      </c>
      <c r="K88">
        <f t="shared" si="39"/>
        <v>3.3697354349154591</v>
      </c>
      <c r="L88">
        <f t="shared" si="15"/>
        <v>94.574722286564224</v>
      </c>
      <c r="M88">
        <f t="shared" si="17"/>
        <v>2.985277713435778</v>
      </c>
      <c r="N88">
        <f t="shared" si="18"/>
        <v>8.9118830263363478</v>
      </c>
    </row>
    <row r="89" spans="1:14" x14ac:dyDescent="0.45">
      <c r="A89" s="23">
        <v>42298</v>
      </c>
      <c r="B89">
        <v>94.9</v>
      </c>
      <c r="C89">
        <v>93.87</v>
      </c>
      <c r="G89">
        <f t="shared" ref="G89:K89" si="40">SUMPRODUCT($B89:$B93,P$2:P$6)</f>
        <v>70.801674206370507</v>
      </c>
      <c r="H89">
        <f t="shared" si="40"/>
        <v>49.392363145714</v>
      </c>
      <c r="I89">
        <f t="shared" si="40"/>
        <v>32.336495985824158</v>
      </c>
      <c r="J89">
        <f t="shared" si="40"/>
        <v>13.416793775627021</v>
      </c>
      <c r="K89">
        <f t="shared" si="40"/>
        <v>3.3701856823735543</v>
      </c>
      <c r="L89">
        <f t="shared" si="15"/>
        <v>95.009432263019136</v>
      </c>
      <c r="M89">
        <f t="shared" si="17"/>
        <v>-0.57943226301912887</v>
      </c>
      <c r="N89">
        <f t="shared" si="18"/>
        <v>0.33574174742746893</v>
      </c>
    </row>
    <row r="90" spans="1:14" x14ac:dyDescent="0.45">
      <c r="A90" s="23">
        <v>42297</v>
      </c>
      <c r="B90">
        <v>93.89</v>
      </c>
      <c r="C90">
        <v>94.3</v>
      </c>
      <c r="G90">
        <f t="shared" ref="G90:K90" si="41">SUMPRODUCT($B90:$B94,P$2:P$6)</f>
        <v>70.053588920358024</v>
      </c>
      <c r="H90">
        <f t="shared" si="41"/>
        <v>48.870700186470025</v>
      </c>
      <c r="I90">
        <f t="shared" si="41"/>
        <v>31.993906593009605</v>
      </c>
      <c r="J90">
        <f t="shared" si="41"/>
        <v>13.274028374715266</v>
      </c>
      <c r="K90">
        <f t="shared" si="41"/>
        <v>3.3410936083409712</v>
      </c>
      <c r="L90">
        <f t="shared" si="15"/>
        <v>94.049752633899161</v>
      </c>
      <c r="M90">
        <f t="shared" si="17"/>
        <v>0.85024736610084517</v>
      </c>
      <c r="N90">
        <f t="shared" si="18"/>
        <v>0.72292058356142463</v>
      </c>
    </row>
    <row r="91" spans="1:14" x14ac:dyDescent="0.45">
      <c r="A91" s="23">
        <v>42296</v>
      </c>
      <c r="B91">
        <v>93.53</v>
      </c>
      <c r="C91">
        <v>94.08</v>
      </c>
      <c r="G91">
        <f t="shared" ref="G91:K91" si="42">SUMPRODUCT($B91:$B95,P$2:P$6)</f>
        <v>69.786720509408951</v>
      </c>
      <c r="H91">
        <f t="shared" si="42"/>
        <v>48.684794489611015</v>
      </c>
      <c r="I91">
        <f t="shared" si="42"/>
        <v>31.870911607070159</v>
      </c>
      <c r="J91">
        <f t="shared" si="42"/>
        <v>13.222256861971189</v>
      </c>
      <c r="K91">
        <f t="shared" si="42"/>
        <v>3.3209835742823199</v>
      </c>
      <c r="L91">
        <f t="shared" si="15"/>
        <v>93.707124868636257</v>
      </c>
      <c r="M91">
        <f t="shared" si="17"/>
        <v>0.182875131363744</v>
      </c>
      <c r="N91">
        <f t="shared" si="18"/>
        <v>3.3443313671306624E-2</v>
      </c>
    </row>
    <row r="92" spans="1:14" x14ac:dyDescent="0.45">
      <c r="A92" s="23">
        <v>42293</v>
      </c>
      <c r="B92">
        <v>92.57</v>
      </c>
      <c r="C92">
        <v>93.62</v>
      </c>
      <c r="G92">
        <f t="shared" ref="G92:K92" si="43">SUMPRODUCT($B92:$B96,P$2:P$6)</f>
        <v>69.080526572861459</v>
      </c>
      <c r="H92">
        <f t="shared" si="43"/>
        <v>48.192344250998318</v>
      </c>
      <c r="I92">
        <f t="shared" si="43"/>
        <v>31.547463340831879</v>
      </c>
      <c r="J92">
        <f t="shared" si="43"/>
        <v>13.087432361315784</v>
      </c>
      <c r="K92">
        <f t="shared" si="43"/>
        <v>3.2818499080565102</v>
      </c>
      <c r="L92">
        <f t="shared" si="15"/>
        <v>92.801164130138716</v>
      </c>
      <c r="M92">
        <f t="shared" si="17"/>
        <v>0.72883586986128535</v>
      </c>
      <c r="N92">
        <f t="shared" si="18"/>
        <v>0.53120172519645648</v>
      </c>
    </row>
    <row r="93" spans="1:14" x14ac:dyDescent="0.45">
      <c r="A93" s="23">
        <v>42292</v>
      </c>
      <c r="B93">
        <v>91.05</v>
      </c>
      <c r="C93">
        <v>92.43</v>
      </c>
      <c r="G93">
        <f t="shared" ref="G93:K93" si="44">SUMPRODUCT($B93:$B97,P$2:P$6)</f>
        <v>67.962880142259607</v>
      </c>
      <c r="H93">
        <f t="shared" si="44"/>
        <v>47.41285832440591</v>
      </c>
      <c r="I93">
        <f t="shared" si="44"/>
        <v>31.036043634936505</v>
      </c>
      <c r="J93">
        <f t="shared" si="44"/>
        <v>12.874571875620605</v>
      </c>
      <c r="K93">
        <f t="shared" si="44"/>
        <v>3.2485939759183271</v>
      </c>
      <c r="L93">
        <f t="shared" si="15"/>
        <v>91.367529401768934</v>
      </c>
      <c r="M93">
        <f t="shared" si="17"/>
        <v>1.2024705982310593</v>
      </c>
      <c r="N93">
        <f t="shared" si="18"/>
        <v>1.4459355396101616</v>
      </c>
    </row>
    <row r="94" spans="1:14" x14ac:dyDescent="0.45">
      <c r="A94" s="23">
        <v>42291</v>
      </c>
      <c r="B94">
        <v>91.3</v>
      </c>
      <c r="C94">
        <v>90.41</v>
      </c>
      <c r="G94">
        <f t="shared" ref="G94:K94" si="45">SUMPRODUCT($B94:$B98,P$2:P$6)</f>
        <v>68.141127663614071</v>
      </c>
      <c r="H94">
        <f t="shared" si="45"/>
        <v>47.536881485968806</v>
      </c>
      <c r="I94">
        <f t="shared" si="45"/>
        <v>31.11886257645693</v>
      </c>
      <c r="J94">
        <f t="shared" si="45"/>
        <v>12.909881581401159</v>
      </c>
      <c r="K94">
        <f t="shared" si="45"/>
        <v>3.2675949760509369</v>
      </c>
      <c r="L94">
        <f t="shared" si="15"/>
        <v>91.5966234328654</v>
      </c>
      <c r="M94">
        <f t="shared" si="17"/>
        <v>-0.54662343286540249</v>
      </c>
      <c r="N94">
        <f t="shared" si="18"/>
        <v>0.29879717735755718</v>
      </c>
    </row>
    <row r="95" spans="1:14" x14ac:dyDescent="0.45">
      <c r="A95" s="23">
        <v>42290</v>
      </c>
      <c r="B95">
        <v>92.51</v>
      </c>
      <c r="C95">
        <v>91.36</v>
      </c>
      <c r="G95">
        <f t="shared" ref="G95:K95" si="46">SUMPRODUCT($B95:$B99,P$2:P$6)</f>
        <v>69.032863887200733</v>
      </c>
      <c r="H95">
        <f t="shared" si="46"/>
        <v>48.158793303058033</v>
      </c>
      <c r="I95">
        <f t="shared" si="46"/>
        <v>31.526959266686287</v>
      </c>
      <c r="J95">
        <f t="shared" si="46"/>
        <v>13.079767876296025</v>
      </c>
      <c r="K95">
        <f t="shared" si="46"/>
        <v>3.2987564724867906</v>
      </c>
      <c r="L95">
        <f t="shared" si="15"/>
        <v>92.740492436440277</v>
      </c>
      <c r="M95">
        <f t="shared" si="17"/>
        <v>-1.4404924364402802</v>
      </c>
      <c r="N95">
        <f t="shared" si="18"/>
        <v>2.075018459441655</v>
      </c>
    </row>
    <row r="96" spans="1:14" x14ac:dyDescent="0.45">
      <c r="A96" s="23">
        <v>42289</v>
      </c>
      <c r="B96">
        <v>92.71</v>
      </c>
      <c r="C96">
        <v>93.21</v>
      </c>
      <c r="G96">
        <f t="shared" ref="G96:K96" si="47">SUMPRODUCT($B96:$B100,P$2:P$6)</f>
        <v>69.174741543743934</v>
      </c>
      <c r="H96">
        <f t="shared" si="47"/>
        <v>48.257780991525181</v>
      </c>
      <c r="I96">
        <f t="shared" si="47"/>
        <v>31.59177085701868</v>
      </c>
      <c r="J96">
        <f t="shared" si="47"/>
        <v>13.10667842109275</v>
      </c>
      <c r="K96">
        <f t="shared" si="47"/>
        <v>3.2982750674789783</v>
      </c>
      <c r="L96">
        <f t="shared" si="15"/>
        <v>92.922450348853758</v>
      </c>
      <c r="M96">
        <f t="shared" si="17"/>
        <v>-0.41245034885375276</v>
      </c>
      <c r="N96">
        <f t="shared" si="18"/>
        <v>0.17011529026958236</v>
      </c>
    </row>
    <row r="97" spans="1:14" x14ac:dyDescent="0.45">
      <c r="A97" s="23">
        <v>42286</v>
      </c>
      <c r="B97">
        <v>92.33</v>
      </c>
      <c r="C97">
        <v>92.7</v>
      </c>
      <c r="G97">
        <f t="shared" ref="G97:K97" si="48">SUMPRODUCT($B97:$B101,P$2:P$6)</f>
        <v>68.890006835834114</v>
      </c>
      <c r="H97">
        <f t="shared" si="48"/>
        <v>48.059000700051513</v>
      </c>
      <c r="I97">
        <f t="shared" si="48"/>
        <v>31.462334767541385</v>
      </c>
      <c r="J97">
        <f t="shared" si="48"/>
        <v>13.053378784370857</v>
      </c>
      <c r="K97">
        <f t="shared" si="48"/>
        <v>3.2721107848258448</v>
      </c>
      <c r="L97">
        <f t="shared" si="15"/>
        <v>92.557522678006066</v>
      </c>
      <c r="M97">
        <f t="shared" si="17"/>
        <v>0.15247732199392772</v>
      </c>
      <c r="N97">
        <f t="shared" si="18"/>
        <v>2.3249333722439914E-2</v>
      </c>
    </row>
    <row r="98" spans="1:14" x14ac:dyDescent="0.45">
      <c r="A98" s="23">
        <v>42285</v>
      </c>
      <c r="B98">
        <v>90.71</v>
      </c>
      <c r="C98">
        <v>92.29</v>
      </c>
      <c r="G98">
        <f t="shared" ref="G98:K98" si="49">SUMPRODUCT($B98:$B102,P$2:P$6)</f>
        <v>67.684340075211054</v>
      </c>
      <c r="H98">
        <f t="shared" si="49"/>
        <v>47.217705687408078</v>
      </c>
      <c r="I98">
        <f t="shared" si="49"/>
        <v>30.912495514212193</v>
      </c>
      <c r="J98">
        <f t="shared" si="49"/>
        <v>12.825778393746193</v>
      </c>
      <c r="K98">
        <f t="shared" si="49"/>
        <v>3.235059668534034</v>
      </c>
      <c r="L98">
        <f t="shared" si="15"/>
        <v>91.011657356608936</v>
      </c>
      <c r="M98">
        <f t="shared" si="17"/>
        <v>1.3183426433910626</v>
      </c>
      <c r="N98">
        <f t="shared" si="18"/>
        <v>1.7380273253833343</v>
      </c>
    </row>
    <row r="99" spans="1:14" x14ac:dyDescent="0.45">
      <c r="A99" s="23">
        <v>42284</v>
      </c>
      <c r="B99">
        <v>90.9</v>
      </c>
      <c r="C99">
        <v>90.96</v>
      </c>
      <c r="G99">
        <f t="shared" ref="G99:K99" si="50">SUMPRODUCT($B99:$B103,P$2:P$6)</f>
        <v>67.825470932777094</v>
      </c>
      <c r="H99">
        <f t="shared" si="50"/>
        <v>47.316371805491265</v>
      </c>
      <c r="I99">
        <f t="shared" si="50"/>
        <v>30.976087615844158</v>
      </c>
      <c r="J99">
        <f t="shared" si="50"/>
        <v>12.851590571597086</v>
      </c>
      <c r="K99">
        <f t="shared" si="50"/>
        <v>3.2419533932679352</v>
      </c>
      <c r="L99">
        <f t="shared" si="15"/>
        <v>91.192338437619469</v>
      </c>
      <c r="M99">
        <f t="shared" si="17"/>
        <v>-0.48233843761947526</v>
      </c>
      <c r="N99">
        <f t="shared" si="18"/>
        <v>0.23265036840519643</v>
      </c>
    </row>
    <row r="100" spans="1:14" x14ac:dyDescent="0.45">
      <c r="A100" s="23">
        <v>42283</v>
      </c>
      <c r="B100">
        <v>91.21</v>
      </c>
      <c r="C100">
        <v>90.81</v>
      </c>
      <c r="G100">
        <f t="shared" ref="G100:K100" si="51">SUMPRODUCT($B100:$B104,P$2:P$6)</f>
        <v>68.038273654535061</v>
      </c>
      <c r="H100">
        <f t="shared" si="51"/>
        <v>47.46460187901198</v>
      </c>
      <c r="I100">
        <f t="shared" si="51"/>
        <v>31.074358545319573</v>
      </c>
      <c r="J100">
        <f t="shared" si="51"/>
        <v>12.893107343034611</v>
      </c>
      <c r="K100">
        <f t="shared" si="51"/>
        <v>3.2344410890820234</v>
      </c>
      <c r="L100">
        <f t="shared" si="15"/>
        <v>91.465641929656684</v>
      </c>
      <c r="M100">
        <f t="shared" si="17"/>
        <v>-0.56564192965667814</v>
      </c>
      <c r="N100">
        <f t="shared" si="18"/>
        <v>0.31995079258573045</v>
      </c>
    </row>
    <row r="101" spans="1:14" x14ac:dyDescent="0.45">
      <c r="A101" s="23">
        <v>42282</v>
      </c>
      <c r="B101">
        <v>90</v>
      </c>
      <c r="C101">
        <v>91.31</v>
      </c>
      <c r="G101">
        <f t="shared" ref="G101:K101" si="52">SUMPRODUCT($B101:$B105,P$2:P$6)</f>
        <v>67.145042049219043</v>
      </c>
      <c r="H101">
        <f t="shared" si="52"/>
        <v>46.841409269132974</v>
      </c>
      <c r="I101">
        <f t="shared" si="52"/>
        <v>30.666571265728997</v>
      </c>
      <c r="J101">
        <f t="shared" si="52"/>
        <v>12.724009857588678</v>
      </c>
      <c r="K101">
        <f t="shared" si="52"/>
        <v>3.177011795251528</v>
      </c>
      <c r="L101">
        <f t="shared" si="15"/>
        <v>90.320208267333584</v>
      </c>
      <c r="M101">
        <f t="shared" si="17"/>
        <v>0.88979173266640998</v>
      </c>
      <c r="N101">
        <f t="shared" si="18"/>
        <v>0.79172932752149205</v>
      </c>
    </row>
    <row r="102" spans="1:14" x14ac:dyDescent="0.45">
      <c r="A102" s="23">
        <v>42279</v>
      </c>
      <c r="B102">
        <v>87.23</v>
      </c>
      <c r="C102">
        <v>89.5</v>
      </c>
      <c r="G102">
        <f t="shared" ref="G102:K102" si="53">SUMPRODUCT($B102:$B106,P$2:P$6)</f>
        <v>65.102253909855065</v>
      </c>
      <c r="H102">
        <f t="shared" si="53"/>
        <v>45.416977855858697</v>
      </c>
      <c r="I102">
        <f t="shared" si="53"/>
        <v>29.730711906533138</v>
      </c>
      <c r="J102">
        <f t="shared" si="53"/>
        <v>12.333766958716152</v>
      </c>
      <c r="K102">
        <f t="shared" si="53"/>
        <v>3.1241548032299304</v>
      </c>
      <c r="L102">
        <f t="shared" si="15"/>
        <v>87.699485370936671</v>
      </c>
      <c r="M102">
        <f t="shared" si="17"/>
        <v>2.3005146290633292</v>
      </c>
      <c r="N102">
        <f t="shared" si="18"/>
        <v>5.2923675585343872</v>
      </c>
    </row>
    <row r="103" spans="1:14" x14ac:dyDescent="0.45">
      <c r="A103" s="23">
        <v>42278</v>
      </c>
      <c r="B103">
        <v>88.66</v>
      </c>
      <c r="C103">
        <v>88.86</v>
      </c>
      <c r="G103">
        <f t="shared" ref="G103:K103" si="54">SUMPRODUCT($B103:$B107,P$2:P$6)</f>
        <v>66.156729616021408</v>
      </c>
      <c r="H103">
        <f t="shared" si="54"/>
        <v>46.152602474195909</v>
      </c>
      <c r="I103">
        <f t="shared" si="54"/>
        <v>30.212391021658597</v>
      </c>
      <c r="J103">
        <f t="shared" si="54"/>
        <v>12.533692078696253</v>
      </c>
      <c r="K103">
        <f t="shared" si="54"/>
        <v>3.1480639472077758</v>
      </c>
      <c r="L103">
        <f t="shared" si="15"/>
        <v>89.05179025231692</v>
      </c>
      <c r="M103">
        <f t="shared" si="17"/>
        <v>-1.8217902523169158</v>
      </c>
      <c r="N103">
        <f t="shared" si="18"/>
        <v>3.3189197234369319</v>
      </c>
    </row>
    <row r="104" spans="1:14" x14ac:dyDescent="0.45">
      <c r="A104" s="23">
        <v>42277</v>
      </c>
      <c r="B104">
        <v>87.76</v>
      </c>
      <c r="C104">
        <v>88.75</v>
      </c>
      <c r="G104">
        <f t="shared" ref="G104:K104" si="55">SUMPRODUCT($B104:$B108,P$2:P$6)</f>
        <v>65.489183353936454</v>
      </c>
      <c r="H104">
        <f t="shared" si="55"/>
        <v>45.686748788832325</v>
      </c>
      <c r="I104">
        <f t="shared" si="55"/>
        <v>29.908148938869257</v>
      </c>
      <c r="J104">
        <f t="shared" si="55"/>
        <v>12.407876795359268</v>
      </c>
      <c r="K104">
        <f t="shared" si="55"/>
        <v>3.110373891187292</v>
      </c>
      <c r="L104">
        <f t="shared" si="15"/>
        <v>88.195949192653217</v>
      </c>
      <c r="M104">
        <f t="shared" si="17"/>
        <v>0.46405080734677995</v>
      </c>
      <c r="N104">
        <f t="shared" si="18"/>
        <v>0.21534315179919827</v>
      </c>
    </row>
    <row r="105" spans="1:14" x14ac:dyDescent="0.45">
      <c r="A105" s="23">
        <v>42276</v>
      </c>
      <c r="B105">
        <v>86.18</v>
      </c>
      <c r="C105">
        <v>86.83</v>
      </c>
      <c r="G105">
        <f t="shared" ref="G105:K105" si="56">SUMPRODUCT($B105:$B109,P$2:P$6)</f>
        <v>64.328530773384912</v>
      </c>
      <c r="H105">
        <f t="shared" si="56"/>
        <v>44.877274582946271</v>
      </c>
      <c r="I105">
        <f t="shared" si="56"/>
        <v>29.377017204486027</v>
      </c>
      <c r="J105">
        <f t="shared" si="56"/>
        <v>12.186788389323659</v>
      </c>
      <c r="K105">
        <f t="shared" si="56"/>
        <v>3.0839124362590367</v>
      </c>
      <c r="L105">
        <f t="shared" si="15"/>
        <v>86.707136263278485</v>
      </c>
      <c r="M105">
        <f t="shared" si="17"/>
        <v>1.0528637367215197</v>
      </c>
      <c r="N105">
        <f t="shared" si="18"/>
        <v>1.1085220481032014</v>
      </c>
    </row>
    <row r="106" spans="1:14" x14ac:dyDescent="0.45">
      <c r="A106" s="23">
        <v>42275</v>
      </c>
      <c r="B106">
        <v>87.19</v>
      </c>
      <c r="C106">
        <v>86.22</v>
      </c>
      <c r="G106">
        <f t="shared" ref="G106:K106" si="57">SUMPRODUCT($B106:$B110,P$2:P$6)</f>
        <v>65.06100921707943</v>
      </c>
      <c r="H106">
        <f t="shared" si="57"/>
        <v>45.387896249190042</v>
      </c>
      <c r="I106">
        <f t="shared" si="57"/>
        <v>29.713242747261233</v>
      </c>
      <c r="J106">
        <f t="shared" si="57"/>
        <v>12.327442785900651</v>
      </c>
      <c r="K106">
        <f t="shared" si="57"/>
        <v>3.1226354064137229</v>
      </c>
      <c r="L106">
        <f t="shared" si="15"/>
        <v>87.647091316745104</v>
      </c>
      <c r="M106">
        <f t="shared" si="17"/>
        <v>-1.4670913167450976</v>
      </c>
      <c r="N106">
        <f t="shared" si="18"/>
        <v>2.1523569316688644</v>
      </c>
    </row>
    <row r="107" spans="1:14" x14ac:dyDescent="0.45">
      <c r="A107" s="23">
        <v>42272</v>
      </c>
      <c r="B107">
        <v>88.68</v>
      </c>
      <c r="C107">
        <v>87.88</v>
      </c>
      <c r="G107">
        <f t="shared" ref="G107:K107" si="58">SUMPRODUCT($B107:$B111,P$2:P$6)</f>
        <v>66.159112935981923</v>
      </c>
      <c r="H107">
        <f t="shared" si="58"/>
        <v>46.153716298363342</v>
      </c>
      <c r="I107">
        <f t="shared" si="58"/>
        <v>30.215847592198184</v>
      </c>
      <c r="J107">
        <f t="shared" si="58"/>
        <v>12.536715184391573</v>
      </c>
      <c r="K107">
        <f t="shared" si="58"/>
        <v>3.1389621103469949</v>
      </c>
      <c r="L107">
        <f t="shared" si="15"/>
        <v>89.055700097398955</v>
      </c>
      <c r="M107">
        <f t="shared" si="17"/>
        <v>-1.8657000973989568</v>
      </c>
      <c r="N107">
        <f t="shared" si="18"/>
        <v>3.4808368534344769</v>
      </c>
    </row>
    <row r="108" spans="1:14" x14ac:dyDescent="0.45">
      <c r="A108" s="23">
        <v>42271</v>
      </c>
      <c r="B108">
        <v>86.83</v>
      </c>
      <c r="C108">
        <v>87.86</v>
      </c>
      <c r="G108">
        <f t="shared" ref="G108:K108" si="59">SUMPRODUCT($B108:$B112,P$2:P$6)</f>
        <v>64.786199751926461</v>
      </c>
      <c r="H108">
        <f t="shared" si="59"/>
        <v>45.196114105819731</v>
      </c>
      <c r="I108">
        <f t="shared" si="59"/>
        <v>29.588075573247693</v>
      </c>
      <c r="J108">
        <f t="shared" si="59"/>
        <v>12.275746397865996</v>
      </c>
      <c r="K108">
        <f t="shared" si="59"/>
        <v>3.0893080859215298</v>
      </c>
      <c r="L108">
        <f t="shared" si="15"/>
        <v>87.294804493551197</v>
      </c>
      <c r="M108">
        <f t="shared" si="17"/>
        <v>1.3851955064488095</v>
      </c>
      <c r="N108">
        <f t="shared" si="18"/>
        <v>1.9187665910859739</v>
      </c>
    </row>
    <row r="109" spans="1:14" x14ac:dyDescent="0.45">
      <c r="A109" s="23">
        <v>42270</v>
      </c>
      <c r="B109">
        <v>86.46</v>
      </c>
      <c r="C109">
        <v>87.59</v>
      </c>
      <c r="G109">
        <f t="shared" ref="G109:K109" si="60">SUMPRODUCT($B109:$B113,P$2:P$6)</f>
        <v>64.523462605580775</v>
      </c>
      <c r="H109">
        <f t="shared" si="60"/>
        <v>45.013275103721682</v>
      </c>
      <c r="I109">
        <f t="shared" si="60"/>
        <v>29.466109162883196</v>
      </c>
      <c r="J109">
        <f t="shared" si="60"/>
        <v>12.223815577043858</v>
      </c>
      <c r="K109">
        <f t="shared" si="60"/>
        <v>3.0693618142302053</v>
      </c>
      <c r="L109">
        <f t="shared" si="15"/>
        <v>86.95715664312678</v>
      </c>
      <c r="M109">
        <f t="shared" si="17"/>
        <v>-0.12715664312678143</v>
      </c>
      <c r="N109">
        <f t="shared" si="18"/>
        <v>1.6168811891271652E-2</v>
      </c>
    </row>
    <row r="110" spans="1:14" x14ac:dyDescent="0.45">
      <c r="A110" s="23">
        <v>42269</v>
      </c>
      <c r="B110">
        <v>85.41</v>
      </c>
      <c r="C110">
        <v>86.85</v>
      </c>
      <c r="G110">
        <f t="shared" ref="G110:K110" si="61">SUMPRODUCT($B110:$B114,P$2:P$6)</f>
        <v>63.754979952782357</v>
      </c>
      <c r="H110">
        <f t="shared" si="61"/>
        <v>44.477739383908244</v>
      </c>
      <c r="I110">
        <f t="shared" si="61"/>
        <v>29.112653721134272</v>
      </c>
      <c r="J110">
        <f t="shared" si="61"/>
        <v>12.075499787823654</v>
      </c>
      <c r="K110">
        <f t="shared" si="61"/>
        <v>3.0446582135005746</v>
      </c>
      <c r="L110">
        <f t="shared" si="15"/>
        <v>85.970759170695075</v>
      </c>
      <c r="M110">
        <f t="shared" si="17"/>
        <v>0.48924082930491863</v>
      </c>
      <c r="N110">
        <f t="shared" si="18"/>
        <v>0.23935658905896454</v>
      </c>
    </row>
    <row r="111" spans="1:14" x14ac:dyDescent="0.45">
      <c r="A111" s="23">
        <v>42268</v>
      </c>
      <c r="B111">
        <v>85.55</v>
      </c>
      <c r="C111">
        <v>86.81</v>
      </c>
      <c r="G111">
        <f t="shared" ref="G111:K111" si="62">SUMPRODUCT($B111:$B115,P$2:P$6)</f>
        <v>63.867708630596255</v>
      </c>
      <c r="H111">
        <f t="shared" si="62"/>
        <v>44.556364027021381</v>
      </c>
      <c r="I111">
        <f t="shared" si="62"/>
        <v>29.164138765330623</v>
      </c>
      <c r="J111">
        <f t="shared" si="62"/>
        <v>12.096849339464439</v>
      </c>
      <c r="K111">
        <f t="shared" si="62"/>
        <v>3.0407840014350098</v>
      </c>
      <c r="L111">
        <f t="shared" si="15"/>
        <v>86.115312273713286</v>
      </c>
      <c r="M111">
        <f t="shared" si="17"/>
        <v>-0.70531227371328953</v>
      </c>
      <c r="N111">
        <f t="shared" si="18"/>
        <v>0.49746540345061024</v>
      </c>
    </row>
    <row r="112" spans="1:14" x14ac:dyDescent="0.45">
      <c r="A112" s="23">
        <v>42265</v>
      </c>
      <c r="B112">
        <v>84.69</v>
      </c>
      <c r="C112">
        <v>85.49</v>
      </c>
      <c r="G112">
        <f t="shared" ref="G112:K112" si="63">SUMPRODUCT($B112:$B116,P$2:P$6)</f>
        <v>63.242702546150731</v>
      </c>
      <c r="H112">
        <f t="shared" si="63"/>
        <v>44.120495493004597</v>
      </c>
      <c r="I112">
        <f t="shared" si="63"/>
        <v>28.877947563053382</v>
      </c>
      <c r="J112">
        <f t="shared" si="63"/>
        <v>11.977591115542159</v>
      </c>
      <c r="K112">
        <f t="shared" si="63"/>
        <v>3.0450802596878472</v>
      </c>
      <c r="L112">
        <f t="shared" si="15"/>
        <v>85.313521478722663</v>
      </c>
      <c r="M112">
        <f t="shared" si="17"/>
        <v>0.23647852127733415</v>
      </c>
      <c r="N112">
        <f t="shared" si="18"/>
        <v>5.5922091025514584E-2</v>
      </c>
    </row>
    <row r="113" spans="1:14" x14ac:dyDescent="0.45">
      <c r="A113" s="23">
        <v>42264</v>
      </c>
      <c r="B113">
        <v>86.9</v>
      </c>
      <c r="C113">
        <v>85.77</v>
      </c>
      <c r="G113">
        <f t="shared" ref="G113:K113" si="64">SUMPRODUCT($B113:$B117,P$2:P$6)</f>
        <v>64.865918604822554</v>
      </c>
      <c r="H113">
        <f t="shared" si="64"/>
        <v>45.252217522158858</v>
      </c>
      <c r="I113">
        <f t="shared" si="64"/>
        <v>29.62223334885071</v>
      </c>
      <c r="J113">
        <f t="shared" si="64"/>
        <v>12.288385684837779</v>
      </c>
      <c r="K113">
        <f t="shared" si="64"/>
        <v>3.1224384717034672</v>
      </c>
      <c r="L113">
        <f t="shared" si="15"/>
        <v>87.396205435640368</v>
      </c>
      <c r="M113">
        <f t="shared" si="17"/>
        <v>-2.7062054356403706</v>
      </c>
      <c r="N113">
        <f t="shared" si="18"/>
        <v>7.3235478598894881</v>
      </c>
    </row>
    <row r="114" spans="1:14" x14ac:dyDescent="0.45">
      <c r="A114" s="23">
        <v>42263</v>
      </c>
      <c r="B114">
        <v>89.15</v>
      </c>
      <c r="C114">
        <v>89.47</v>
      </c>
      <c r="G114">
        <f t="shared" ref="G114:K114" si="65">SUMPRODUCT($B114:$B118,P$2:P$6)</f>
        <v>66.523283712030832</v>
      </c>
      <c r="H114">
        <f t="shared" si="65"/>
        <v>46.407952659717736</v>
      </c>
      <c r="I114">
        <f t="shared" si="65"/>
        <v>30.381295330228077</v>
      </c>
      <c r="J114">
        <f t="shared" si="65"/>
        <v>12.604760692325616</v>
      </c>
      <c r="K114">
        <f t="shared" si="65"/>
        <v>3.1767589734168769</v>
      </c>
      <c r="L114">
        <f t="shared" si="15"/>
        <v>89.522386577680507</v>
      </c>
      <c r="M114">
        <f t="shared" si="17"/>
        <v>-2.6223865776805013</v>
      </c>
      <c r="N114">
        <f t="shared" si="18"/>
        <v>6.8769113627988521</v>
      </c>
    </row>
    <row r="115" spans="1:14" x14ac:dyDescent="0.45">
      <c r="A115" s="23">
        <v>42262</v>
      </c>
      <c r="B115">
        <v>89.13</v>
      </c>
      <c r="C115">
        <v>88.99</v>
      </c>
      <c r="G115">
        <f t="shared" ref="G115:K115" si="66">SUMPRODUCT($B115:$B119,P$2:P$6)</f>
        <v>66.50504755577083</v>
      </c>
      <c r="H115">
        <f t="shared" si="66"/>
        <v>46.395362629720879</v>
      </c>
      <c r="I115">
        <f t="shared" si="66"/>
        <v>30.372450571208969</v>
      </c>
      <c r="J115">
        <f t="shared" si="66"/>
        <v>12.600753452936868</v>
      </c>
      <c r="K115">
        <f t="shared" si="66"/>
        <v>3.1741301380617823</v>
      </c>
      <c r="L115">
        <f t="shared" si="15"/>
        <v>89.498822013386615</v>
      </c>
      <c r="M115">
        <f t="shared" si="17"/>
        <v>-0.34882201338660934</v>
      </c>
      <c r="N115">
        <f t="shared" si="18"/>
        <v>0.12167679702308787</v>
      </c>
    </row>
    <row r="116" spans="1:14" x14ac:dyDescent="0.45">
      <c r="A116" s="23">
        <v>42261</v>
      </c>
      <c r="B116">
        <v>89.05</v>
      </c>
      <c r="C116">
        <v>88.82</v>
      </c>
      <c r="G116">
        <f t="shared" ref="G116:K116" si="67">SUMPRODUCT($B116:$B120,P$2:P$6)</f>
        <v>66.439103392154223</v>
      </c>
      <c r="H116">
        <f t="shared" si="67"/>
        <v>46.349171316528249</v>
      </c>
      <c r="I116">
        <f t="shared" si="67"/>
        <v>30.343158617067321</v>
      </c>
      <c r="J116">
        <f t="shared" si="67"/>
        <v>12.58915685323778</v>
      </c>
      <c r="K116">
        <f t="shared" si="67"/>
        <v>3.1550309947371109</v>
      </c>
      <c r="L116">
        <f t="shared" si="15"/>
        <v>89.41455514345742</v>
      </c>
      <c r="M116">
        <f t="shared" si="17"/>
        <v>-0.28455514345742472</v>
      </c>
      <c r="N116">
        <f t="shared" si="18"/>
        <v>8.0971629668075557E-2</v>
      </c>
    </row>
    <row r="117" spans="1:14" x14ac:dyDescent="0.45">
      <c r="A117" s="23">
        <v>42258</v>
      </c>
      <c r="B117">
        <v>87.46</v>
      </c>
      <c r="C117">
        <v>89.31</v>
      </c>
      <c r="G117">
        <f t="shared" ref="G117:K117" si="68">SUMPRODUCT($B117:$B121,P$2:P$6)</f>
        <v>65.260849680730686</v>
      </c>
      <c r="H117">
        <f t="shared" si="68"/>
        <v>45.52712825267691</v>
      </c>
      <c r="I117">
        <f t="shared" si="68"/>
        <v>29.805268850836107</v>
      </c>
      <c r="J117">
        <f t="shared" si="68"/>
        <v>12.366128683510807</v>
      </c>
      <c r="K117">
        <f t="shared" si="68"/>
        <v>3.1122312708816948</v>
      </c>
      <c r="L117">
        <f t="shared" si="15"/>
        <v>87.903636235895092</v>
      </c>
      <c r="M117">
        <f t="shared" si="17"/>
        <v>1.1463637641049047</v>
      </c>
      <c r="N117">
        <f t="shared" si="18"/>
        <v>1.3141498796527655</v>
      </c>
    </row>
    <row r="118" spans="1:14" x14ac:dyDescent="0.45">
      <c r="A118" s="23">
        <v>42257</v>
      </c>
      <c r="B118">
        <v>87</v>
      </c>
      <c r="C118">
        <v>88.3</v>
      </c>
      <c r="G118">
        <f t="shared" ref="G118:K118" si="69">SUMPRODUCT($B118:$B122,P$2:P$6)</f>
        <v>64.922074656498864</v>
      </c>
      <c r="H118">
        <f t="shared" si="69"/>
        <v>45.291087242294701</v>
      </c>
      <c r="I118">
        <f t="shared" si="69"/>
        <v>29.649295253677504</v>
      </c>
      <c r="J118">
        <f t="shared" si="69"/>
        <v>12.300578862117851</v>
      </c>
      <c r="K118">
        <f t="shared" si="69"/>
        <v>3.1083704707201294</v>
      </c>
      <c r="L118">
        <f t="shared" si="15"/>
        <v>87.468743330629493</v>
      </c>
      <c r="M118">
        <f t="shared" si="17"/>
        <v>-8.7433306294997237E-3</v>
      </c>
      <c r="N118">
        <f t="shared" si="18"/>
        <v>7.6445830496748036E-5</v>
      </c>
    </row>
    <row r="119" spans="1:14" x14ac:dyDescent="0.45">
      <c r="A119" s="23">
        <v>42256</v>
      </c>
      <c r="B119">
        <v>87.78</v>
      </c>
      <c r="C119">
        <v>86.64</v>
      </c>
      <c r="G119">
        <f t="shared" ref="G119:K119" si="70">SUMPRODUCT($B119:$B123,P$2:P$6)</f>
        <v>65.487890972052455</v>
      </c>
      <c r="H119">
        <f t="shared" si="70"/>
        <v>45.685631839545962</v>
      </c>
      <c r="I119">
        <f t="shared" si="70"/>
        <v>29.90858210460026</v>
      </c>
      <c r="J119">
        <f t="shared" si="70"/>
        <v>12.408758846836056</v>
      </c>
      <c r="K119">
        <f t="shared" si="70"/>
        <v>3.1136145043017267</v>
      </c>
      <c r="L119">
        <f t="shared" si="15"/>
        <v>88.194674021526936</v>
      </c>
      <c r="M119">
        <f t="shared" si="17"/>
        <v>-1.1946740215269358</v>
      </c>
      <c r="N119">
        <f t="shared" si="18"/>
        <v>1.4272460177113415</v>
      </c>
    </row>
    <row r="120" spans="1:14" x14ac:dyDescent="0.45">
      <c r="A120" s="23">
        <v>42255</v>
      </c>
      <c r="B120">
        <v>86.64</v>
      </c>
      <c r="C120">
        <v>87.74</v>
      </c>
      <c r="G120">
        <f t="shared" ref="G120:K120" si="71">SUMPRODUCT($B120:$B124,P$2:P$6)</f>
        <v>64.64226333516487</v>
      </c>
      <c r="H120">
        <f t="shared" si="71"/>
        <v>45.095502828764943</v>
      </c>
      <c r="I120">
        <f t="shared" si="71"/>
        <v>29.523175839054904</v>
      </c>
      <c r="J120">
        <f t="shared" si="71"/>
        <v>12.249378297165382</v>
      </c>
      <c r="K120">
        <f t="shared" si="71"/>
        <v>3.0656609477705072</v>
      </c>
      <c r="L120">
        <f t="shared" si="15"/>
        <v>87.110519723895422</v>
      </c>
      <c r="M120">
        <f t="shared" si="17"/>
        <v>0.66948027610457927</v>
      </c>
      <c r="N120">
        <f t="shared" si="18"/>
        <v>0.44820384009306369</v>
      </c>
    </row>
    <row r="121" spans="1:14" x14ac:dyDescent="0.45">
      <c r="A121" s="23">
        <v>42251</v>
      </c>
      <c r="B121">
        <v>84.62</v>
      </c>
      <c r="C121">
        <v>85.13</v>
      </c>
      <c r="G121">
        <f t="shared" ref="G121:K121" si="72">SUMPRODUCT($B121:$B125,P$2:P$6)</f>
        <v>63.160549196867748</v>
      </c>
      <c r="H121">
        <f t="shared" si="72"/>
        <v>44.062551785544841</v>
      </c>
      <c r="I121">
        <f t="shared" si="72"/>
        <v>28.843283649926843</v>
      </c>
      <c r="J121">
        <f t="shared" si="72"/>
        <v>11.965147152814877</v>
      </c>
      <c r="K121">
        <f t="shared" si="72"/>
        <v>3.0297887575501115</v>
      </c>
      <c r="L121">
        <f t="shared" si="15"/>
        <v>85.209215896058751</v>
      </c>
      <c r="M121">
        <f t="shared" si="17"/>
        <v>1.4307841039412494</v>
      </c>
      <c r="N121">
        <f t="shared" si="18"/>
        <v>2.047143152090964</v>
      </c>
    </row>
    <row r="122" spans="1:14" x14ac:dyDescent="0.45">
      <c r="A122" s="23">
        <v>42250</v>
      </c>
      <c r="B122">
        <v>85.88</v>
      </c>
      <c r="C122">
        <v>86.04</v>
      </c>
      <c r="G122">
        <f t="shared" ref="G122:K122" si="73">SUMPRODUCT($B122:$B126,P$2:P$6)</f>
        <v>64.07805630863443</v>
      </c>
      <c r="H122">
        <f t="shared" si="73"/>
        <v>44.702316856220079</v>
      </c>
      <c r="I122">
        <f t="shared" si="73"/>
        <v>29.263761789316124</v>
      </c>
      <c r="J122">
        <f t="shared" si="73"/>
        <v>12.140592894677409</v>
      </c>
      <c r="K122">
        <f t="shared" si="73"/>
        <v>3.0564456985567028</v>
      </c>
      <c r="L122">
        <f t="shared" si="15"/>
        <v>86.386364122204384</v>
      </c>
      <c r="M122">
        <f t="shared" si="17"/>
        <v>-1.7663641222043793</v>
      </c>
      <c r="N122">
        <f t="shared" si="18"/>
        <v>3.1200422122108473</v>
      </c>
    </row>
    <row r="123" spans="1:14" x14ac:dyDescent="0.45">
      <c r="A123" s="23">
        <v>42249</v>
      </c>
      <c r="B123">
        <v>85.69</v>
      </c>
      <c r="C123">
        <v>85.83</v>
      </c>
      <c r="G123">
        <f t="shared" ref="G123:K123" si="74">SUMPRODUCT($B123:$B127,P$2:P$6)</f>
        <v>63.944196372585346</v>
      </c>
      <c r="H123">
        <f t="shared" si="74"/>
        <v>44.608863774091823</v>
      </c>
      <c r="I123">
        <f t="shared" si="74"/>
        <v>29.202849427881656</v>
      </c>
      <c r="J123">
        <f t="shared" si="74"/>
        <v>12.115456839211317</v>
      </c>
      <c r="K123">
        <f t="shared" si="74"/>
        <v>3.0288611840603967</v>
      </c>
      <c r="L123">
        <f t="shared" si="15"/>
        <v>86.214771462009296</v>
      </c>
      <c r="M123">
        <f t="shared" si="17"/>
        <v>-0.33477146200930008</v>
      </c>
      <c r="N123">
        <f t="shared" si="18"/>
        <v>0.11207193177584425</v>
      </c>
    </row>
    <row r="124" spans="1:14" x14ac:dyDescent="0.45">
      <c r="A124" s="23">
        <v>42248</v>
      </c>
      <c r="B124">
        <v>83.35</v>
      </c>
      <c r="C124">
        <v>84.1</v>
      </c>
      <c r="G124">
        <f t="shared" ref="G124:K124" si="75">SUMPRODUCT($B124:$B128,P$2:P$6)</f>
        <v>62.208999557827639</v>
      </c>
      <c r="H124">
        <f t="shared" si="75"/>
        <v>43.398471228125814</v>
      </c>
      <c r="I124">
        <f t="shared" si="75"/>
        <v>28.409817295059021</v>
      </c>
      <c r="J124">
        <f t="shared" si="75"/>
        <v>11.786048803886153</v>
      </c>
      <c r="K124">
        <f t="shared" si="75"/>
        <v>2.994007708819824</v>
      </c>
      <c r="L124">
        <f t="shared" si="15"/>
        <v>83.989350094179841</v>
      </c>
      <c r="M124">
        <f t="shared" si="17"/>
        <v>1.700649905820157</v>
      </c>
      <c r="N124">
        <f t="shared" si="18"/>
        <v>2.8922101021661089</v>
      </c>
    </row>
    <row r="125" spans="1:14" x14ac:dyDescent="0.45">
      <c r="A125" s="23">
        <v>42247</v>
      </c>
      <c r="B125">
        <v>85.46</v>
      </c>
      <c r="C125">
        <v>85.75</v>
      </c>
      <c r="G125">
        <f t="shared" ref="G125:K125" si="76">SUMPRODUCT($B125:$B129,P$2:P$6)</f>
        <v>63.780024530698363</v>
      </c>
      <c r="H125">
        <f t="shared" si="76"/>
        <v>44.494776279213411</v>
      </c>
      <c r="I125">
        <f t="shared" si="76"/>
        <v>29.125986710649606</v>
      </c>
      <c r="J125">
        <f t="shared" si="76"/>
        <v>12.082306304967728</v>
      </c>
      <c r="K125">
        <f t="shared" si="76"/>
        <v>3.0402434308951904</v>
      </c>
      <c r="L125">
        <f t="shared" si="15"/>
        <v>86.003561977243862</v>
      </c>
      <c r="M125">
        <f t="shared" si="17"/>
        <v>-2.6535619772438679</v>
      </c>
      <c r="N125">
        <f t="shared" si="18"/>
        <v>7.0413911670743854</v>
      </c>
    </row>
    <row r="126" spans="1:14" x14ac:dyDescent="0.45">
      <c r="A126" s="23">
        <v>42244</v>
      </c>
      <c r="B126">
        <v>85.04</v>
      </c>
      <c r="C126">
        <v>86.21</v>
      </c>
      <c r="G126">
        <f t="shared" ref="G126:K126" si="77">SUMPRODUCT($B126:$B130,P$2:P$6)</f>
        <v>63.443824930011914</v>
      </c>
      <c r="H126">
        <f t="shared" si="77"/>
        <v>44.25953188575739</v>
      </c>
      <c r="I126">
        <f t="shared" si="77"/>
        <v>28.975541232789073</v>
      </c>
      <c r="J126">
        <f t="shared" si="77"/>
        <v>12.021976323161768</v>
      </c>
      <c r="K126">
        <f t="shared" si="77"/>
        <v>3.0218187205937941</v>
      </c>
      <c r="L126">
        <f t="shared" si="15"/>
        <v>85.57354547338366</v>
      </c>
      <c r="M126">
        <f t="shared" si="17"/>
        <v>-0.11354547338366672</v>
      </c>
      <c r="N126">
        <f t="shared" si="18"/>
        <v>1.2892574525920967E-2</v>
      </c>
    </row>
    <row r="127" spans="1:14" x14ac:dyDescent="0.45">
      <c r="A127" s="23">
        <v>42243</v>
      </c>
      <c r="B127">
        <v>84.39</v>
      </c>
      <c r="C127">
        <v>86.6</v>
      </c>
      <c r="G127">
        <f t="shared" ref="G127:K127" si="78">SUMPRODUCT($B127:$B131,P$2:P$6)</f>
        <v>63.019633394639413</v>
      </c>
      <c r="H127">
        <f t="shared" si="78"/>
        <v>43.965269723272378</v>
      </c>
      <c r="I127">
        <f t="shared" si="78"/>
        <v>28.774449564927139</v>
      </c>
      <c r="J127">
        <f t="shared" si="78"/>
        <v>11.933574237469152</v>
      </c>
      <c r="K127">
        <f t="shared" si="78"/>
        <v>2.9915907415697407</v>
      </c>
      <c r="L127">
        <f t="shared" si="15"/>
        <v>85.026883741195093</v>
      </c>
      <c r="M127">
        <f t="shared" si="17"/>
        <v>1.3116258804913628E-2</v>
      </c>
      <c r="N127">
        <f t="shared" si="18"/>
        <v>1.7203624503747426E-4</v>
      </c>
    </row>
    <row r="128" spans="1:14" x14ac:dyDescent="0.45">
      <c r="A128" s="23">
        <v>42242</v>
      </c>
      <c r="B128">
        <v>82.71</v>
      </c>
      <c r="C128">
        <v>83.29</v>
      </c>
      <c r="G128">
        <f t="shared" ref="G128:K128" si="79">SUMPRODUCT($B128:$B132,P$2:P$6)</f>
        <v>61.822987036918931</v>
      </c>
      <c r="H128">
        <f t="shared" si="79"/>
        <v>43.133220499661348</v>
      </c>
      <c r="I128">
        <f t="shared" si="79"/>
        <v>28.216102353718384</v>
      </c>
      <c r="J128">
        <f t="shared" si="79"/>
        <v>11.693989691032957</v>
      </c>
      <c r="K128">
        <f t="shared" si="79"/>
        <v>2.9895462865623781</v>
      </c>
      <c r="L128">
        <f t="shared" si="15"/>
        <v>83.488051186818382</v>
      </c>
      <c r="M128">
        <f t="shared" si="17"/>
        <v>0.9019488131816189</v>
      </c>
      <c r="N128">
        <f t="shared" si="18"/>
        <v>0.81351166159973087</v>
      </c>
    </row>
    <row r="129" spans="1:14" x14ac:dyDescent="0.45">
      <c r="A129" s="23">
        <v>42241</v>
      </c>
      <c r="B129">
        <v>86.72</v>
      </c>
      <c r="C129">
        <v>79.87</v>
      </c>
      <c r="G129">
        <f t="shared" ref="G129:K129" si="80">SUMPRODUCT($B129:$B133,P$2:P$6)</f>
        <v>64.824035764384007</v>
      </c>
      <c r="H129">
        <f t="shared" si="80"/>
        <v>45.226364261452659</v>
      </c>
      <c r="I129">
        <f t="shared" si="80"/>
        <v>29.58845621523022</v>
      </c>
      <c r="J129">
        <f t="shared" si="80"/>
        <v>12.264520783149194</v>
      </c>
      <c r="K129">
        <f t="shared" si="80"/>
        <v>3.0474531302383117</v>
      </c>
      <c r="L129">
        <f t="shared" si="15"/>
        <v>87.337197041984339</v>
      </c>
      <c r="M129">
        <f t="shared" si="17"/>
        <v>-4.6271970419843456</v>
      </c>
      <c r="N129">
        <f t="shared" si="18"/>
        <v>21.410952465348679</v>
      </c>
    </row>
    <row r="130" spans="1:14" x14ac:dyDescent="0.45">
      <c r="A130" s="23">
        <v>42240</v>
      </c>
      <c r="B130">
        <v>82.31</v>
      </c>
      <c r="C130">
        <v>84.25</v>
      </c>
      <c r="G130">
        <f t="shared" ref="G130:K130" si="81">SUMPRODUCT($B130:$B134,P$2:P$6)</f>
        <v>61.63043126219327</v>
      </c>
      <c r="H130">
        <f t="shared" si="81"/>
        <v>42.999208186173291</v>
      </c>
      <c r="I130">
        <f t="shared" si="81"/>
        <v>28.125965676143409</v>
      </c>
      <c r="J130">
        <f t="shared" si="81"/>
        <v>11.654983194137538</v>
      </c>
      <c r="K130">
        <f t="shared" si="81"/>
        <v>3.0444078359576845</v>
      </c>
      <c r="L130">
        <f t="shared" ref="L130:L193" si="82">(G130+$P$7)*$U$2+(H130+$Q$7)*$U$3+(I130+$R$7)*$U$4+(J130+$S$7)*$U$5+(K130+$T$7)*$U$6+$U$7</f>
        <v>83.240210660813077</v>
      </c>
      <c r="M130">
        <f t="shared" si="17"/>
        <v>3.4797893391869223</v>
      </c>
      <c r="N130">
        <f t="shared" si="18"/>
        <v>12.108933845118958</v>
      </c>
    </row>
    <row r="131" spans="1:14" x14ac:dyDescent="0.45">
      <c r="A131" s="23">
        <v>42237</v>
      </c>
      <c r="B131">
        <v>91.06</v>
      </c>
      <c r="C131">
        <v>89.28</v>
      </c>
      <c r="G131">
        <f t="shared" ref="G131:K131" si="83">SUMPRODUCT($B131:$B135,P$2:P$6)</f>
        <v>68.086469351210695</v>
      </c>
      <c r="H131">
        <f t="shared" si="83"/>
        <v>47.501392042480141</v>
      </c>
      <c r="I131">
        <f t="shared" si="83"/>
        <v>31.081969197344279</v>
      </c>
      <c r="J131">
        <f t="shared" si="83"/>
        <v>12.886480688252282</v>
      </c>
      <c r="K131">
        <f t="shared" si="83"/>
        <v>3.4077092865902552</v>
      </c>
      <c r="L131">
        <f t="shared" si="82"/>
        <v>91.522154269470818</v>
      </c>
      <c r="M131">
        <f t="shared" ref="M131:M194" si="84">B130-L131</f>
        <v>-9.2121542694708154</v>
      </c>
      <c r="N131">
        <f t="shared" ref="N131:N194" si="85">M131^2</f>
        <v>84.863786284529368</v>
      </c>
    </row>
    <row r="132" spans="1:14" x14ac:dyDescent="0.45">
      <c r="A132" s="23">
        <v>42236</v>
      </c>
      <c r="B132">
        <v>105.27</v>
      </c>
      <c r="C132">
        <v>102.93</v>
      </c>
      <c r="G132">
        <f t="shared" ref="G132:K132" si="86">SUMPRODUCT($B132:$B136,P$2:P$6)</f>
        <v>78.563672932653176</v>
      </c>
      <c r="H132">
        <f t="shared" si="86"/>
        <v>54.807887348574212</v>
      </c>
      <c r="I132">
        <f t="shared" si="86"/>
        <v>35.878735189925052</v>
      </c>
      <c r="J132">
        <f t="shared" si="86"/>
        <v>14.884606126659392</v>
      </c>
      <c r="K132">
        <f t="shared" si="86"/>
        <v>3.7650285584858332</v>
      </c>
      <c r="L132">
        <f t="shared" si="82"/>
        <v>104.96240454413511</v>
      </c>
      <c r="M132">
        <f t="shared" si="84"/>
        <v>-13.902404544135109</v>
      </c>
      <c r="N132">
        <f t="shared" si="85"/>
        <v>193.27685210878855</v>
      </c>
    </row>
    <row r="133" spans="1:14" x14ac:dyDescent="0.45">
      <c r="A133" s="23">
        <v>42235</v>
      </c>
      <c r="B133">
        <v>106.49</v>
      </c>
      <c r="C133">
        <v>106.27</v>
      </c>
      <c r="G133">
        <f t="shared" ref="G133:K133" si="87">SUMPRODUCT($B133:$B137,P$2:P$6)</f>
        <v>79.462013649154642</v>
      </c>
      <c r="H133">
        <f t="shared" si="87"/>
        <v>55.434451463916389</v>
      </c>
      <c r="I133">
        <f t="shared" si="87"/>
        <v>36.289670234423355</v>
      </c>
      <c r="J133">
        <f t="shared" si="87"/>
        <v>15.055553226145383</v>
      </c>
      <c r="K133">
        <f t="shared" si="87"/>
        <v>3.7891962617369925</v>
      </c>
      <c r="L133">
        <f t="shared" si="82"/>
        <v>106.11468121247815</v>
      </c>
      <c r="M133">
        <f t="shared" si="84"/>
        <v>-0.8446812124781502</v>
      </c>
      <c r="N133">
        <f t="shared" si="85"/>
        <v>0.71348635071355793</v>
      </c>
    </row>
    <row r="134" spans="1:14" x14ac:dyDescent="0.45">
      <c r="A134" s="23">
        <v>42234</v>
      </c>
      <c r="B134">
        <v>106.04</v>
      </c>
      <c r="C134">
        <v>105.72</v>
      </c>
      <c r="G134">
        <f t="shared" ref="G134:K134" si="88">SUMPRODUCT($B134:$B138,P$2:P$6)</f>
        <v>79.122883398306783</v>
      </c>
      <c r="H134">
        <f t="shared" si="88"/>
        <v>55.197766821013886</v>
      </c>
      <c r="I134">
        <f t="shared" si="88"/>
        <v>36.135232075229993</v>
      </c>
      <c r="J134">
        <f t="shared" si="88"/>
        <v>14.991777894083066</v>
      </c>
      <c r="K134">
        <f t="shared" si="88"/>
        <v>3.7688797748267797</v>
      </c>
      <c r="L134">
        <f t="shared" si="82"/>
        <v>105.67994317439317</v>
      </c>
      <c r="M134">
        <f t="shared" si="84"/>
        <v>0.81005682560682146</v>
      </c>
      <c r="N134">
        <f t="shared" si="85"/>
        <v>0.65619206071220038</v>
      </c>
    </row>
    <row r="135" spans="1:14" x14ac:dyDescent="0.45">
      <c r="A135" s="23">
        <v>42233</v>
      </c>
      <c r="B135">
        <v>105.2</v>
      </c>
      <c r="C135">
        <v>105.56</v>
      </c>
      <c r="G135">
        <f t="shared" ref="G135:K135" si="89">SUMPRODUCT($B135:$B139,P$2:P$6)</f>
        <v>78.503944752190776</v>
      </c>
      <c r="H135">
        <f t="shared" si="89"/>
        <v>54.766078552886967</v>
      </c>
      <c r="I135">
        <f t="shared" si="89"/>
        <v>35.85210223481517</v>
      </c>
      <c r="J135">
        <f t="shared" si="89"/>
        <v>14.873995206842009</v>
      </c>
      <c r="K135">
        <f t="shared" si="89"/>
        <v>3.7420203416416005</v>
      </c>
      <c r="L135">
        <f t="shared" si="82"/>
        <v>104.88604691541676</v>
      </c>
      <c r="M135">
        <f t="shared" si="84"/>
        <v>1.1539530845832502</v>
      </c>
      <c r="N135">
        <f t="shared" si="85"/>
        <v>1.3316077214191977</v>
      </c>
    </row>
    <row r="136" spans="1:14" x14ac:dyDescent="0.45">
      <c r="A136" s="23">
        <v>42230</v>
      </c>
      <c r="B136">
        <v>104.55</v>
      </c>
      <c r="C136">
        <v>105.62</v>
      </c>
      <c r="G136">
        <f t="shared" ref="G136:K136" si="90">SUMPRODUCT($B136:$B140,P$2:P$6)</f>
        <v>78.017465568596677</v>
      </c>
      <c r="H136">
        <f t="shared" si="90"/>
        <v>54.426703556650878</v>
      </c>
      <c r="I136">
        <f t="shared" si="90"/>
        <v>35.629928329809694</v>
      </c>
      <c r="J136">
        <f t="shared" si="90"/>
        <v>14.781821860736402</v>
      </c>
      <c r="K136">
        <f t="shared" si="90"/>
        <v>3.7303833762861793</v>
      </c>
      <c r="L136">
        <f t="shared" si="82"/>
        <v>104.26219084021319</v>
      </c>
      <c r="M136">
        <f t="shared" si="84"/>
        <v>0.93780915978680923</v>
      </c>
      <c r="N136">
        <f t="shared" si="85"/>
        <v>0.87948602018004107</v>
      </c>
    </row>
    <row r="137" spans="1:14" x14ac:dyDescent="0.45">
      <c r="A137" s="23">
        <v>42229</v>
      </c>
      <c r="B137">
        <v>105.02</v>
      </c>
      <c r="C137">
        <v>104.9</v>
      </c>
      <c r="G137">
        <f t="shared" ref="G137:K137" si="91">SUMPRODUCT($B137:$B141,P$2:P$6)</f>
        <v>78.366985676227117</v>
      </c>
      <c r="H137">
        <f t="shared" si="91"/>
        <v>54.670619371501473</v>
      </c>
      <c r="I137">
        <f t="shared" si="91"/>
        <v>35.789219451491334</v>
      </c>
      <c r="J137">
        <f t="shared" si="91"/>
        <v>14.847688752097206</v>
      </c>
      <c r="K137">
        <f t="shared" si="91"/>
        <v>3.730874477469273</v>
      </c>
      <c r="L137">
        <f t="shared" si="82"/>
        <v>104.7102965604773</v>
      </c>
      <c r="M137">
        <f t="shared" si="84"/>
        <v>-0.16029656047730612</v>
      </c>
      <c r="N137">
        <f t="shared" si="85"/>
        <v>2.5694987300854656E-2</v>
      </c>
    </row>
    <row r="138" spans="1:14" x14ac:dyDescent="0.45">
      <c r="A138" s="23">
        <v>42228</v>
      </c>
      <c r="B138">
        <v>104.01</v>
      </c>
      <c r="C138">
        <v>104.72</v>
      </c>
      <c r="G138">
        <f t="shared" ref="G138:K138" si="92">SUMPRODUCT($B138:$B142,P$2:P$6)</f>
        <v>77.632082081566026</v>
      </c>
      <c r="H138">
        <f t="shared" si="92"/>
        <v>54.158623805957603</v>
      </c>
      <c r="I138">
        <f t="shared" si="92"/>
        <v>35.450595278841902</v>
      </c>
      <c r="J138">
        <f t="shared" si="92"/>
        <v>14.705186287668431</v>
      </c>
      <c r="K138">
        <f t="shared" si="92"/>
        <v>3.7025961173641964</v>
      </c>
      <c r="L138">
        <f t="shared" si="82"/>
        <v>103.76677763102455</v>
      </c>
      <c r="M138">
        <f t="shared" si="84"/>
        <v>1.2532223689754431</v>
      </c>
      <c r="N138">
        <f t="shared" si="85"/>
        <v>1.5705663061004218</v>
      </c>
    </row>
    <row r="139" spans="1:14" x14ac:dyDescent="0.45">
      <c r="A139" s="23">
        <v>42227</v>
      </c>
      <c r="B139">
        <v>103.7</v>
      </c>
      <c r="C139">
        <v>104.62</v>
      </c>
      <c r="G139">
        <f t="shared" ref="G139:K139" si="93">SUMPRODUCT($B139:$B143,P$2:P$6)</f>
        <v>77.403436216259678</v>
      </c>
      <c r="H139">
        <f t="shared" si="93"/>
        <v>53.999009144883352</v>
      </c>
      <c r="I139">
        <f t="shared" si="93"/>
        <v>35.346590527664667</v>
      </c>
      <c r="J139">
        <f t="shared" si="93"/>
        <v>14.662309758990363</v>
      </c>
      <c r="K139">
        <f t="shared" si="93"/>
        <v>3.6894198588734088</v>
      </c>
      <c r="L139">
        <f t="shared" si="82"/>
        <v>103.47370796171261</v>
      </c>
      <c r="M139">
        <f t="shared" si="84"/>
        <v>0.53629203828739946</v>
      </c>
      <c r="N139">
        <f t="shared" si="85"/>
        <v>0.28760915033045353</v>
      </c>
    </row>
    <row r="140" spans="1:14" x14ac:dyDescent="0.45">
      <c r="A140" s="23">
        <v>42226</v>
      </c>
      <c r="B140">
        <v>103.09</v>
      </c>
      <c r="C140">
        <v>104.99</v>
      </c>
      <c r="G140">
        <f t="shared" ref="G140:K140" si="94">SUMPRODUCT($B140:$B144,P$2:P$6)</f>
        <v>76.962698411517692</v>
      </c>
      <c r="H140">
        <f t="shared" si="94"/>
        <v>53.691523598961723</v>
      </c>
      <c r="I140">
        <f t="shared" si="94"/>
        <v>35.145259406842086</v>
      </c>
      <c r="J140">
        <f t="shared" si="94"/>
        <v>14.578729351924805</v>
      </c>
      <c r="K140">
        <f t="shared" si="94"/>
        <v>3.6871527814197846</v>
      </c>
      <c r="L140">
        <f t="shared" si="82"/>
        <v>102.90847402008923</v>
      </c>
      <c r="M140">
        <f t="shared" si="84"/>
        <v>0.791525979910773</v>
      </c>
      <c r="N140">
        <f t="shared" si="85"/>
        <v>0.62651337687370945</v>
      </c>
    </row>
    <row r="141" spans="1:14" x14ac:dyDescent="0.45">
      <c r="A141" s="23">
        <v>42223</v>
      </c>
      <c r="B141">
        <v>104.05</v>
      </c>
      <c r="C141">
        <v>105.44</v>
      </c>
      <c r="G141">
        <f t="shared" ref="G141:K141" si="95">SUMPRODUCT($B141:$B145,P$2:P$6)</f>
        <v>77.664263921332335</v>
      </c>
      <c r="H141">
        <f t="shared" si="95"/>
        <v>54.18067686192785</v>
      </c>
      <c r="I141">
        <f t="shared" si="95"/>
        <v>35.466913291077987</v>
      </c>
      <c r="J141">
        <f t="shared" si="95"/>
        <v>14.713027979614255</v>
      </c>
      <c r="K141">
        <f t="shared" si="95"/>
        <v>3.7407022505072303</v>
      </c>
      <c r="L141">
        <f t="shared" si="82"/>
        <v>103.808618037511</v>
      </c>
      <c r="M141">
        <f t="shared" si="84"/>
        <v>-0.71861803751099274</v>
      </c>
      <c r="N141">
        <f t="shared" si="85"/>
        <v>0.51641188383615055</v>
      </c>
    </row>
    <row r="142" spans="1:14" x14ac:dyDescent="0.45">
      <c r="A142" s="23">
        <v>42222</v>
      </c>
      <c r="B142">
        <v>106.99</v>
      </c>
      <c r="C142">
        <v>104.17</v>
      </c>
      <c r="G142">
        <f t="shared" ref="G142:K142" si="96">SUMPRODUCT($B142:$B146,P$2:P$6)</f>
        <v>79.836519676088542</v>
      </c>
      <c r="H142">
        <f t="shared" si="96"/>
        <v>55.695848566328117</v>
      </c>
      <c r="I142">
        <f t="shared" si="96"/>
        <v>36.460142024430503</v>
      </c>
      <c r="J142">
        <f t="shared" si="96"/>
        <v>15.125902188752569</v>
      </c>
      <c r="K142">
        <f t="shared" si="96"/>
        <v>3.8013616031201942</v>
      </c>
      <c r="L142">
        <f t="shared" si="82"/>
        <v>106.59474399787452</v>
      </c>
      <c r="M142">
        <f t="shared" si="84"/>
        <v>-2.5447439978745194</v>
      </c>
      <c r="N142">
        <f t="shared" si="85"/>
        <v>6.475722014718392</v>
      </c>
    </row>
    <row r="143" spans="1:14" x14ac:dyDescent="0.45">
      <c r="A143" s="23">
        <v>42221</v>
      </c>
      <c r="B143">
        <v>106.04</v>
      </c>
      <c r="C143">
        <v>106.78</v>
      </c>
      <c r="G143">
        <f t="shared" ref="G143:K143" si="97">SUMPRODUCT($B143:$B147,P$2:P$6)</f>
        <v>79.127436302339618</v>
      </c>
      <c r="H143">
        <f t="shared" si="97"/>
        <v>55.201106050659874</v>
      </c>
      <c r="I143">
        <f t="shared" si="97"/>
        <v>36.136601027451697</v>
      </c>
      <c r="J143">
        <f t="shared" si="97"/>
        <v>14.991868043734373</v>
      </c>
      <c r="K143">
        <f t="shared" si="97"/>
        <v>3.7694000140487911</v>
      </c>
      <c r="L143">
        <f t="shared" si="82"/>
        <v>105.68552479701721</v>
      </c>
      <c r="M143">
        <f t="shared" si="84"/>
        <v>1.3044752029827862</v>
      </c>
      <c r="N143">
        <f t="shared" si="85"/>
        <v>1.7016555551969812</v>
      </c>
    </row>
    <row r="144" spans="1:14" x14ac:dyDescent="0.45">
      <c r="A144" s="23">
        <v>42220</v>
      </c>
      <c r="B144">
        <v>105.24</v>
      </c>
      <c r="C144">
        <v>105.59</v>
      </c>
      <c r="G144">
        <f t="shared" ref="G144:K144" si="98">SUMPRODUCT($B144:$B148,P$2:P$6)</f>
        <v>78.546137283099924</v>
      </c>
      <c r="H144">
        <f t="shared" si="98"/>
        <v>54.795802114334748</v>
      </c>
      <c r="I144">
        <f t="shared" si="98"/>
        <v>35.870075872349311</v>
      </c>
      <c r="J144">
        <f t="shared" si="98"/>
        <v>14.880574803669543</v>
      </c>
      <c r="K144">
        <f t="shared" si="98"/>
        <v>3.7452952097748526</v>
      </c>
      <c r="L144">
        <f t="shared" si="82"/>
        <v>104.93968063917823</v>
      </c>
      <c r="M144">
        <f t="shared" si="84"/>
        <v>1.1003193608217714</v>
      </c>
      <c r="N144">
        <f t="shared" si="85"/>
        <v>1.2107026957992315</v>
      </c>
    </row>
    <row r="145" spans="1:14" x14ac:dyDescent="0.45">
      <c r="A145" s="23">
        <v>42219</v>
      </c>
      <c r="B145">
        <v>104.67</v>
      </c>
      <c r="C145">
        <v>105.05</v>
      </c>
      <c r="G145">
        <f t="shared" ref="G145:K145" si="99">SUMPRODUCT($B145:$B149,P$2:P$6)</f>
        <v>78.118459552492197</v>
      </c>
      <c r="H145">
        <f t="shared" si="99"/>
        <v>54.497483106482115</v>
      </c>
      <c r="I145">
        <f t="shared" si="99"/>
        <v>35.674620050796705</v>
      </c>
      <c r="J145">
        <f t="shared" si="99"/>
        <v>14.799397059587649</v>
      </c>
      <c r="K145">
        <f t="shared" si="99"/>
        <v>3.7474596350419507</v>
      </c>
      <c r="L145">
        <f t="shared" si="82"/>
        <v>104.39118401534928</v>
      </c>
      <c r="M145">
        <f t="shared" si="84"/>
        <v>0.84881598465071306</v>
      </c>
      <c r="N145">
        <f t="shared" si="85"/>
        <v>0.72048857579855952</v>
      </c>
    </row>
    <row r="146" spans="1:14" x14ac:dyDescent="0.45">
      <c r="A146" s="23">
        <v>42216</v>
      </c>
      <c r="B146">
        <v>106.29</v>
      </c>
      <c r="C146">
        <v>105.77</v>
      </c>
      <c r="G146">
        <f t="shared" ref="G146:K146" si="100">SUMPRODUCT($B146:$B150,P$2:P$6)</f>
        <v>79.31994737971641</v>
      </c>
      <c r="H146">
        <f t="shared" si="100"/>
        <v>55.335571242813302</v>
      </c>
      <c r="I146">
        <f t="shared" si="100"/>
        <v>36.223788156974805</v>
      </c>
      <c r="J146">
        <f t="shared" si="100"/>
        <v>15.027545860591093</v>
      </c>
      <c r="K146">
        <f t="shared" si="100"/>
        <v>3.7728636975402359</v>
      </c>
      <c r="L146">
        <f t="shared" si="82"/>
        <v>105.932133324774</v>
      </c>
      <c r="M146">
        <f t="shared" si="84"/>
        <v>-1.2621333247739983</v>
      </c>
      <c r="N146">
        <f t="shared" si="85"/>
        <v>1.5929805295050672</v>
      </c>
    </row>
    <row r="147" spans="1:14" x14ac:dyDescent="0.45">
      <c r="A147" s="23">
        <v>42215</v>
      </c>
      <c r="B147">
        <v>104.94</v>
      </c>
      <c r="C147">
        <v>105.74</v>
      </c>
      <c r="G147">
        <f t="shared" ref="G147:K147" si="101">SUMPRODUCT($B147:$B151,P$2:P$6)</f>
        <v>78.328945364504222</v>
      </c>
      <c r="H147">
        <f t="shared" si="101"/>
        <v>54.644713703113148</v>
      </c>
      <c r="I147">
        <f t="shared" si="101"/>
        <v>35.769059245139829</v>
      </c>
      <c r="J147">
        <f t="shared" si="101"/>
        <v>14.837444397167715</v>
      </c>
      <c r="K147">
        <f t="shared" si="101"/>
        <v>3.7442770539727794</v>
      </c>
      <c r="L147">
        <f t="shared" si="82"/>
        <v>104.66050082539994</v>
      </c>
      <c r="M147">
        <f t="shared" si="84"/>
        <v>1.6294991746000704</v>
      </c>
      <c r="N147">
        <f t="shared" si="85"/>
        <v>2.655267560022311</v>
      </c>
    </row>
    <row r="148" spans="1:14" x14ac:dyDescent="0.45">
      <c r="A148" s="23">
        <v>42214</v>
      </c>
      <c r="B148">
        <v>105.36</v>
      </c>
      <c r="C148">
        <v>105.52</v>
      </c>
      <c r="G148">
        <f t="shared" ref="G148:K148" si="102">SUMPRODUCT($B148:$B152,P$2:P$6)</f>
        <v>78.640471586617963</v>
      </c>
      <c r="H148">
        <f t="shared" si="102"/>
        <v>54.861853437925724</v>
      </c>
      <c r="I148">
        <f t="shared" si="102"/>
        <v>35.91212106654968</v>
      </c>
      <c r="J148">
        <f t="shared" si="102"/>
        <v>14.897323630717146</v>
      </c>
      <c r="K148">
        <f t="shared" si="102"/>
        <v>3.7519734052352871</v>
      </c>
      <c r="L148">
        <f t="shared" si="82"/>
        <v>105.06028145996555</v>
      </c>
      <c r="M148">
        <f t="shared" si="84"/>
        <v>-0.12028145996555395</v>
      </c>
      <c r="N148">
        <f t="shared" si="85"/>
        <v>1.4467629611445158E-2</v>
      </c>
    </row>
    <row r="149" spans="1:14" x14ac:dyDescent="0.45">
      <c r="A149" s="23">
        <v>42213</v>
      </c>
      <c r="B149">
        <v>105.04</v>
      </c>
      <c r="C149">
        <v>105.64</v>
      </c>
      <c r="G149">
        <f t="shared" ref="G149:K149" si="103">SUMPRODUCT($B149:$B153,P$2:P$6)</f>
        <v>78.407520341261147</v>
      </c>
      <c r="H149">
        <f t="shared" si="103"/>
        <v>54.699281261049244</v>
      </c>
      <c r="I149">
        <f t="shared" si="103"/>
        <v>35.80593399770283</v>
      </c>
      <c r="J149">
        <f t="shared" si="103"/>
        <v>14.853393809918895</v>
      </c>
      <c r="K149">
        <f t="shared" si="103"/>
        <v>3.7567760580066372</v>
      </c>
      <c r="L149">
        <f t="shared" si="82"/>
        <v>104.76161024316586</v>
      </c>
      <c r="M149">
        <f t="shared" si="84"/>
        <v>0.59838975683413764</v>
      </c>
      <c r="N149">
        <f t="shared" si="85"/>
        <v>0.35807030108401838</v>
      </c>
    </row>
    <row r="150" spans="1:14" x14ac:dyDescent="0.45">
      <c r="A150" s="23">
        <v>42212</v>
      </c>
      <c r="B150">
        <v>106.12</v>
      </c>
      <c r="C150">
        <v>105</v>
      </c>
      <c r="G150">
        <f t="shared" ref="G150:K150" si="104">SUMPRODUCT($B150:$B154,P$2:P$6)</f>
        <v>79.201806448583881</v>
      </c>
      <c r="H150">
        <f t="shared" si="104"/>
        <v>55.253220794312206</v>
      </c>
      <c r="I150">
        <f t="shared" si="104"/>
        <v>36.169484071382442</v>
      </c>
      <c r="J150">
        <f t="shared" si="104"/>
        <v>15.004771813377404</v>
      </c>
      <c r="K150">
        <f t="shared" si="104"/>
        <v>3.7975202920796951</v>
      </c>
      <c r="L150">
        <f t="shared" si="82"/>
        <v>105.78049573314179</v>
      </c>
      <c r="M150">
        <f t="shared" si="84"/>
        <v>-0.74049573314178474</v>
      </c>
      <c r="N150">
        <f t="shared" si="85"/>
        <v>0.54833393080118931</v>
      </c>
    </row>
    <row r="151" spans="1:14" x14ac:dyDescent="0.45">
      <c r="A151" s="23">
        <v>42209</v>
      </c>
      <c r="B151">
        <v>107.55</v>
      </c>
      <c r="C151">
        <v>106.69</v>
      </c>
      <c r="G151">
        <f t="shared" ref="G151:K151" si="105">SUMPRODUCT($B151:$B155,P$2:P$6)</f>
        <v>80.25587484105246</v>
      </c>
      <c r="H151">
        <f t="shared" si="105"/>
        <v>55.988397892446606</v>
      </c>
      <c r="I151">
        <f t="shared" si="105"/>
        <v>36.651654359721974</v>
      </c>
      <c r="J151">
        <f t="shared" si="105"/>
        <v>15.20535051832948</v>
      </c>
      <c r="K151">
        <f t="shared" si="105"/>
        <v>3.8244623374235971</v>
      </c>
      <c r="L151">
        <f t="shared" si="82"/>
        <v>107.13251841960665</v>
      </c>
      <c r="M151">
        <f t="shared" si="84"/>
        <v>-1.0125184196066499</v>
      </c>
      <c r="N151">
        <f t="shared" si="85"/>
        <v>1.025193550042748</v>
      </c>
    </row>
    <row r="152" spans="1:14" x14ac:dyDescent="0.45">
      <c r="A152" s="23">
        <v>42208</v>
      </c>
      <c r="B152">
        <v>106.87</v>
      </c>
      <c r="C152">
        <v>107.25</v>
      </c>
      <c r="G152">
        <f t="shared" ref="G152:K152" si="106">SUMPRODUCT($B152:$B156,P$2:P$6)</f>
        <v>79.758870824403246</v>
      </c>
      <c r="H152">
        <f t="shared" si="106"/>
        <v>55.641960460689667</v>
      </c>
      <c r="I152">
        <f t="shared" si="106"/>
        <v>36.423420478945324</v>
      </c>
      <c r="J152">
        <f t="shared" si="106"/>
        <v>15.109814459147884</v>
      </c>
      <c r="K152">
        <f t="shared" si="106"/>
        <v>3.8005742641744318</v>
      </c>
      <c r="L152">
        <f t="shared" si="82"/>
        <v>106.49470720980395</v>
      </c>
      <c r="M152">
        <f t="shared" si="84"/>
        <v>1.0552927901960487</v>
      </c>
      <c r="N152">
        <f t="shared" si="85"/>
        <v>1.1136428730397616</v>
      </c>
    </row>
    <row r="153" spans="1:14" x14ac:dyDescent="0.45">
      <c r="A153" s="23">
        <v>42207</v>
      </c>
      <c r="B153">
        <v>106.16</v>
      </c>
      <c r="C153">
        <v>106.72</v>
      </c>
      <c r="G153">
        <f t="shared" ref="G153:K153" si="107">SUMPRODUCT($B153:$B157,P$2:P$6)</f>
        <v>79.235174406643608</v>
      </c>
      <c r="H153">
        <f t="shared" si="107"/>
        <v>55.276655861545784</v>
      </c>
      <c r="I153">
        <f t="shared" si="107"/>
        <v>36.184046722441494</v>
      </c>
      <c r="J153">
        <f t="shared" si="107"/>
        <v>15.010359764040565</v>
      </c>
      <c r="K153">
        <f t="shared" si="107"/>
        <v>3.7851510571434162</v>
      </c>
      <c r="L153">
        <f t="shared" si="82"/>
        <v>105.82304288353593</v>
      </c>
      <c r="M153">
        <f t="shared" si="84"/>
        <v>1.0469571164640712</v>
      </c>
      <c r="N153">
        <f t="shared" si="85"/>
        <v>1.0961192037147627</v>
      </c>
    </row>
    <row r="154" spans="1:14" x14ac:dyDescent="0.45">
      <c r="A154" s="23">
        <v>42206</v>
      </c>
      <c r="B154">
        <v>106.29</v>
      </c>
      <c r="C154">
        <v>106.15</v>
      </c>
      <c r="G154">
        <f t="shared" ref="G154:K154" si="108">SUMPRODUCT($B154:$B158,P$2:P$6)</f>
        <v>79.329965938156619</v>
      </c>
      <c r="H154">
        <f t="shared" si="108"/>
        <v>55.342559998725697</v>
      </c>
      <c r="I154">
        <f t="shared" si="108"/>
        <v>36.228281731945145</v>
      </c>
      <c r="J154">
        <f t="shared" si="108"/>
        <v>15.029341341146282</v>
      </c>
      <c r="K154">
        <f t="shared" si="108"/>
        <v>3.7946594488499352</v>
      </c>
      <c r="L154">
        <f t="shared" si="82"/>
        <v>105.94493971777956</v>
      </c>
      <c r="M154">
        <f t="shared" si="84"/>
        <v>0.21506028222043483</v>
      </c>
      <c r="N154">
        <f t="shared" si="85"/>
        <v>4.6250924988733073E-2</v>
      </c>
    </row>
    <row r="155" spans="1:14" x14ac:dyDescent="0.45">
      <c r="A155" s="23">
        <v>42205</v>
      </c>
      <c r="B155">
        <v>106.82</v>
      </c>
      <c r="C155">
        <v>106.63</v>
      </c>
      <c r="G155">
        <f t="shared" ref="G155:K155" si="109">SUMPRODUCT($B155:$B159,P$2:P$6)</f>
        <v>79.716373815215121</v>
      </c>
      <c r="H155">
        <f t="shared" si="109"/>
        <v>55.611937630668052</v>
      </c>
      <c r="I155">
        <f t="shared" si="109"/>
        <v>36.405606356146542</v>
      </c>
      <c r="J155">
        <f t="shared" si="109"/>
        <v>15.103488740144106</v>
      </c>
      <c r="K155">
        <f t="shared" si="109"/>
        <v>3.8169111120742505</v>
      </c>
      <c r="L155">
        <f t="shared" si="82"/>
        <v>106.4407798427094</v>
      </c>
      <c r="M155">
        <f t="shared" si="84"/>
        <v>-0.15077984270939737</v>
      </c>
      <c r="N155">
        <f t="shared" si="85"/>
        <v>2.2734560967470611E-2</v>
      </c>
    </row>
    <row r="156" spans="1:14" x14ac:dyDescent="0.45">
      <c r="A156" s="23">
        <v>42202</v>
      </c>
      <c r="B156">
        <v>107.75</v>
      </c>
      <c r="C156">
        <v>106.77</v>
      </c>
      <c r="G156">
        <f t="shared" ref="G156:K156" si="110">SUMPRODUCT($B156:$B160,P$2:P$6)</f>
        <v>80.396638646846142</v>
      </c>
      <c r="H156">
        <f t="shared" si="110"/>
        <v>56.086308603712901</v>
      </c>
      <c r="I156">
        <f t="shared" si="110"/>
        <v>36.717203571850369</v>
      </c>
      <c r="J156">
        <f t="shared" si="110"/>
        <v>15.233395446238484</v>
      </c>
      <c r="K156">
        <f t="shared" si="110"/>
        <v>3.8330252351280363</v>
      </c>
      <c r="L156">
        <f t="shared" si="82"/>
        <v>107.31349034663454</v>
      </c>
      <c r="M156">
        <f t="shared" si="84"/>
        <v>-0.49349034663454461</v>
      </c>
      <c r="N156">
        <f t="shared" si="85"/>
        <v>0.24353272222148301</v>
      </c>
    </row>
    <row r="157" spans="1:14" x14ac:dyDescent="0.45">
      <c r="A157" s="23">
        <v>42201</v>
      </c>
      <c r="B157">
        <v>107.23</v>
      </c>
      <c r="C157">
        <v>108.1</v>
      </c>
      <c r="G157">
        <f t="shared" ref="G157:K157" si="111">SUMPRODUCT($B157:$B161,P$2:P$6)</f>
        <v>80.008907584495063</v>
      </c>
      <c r="H157">
        <f t="shared" si="111"/>
        <v>55.815833256732944</v>
      </c>
      <c r="I157">
        <f t="shared" si="111"/>
        <v>36.540068139997061</v>
      </c>
      <c r="J157">
        <f t="shared" si="111"/>
        <v>15.159865616046194</v>
      </c>
      <c r="K157">
        <f t="shared" si="111"/>
        <v>3.8075196075842248</v>
      </c>
      <c r="L157">
        <f t="shared" si="82"/>
        <v>106.81624501641514</v>
      </c>
      <c r="M157">
        <f t="shared" si="84"/>
        <v>0.93375498358486198</v>
      </c>
      <c r="N157">
        <f t="shared" si="85"/>
        <v>0.87189836936956588</v>
      </c>
    </row>
    <row r="158" spans="1:14" x14ac:dyDescent="0.45">
      <c r="A158" s="23">
        <v>42200</v>
      </c>
      <c r="B158">
        <v>106.05</v>
      </c>
      <c r="C158">
        <v>106.33</v>
      </c>
      <c r="G158">
        <f t="shared" ref="G158:K158" si="112">SUMPRODUCT($B158:$B162,P$2:P$6)</f>
        <v>79.135797017043473</v>
      </c>
      <c r="H158">
        <f t="shared" si="112"/>
        <v>55.206858270125345</v>
      </c>
      <c r="I158">
        <f t="shared" si="112"/>
        <v>36.140743403274286</v>
      </c>
      <c r="J158">
        <f t="shared" si="112"/>
        <v>14.993800294954795</v>
      </c>
      <c r="K158">
        <f t="shared" si="112"/>
        <v>3.7731699513409445</v>
      </c>
      <c r="L158">
        <f t="shared" si="82"/>
        <v>105.69636009001738</v>
      </c>
      <c r="M158">
        <f t="shared" si="84"/>
        <v>1.5336399099826252</v>
      </c>
      <c r="N158">
        <f t="shared" si="85"/>
        <v>2.3520513734915149</v>
      </c>
    </row>
    <row r="159" spans="1:14" x14ac:dyDescent="0.45">
      <c r="A159" s="23">
        <v>42199</v>
      </c>
      <c r="B159">
        <v>105.52</v>
      </c>
      <c r="C159">
        <v>105.83</v>
      </c>
      <c r="G159">
        <f t="shared" ref="G159:K159" si="113">SUMPRODUCT($B159:$B163,P$2:P$6)</f>
        <v>78.731837382224398</v>
      </c>
      <c r="H159">
        <f t="shared" si="113"/>
        <v>54.924690014782961</v>
      </c>
      <c r="I159">
        <f t="shared" si="113"/>
        <v>35.957801789278314</v>
      </c>
      <c r="J159">
        <f t="shared" si="113"/>
        <v>14.918939211217458</v>
      </c>
      <c r="K159">
        <f t="shared" si="113"/>
        <v>3.7583747778410035</v>
      </c>
      <c r="L159">
        <f t="shared" si="82"/>
        <v>105.1788822572536</v>
      </c>
      <c r="M159">
        <f t="shared" si="84"/>
        <v>0.87111774274639231</v>
      </c>
      <c r="N159">
        <f t="shared" si="85"/>
        <v>0.75884612172756971</v>
      </c>
    </row>
    <row r="160" spans="1:14" x14ac:dyDescent="0.45">
      <c r="A160" s="23">
        <v>42198</v>
      </c>
      <c r="B160">
        <v>105.37</v>
      </c>
      <c r="C160">
        <v>105.43</v>
      </c>
      <c r="G160">
        <f t="shared" ref="G160:K160" si="114">SUMPRODUCT($B160:$B164,P$2:P$6)</f>
        <v>78.615602984539564</v>
      </c>
      <c r="H160">
        <f t="shared" si="114"/>
        <v>54.843483365852656</v>
      </c>
      <c r="I160">
        <f t="shared" si="114"/>
        <v>35.905245040603816</v>
      </c>
      <c r="J160">
        <f t="shared" si="114"/>
        <v>14.897490451266149</v>
      </c>
      <c r="K160">
        <f t="shared" si="114"/>
        <v>3.7498124097733796</v>
      </c>
      <c r="L160">
        <f t="shared" si="82"/>
        <v>105.03001587766627</v>
      </c>
      <c r="M160">
        <f t="shared" si="84"/>
        <v>0.48998412233372335</v>
      </c>
      <c r="N160">
        <f t="shared" si="85"/>
        <v>0.24008444013914917</v>
      </c>
    </row>
    <row r="161" spans="1:14" x14ac:dyDescent="0.45">
      <c r="A161" s="23">
        <v>42195</v>
      </c>
      <c r="B161">
        <v>104.94</v>
      </c>
      <c r="C161">
        <v>104.36</v>
      </c>
      <c r="G161">
        <f t="shared" ref="G161:K161" si="115">SUMPRODUCT($B161:$B165,P$2:P$6)</f>
        <v>78.283887763506641</v>
      </c>
      <c r="H161">
        <f t="shared" si="115"/>
        <v>54.61199700156677</v>
      </c>
      <c r="I161">
        <f t="shared" si="115"/>
        <v>35.754151142234434</v>
      </c>
      <c r="J161">
        <f t="shared" si="115"/>
        <v>14.835085481291861</v>
      </c>
      <c r="K161">
        <f t="shared" si="115"/>
        <v>3.7323177062680339</v>
      </c>
      <c r="L161">
        <f t="shared" si="82"/>
        <v>104.6047811773699</v>
      </c>
      <c r="M161">
        <f t="shared" si="84"/>
        <v>0.76521882263010355</v>
      </c>
      <c r="N161">
        <f t="shared" si="85"/>
        <v>0.58555984650740189</v>
      </c>
    </row>
    <row r="162" spans="1:14" x14ac:dyDescent="0.45">
      <c r="A162" s="23">
        <v>42194</v>
      </c>
      <c r="B162">
        <v>104.47</v>
      </c>
      <c r="C162">
        <v>103.58</v>
      </c>
      <c r="G162">
        <f t="shared" ref="G162:K162" si="116">SUMPRODUCT($B162:$B166,P$2:P$6)</f>
        <v>77.941200715360523</v>
      </c>
      <c r="H162">
        <f t="shared" si="116"/>
        <v>54.373314065267849</v>
      </c>
      <c r="I162">
        <f t="shared" si="116"/>
        <v>35.596001766032245</v>
      </c>
      <c r="J162">
        <f t="shared" si="116"/>
        <v>14.768369680714589</v>
      </c>
      <c r="K162">
        <f t="shared" si="116"/>
        <v>3.693117280659461</v>
      </c>
      <c r="L162">
        <f t="shared" si="82"/>
        <v>104.16472941914246</v>
      </c>
      <c r="M162">
        <f t="shared" si="84"/>
        <v>0.77527058085753708</v>
      </c>
      <c r="N162">
        <f t="shared" si="85"/>
        <v>0.60104447354318291</v>
      </c>
    </row>
    <row r="163" spans="1:14" x14ac:dyDescent="0.45">
      <c r="A163" s="23">
        <v>42193</v>
      </c>
      <c r="B163">
        <v>101.9</v>
      </c>
      <c r="C163">
        <v>103.43</v>
      </c>
      <c r="G163">
        <f t="shared" ref="G163:K163" si="117">SUMPRODUCT($B163:$B167,P$2:P$6)</f>
        <v>76.040343461912229</v>
      </c>
      <c r="H163">
        <f t="shared" si="117"/>
        <v>53.047617364426763</v>
      </c>
      <c r="I163">
        <f t="shared" si="117"/>
        <v>34.726174383360728</v>
      </c>
      <c r="J163">
        <f t="shared" si="117"/>
        <v>14.406336984111793</v>
      </c>
      <c r="K163">
        <f t="shared" si="117"/>
        <v>3.62145502683068</v>
      </c>
      <c r="L163">
        <f t="shared" si="82"/>
        <v>101.72645588715532</v>
      </c>
      <c r="M163">
        <f t="shared" si="84"/>
        <v>2.743544112844674</v>
      </c>
      <c r="N163">
        <f t="shared" si="85"/>
        <v>7.5270342991246695</v>
      </c>
    </row>
    <row r="164" spans="1:14" x14ac:dyDescent="0.45">
      <c r="A164" s="23">
        <v>42192</v>
      </c>
      <c r="B164">
        <v>101.08</v>
      </c>
      <c r="C164">
        <v>103.58</v>
      </c>
      <c r="G164">
        <f t="shared" ref="G164:K164" si="118">SUMPRODUCT($B164:$B168,P$2:P$6)</f>
        <v>75.442467079884068</v>
      </c>
      <c r="H164">
        <f t="shared" si="118"/>
        <v>52.630658516013199</v>
      </c>
      <c r="I164">
        <f t="shared" si="118"/>
        <v>34.452464192094588</v>
      </c>
      <c r="J164">
        <f t="shared" si="118"/>
        <v>14.292321137189331</v>
      </c>
      <c r="K164">
        <f t="shared" si="118"/>
        <v>3.5946409186095147</v>
      </c>
      <c r="L164">
        <f t="shared" si="82"/>
        <v>100.95949159002477</v>
      </c>
      <c r="M164">
        <f t="shared" si="84"/>
        <v>0.94050840997523721</v>
      </c>
      <c r="N164">
        <f t="shared" si="85"/>
        <v>0.88455606923414887</v>
      </c>
    </row>
    <row r="165" spans="1:14" x14ac:dyDescent="0.45">
      <c r="A165" s="23">
        <v>42191</v>
      </c>
      <c r="B165">
        <v>100.29</v>
      </c>
      <c r="C165">
        <v>101.92</v>
      </c>
      <c r="G165">
        <f t="shared" ref="G165:K165" si="119">SUMPRODUCT($B165:$B169,P$2:P$6)</f>
        <v>74.860991447220769</v>
      </c>
      <c r="H165">
        <f t="shared" si="119"/>
        <v>52.225265073348169</v>
      </c>
      <c r="I165">
        <f t="shared" si="119"/>
        <v>34.185783051710231</v>
      </c>
      <c r="J165">
        <f t="shared" si="119"/>
        <v>14.180924268719588</v>
      </c>
      <c r="K165">
        <f t="shared" si="119"/>
        <v>3.5935179365452132</v>
      </c>
      <c r="L165">
        <f t="shared" si="82"/>
        <v>100.21340371970041</v>
      </c>
      <c r="M165">
        <f t="shared" si="84"/>
        <v>0.86659628029958924</v>
      </c>
      <c r="N165">
        <f t="shared" si="85"/>
        <v>0.75098911302908422</v>
      </c>
    </row>
    <row r="166" spans="1:14" x14ac:dyDescent="0.45">
      <c r="A166" s="23">
        <v>42187</v>
      </c>
      <c r="B166">
        <v>102.03</v>
      </c>
      <c r="C166">
        <v>101.41</v>
      </c>
      <c r="G166">
        <f t="shared" ref="G166:K166" si="120">SUMPRODUCT($B166:$B170,P$2:P$6)</f>
        <v>76.150052979877657</v>
      </c>
      <c r="H166">
        <f t="shared" si="120"/>
        <v>53.124478521146649</v>
      </c>
      <c r="I166">
        <f t="shared" si="120"/>
        <v>34.774829954563785</v>
      </c>
      <c r="J166">
        <f t="shared" si="120"/>
        <v>14.425543935345772</v>
      </c>
      <c r="K166">
        <f t="shared" si="120"/>
        <v>3.6315251835986988</v>
      </c>
      <c r="L166">
        <f t="shared" si="82"/>
        <v>101.86661841723662</v>
      </c>
      <c r="M166">
        <f t="shared" si="84"/>
        <v>-1.5766184172366167</v>
      </c>
      <c r="N166">
        <f t="shared" si="85"/>
        <v>2.4857256335696944</v>
      </c>
    </row>
    <row r="167" spans="1:14" x14ac:dyDescent="0.45">
      <c r="A167" s="23">
        <v>42186</v>
      </c>
      <c r="B167">
        <v>101.64</v>
      </c>
      <c r="C167">
        <v>101.62</v>
      </c>
      <c r="G167">
        <f t="shared" ref="G167:K167" si="121">SUMPRODUCT($B167:$B171,P$2:P$6)</f>
        <v>75.864266240130959</v>
      </c>
      <c r="H167">
        <f t="shared" si="121"/>
        <v>52.925137919162701</v>
      </c>
      <c r="I167">
        <f t="shared" si="121"/>
        <v>34.64414394435174</v>
      </c>
      <c r="J167">
        <f t="shared" si="121"/>
        <v>14.371206031445578</v>
      </c>
      <c r="K167">
        <f t="shared" si="121"/>
        <v>3.6213507498581201</v>
      </c>
      <c r="L167">
        <f t="shared" si="82"/>
        <v>101.50006142343007</v>
      </c>
      <c r="M167">
        <f t="shared" si="84"/>
        <v>0.52993857656993271</v>
      </c>
      <c r="N167">
        <f t="shared" si="85"/>
        <v>0.28083489493696645</v>
      </c>
    </row>
    <row r="168" spans="1:14" x14ac:dyDescent="0.45">
      <c r="A168" s="23">
        <v>42185</v>
      </c>
      <c r="B168">
        <v>101.52</v>
      </c>
      <c r="C168">
        <v>100.77</v>
      </c>
      <c r="G168">
        <f t="shared" ref="G168:K168" si="122">SUMPRODUCT($B168:$B172,P$2:P$6)</f>
        <v>75.786046622626472</v>
      </c>
      <c r="H168">
        <f t="shared" si="122"/>
        <v>52.870769529927124</v>
      </c>
      <c r="I168">
        <f t="shared" si="122"/>
        <v>34.607505123043794</v>
      </c>
      <c r="J168">
        <f t="shared" si="122"/>
        <v>14.355381238323867</v>
      </c>
      <c r="K168">
        <f t="shared" si="122"/>
        <v>3.6267600509355815</v>
      </c>
      <c r="L168">
        <f t="shared" si="82"/>
        <v>101.39941490986109</v>
      </c>
      <c r="M168">
        <f t="shared" si="84"/>
        <v>0.24058509013890728</v>
      </c>
      <c r="N168">
        <f t="shared" si="85"/>
        <v>5.788118559714614E-2</v>
      </c>
    </row>
    <row r="169" spans="1:14" x14ac:dyDescent="0.45">
      <c r="A169" s="23">
        <v>42184</v>
      </c>
      <c r="B169">
        <v>102.2</v>
      </c>
      <c r="C169">
        <v>101.02</v>
      </c>
      <c r="G169">
        <f t="shared" ref="G169:K169" si="123">SUMPRODUCT($B169:$B173,P$2:P$6)</f>
        <v>76.29229338170407</v>
      </c>
      <c r="H169">
        <f t="shared" si="123"/>
        <v>53.2240455885701</v>
      </c>
      <c r="I169">
        <f t="shared" si="123"/>
        <v>34.838271707872487</v>
      </c>
      <c r="J169">
        <f t="shared" si="123"/>
        <v>14.450834660325102</v>
      </c>
      <c r="K169">
        <f t="shared" si="123"/>
        <v>3.6578410283545462</v>
      </c>
      <c r="L169">
        <f t="shared" si="82"/>
        <v>102.04847005491612</v>
      </c>
      <c r="M169">
        <f t="shared" si="84"/>
        <v>-0.5284700549161272</v>
      </c>
      <c r="N169">
        <f t="shared" si="85"/>
        <v>0.27928059894305451</v>
      </c>
    </row>
    <row r="170" spans="1:14" x14ac:dyDescent="0.45">
      <c r="A170" s="23">
        <v>42181</v>
      </c>
      <c r="B170">
        <v>103.6</v>
      </c>
      <c r="C170">
        <v>103.24</v>
      </c>
      <c r="G170">
        <f t="shared" ref="G170:K170" si="124">SUMPRODUCT($B170:$B174,P$2:P$6)</f>
        <v>77.326542285922528</v>
      </c>
      <c r="H170">
        <f t="shared" si="124"/>
        <v>53.945208988614532</v>
      </c>
      <c r="I170">
        <f t="shared" si="124"/>
        <v>35.312141226003014</v>
      </c>
      <c r="J170">
        <f t="shared" si="124"/>
        <v>14.648463838103003</v>
      </c>
      <c r="K170">
        <f t="shared" si="124"/>
        <v>3.6900800632013708</v>
      </c>
      <c r="L170">
        <f t="shared" si="82"/>
        <v>103.37533885107541</v>
      </c>
      <c r="M170">
        <f t="shared" si="84"/>
        <v>-1.1753388510754093</v>
      </c>
      <c r="N170">
        <f t="shared" si="85"/>
        <v>1.381421414847263</v>
      </c>
    </row>
    <row r="171" spans="1:14" x14ac:dyDescent="0.45">
      <c r="A171" s="23">
        <v>42180</v>
      </c>
      <c r="B171">
        <v>103.36</v>
      </c>
      <c r="C171">
        <v>103.6</v>
      </c>
      <c r="G171">
        <f t="shared" ref="G171:K171" si="125">SUMPRODUCT($B171:$B175,P$2:P$6)</f>
        <v>77.151043351226477</v>
      </c>
      <c r="H171">
        <f t="shared" si="125"/>
        <v>53.822660128470595</v>
      </c>
      <c r="I171">
        <f t="shared" si="125"/>
        <v>35.232444642963038</v>
      </c>
      <c r="J171">
        <f t="shared" si="125"/>
        <v>14.615694893689193</v>
      </c>
      <c r="K171">
        <f t="shared" si="125"/>
        <v>3.6956704166721952</v>
      </c>
      <c r="L171">
        <f t="shared" si="82"/>
        <v>103.15043611716598</v>
      </c>
      <c r="M171">
        <f t="shared" si="84"/>
        <v>0.44956388283401338</v>
      </c>
      <c r="N171">
        <f t="shared" si="85"/>
        <v>0.20210768474879451</v>
      </c>
    </row>
    <row r="172" spans="1:14" x14ac:dyDescent="0.45">
      <c r="A172" s="23">
        <v>42179</v>
      </c>
      <c r="B172">
        <v>104.34</v>
      </c>
      <c r="C172">
        <v>103.05</v>
      </c>
      <c r="G172">
        <f t="shared" ref="G172:K172" si="126">SUMPRODUCT($B172:$B176,P$2:P$6)</f>
        <v>77.869828247538322</v>
      </c>
      <c r="H172">
        <f t="shared" si="126"/>
        <v>54.323866021081464</v>
      </c>
      <c r="I172">
        <f t="shared" si="126"/>
        <v>35.561778347583946</v>
      </c>
      <c r="J172">
        <f t="shared" si="126"/>
        <v>14.753054189428674</v>
      </c>
      <c r="K172">
        <f t="shared" si="126"/>
        <v>3.7327705726885596</v>
      </c>
      <c r="L172">
        <f t="shared" si="82"/>
        <v>104.0725941393772</v>
      </c>
      <c r="M172">
        <f t="shared" si="84"/>
        <v>-0.7125941393772024</v>
      </c>
      <c r="N172">
        <f t="shared" si="85"/>
        <v>0.50779040747473581</v>
      </c>
    </row>
    <row r="173" spans="1:14" x14ac:dyDescent="0.45">
      <c r="A173" s="23">
        <v>42178</v>
      </c>
      <c r="B173">
        <v>105.65</v>
      </c>
      <c r="C173">
        <v>104.76</v>
      </c>
      <c r="G173">
        <f t="shared" ref="G173:K173" si="127">SUMPRODUCT($B173:$B177,P$2:P$6)</f>
        <v>78.832607104740177</v>
      </c>
      <c r="H173">
        <f t="shared" si="127"/>
        <v>54.995307734632597</v>
      </c>
      <c r="I173">
        <f t="shared" si="127"/>
        <v>36.002477355979735</v>
      </c>
      <c r="J173">
        <f t="shared" si="127"/>
        <v>14.936576056024517</v>
      </c>
      <c r="K173">
        <f t="shared" si="127"/>
        <v>3.7572379675587282</v>
      </c>
      <c r="L173">
        <f t="shared" si="82"/>
        <v>105.30762785790253</v>
      </c>
      <c r="M173">
        <f t="shared" si="84"/>
        <v>-0.96762785790252792</v>
      </c>
      <c r="N173">
        <f t="shared" si="85"/>
        <v>0.93630367138903481</v>
      </c>
    </row>
    <row r="174" spans="1:14" x14ac:dyDescent="0.45">
      <c r="A174" s="23">
        <v>42177</v>
      </c>
      <c r="B174">
        <v>105.03</v>
      </c>
      <c r="C174">
        <v>105.5</v>
      </c>
      <c r="G174">
        <f t="shared" ref="G174:K174" si="128">SUMPRODUCT($B174:$B178,P$2:P$6)</f>
        <v>78.370673611777363</v>
      </c>
      <c r="H174">
        <f t="shared" si="128"/>
        <v>54.673033441892485</v>
      </c>
      <c r="I174">
        <f t="shared" si="128"/>
        <v>35.791589761012347</v>
      </c>
      <c r="J174">
        <f t="shared" si="128"/>
        <v>14.849132692706386</v>
      </c>
      <c r="K174">
        <f t="shared" si="128"/>
        <v>3.7318968173558646</v>
      </c>
      <c r="L174">
        <f t="shared" si="82"/>
        <v>104.71527337465855</v>
      </c>
      <c r="M174">
        <f t="shared" si="84"/>
        <v>0.93472662534145456</v>
      </c>
      <c r="N174">
        <f t="shared" si="85"/>
        <v>0.87371386412222396</v>
      </c>
    </row>
    <row r="175" spans="1:14" x14ac:dyDescent="0.45">
      <c r="A175" s="23">
        <v>42174</v>
      </c>
      <c r="B175">
        <v>104.08</v>
      </c>
      <c r="C175">
        <v>104.32</v>
      </c>
      <c r="G175">
        <f t="shared" ref="G175:K175" si="129">SUMPRODUCT($B175:$B179,P$2:P$6)</f>
        <v>77.674461462434508</v>
      </c>
      <c r="H175">
        <f t="shared" si="129"/>
        <v>54.187670105929072</v>
      </c>
      <c r="I175">
        <f t="shared" si="129"/>
        <v>35.472170194104372</v>
      </c>
      <c r="J175">
        <f t="shared" si="129"/>
        <v>14.715624420654143</v>
      </c>
      <c r="K175">
        <f t="shared" si="129"/>
        <v>3.7054679162481321</v>
      </c>
      <c r="L175">
        <f t="shared" si="82"/>
        <v>103.82192256926658</v>
      </c>
      <c r="M175">
        <f t="shared" si="84"/>
        <v>1.2080774307334252</v>
      </c>
      <c r="N175">
        <f t="shared" si="85"/>
        <v>1.4594510786474737</v>
      </c>
    </row>
    <row r="176" spans="1:14" x14ac:dyDescent="0.45">
      <c r="A176" s="23">
        <v>42173</v>
      </c>
      <c r="B176">
        <v>103.75</v>
      </c>
      <c r="C176">
        <v>104.39</v>
      </c>
      <c r="G176">
        <f t="shared" ref="G176:K176" si="130">SUMPRODUCT($B176:$B180,P$2:P$6)</f>
        <v>77.432613824313606</v>
      </c>
      <c r="H176">
        <f t="shared" si="130"/>
        <v>54.019197084148729</v>
      </c>
      <c r="I176">
        <f t="shared" si="130"/>
        <v>35.360672281347476</v>
      </c>
      <c r="J176">
        <f t="shared" si="130"/>
        <v>14.668665527877907</v>
      </c>
      <c r="K176">
        <f t="shared" si="130"/>
        <v>3.6982360157336052</v>
      </c>
      <c r="L176">
        <f t="shared" si="82"/>
        <v>103.5114028557807</v>
      </c>
      <c r="M176">
        <f t="shared" si="84"/>
        <v>0.56859714421929652</v>
      </c>
      <c r="N176">
        <f t="shared" si="85"/>
        <v>0.3233027124143395</v>
      </c>
    </row>
    <row r="177" spans="1:14" x14ac:dyDescent="0.45">
      <c r="A177" s="23">
        <v>42172</v>
      </c>
      <c r="B177">
        <v>103.88</v>
      </c>
      <c r="C177">
        <v>103.84</v>
      </c>
      <c r="G177">
        <f t="shared" ref="G177:K177" si="131">SUMPRODUCT($B177:$B181,P$2:P$6)</f>
        <v>77.544498509067139</v>
      </c>
      <c r="H177">
        <f t="shared" si="131"/>
        <v>54.097715624215006</v>
      </c>
      <c r="I177">
        <f t="shared" si="131"/>
        <v>35.40972594102336</v>
      </c>
      <c r="J177">
        <f t="shared" si="131"/>
        <v>14.687639592512676</v>
      </c>
      <c r="K177">
        <f t="shared" si="131"/>
        <v>3.694437242811587</v>
      </c>
      <c r="L177">
        <f t="shared" si="82"/>
        <v>103.65414145933394</v>
      </c>
      <c r="M177">
        <f t="shared" si="84"/>
        <v>9.5858540666057479E-2</v>
      </c>
      <c r="N177">
        <f t="shared" si="85"/>
        <v>9.1888598186261952E-3</v>
      </c>
    </row>
    <row r="178" spans="1:14" x14ac:dyDescent="0.45">
      <c r="A178" s="23">
        <v>42171</v>
      </c>
      <c r="B178">
        <v>103.15</v>
      </c>
      <c r="C178">
        <v>103.73</v>
      </c>
      <c r="G178">
        <f t="shared" ref="G178:K178" si="132">SUMPRODUCT($B178:$B182,P$2:P$6)</f>
        <v>76.999140370857219</v>
      </c>
      <c r="H178">
        <f t="shared" si="132"/>
        <v>53.716930131664014</v>
      </c>
      <c r="I178">
        <f t="shared" si="132"/>
        <v>35.16203833388608</v>
      </c>
      <c r="J178">
        <f t="shared" si="132"/>
        <v>14.585792839269191</v>
      </c>
      <c r="K178">
        <f t="shared" si="132"/>
        <v>3.6873245492342561</v>
      </c>
      <c r="L178">
        <f t="shared" si="82"/>
        <v>102.95526536158771</v>
      </c>
      <c r="M178">
        <f t="shared" si="84"/>
        <v>0.9247346384122892</v>
      </c>
      <c r="N178">
        <f t="shared" si="85"/>
        <v>0.85513415147950722</v>
      </c>
    </row>
    <row r="179" spans="1:14" x14ac:dyDescent="0.45">
      <c r="A179" s="23">
        <v>42170</v>
      </c>
      <c r="B179">
        <v>104.07</v>
      </c>
      <c r="C179">
        <v>103.05</v>
      </c>
      <c r="G179">
        <f t="shared" ref="G179:K179" si="133">SUMPRODUCT($B179:$B183,P$2:P$6)</f>
        <v>77.686225212467434</v>
      </c>
      <c r="H179">
        <f t="shared" si="133"/>
        <v>54.195964918585545</v>
      </c>
      <c r="I179">
        <f t="shared" si="133"/>
        <v>35.477018725471964</v>
      </c>
      <c r="J179">
        <f t="shared" si="133"/>
        <v>14.717260593131268</v>
      </c>
      <c r="K179">
        <f t="shared" si="133"/>
        <v>3.7234166222459963</v>
      </c>
      <c r="L179">
        <f t="shared" si="82"/>
        <v>103.8367991818926</v>
      </c>
      <c r="M179">
        <f t="shared" si="84"/>
        <v>-0.68679918189259581</v>
      </c>
      <c r="N179">
        <f t="shared" si="85"/>
        <v>0.47169311624833893</v>
      </c>
    </row>
    <row r="180" spans="1:14" x14ac:dyDescent="0.45">
      <c r="A180" s="23">
        <v>42167</v>
      </c>
      <c r="B180">
        <v>105.16</v>
      </c>
      <c r="C180">
        <v>104.73</v>
      </c>
      <c r="G180">
        <f t="shared" ref="G180:K180" si="134">SUMPRODUCT($B180:$B184,P$2:P$6)</f>
        <v>78.482633625375897</v>
      </c>
      <c r="H180">
        <f t="shared" si="134"/>
        <v>54.751507895593818</v>
      </c>
      <c r="I180">
        <f t="shared" si="134"/>
        <v>35.841075763133361</v>
      </c>
      <c r="J180">
        <f t="shared" si="134"/>
        <v>14.868549993126749</v>
      </c>
      <c r="K180">
        <f t="shared" si="134"/>
        <v>3.7769209056797761</v>
      </c>
      <c r="L180">
        <f t="shared" si="82"/>
        <v>104.85824930582483</v>
      </c>
      <c r="M180">
        <f t="shared" si="84"/>
        <v>-0.78824930582483432</v>
      </c>
      <c r="N180">
        <f t="shared" si="85"/>
        <v>0.62133696813333317</v>
      </c>
    </row>
    <row r="181" spans="1:14" x14ac:dyDescent="0.45">
      <c r="A181" s="23">
        <v>42166</v>
      </c>
      <c r="B181">
        <v>107.93</v>
      </c>
      <c r="C181">
        <v>105.83</v>
      </c>
      <c r="G181">
        <f t="shared" ref="G181:K181" si="135">SUMPRODUCT($B181:$B185,P$2:P$6)</f>
        <v>80.519468039849158</v>
      </c>
      <c r="H181">
        <f t="shared" si="135"/>
        <v>56.171835042529324</v>
      </c>
      <c r="I181">
        <f t="shared" si="135"/>
        <v>36.774062884954013</v>
      </c>
      <c r="J181">
        <f t="shared" si="135"/>
        <v>15.25750825946816</v>
      </c>
      <c r="K181">
        <f t="shared" si="135"/>
        <v>3.8152928015639178</v>
      </c>
      <c r="L181">
        <f t="shared" si="82"/>
        <v>107.47129032582706</v>
      </c>
      <c r="M181">
        <f t="shared" si="84"/>
        <v>-2.3112903258270592</v>
      </c>
      <c r="N181">
        <f t="shared" si="85"/>
        <v>5.342062970261753</v>
      </c>
    </row>
    <row r="182" spans="1:14" x14ac:dyDescent="0.45">
      <c r="A182" s="23">
        <v>42165</v>
      </c>
      <c r="B182">
        <v>105.26</v>
      </c>
      <c r="C182">
        <v>107.48</v>
      </c>
      <c r="G182">
        <f t="shared" ref="G182:K182" si="136">SUMPRODUCT($B182:$B186,P$2:P$6)</f>
        <v>78.562340093689372</v>
      </c>
      <c r="H182">
        <f t="shared" si="136"/>
        <v>54.807319175992902</v>
      </c>
      <c r="I182">
        <f t="shared" si="136"/>
        <v>35.876583841435803</v>
      </c>
      <c r="J182">
        <f t="shared" si="136"/>
        <v>14.882681387909912</v>
      </c>
      <c r="K182">
        <f t="shared" si="136"/>
        <v>3.7426904195299282</v>
      </c>
      <c r="L182">
        <f t="shared" si="82"/>
        <v>104.960141855302</v>
      </c>
      <c r="M182">
        <f t="shared" si="84"/>
        <v>2.9698581446980086</v>
      </c>
      <c r="N182">
        <f t="shared" si="85"/>
        <v>8.8200573996290981</v>
      </c>
    </row>
    <row r="183" spans="1:14" x14ac:dyDescent="0.45">
      <c r="A183" s="23">
        <v>42164</v>
      </c>
      <c r="B183">
        <v>104.45</v>
      </c>
      <c r="C183">
        <v>104.64</v>
      </c>
      <c r="G183">
        <f t="shared" ref="G183:K183" si="137">SUMPRODUCT($B183:$B187,P$2:P$6)</f>
        <v>77.960217030602536</v>
      </c>
      <c r="H183">
        <f t="shared" si="137"/>
        <v>54.387336857796832</v>
      </c>
      <c r="I183">
        <f t="shared" si="137"/>
        <v>35.601282969232578</v>
      </c>
      <c r="J183">
        <f t="shared" si="137"/>
        <v>14.768253901273907</v>
      </c>
      <c r="K183">
        <f t="shared" si="137"/>
        <v>3.7319791836021516</v>
      </c>
      <c r="L183">
        <f t="shared" si="82"/>
        <v>104.18786951642915</v>
      </c>
      <c r="M183">
        <f t="shared" si="84"/>
        <v>1.0721304835708594</v>
      </c>
      <c r="N183">
        <f t="shared" si="85"/>
        <v>1.1494637738018847</v>
      </c>
    </row>
    <row r="184" spans="1:14" x14ac:dyDescent="0.45">
      <c r="A184" s="23">
        <v>42163</v>
      </c>
      <c r="B184">
        <v>105.35</v>
      </c>
      <c r="C184">
        <v>104.5</v>
      </c>
      <c r="G184">
        <f t="shared" ref="G184:K184" si="138">SUMPRODUCT($B184:$B188,P$2:P$6)</f>
        <v>78.630438855921795</v>
      </c>
      <c r="H184">
        <f t="shared" si="138"/>
        <v>54.854663061420936</v>
      </c>
      <c r="I184">
        <f t="shared" si="138"/>
        <v>35.908349713511349</v>
      </c>
      <c r="J184">
        <f t="shared" si="138"/>
        <v>14.896300388480729</v>
      </c>
      <c r="K184">
        <f t="shared" si="138"/>
        <v>3.7482421999535434</v>
      </c>
      <c r="L184">
        <f t="shared" si="82"/>
        <v>105.04770556059958</v>
      </c>
      <c r="M184">
        <f t="shared" si="84"/>
        <v>-0.59770556059957869</v>
      </c>
      <c r="N184">
        <f t="shared" si="85"/>
        <v>0.35725193717165665</v>
      </c>
    </row>
    <row r="185" spans="1:14" x14ac:dyDescent="0.45">
      <c r="A185" s="23">
        <v>42160</v>
      </c>
      <c r="B185">
        <v>104.67</v>
      </c>
      <c r="C185">
        <v>105.6</v>
      </c>
      <c r="G185">
        <f t="shared" ref="G185:K185" si="139">SUMPRODUCT($B185:$B189,P$2:P$6)</f>
        <v>78.122902815341135</v>
      </c>
      <c r="H185">
        <f t="shared" si="139"/>
        <v>54.500542093796383</v>
      </c>
      <c r="I185">
        <f t="shared" si="139"/>
        <v>35.676780202180183</v>
      </c>
      <c r="J185">
        <f t="shared" si="139"/>
        <v>14.800373680810138</v>
      </c>
      <c r="K185">
        <f t="shared" si="139"/>
        <v>3.7521104492890403</v>
      </c>
      <c r="L185">
        <f t="shared" si="82"/>
        <v>104.3969228719028</v>
      </c>
      <c r="M185">
        <f t="shared" si="84"/>
        <v>0.95307712809719192</v>
      </c>
      <c r="N185">
        <f t="shared" si="85"/>
        <v>0.90835601210199113</v>
      </c>
    </row>
    <row r="186" spans="1:14" x14ac:dyDescent="0.45">
      <c r="A186" s="23">
        <v>42159</v>
      </c>
      <c r="B186">
        <v>106.63</v>
      </c>
      <c r="C186">
        <v>105.46</v>
      </c>
      <c r="G186">
        <f t="shared" ref="G186:K186" si="140">SUMPRODUCT($B186:$B190,P$2:P$6)</f>
        <v>79.567355988996283</v>
      </c>
      <c r="H186">
        <f t="shared" si="140"/>
        <v>55.507906296053051</v>
      </c>
      <c r="I186">
        <f t="shared" si="140"/>
        <v>36.337913433060088</v>
      </c>
      <c r="J186">
        <f t="shared" si="140"/>
        <v>15.075655707609762</v>
      </c>
      <c r="K186">
        <f t="shared" si="140"/>
        <v>3.7951537484749509</v>
      </c>
      <c r="L186">
        <f t="shared" si="82"/>
        <v>106.24981776777706</v>
      </c>
      <c r="M186">
        <f t="shared" si="84"/>
        <v>-1.5798177677770582</v>
      </c>
      <c r="N186">
        <f t="shared" si="85"/>
        <v>2.495824179384087</v>
      </c>
    </row>
    <row r="187" spans="1:14" x14ac:dyDescent="0.45">
      <c r="A187" s="23">
        <v>42158</v>
      </c>
      <c r="B187">
        <v>106.24</v>
      </c>
      <c r="C187">
        <v>106.84</v>
      </c>
      <c r="G187">
        <f t="shared" ref="G187:K187" si="141">SUMPRODUCT($B187:$B191,P$2:P$6)</f>
        <v>79.274573359588175</v>
      </c>
      <c r="H187">
        <f t="shared" si="141"/>
        <v>55.303683987495383</v>
      </c>
      <c r="I187">
        <f t="shared" si="141"/>
        <v>36.204095805881138</v>
      </c>
      <c r="J187">
        <f t="shared" si="141"/>
        <v>15.02007073353316</v>
      </c>
      <c r="K187">
        <f t="shared" si="141"/>
        <v>3.7797177109557856</v>
      </c>
      <c r="L187">
        <f t="shared" si="82"/>
        <v>105.87432035819602</v>
      </c>
      <c r="M187">
        <f t="shared" si="84"/>
        <v>0.75567964180397951</v>
      </c>
      <c r="N187">
        <f t="shared" si="85"/>
        <v>0.57105172103699076</v>
      </c>
    </row>
    <row r="188" spans="1:14" x14ac:dyDescent="0.45">
      <c r="A188" s="23">
        <v>42157</v>
      </c>
      <c r="B188">
        <v>105.75</v>
      </c>
      <c r="C188">
        <v>106.22</v>
      </c>
      <c r="G188">
        <f t="shared" ref="G188:K188" si="142">SUMPRODUCT($B188:$B192,P$2:P$6)</f>
        <v>78.914077161333509</v>
      </c>
      <c r="H188">
        <f t="shared" si="142"/>
        <v>55.052288566133861</v>
      </c>
      <c r="I188">
        <f t="shared" si="142"/>
        <v>36.039026774586866</v>
      </c>
      <c r="J188">
        <f t="shared" si="142"/>
        <v>14.951293423541172</v>
      </c>
      <c r="K188">
        <f t="shared" si="142"/>
        <v>3.7576311172212207</v>
      </c>
      <c r="L188">
        <f t="shared" si="82"/>
        <v>105.4118633274839</v>
      </c>
      <c r="M188">
        <f t="shared" si="84"/>
        <v>0.82813667251609502</v>
      </c>
      <c r="N188">
        <f t="shared" si="85"/>
        <v>0.68581034836603005</v>
      </c>
    </row>
    <row r="189" spans="1:14" x14ac:dyDescent="0.45">
      <c r="A189" s="23">
        <v>42156</v>
      </c>
      <c r="B189">
        <v>104.77</v>
      </c>
      <c r="C189">
        <v>106.42</v>
      </c>
      <c r="G189">
        <f t="shared" ref="G189:K189" si="143">SUMPRODUCT($B189:$B193,P$2:P$6)</f>
        <v>78.193616218453172</v>
      </c>
      <c r="H189">
        <f t="shared" si="143"/>
        <v>54.549984475083491</v>
      </c>
      <c r="I189">
        <f t="shared" si="143"/>
        <v>35.708648574246297</v>
      </c>
      <c r="J189">
        <f t="shared" si="143"/>
        <v>14.813318105184429</v>
      </c>
      <c r="K189">
        <f t="shared" si="143"/>
        <v>3.7355875481200278</v>
      </c>
      <c r="L189">
        <f t="shared" si="82"/>
        <v>104.48745927562229</v>
      </c>
      <c r="M189">
        <f t="shared" si="84"/>
        <v>1.2625407243777147</v>
      </c>
      <c r="N189">
        <f t="shared" si="85"/>
        <v>1.5940090807122045</v>
      </c>
    </row>
    <row r="190" spans="1:14" x14ac:dyDescent="0.45">
      <c r="A190" s="23">
        <v>42153</v>
      </c>
      <c r="B190">
        <v>104.95</v>
      </c>
      <c r="C190">
        <v>104.15</v>
      </c>
      <c r="G190">
        <f t="shared" ref="G190:K190" si="144">SUMPRODUCT($B190:$B194,P$2:P$6)</f>
        <v>78.326305176440428</v>
      </c>
      <c r="H190">
        <f t="shared" si="144"/>
        <v>54.642509050824913</v>
      </c>
      <c r="I190">
        <f t="shared" si="144"/>
        <v>35.769434022001192</v>
      </c>
      <c r="J190">
        <f t="shared" si="144"/>
        <v>14.83866296364863</v>
      </c>
      <c r="K190">
        <f t="shared" si="144"/>
        <v>3.7378770367150942</v>
      </c>
      <c r="L190">
        <f t="shared" si="82"/>
        <v>104.65768684652838</v>
      </c>
      <c r="M190">
        <f t="shared" si="84"/>
        <v>0.11231315347161797</v>
      </c>
      <c r="N190">
        <f t="shared" si="85"/>
        <v>1.261424444273921E-2</v>
      </c>
    </row>
    <row r="191" spans="1:14" x14ac:dyDescent="0.45">
      <c r="A191" s="23">
        <v>42152</v>
      </c>
      <c r="B191">
        <v>104.75</v>
      </c>
      <c r="C191">
        <v>105.09</v>
      </c>
      <c r="G191">
        <f t="shared" ref="G191:K191" si="145">SUMPRODUCT($B191:$B195,P$2:P$6)</f>
        <v>78.173945470182176</v>
      </c>
      <c r="H191">
        <f t="shared" si="145"/>
        <v>54.535932138518064</v>
      </c>
      <c r="I191">
        <f t="shared" si="145"/>
        <v>35.701064018144528</v>
      </c>
      <c r="J191">
        <f t="shared" si="145"/>
        <v>14.81110634635087</v>
      </c>
      <c r="K191">
        <f t="shared" si="145"/>
        <v>3.7340671402557972</v>
      </c>
      <c r="L191">
        <f t="shared" si="82"/>
        <v>104.46273456728746</v>
      </c>
      <c r="M191">
        <f t="shared" si="84"/>
        <v>0.48726543271254741</v>
      </c>
      <c r="N191">
        <f t="shared" si="85"/>
        <v>0.23742760191654608</v>
      </c>
    </row>
    <row r="192" spans="1:14" x14ac:dyDescent="0.45">
      <c r="A192" s="23">
        <v>42151</v>
      </c>
      <c r="B192">
        <v>104.79</v>
      </c>
      <c r="C192">
        <v>105.19</v>
      </c>
      <c r="G192">
        <f t="shared" ref="G192:K192" si="146">SUMPRODUCT($B192:$B196,P$2:P$6)</f>
        <v>78.203278989551634</v>
      </c>
      <c r="H192">
        <f t="shared" si="146"/>
        <v>54.556391959288639</v>
      </c>
      <c r="I192">
        <f t="shared" si="146"/>
        <v>35.714480727747755</v>
      </c>
      <c r="J192">
        <f t="shared" si="146"/>
        <v>14.816686784543093</v>
      </c>
      <c r="K192">
        <f t="shared" si="146"/>
        <v>3.7430103438163802</v>
      </c>
      <c r="L192">
        <f t="shared" si="82"/>
        <v>104.50035945842444</v>
      </c>
      <c r="M192">
        <f t="shared" si="84"/>
        <v>0.24964054157555893</v>
      </c>
      <c r="N192">
        <f t="shared" si="85"/>
        <v>6.2320399998138362E-2</v>
      </c>
    </row>
    <row r="193" spans="1:14" x14ac:dyDescent="0.45">
      <c r="A193" s="23">
        <v>42150</v>
      </c>
      <c r="B193">
        <v>105.55</v>
      </c>
      <c r="C193">
        <v>104.67</v>
      </c>
      <c r="G193">
        <f t="shared" ref="G193:K193" si="147">SUMPRODUCT($B193:$B197,P$2:P$6)</f>
        <v>78.752734276479927</v>
      </c>
      <c r="H193">
        <f t="shared" si="147"/>
        <v>54.939436205356451</v>
      </c>
      <c r="I193">
        <f t="shared" si="147"/>
        <v>35.966664518607146</v>
      </c>
      <c r="J193">
        <f t="shared" si="147"/>
        <v>14.922166699816492</v>
      </c>
      <c r="K193">
        <f t="shared" si="147"/>
        <v>3.7592907698513036</v>
      </c>
      <c r="L193">
        <f t="shared" si="82"/>
        <v>105.20544121526117</v>
      </c>
      <c r="M193">
        <f t="shared" si="84"/>
        <v>-0.4154412152611684</v>
      </c>
      <c r="N193">
        <f t="shared" si="85"/>
        <v>0.17259140333767645</v>
      </c>
    </row>
    <row r="194" spans="1:14" x14ac:dyDescent="0.45">
      <c r="A194" s="23">
        <v>42146</v>
      </c>
      <c r="B194">
        <v>105.49</v>
      </c>
      <c r="C194">
        <v>106.76</v>
      </c>
      <c r="G194">
        <f t="shared" ref="G194:K194" si="148">SUMPRODUCT($B194:$B198,P$2:P$6)</f>
        <v>78.704787488156882</v>
      </c>
      <c r="H194">
        <f t="shared" si="148"/>
        <v>54.905846245131308</v>
      </c>
      <c r="I194">
        <f t="shared" si="148"/>
        <v>35.945376532002633</v>
      </c>
      <c r="J194">
        <f t="shared" si="148"/>
        <v>14.913743455231566</v>
      </c>
      <c r="K194">
        <f t="shared" si="148"/>
        <v>3.7381137966486198</v>
      </c>
      <c r="L194">
        <f t="shared" ref="L194:L246" si="149">(G194+$P$7)*$U$2+(H194+$Q$7)*$U$3+(I194+$R$7)*$U$4+(J194+$S$7)*$U$5+(K194+$T$7)*$U$6+$U$7</f>
        <v>105.14417405142981</v>
      </c>
      <c r="M194">
        <f t="shared" si="84"/>
        <v>0.4058259485701825</v>
      </c>
      <c r="N194">
        <f t="shared" si="85"/>
        <v>0.16469470053288843</v>
      </c>
    </row>
    <row r="195" spans="1:14" x14ac:dyDescent="0.45">
      <c r="A195" s="23">
        <v>42145</v>
      </c>
      <c r="B195">
        <v>103.62</v>
      </c>
      <c r="C195">
        <v>104.16</v>
      </c>
      <c r="G195">
        <f t="shared" ref="G195:K195" si="150">SUMPRODUCT($B195:$B199,P$2:P$6)</f>
        <v>77.331474589829384</v>
      </c>
      <c r="H195">
        <f t="shared" si="150"/>
        <v>53.948489155372265</v>
      </c>
      <c r="I195">
        <f t="shared" si="150"/>
        <v>35.315139918293198</v>
      </c>
      <c r="J195">
        <f t="shared" si="150"/>
        <v>14.65021733620909</v>
      </c>
      <c r="K195">
        <f t="shared" si="150"/>
        <v>3.6923686264666791</v>
      </c>
      <c r="L195">
        <f t="shared" si="149"/>
        <v>103.38194037377126</v>
      </c>
      <c r="M195">
        <f t="shared" ref="M195:M246" si="151">B194-L195</f>
        <v>2.1080596262287372</v>
      </c>
      <c r="N195">
        <f t="shared" ref="N195:N246" si="152">M195^2</f>
        <v>4.4439153877356432</v>
      </c>
    </row>
    <row r="196" spans="1:14" x14ac:dyDescent="0.45">
      <c r="A196" s="23">
        <v>42144</v>
      </c>
      <c r="B196">
        <v>103.64</v>
      </c>
      <c r="C196">
        <v>103.38</v>
      </c>
      <c r="G196">
        <f t="shared" ref="G196:K196" si="153">SUMPRODUCT($B196:$B200,P$2:P$6)</f>
        <v>77.336960406458459</v>
      </c>
      <c r="H196">
        <f t="shared" si="153"/>
        <v>53.952086525196037</v>
      </c>
      <c r="I196">
        <f t="shared" si="153"/>
        <v>35.318671113541818</v>
      </c>
      <c r="J196">
        <f t="shared" si="153"/>
        <v>14.652376507746053</v>
      </c>
      <c r="K196">
        <f t="shared" si="153"/>
        <v>3.6846492004820415</v>
      </c>
      <c r="L196">
        <f t="shared" si="149"/>
        <v>103.38935001731741</v>
      </c>
      <c r="M196">
        <f t="shared" si="151"/>
        <v>0.23064998268259274</v>
      </c>
      <c r="N196">
        <f t="shared" si="152"/>
        <v>5.3199414511480331E-2</v>
      </c>
    </row>
    <row r="197" spans="1:14" x14ac:dyDescent="0.45">
      <c r="A197" s="23">
        <v>42143</v>
      </c>
      <c r="B197">
        <v>102.93</v>
      </c>
      <c r="C197">
        <v>103.27</v>
      </c>
      <c r="G197">
        <f t="shared" ref="G197:K197" si="154">SUMPRODUCT($B197:$B201,P$2:P$6)</f>
        <v>76.817918739335397</v>
      </c>
      <c r="H197">
        <f t="shared" si="154"/>
        <v>53.58994966513346</v>
      </c>
      <c r="I197">
        <f t="shared" si="154"/>
        <v>35.081712301133031</v>
      </c>
      <c r="J197">
        <f t="shared" si="154"/>
        <v>14.554108783047608</v>
      </c>
      <c r="K197">
        <f t="shared" si="154"/>
        <v>3.6599622141105312</v>
      </c>
      <c r="L197">
        <f t="shared" si="149"/>
        <v>102.72375148186524</v>
      </c>
      <c r="M197">
        <f t="shared" si="151"/>
        <v>0.91624851813476482</v>
      </c>
      <c r="N197">
        <f t="shared" si="152"/>
        <v>0.83951134698415242</v>
      </c>
    </row>
    <row r="198" spans="1:14" x14ac:dyDescent="0.45">
      <c r="A198" s="23">
        <v>42142</v>
      </c>
      <c r="B198">
        <v>102.06</v>
      </c>
      <c r="C198">
        <v>102.34</v>
      </c>
      <c r="G198">
        <f t="shared" ref="G198:K198" si="155">SUMPRODUCT($B198:$B202,P$2:P$6)</f>
        <v>76.170550468112069</v>
      </c>
      <c r="H198">
        <f t="shared" si="155"/>
        <v>53.138473880227842</v>
      </c>
      <c r="I198">
        <f t="shared" si="155"/>
        <v>34.785461122321692</v>
      </c>
      <c r="J198">
        <f t="shared" si="155"/>
        <v>14.430799791099203</v>
      </c>
      <c r="K198">
        <f t="shared" si="155"/>
        <v>3.6600842412504124</v>
      </c>
      <c r="L198">
        <f t="shared" si="149"/>
        <v>101.89335602038828</v>
      </c>
      <c r="M198">
        <f t="shared" si="151"/>
        <v>1.0366439796117248</v>
      </c>
      <c r="N198">
        <f t="shared" si="152"/>
        <v>1.0746307404652342</v>
      </c>
    </row>
    <row r="199" spans="1:14" x14ac:dyDescent="0.45">
      <c r="A199" s="23">
        <v>42139</v>
      </c>
      <c r="B199">
        <v>104.17</v>
      </c>
      <c r="C199">
        <v>102.33</v>
      </c>
      <c r="G199">
        <f t="shared" ref="G199:K199" si="156">SUMPRODUCT($B199:$B203,P$2:P$6)</f>
        <v>77.724966868835224</v>
      </c>
      <c r="H199">
        <f t="shared" si="156"/>
        <v>54.222586285922134</v>
      </c>
      <c r="I199">
        <f t="shared" si="156"/>
        <v>35.496683930326654</v>
      </c>
      <c r="J199">
        <f t="shared" si="156"/>
        <v>14.726779330755916</v>
      </c>
      <c r="K199">
        <f t="shared" si="156"/>
        <v>3.6970461022679317</v>
      </c>
      <c r="L199">
        <f t="shared" si="149"/>
        <v>103.88722336505849</v>
      </c>
      <c r="M199">
        <f t="shared" si="151"/>
        <v>-1.8272233650584866</v>
      </c>
      <c r="N199">
        <f t="shared" si="152"/>
        <v>3.3387452258156594</v>
      </c>
    </row>
    <row r="200" spans="1:14" x14ac:dyDescent="0.45">
      <c r="A200" s="23">
        <v>42138</v>
      </c>
      <c r="B200">
        <v>102.9</v>
      </c>
      <c r="C200">
        <v>103.82</v>
      </c>
      <c r="G200">
        <f t="shared" ref="G200:K200" si="157">SUMPRODUCT($B200:$B204,P$2:P$6)</f>
        <v>76.783209801700323</v>
      </c>
      <c r="H200">
        <f t="shared" si="157"/>
        <v>53.565626743510329</v>
      </c>
      <c r="I200">
        <f t="shared" si="157"/>
        <v>35.066414123093793</v>
      </c>
      <c r="J200">
        <f t="shared" si="157"/>
        <v>14.548146755025611</v>
      </c>
      <c r="K200">
        <f t="shared" si="157"/>
        <v>3.6554387854973611</v>
      </c>
      <c r="L200">
        <f t="shared" si="149"/>
        <v>102.67945197334612</v>
      </c>
      <c r="M200">
        <f t="shared" si="151"/>
        <v>1.4905480266538831</v>
      </c>
      <c r="N200">
        <f t="shared" si="152"/>
        <v>2.2217334197617848</v>
      </c>
    </row>
    <row r="201" spans="1:14" x14ac:dyDescent="0.45">
      <c r="A201" s="23">
        <v>42137</v>
      </c>
      <c r="B201">
        <v>101.88</v>
      </c>
      <c r="C201">
        <v>102.24</v>
      </c>
      <c r="G201">
        <f t="shared" ref="G201:K201" si="158">SUMPRODUCT($B201:$B205,P$2:P$6)</f>
        <v>76.026373893858946</v>
      </c>
      <c r="H201">
        <f t="shared" si="158"/>
        <v>53.037550519218975</v>
      </c>
      <c r="I201">
        <f t="shared" si="158"/>
        <v>34.721112072327884</v>
      </c>
      <c r="J201">
        <f t="shared" si="158"/>
        <v>14.405109358971661</v>
      </c>
      <c r="K201">
        <f t="shared" si="158"/>
        <v>3.63082091061829</v>
      </c>
      <c r="L201">
        <f t="shared" si="149"/>
        <v>101.70900646746844</v>
      </c>
      <c r="M201">
        <f t="shared" si="151"/>
        <v>1.1909935325315644</v>
      </c>
      <c r="N201">
        <f t="shared" si="152"/>
        <v>1.4184655945320144</v>
      </c>
    </row>
    <row r="202" spans="1:14" x14ac:dyDescent="0.45">
      <c r="A202" s="23">
        <v>42136</v>
      </c>
      <c r="B202">
        <v>101.85</v>
      </c>
      <c r="C202">
        <v>102.26</v>
      </c>
      <c r="G202">
        <f t="shared" ref="G202:K202" si="159">SUMPRODUCT($B202:$B206,P$2:P$6)</f>
        <v>76.002313753595757</v>
      </c>
      <c r="H202">
        <f t="shared" si="159"/>
        <v>53.02088073504364</v>
      </c>
      <c r="I202">
        <f t="shared" si="159"/>
        <v>34.709663241554154</v>
      </c>
      <c r="J202">
        <f t="shared" si="159"/>
        <v>14.40005633993367</v>
      </c>
      <c r="K202">
        <f t="shared" si="159"/>
        <v>3.6349911147968803</v>
      </c>
      <c r="L202">
        <f t="shared" si="149"/>
        <v>101.6779909606184</v>
      </c>
      <c r="M202">
        <f t="shared" si="151"/>
        <v>0.20200903938159342</v>
      </c>
      <c r="N202">
        <f t="shared" si="152"/>
        <v>4.0807651991874166E-2</v>
      </c>
    </row>
    <row r="203" spans="1:14" x14ac:dyDescent="0.45">
      <c r="A203" s="23">
        <v>42135</v>
      </c>
      <c r="B203">
        <v>102.4</v>
      </c>
      <c r="C203">
        <v>102.32</v>
      </c>
      <c r="G203">
        <f t="shared" ref="G203:K203" si="160">SUMPRODUCT($B203:$B207,P$2:P$6)</f>
        <v>76.403061098386075</v>
      </c>
      <c r="H203">
        <f t="shared" si="160"/>
        <v>53.300419085851651</v>
      </c>
      <c r="I203">
        <f t="shared" si="160"/>
        <v>34.892893147812373</v>
      </c>
      <c r="J203">
        <f t="shared" si="160"/>
        <v>14.476227685991503</v>
      </c>
      <c r="K203">
        <f t="shared" si="160"/>
        <v>3.6353384517494978</v>
      </c>
      <c r="L203">
        <f t="shared" si="149"/>
        <v>102.19199292827317</v>
      </c>
      <c r="M203">
        <f t="shared" si="151"/>
        <v>-0.34199292827317151</v>
      </c>
      <c r="N203">
        <f t="shared" si="152"/>
        <v>0.11695916298885864</v>
      </c>
    </row>
    <row r="204" spans="1:14" x14ac:dyDescent="0.45">
      <c r="A204" s="23">
        <v>42132</v>
      </c>
      <c r="B204">
        <v>101.29</v>
      </c>
      <c r="C204">
        <v>102.75</v>
      </c>
      <c r="G204">
        <f t="shared" ref="G204:K204" si="161">SUMPRODUCT($B204:$B208,P$2:P$6)</f>
        <v>75.586168747554822</v>
      </c>
      <c r="H204">
        <f t="shared" si="161"/>
        <v>52.730698434982337</v>
      </c>
      <c r="I204">
        <f t="shared" si="161"/>
        <v>34.519064142911681</v>
      </c>
      <c r="J204">
        <f t="shared" si="161"/>
        <v>14.320615522827705</v>
      </c>
      <c r="K204">
        <f t="shared" si="161"/>
        <v>3.5923722506951874</v>
      </c>
      <c r="L204">
        <f t="shared" si="149"/>
        <v>101.1441336307045</v>
      </c>
      <c r="M204">
        <f t="shared" si="151"/>
        <v>1.2558663692955037</v>
      </c>
      <c r="N204">
        <f t="shared" si="152"/>
        <v>1.5772003375274704</v>
      </c>
    </row>
    <row r="205" spans="1:14" x14ac:dyDescent="0.45">
      <c r="A205" s="23">
        <v>42131</v>
      </c>
      <c r="B205">
        <v>99.72</v>
      </c>
      <c r="C205">
        <v>100.07</v>
      </c>
      <c r="G205">
        <f t="shared" ref="G205:K205" si="162">SUMPRODUCT($B205:$B209,P$2:P$6)</f>
        <v>74.428791982859465</v>
      </c>
      <c r="H205">
        <f t="shared" si="162"/>
        <v>51.923523408422227</v>
      </c>
      <c r="I205">
        <f t="shared" si="162"/>
        <v>33.989406023417409</v>
      </c>
      <c r="J205">
        <f t="shared" si="162"/>
        <v>14.100129660655748</v>
      </c>
      <c r="K205">
        <f t="shared" si="162"/>
        <v>3.561585014252393</v>
      </c>
      <c r="L205">
        <f t="shared" si="149"/>
        <v>99.659518813956012</v>
      </c>
      <c r="M205">
        <f t="shared" si="151"/>
        <v>1.6304811860439941</v>
      </c>
      <c r="N205">
        <f t="shared" si="152"/>
        <v>2.6584688980434295</v>
      </c>
    </row>
    <row r="206" spans="1:14" x14ac:dyDescent="0.45">
      <c r="A206" s="23">
        <v>42130</v>
      </c>
      <c r="B206">
        <v>100.38</v>
      </c>
      <c r="C206">
        <v>99.54</v>
      </c>
      <c r="G206">
        <f t="shared" ref="G206:K206" si="163">SUMPRODUCT($B206:$B210,P$2:P$6)</f>
        <v>74.916294160416385</v>
      </c>
      <c r="H206">
        <f t="shared" si="163"/>
        <v>52.263562298616591</v>
      </c>
      <c r="I206">
        <f t="shared" si="163"/>
        <v>34.212306064367226</v>
      </c>
      <c r="J206">
        <f t="shared" si="163"/>
        <v>14.192785351089928</v>
      </c>
      <c r="K206">
        <f t="shared" si="163"/>
        <v>3.5818533649158102</v>
      </c>
      <c r="L206">
        <f t="shared" si="149"/>
        <v>100.28478635063593</v>
      </c>
      <c r="M206">
        <f t="shared" si="151"/>
        <v>-0.56478635063592719</v>
      </c>
      <c r="N206">
        <f t="shared" si="152"/>
        <v>0.31898362186464851</v>
      </c>
    </row>
    <row r="207" spans="1:14" x14ac:dyDescent="0.45">
      <c r="A207" s="23">
        <v>42129</v>
      </c>
      <c r="B207">
        <v>100.8</v>
      </c>
      <c r="C207">
        <v>100.01</v>
      </c>
      <c r="G207">
        <f t="shared" ref="G207:K207" si="164">SUMPRODUCT($B207:$B211,P$2:P$6)</f>
        <v>75.225980689985178</v>
      </c>
      <c r="H207">
        <f t="shared" si="164"/>
        <v>52.479569239229861</v>
      </c>
      <c r="I207">
        <f t="shared" si="164"/>
        <v>34.353921853685037</v>
      </c>
      <c r="J207">
        <f t="shared" si="164"/>
        <v>14.251665426004044</v>
      </c>
      <c r="K207">
        <f t="shared" si="164"/>
        <v>3.5895184827984177</v>
      </c>
      <c r="L207">
        <f t="shared" si="149"/>
        <v>100.68199565412935</v>
      </c>
      <c r="M207">
        <f t="shared" si="151"/>
        <v>-0.30199565412935669</v>
      </c>
      <c r="N207">
        <f t="shared" si="152"/>
        <v>9.1201375113018041E-2</v>
      </c>
    </row>
    <row r="208" spans="1:14" x14ac:dyDescent="0.45">
      <c r="A208" s="23">
        <v>42128</v>
      </c>
      <c r="B208">
        <v>100.58</v>
      </c>
      <c r="C208">
        <v>101.29</v>
      </c>
      <c r="G208">
        <f t="shared" ref="G208:K208" si="165">SUMPRODUCT($B208:$B212,P$2:P$6)</f>
        <v>75.066163968130766</v>
      </c>
      <c r="H208">
        <f t="shared" si="165"/>
        <v>52.368153301540389</v>
      </c>
      <c r="I208">
        <f t="shared" si="165"/>
        <v>34.280586268274583</v>
      </c>
      <c r="J208">
        <f t="shared" si="165"/>
        <v>14.221003065830603</v>
      </c>
      <c r="K208">
        <f t="shared" si="165"/>
        <v>3.581843741403385</v>
      </c>
      <c r="L208">
        <f t="shared" si="149"/>
        <v>100.47691929375064</v>
      </c>
      <c r="M208">
        <f t="shared" si="151"/>
        <v>0.32308070624935681</v>
      </c>
      <c r="N208">
        <f t="shared" si="152"/>
        <v>0.10438114275058319</v>
      </c>
    </row>
    <row r="209" spans="1:14" x14ac:dyDescent="0.45">
      <c r="A209" s="23">
        <v>42125</v>
      </c>
      <c r="B209">
        <v>100.33</v>
      </c>
      <c r="C209">
        <v>100.59</v>
      </c>
      <c r="G209">
        <f t="shared" ref="G209:K209" si="166">SUMPRODUCT($B209:$B213,P$2:P$6)</f>
        <v>74.884177354339585</v>
      </c>
      <c r="H209">
        <f t="shared" si="166"/>
        <v>52.241300182999368</v>
      </c>
      <c r="I209">
        <f t="shared" si="166"/>
        <v>34.197004363219378</v>
      </c>
      <c r="J209">
        <f t="shared" si="166"/>
        <v>14.186008883829622</v>
      </c>
      <c r="K209">
        <f t="shared" si="166"/>
        <v>3.5798624287004324</v>
      </c>
      <c r="L209">
        <f t="shared" si="149"/>
        <v>100.24336918217698</v>
      </c>
      <c r="M209">
        <f t="shared" si="151"/>
        <v>0.33663081782302129</v>
      </c>
      <c r="N209">
        <f t="shared" si="152"/>
        <v>0.11332030750819615</v>
      </c>
    </row>
    <row r="210" spans="1:14" x14ac:dyDescent="0.45">
      <c r="A210" s="23">
        <v>42124</v>
      </c>
      <c r="B210">
        <v>100.7</v>
      </c>
      <c r="C210">
        <v>100.33</v>
      </c>
      <c r="G210">
        <f t="shared" ref="G210:K210" si="167">SUMPRODUCT($B210:$B214,P$2:P$6)</f>
        <v>75.159922853309084</v>
      </c>
      <c r="H210">
        <f t="shared" si="167"/>
        <v>52.433680364761827</v>
      </c>
      <c r="I210">
        <f t="shared" si="167"/>
        <v>34.322880090598893</v>
      </c>
      <c r="J210">
        <f t="shared" si="167"/>
        <v>14.238195128663794</v>
      </c>
      <c r="K210">
        <f t="shared" si="167"/>
        <v>3.5913260573698884</v>
      </c>
      <c r="L210">
        <f t="shared" si="149"/>
        <v>100.59696388890968</v>
      </c>
      <c r="M210">
        <f t="shared" si="151"/>
        <v>-0.26696388890968592</v>
      </c>
      <c r="N210">
        <f t="shared" si="152"/>
        <v>7.1269717981783123E-2</v>
      </c>
    </row>
    <row r="211" spans="1:14" x14ac:dyDescent="0.45">
      <c r="A211" s="23">
        <v>42123</v>
      </c>
      <c r="B211">
        <v>100.92</v>
      </c>
      <c r="C211">
        <v>101.18</v>
      </c>
      <c r="G211">
        <f t="shared" ref="G211:K211" si="168">SUMPRODUCT($B211:$B215,P$2:P$6)</f>
        <v>75.314433067687816</v>
      </c>
      <c r="H211">
        <f t="shared" si="168"/>
        <v>52.541060789262112</v>
      </c>
      <c r="I211">
        <f t="shared" si="168"/>
        <v>34.395212265372628</v>
      </c>
      <c r="J211">
        <f t="shared" si="168"/>
        <v>14.269390874274134</v>
      </c>
      <c r="K211">
        <f t="shared" si="168"/>
        <v>3.5990531838073689</v>
      </c>
      <c r="L211">
        <f t="shared" si="149"/>
        <v>100.79574428670861</v>
      </c>
      <c r="M211">
        <f t="shared" si="151"/>
        <v>-9.5744286708608684E-2</v>
      </c>
      <c r="N211">
        <f t="shared" si="152"/>
        <v>9.1669684373402623E-3</v>
      </c>
    </row>
    <row r="212" spans="1:14" x14ac:dyDescent="0.45">
      <c r="A212" s="23">
        <v>42122</v>
      </c>
      <c r="B212">
        <v>101.12</v>
      </c>
      <c r="C212">
        <v>101.65</v>
      </c>
      <c r="G212">
        <f t="shared" ref="G212:K212" si="169">SUMPRODUCT($B212:$B216,P$2:P$6)</f>
        <v>75.458569902960861</v>
      </c>
      <c r="H212">
        <f t="shared" si="169"/>
        <v>52.641365792883335</v>
      </c>
      <c r="I212">
        <f t="shared" si="169"/>
        <v>34.4621039011802</v>
      </c>
      <c r="J212">
        <f t="shared" si="169"/>
        <v>14.2978565005559</v>
      </c>
      <c r="K212">
        <f t="shared" si="169"/>
        <v>3.6078625480907753</v>
      </c>
      <c r="L212">
        <f t="shared" si="149"/>
        <v>100.98096752362154</v>
      </c>
      <c r="M212">
        <f t="shared" si="151"/>
        <v>-6.0967523621542341E-2</v>
      </c>
      <c r="N212">
        <f t="shared" si="152"/>
        <v>3.7170389365433231E-3</v>
      </c>
    </row>
    <row r="213" spans="1:14" x14ac:dyDescent="0.45">
      <c r="A213" s="23">
        <v>42121</v>
      </c>
      <c r="B213">
        <v>101.46</v>
      </c>
      <c r="C213">
        <v>101.6</v>
      </c>
      <c r="G213">
        <f t="shared" ref="G213:K213" si="170">SUMPRODUCT($B213:$B217,P$2:P$6)</f>
        <v>75.694791128983312</v>
      </c>
      <c r="H213">
        <f t="shared" si="170"/>
        <v>52.805871597754134</v>
      </c>
      <c r="I213">
        <f t="shared" si="170"/>
        <v>34.571315051879196</v>
      </c>
      <c r="J213">
        <f t="shared" si="170"/>
        <v>14.344073204897132</v>
      </c>
      <c r="K213">
        <f t="shared" si="170"/>
        <v>3.6191220277927365</v>
      </c>
      <c r="L213">
        <f t="shared" si="149"/>
        <v>101.28438819868843</v>
      </c>
      <c r="M213">
        <f t="shared" si="151"/>
        <v>-0.16438819868842813</v>
      </c>
      <c r="N213">
        <f t="shared" si="152"/>
        <v>2.7023479868026126E-2</v>
      </c>
    </row>
    <row r="214" spans="1:14" x14ac:dyDescent="0.45">
      <c r="A214" s="23">
        <v>42118</v>
      </c>
      <c r="B214">
        <v>101.91</v>
      </c>
      <c r="C214">
        <v>101.22</v>
      </c>
      <c r="G214">
        <f t="shared" ref="G214:K214" si="171">SUMPRODUCT($B214:$B218,P$2:P$6)</f>
        <v>76.017472229228858</v>
      </c>
      <c r="H214">
        <f t="shared" si="171"/>
        <v>53.03073631725745</v>
      </c>
      <c r="I214">
        <f t="shared" si="171"/>
        <v>34.719799534019842</v>
      </c>
      <c r="J214">
        <f t="shared" si="171"/>
        <v>14.406436192422314</v>
      </c>
      <c r="K214">
        <f t="shared" si="171"/>
        <v>3.606554786203263</v>
      </c>
      <c r="L214">
        <f t="shared" si="149"/>
        <v>101.69860380567799</v>
      </c>
      <c r="M214">
        <f t="shared" si="151"/>
        <v>-0.23860380567799666</v>
      </c>
      <c r="N214">
        <f t="shared" si="152"/>
        <v>5.6931776084023195E-2</v>
      </c>
    </row>
    <row r="215" spans="1:14" x14ac:dyDescent="0.45">
      <c r="A215" s="23">
        <v>42117</v>
      </c>
      <c r="B215">
        <v>99.78</v>
      </c>
      <c r="C215">
        <v>101.44</v>
      </c>
      <c r="G215">
        <f t="shared" ref="G215:K215" si="172">SUMPRODUCT($B215:$B219,P$2:P$6)</f>
        <v>74.441405392025928</v>
      </c>
      <c r="H215">
        <f t="shared" si="172"/>
        <v>51.931627733631792</v>
      </c>
      <c r="I215">
        <f t="shared" si="172"/>
        <v>33.998301256386299</v>
      </c>
      <c r="J215">
        <f t="shared" si="172"/>
        <v>14.105946077823726</v>
      </c>
      <c r="K215">
        <f t="shared" si="172"/>
        <v>3.5408741378536459</v>
      </c>
      <c r="L215">
        <f t="shared" si="149"/>
        <v>99.676843162505591</v>
      </c>
      <c r="M215">
        <f t="shared" si="151"/>
        <v>2.2331568374944055</v>
      </c>
      <c r="N215">
        <f t="shared" si="152"/>
        <v>4.9869894608480143</v>
      </c>
    </row>
    <row r="216" spans="1:14" x14ac:dyDescent="0.45">
      <c r="A216" s="23">
        <v>42116</v>
      </c>
      <c r="B216">
        <v>98.55</v>
      </c>
      <c r="C216">
        <v>100.16</v>
      </c>
      <c r="G216">
        <f t="shared" ref="G216:K216" si="173">SUMPRODUCT($B216:$B220,P$2:P$6)</f>
        <v>73.533552970665411</v>
      </c>
      <c r="H216">
        <f t="shared" si="173"/>
        <v>51.298639483995217</v>
      </c>
      <c r="I216">
        <f t="shared" si="173"/>
        <v>33.582167320520441</v>
      </c>
      <c r="J216">
        <f t="shared" si="173"/>
        <v>13.932277917668378</v>
      </c>
      <c r="K216">
        <f t="shared" si="173"/>
        <v>3.4971963616442756</v>
      </c>
      <c r="L216">
        <f t="shared" si="149"/>
        <v>98.512068743396071</v>
      </c>
      <c r="M216">
        <f t="shared" si="151"/>
        <v>1.26793125660393</v>
      </c>
      <c r="N216">
        <f t="shared" si="152"/>
        <v>1.6076496714732211</v>
      </c>
    </row>
    <row r="217" spans="1:14" x14ac:dyDescent="0.45">
      <c r="A217" s="23">
        <v>42115</v>
      </c>
      <c r="B217">
        <v>97.31</v>
      </c>
      <c r="C217">
        <v>97.24</v>
      </c>
      <c r="G217">
        <f t="shared" ref="G217:K217" si="174">SUMPRODUCT($B217:$B221,P$2:P$6)</f>
        <v>72.624161028549707</v>
      </c>
      <c r="H217">
        <f t="shared" si="174"/>
        <v>50.664641680872556</v>
      </c>
      <c r="I217">
        <f t="shared" si="174"/>
        <v>33.165015111299923</v>
      </c>
      <c r="J217">
        <f t="shared" si="174"/>
        <v>13.757969651294669</v>
      </c>
      <c r="K217">
        <f t="shared" si="174"/>
        <v>3.4575924180834381</v>
      </c>
      <c r="L217">
        <f t="shared" si="149"/>
        <v>97.34520120783074</v>
      </c>
      <c r="M217">
        <f t="shared" si="151"/>
        <v>1.2047987921692567</v>
      </c>
      <c r="N217">
        <f t="shared" si="152"/>
        <v>1.4515401296124997</v>
      </c>
    </row>
    <row r="218" spans="1:14" x14ac:dyDescent="0.45">
      <c r="A218" s="23">
        <v>42114</v>
      </c>
      <c r="B218">
        <v>96.4</v>
      </c>
      <c r="C218">
        <v>96.65</v>
      </c>
      <c r="G218">
        <f t="shared" ref="G218:K218" si="175">SUMPRODUCT($B218:$B222,P$2:P$6)</f>
        <v>71.953797983217882</v>
      </c>
      <c r="H218">
        <f t="shared" si="175"/>
        <v>50.197047139703415</v>
      </c>
      <c r="I218">
        <f t="shared" si="175"/>
        <v>32.858523243457796</v>
      </c>
      <c r="J218">
        <f t="shared" si="175"/>
        <v>13.630575202871544</v>
      </c>
      <c r="K218">
        <f t="shared" si="175"/>
        <v>3.437309321175122</v>
      </c>
      <c r="L218">
        <f t="shared" si="149"/>
        <v>96.485401280071514</v>
      </c>
      <c r="M218">
        <f t="shared" si="151"/>
        <v>0.82459871992848832</v>
      </c>
      <c r="N218">
        <f t="shared" si="152"/>
        <v>0.67996304890770154</v>
      </c>
    </row>
    <row r="219" spans="1:14" x14ac:dyDescent="0.45">
      <c r="A219" s="23">
        <v>42111</v>
      </c>
      <c r="B219">
        <v>96.51</v>
      </c>
      <c r="C219">
        <v>95.58</v>
      </c>
      <c r="G219">
        <f t="shared" ref="G219:K219" si="176">SUMPRODUCT($B219:$B223,P$2:P$6)</f>
        <v>72.040470702213739</v>
      </c>
      <c r="H219">
        <f t="shared" si="176"/>
        <v>50.257527632661592</v>
      </c>
      <c r="I219">
        <f t="shared" si="176"/>
        <v>32.89800297895988</v>
      </c>
      <c r="J219">
        <f t="shared" si="176"/>
        <v>13.646879247945281</v>
      </c>
      <c r="K219">
        <f t="shared" si="176"/>
        <v>3.4491181692181119</v>
      </c>
      <c r="L219">
        <f t="shared" si="149"/>
        <v>96.596507542127696</v>
      </c>
      <c r="M219">
        <f t="shared" si="151"/>
        <v>-0.19650754212769073</v>
      </c>
      <c r="N219">
        <f t="shared" si="152"/>
        <v>3.8615214113066149E-2</v>
      </c>
    </row>
    <row r="220" spans="1:14" x14ac:dyDescent="0.45">
      <c r="A220" s="23">
        <v>42110</v>
      </c>
      <c r="B220">
        <v>97.29</v>
      </c>
      <c r="C220">
        <v>97.39</v>
      </c>
      <c r="G220">
        <f t="shared" ref="G220:K220" si="177">SUMPRODUCT($B220:$B224,P$2:P$6)</f>
        <v>72.61267961434514</v>
      </c>
      <c r="H220">
        <f t="shared" si="177"/>
        <v>50.65654425375817</v>
      </c>
      <c r="I220">
        <f t="shared" si="177"/>
        <v>33.160104814196387</v>
      </c>
      <c r="J220">
        <f t="shared" si="177"/>
        <v>13.756148540950106</v>
      </c>
      <c r="K220">
        <f t="shared" si="177"/>
        <v>3.4792951641881076</v>
      </c>
      <c r="L220">
        <f t="shared" si="149"/>
        <v>97.330591186721421</v>
      </c>
      <c r="M220">
        <f t="shared" si="151"/>
        <v>-0.82059118672141551</v>
      </c>
      <c r="N220">
        <f t="shared" si="152"/>
        <v>0.67336989572486106</v>
      </c>
    </row>
    <row r="221" spans="1:14" x14ac:dyDescent="0.45">
      <c r="A221" s="23">
        <v>42109</v>
      </c>
      <c r="B221">
        <v>98.4</v>
      </c>
      <c r="C221">
        <v>97.96</v>
      </c>
      <c r="G221">
        <f t="shared" ref="G221:K221" si="178">SUMPRODUCT($B221:$B225,P$2:P$6)</f>
        <v>73.432375779676704</v>
      </c>
      <c r="H221">
        <f t="shared" si="178"/>
        <v>51.228193572309436</v>
      </c>
      <c r="I221">
        <f t="shared" si="178"/>
        <v>33.535303665637926</v>
      </c>
      <c r="J221">
        <f t="shared" si="178"/>
        <v>13.912384239202108</v>
      </c>
      <c r="K221">
        <f t="shared" si="178"/>
        <v>3.5003523569894686</v>
      </c>
      <c r="L221">
        <f t="shared" si="149"/>
        <v>98.382074235386625</v>
      </c>
      <c r="M221">
        <f t="shared" si="151"/>
        <v>-1.0920742353866189</v>
      </c>
      <c r="N221">
        <f t="shared" si="152"/>
        <v>1.1926261355952683</v>
      </c>
    </row>
    <row r="222" spans="1:14" x14ac:dyDescent="0.45">
      <c r="A222" s="23">
        <v>42108</v>
      </c>
      <c r="B222">
        <v>97.83</v>
      </c>
      <c r="C222">
        <v>97.88</v>
      </c>
      <c r="G222">
        <f t="shared" ref="G222:K222" si="179">SUMPRODUCT($B222:$B226,P$2:P$6)</f>
        <v>73.007494884788514</v>
      </c>
      <c r="H222">
        <f t="shared" si="179"/>
        <v>50.931737266980107</v>
      </c>
      <c r="I222">
        <f t="shared" si="179"/>
        <v>33.341466546546201</v>
      </c>
      <c r="J222">
        <f t="shared" si="179"/>
        <v>13.832100479162337</v>
      </c>
      <c r="K222">
        <f t="shared" si="179"/>
        <v>3.4881847031883955</v>
      </c>
      <c r="L222">
        <f t="shared" si="149"/>
        <v>97.837281612459449</v>
      </c>
      <c r="M222">
        <f t="shared" si="151"/>
        <v>0.56271838754055636</v>
      </c>
      <c r="N222">
        <f t="shared" si="152"/>
        <v>0.31665198367624375</v>
      </c>
    </row>
    <row r="223" spans="1:14" x14ac:dyDescent="0.45">
      <c r="A223" s="23">
        <v>42107</v>
      </c>
      <c r="B223">
        <v>98</v>
      </c>
      <c r="C223">
        <v>97.89</v>
      </c>
      <c r="G223">
        <f t="shared" ref="G223:K223" si="180">SUMPRODUCT($B223:$B227,P$2:P$6)</f>
        <v>73.138273646922016</v>
      </c>
      <c r="H223">
        <f t="shared" si="180"/>
        <v>51.023151086115504</v>
      </c>
      <c r="I223">
        <f t="shared" si="180"/>
        <v>33.400418400580236</v>
      </c>
      <c r="J223">
        <f t="shared" si="180"/>
        <v>13.856038959372068</v>
      </c>
      <c r="K223">
        <f t="shared" si="180"/>
        <v>3.4906537288974144</v>
      </c>
      <c r="L223">
        <f t="shared" si="149"/>
        <v>98.004712560516737</v>
      </c>
      <c r="M223">
        <f t="shared" si="151"/>
        <v>-0.17471256051673834</v>
      </c>
      <c r="N223">
        <f t="shared" si="152"/>
        <v>3.0524478802314955E-2</v>
      </c>
    </row>
    <row r="224" spans="1:14" x14ac:dyDescent="0.45">
      <c r="A224" s="23">
        <v>42104</v>
      </c>
      <c r="B224">
        <v>97.84</v>
      </c>
      <c r="C224">
        <v>98.89</v>
      </c>
      <c r="G224">
        <f t="shared" ref="G224:K224" si="181">SUMPRODUCT($B224:$B228,P$2:P$6)</f>
        <v>73.013195310425502</v>
      </c>
      <c r="H224">
        <f t="shared" si="181"/>
        <v>50.935783286785295</v>
      </c>
      <c r="I224">
        <f t="shared" si="181"/>
        <v>33.343798844845431</v>
      </c>
      <c r="J224">
        <f t="shared" si="181"/>
        <v>13.832890834799544</v>
      </c>
      <c r="K224">
        <f t="shared" si="181"/>
        <v>3.4864907844204431</v>
      </c>
      <c r="L224">
        <f t="shared" si="149"/>
        <v>97.844498052884603</v>
      </c>
      <c r="M224">
        <f t="shared" si="151"/>
        <v>0.15550194711539689</v>
      </c>
      <c r="N224">
        <f t="shared" si="152"/>
        <v>2.418085555667969E-2</v>
      </c>
    </row>
    <row r="225" spans="1:14" x14ac:dyDescent="0.45">
      <c r="A225" s="23">
        <v>42103</v>
      </c>
      <c r="B225">
        <v>97.88</v>
      </c>
      <c r="C225">
        <v>97.92</v>
      </c>
      <c r="G225">
        <f t="shared" ref="G225:K225" si="182">SUMPRODUCT($B225:$B229,P$2:P$6)</f>
        <v>73.048925109618168</v>
      </c>
      <c r="H225">
        <f t="shared" si="182"/>
        <v>50.960749946346006</v>
      </c>
      <c r="I225">
        <f t="shared" si="182"/>
        <v>33.359899198137917</v>
      </c>
      <c r="J225">
        <f t="shared" si="182"/>
        <v>13.839417844330482</v>
      </c>
      <c r="K225">
        <f t="shared" si="182"/>
        <v>3.4793647954292806</v>
      </c>
      <c r="L225">
        <f t="shared" si="149"/>
        <v>97.89023354365392</v>
      </c>
      <c r="M225">
        <f t="shared" si="151"/>
        <v>-5.0233543653916968E-2</v>
      </c>
      <c r="N225">
        <f t="shared" si="152"/>
        <v>2.5234089080299815E-3</v>
      </c>
    </row>
    <row r="226" spans="1:14" x14ac:dyDescent="0.45">
      <c r="A226" s="23">
        <v>42102</v>
      </c>
      <c r="B226">
        <v>97.02</v>
      </c>
      <c r="C226">
        <v>97.92</v>
      </c>
      <c r="G226">
        <f t="shared" ref="G226:K226" si="183">SUMPRODUCT($B226:$B230,P$2:P$6)</f>
        <v>72.407448590897189</v>
      </c>
      <c r="H226">
        <f t="shared" si="183"/>
        <v>50.513238366998742</v>
      </c>
      <c r="I226">
        <f t="shared" si="183"/>
        <v>33.066954027439728</v>
      </c>
      <c r="J226">
        <f t="shared" si="183"/>
        <v>13.717890854183654</v>
      </c>
      <c r="K226">
        <f t="shared" si="183"/>
        <v>3.4705331840713169</v>
      </c>
      <c r="L226">
        <f t="shared" si="149"/>
        <v>97.067613289635162</v>
      </c>
      <c r="M226">
        <f t="shared" si="151"/>
        <v>0.81238671036483368</v>
      </c>
      <c r="N226">
        <f t="shared" si="152"/>
        <v>0.65997216717739615</v>
      </c>
    </row>
    <row r="227" spans="1:14" x14ac:dyDescent="0.45">
      <c r="A227" s="23">
        <v>42101</v>
      </c>
      <c r="B227">
        <v>98.22</v>
      </c>
      <c r="C227">
        <v>97.35</v>
      </c>
      <c r="G227">
        <f t="shared" ref="G227:K227" si="184">SUMPRODUCT($B227:$B231,P$2:P$6)</f>
        <v>73.295917722103596</v>
      </c>
      <c r="H227">
        <f t="shared" si="184"/>
        <v>51.132933461210321</v>
      </c>
      <c r="I227">
        <f t="shared" si="184"/>
        <v>33.473266032880062</v>
      </c>
      <c r="J227">
        <f t="shared" si="184"/>
        <v>13.886836544022469</v>
      </c>
      <c r="K227">
        <f t="shared" si="184"/>
        <v>3.491720499190166</v>
      </c>
      <c r="L227">
        <f t="shared" si="149"/>
        <v>98.207183868327149</v>
      </c>
      <c r="M227">
        <f t="shared" si="151"/>
        <v>-1.1871838683271534</v>
      </c>
      <c r="N227">
        <f t="shared" si="152"/>
        <v>1.409405537216224</v>
      </c>
    </row>
    <row r="228" spans="1:14" x14ac:dyDescent="0.45">
      <c r="A228" s="23">
        <v>42100</v>
      </c>
      <c r="B228">
        <v>97.45</v>
      </c>
      <c r="C228">
        <v>97.85</v>
      </c>
      <c r="G228">
        <f t="shared" ref="G228:K228" si="185">SUMPRODUCT($B228:$B232,P$2:P$6)</f>
        <v>72.72616751869694</v>
      </c>
      <c r="H228">
        <f t="shared" si="185"/>
        <v>50.735675596558025</v>
      </c>
      <c r="I228">
        <f t="shared" si="185"/>
        <v>33.21214933914117</v>
      </c>
      <c r="J228">
        <f t="shared" si="185"/>
        <v>13.777891833456435</v>
      </c>
      <c r="K228">
        <f t="shared" si="185"/>
        <v>3.4748584921263719</v>
      </c>
      <c r="L228">
        <f t="shared" si="149"/>
        <v>97.476210689954286</v>
      </c>
      <c r="M228">
        <f t="shared" si="151"/>
        <v>0.74378931004571314</v>
      </c>
      <c r="N228">
        <f t="shared" si="152"/>
        <v>0.55322253773827801</v>
      </c>
    </row>
    <row r="229" spans="1:14" x14ac:dyDescent="0.45">
      <c r="A229" s="23">
        <v>42096</v>
      </c>
      <c r="B229">
        <v>97.69</v>
      </c>
      <c r="C229">
        <v>98.5</v>
      </c>
      <c r="G229">
        <f t="shared" ref="G229:K229" si="186">SUMPRODUCT($B229:$B233,P$2:P$6)</f>
        <v>72.900459632991456</v>
      </c>
      <c r="H229">
        <f t="shared" si="186"/>
        <v>50.857024820603911</v>
      </c>
      <c r="I229">
        <f t="shared" si="186"/>
        <v>33.29278025399659</v>
      </c>
      <c r="J229">
        <f t="shared" si="186"/>
        <v>13.812035560052669</v>
      </c>
      <c r="K229">
        <f t="shared" si="186"/>
        <v>3.4719244082660157</v>
      </c>
      <c r="L229">
        <f t="shared" si="149"/>
        <v>97.700092964539479</v>
      </c>
      <c r="M229">
        <f t="shared" si="151"/>
        <v>-0.25009296453947627</v>
      </c>
      <c r="N229">
        <f t="shared" si="152"/>
        <v>6.2546490912143732E-2</v>
      </c>
    </row>
    <row r="230" spans="1:14" x14ac:dyDescent="0.45">
      <c r="A230" s="23">
        <v>42095</v>
      </c>
      <c r="B230">
        <v>96.82</v>
      </c>
      <c r="C230">
        <v>97.68</v>
      </c>
      <c r="G230">
        <f t="shared" ref="G230:K230" si="187">SUMPRODUCT($B230:$B234,P$2:P$6)</f>
        <v>72.261083706794324</v>
      </c>
      <c r="H230">
        <f t="shared" si="187"/>
        <v>50.411154182520455</v>
      </c>
      <c r="I230">
        <f t="shared" si="187"/>
        <v>32.999990776095771</v>
      </c>
      <c r="J230">
        <f t="shared" si="187"/>
        <v>13.690026225577265</v>
      </c>
      <c r="K230">
        <f t="shared" si="187"/>
        <v>3.4566779105806447</v>
      </c>
      <c r="L230">
        <f t="shared" si="149"/>
        <v>96.879870304602463</v>
      </c>
      <c r="M230">
        <f t="shared" si="151"/>
        <v>0.81012969539753499</v>
      </c>
      <c r="N230">
        <f t="shared" si="152"/>
        <v>0.6563101233649028</v>
      </c>
    </row>
    <row r="231" spans="1:14" x14ac:dyDescent="0.45">
      <c r="A231" s="23">
        <v>42094</v>
      </c>
      <c r="B231">
        <v>97.34</v>
      </c>
      <c r="C231">
        <v>96.96</v>
      </c>
      <c r="G231">
        <f t="shared" ref="G231:K231" si="188">SUMPRODUCT($B231:$B235,P$2:P$6)</f>
        <v>72.652317988440984</v>
      </c>
      <c r="H231">
        <f t="shared" si="188"/>
        <v>50.684498294931956</v>
      </c>
      <c r="I231">
        <f t="shared" si="188"/>
        <v>33.176944690035214</v>
      </c>
      <c r="J231">
        <f t="shared" si="188"/>
        <v>13.762293960651265</v>
      </c>
      <c r="K231">
        <f t="shared" si="188"/>
        <v>3.4732114278882218</v>
      </c>
      <c r="L231">
        <f t="shared" si="149"/>
        <v>97.380973419684167</v>
      </c>
      <c r="M231">
        <f t="shared" si="151"/>
        <v>-0.56097341968417425</v>
      </c>
      <c r="N231">
        <f t="shared" si="152"/>
        <v>0.3146911775921567</v>
      </c>
    </row>
    <row r="232" spans="1:14" x14ac:dyDescent="0.45">
      <c r="A232" s="23">
        <v>42093</v>
      </c>
      <c r="B232">
        <v>97.8</v>
      </c>
      <c r="C232">
        <v>98.23</v>
      </c>
      <c r="G232">
        <f t="shared" ref="G232:K232" si="189">SUMPRODUCT($B232:$B236,P$2:P$6)</f>
        <v>72.993629589897708</v>
      </c>
      <c r="H232">
        <f t="shared" si="189"/>
        <v>50.922588376511335</v>
      </c>
      <c r="I232">
        <f t="shared" si="189"/>
        <v>33.332902819468956</v>
      </c>
      <c r="J232">
        <f t="shared" si="189"/>
        <v>13.827054972595288</v>
      </c>
      <c r="K232">
        <f t="shared" si="189"/>
        <v>3.472309039716174</v>
      </c>
      <c r="L232">
        <f t="shared" si="149"/>
        <v>97.818700668884034</v>
      </c>
      <c r="M232">
        <f t="shared" si="151"/>
        <v>-0.47870066888403073</v>
      </c>
      <c r="N232">
        <f t="shared" si="152"/>
        <v>0.22915433039001842</v>
      </c>
    </row>
    <row r="233" spans="1:14" x14ac:dyDescent="0.45">
      <c r="A233" s="23">
        <v>42090</v>
      </c>
      <c r="B233">
        <v>96.65</v>
      </c>
      <c r="C233">
        <v>97.06</v>
      </c>
      <c r="G233">
        <f t="shared" ref="G233:K233" si="190">SUMPRODUCT($B233:$B237,P$2:P$6)</f>
        <v>72.161547554074275</v>
      </c>
      <c r="H233">
        <f t="shared" si="190"/>
        <v>50.342474410123337</v>
      </c>
      <c r="I233">
        <f t="shared" si="190"/>
        <v>32.9511759506807</v>
      </c>
      <c r="J233">
        <f t="shared" si="190"/>
        <v>13.667507602375613</v>
      </c>
      <c r="K233">
        <f t="shared" si="190"/>
        <v>3.4477315403182205</v>
      </c>
      <c r="L233">
        <f t="shared" si="149"/>
        <v>96.751004127153578</v>
      </c>
      <c r="M233">
        <f t="shared" si="151"/>
        <v>1.0489958728464188</v>
      </c>
      <c r="N233">
        <f t="shared" si="152"/>
        <v>1.1003923412488201</v>
      </c>
    </row>
    <row r="234" spans="1:14" x14ac:dyDescent="0.45">
      <c r="A234" s="23">
        <v>42089</v>
      </c>
      <c r="B234">
        <v>96.74</v>
      </c>
      <c r="C234">
        <v>96.94</v>
      </c>
      <c r="G234">
        <f t="shared" ref="G234:K234" si="191">SUMPRODUCT($B234:$B238,P$2:P$6)</f>
        <v>72.227624949268233</v>
      </c>
      <c r="H234">
        <f t="shared" si="191"/>
        <v>50.388480495599069</v>
      </c>
      <c r="I234">
        <f t="shared" si="191"/>
        <v>32.981737132085264</v>
      </c>
      <c r="J234">
        <f t="shared" si="191"/>
        <v>13.68044296809069</v>
      </c>
      <c r="K234">
        <f t="shared" si="191"/>
        <v>3.4809320794125229</v>
      </c>
      <c r="L234">
        <f t="shared" si="149"/>
        <v>96.835878511954078</v>
      </c>
      <c r="M234">
        <f t="shared" si="151"/>
        <v>-0.18587851195407268</v>
      </c>
      <c r="N234">
        <f t="shared" si="152"/>
        <v>3.4550821206260338E-2</v>
      </c>
    </row>
    <row r="235" spans="1:14" x14ac:dyDescent="0.45">
      <c r="A235" s="23">
        <v>42088</v>
      </c>
      <c r="B235">
        <v>99.65</v>
      </c>
      <c r="C235">
        <v>97.32</v>
      </c>
      <c r="G235">
        <f t="shared" ref="G235:K235" si="192">SUMPRODUCT($B235:$B239,P$2:P$6)</f>
        <v>74.375159889591146</v>
      </c>
      <c r="H235">
        <f t="shared" si="192"/>
        <v>51.88603035290231</v>
      </c>
      <c r="I235">
        <f t="shared" si="192"/>
        <v>33.965246550686885</v>
      </c>
      <c r="J235">
        <f t="shared" si="192"/>
        <v>14.090330087700123</v>
      </c>
      <c r="K235">
        <f t="shared" si="192"/>
        <v>3.556135754007788</v>
      </c>
      <c r="L235">
        <f t="shared" si="149"/>
        <v>99.590861335121446</v>
      </c>
      <c r="M235">
        <f t="shared" si="151"/>
        <v>-2.8508613351214507</v>
      </c>
      <c r="N235">
        <f t="shared" si="152"/>
        <v>8.127410352090461</v>
      </c>
    </row>
    <row r="236" spans="1:14" x14ac:dyDescent="0.45">
      <c r="A236" s="23">
        <v>42087</v>
      </c>
      <c r="B236">
        <v>100.02</v>
      </c>
      <c r="C236">
        <v>99.7</v>
      </c>
      <c r="G236">
        <f t="shared" ref="G236:K236" si="193">SUMPRODUCT($B236:$B240,P$2:P$6)</f>
        <v>74.641156587511119</v>
      </c>
      <c r="H236">
        <f t="shared" si="193"/>
        <v>52.071325195988891</v>
      </c>
      <c r="I236">
        <f t="shared" si="193"/>
        <v>34.087924152723971</v>
      </c>
      <c r="J236">
        <f t="shared" si="193"/>
        <v>14.142035534393992</v>
      </c>
      <c r="K236">
        <f t="shared" si="193"/>
        <v>3.5736204043685356</v>
      </c>
      <c r="L236">
        <f t="shared" si="149"/>
        <v>99.932410076914536</v>
      </c>
      <c r="M236">
        <f t="shared" si="151"/>
        <v>-0.28241007691453035</v>
      </c>
      <c r="N236">
        <f t="shared" si="152"/>
        <v>7.9755451542870948E-2</v>
      </c>
    </row>
    <row r="237" spans="1:14" x14ac:dyDescent="0.45">
      <c r="A237" s="23">
        <v>42086</v>
      </c>
      <c r="B237">
        <v>100.86</v>
      </c>
      <c r="C237">
        <v>100.13</v>
      </c>
      <c r="G237">
        <f t="shared" ref="G237:K237" si="194">SUMPRODUCT($B237:$B241,P$2:P$6)</f>
        <v>75.258579537499756</v>
      </c>
      <c r="H237">
        <f t="shared" si="194"/>
        <v>52.501918711222316</v>
      </c>
      <c r="I237">
        <f t="shared" si="194"/>
        <v>34.370528549087105</v>
      </c>
      <c r="J237">
        <f t="shared" si="194"/>
        <v>14.259713047041858</v>
      </c>
      <c r="K237">
        <f t="shared" si="194"/>
        <v>3.588860761938756</v>
      </c>
      <c r="L237">
        <f t="shared" si="149"/>
        <v>100.7244235034037</v>
      </c>
      <c r="M237">
        <f t="shared" si="151"/>
        <v>-0.70442350340370297</v>
      </c>
      <c r="N237">
        <f t="shared" si="152"/>
        <v>0.49621247214754671</v>
      </c>
    </row>
    <row r="238" spans="1:14" x14ac:dyDescent="0.45">
      <c r="A238" s="23">
        <v>42083</v>
      </c>
      <c r="B238">
        <v>100.42</v>
      </c>
      <c r="C238">
        <v>100.43</v>
      </c>
      <c r="G238">
        <f t="shared" ref="G238:K238" si="195">SUMPRODUCT($B238:$B242,P$2:P$6)</f>
        <v>74.926184898278777</v>
      </c>
      <c r="H238">
        <f t="shared" si="195"/>
        <v>52.269991563201295</v>
      </c>
      <c r="I238">
        <f t="shared" si="195"/>
        <v>34.218930923704683</v>
      </c>
      <c r="J238">
        <f t="shared" si="195"/>
        <v>14.196960957215955</v>
      </c>
      <c r="K238">
        <f t="shared" si="195"/>
        <v>3.5707978143232264</v>
      </c>
      <c r="L238">
        <f t="shared" si="149"/>
        <v>100.29824069492891</v>
      </c>
      <c r="M238">
        <f t="shared" si="151"/>
        <v>0.56175930507109229</v>
      </c>
      <c r="N238">
        <f t="shared" si="152"/>
        <v>0.31557351683395651</v>
      </c>
    </row>
    <row r="239" spans="1:14" x14ac:dyDescent="0.45">
      <c r="A239" s="23">
        <v>42082</v>
      </c>
      <c r="B239">
        <v>99.81</v>
      </c>
      <c r="C239">
        <v>99.78</v>
      </c>
      <c r="G239">
        <f t="shared" ref="G239:K239" si="196">SUMPRODUCT($B239:$B243,P$2:P$6)</f>
        <v>74.469016553016587</v>
      </c>
      <c r="H239">
        <f t="shared" si="196"/>
        <v>51.950862000970183</v>
      </c>
      <c r="I239">
        <f t="shared" si="196"/>
        <v>34.010982510042595</v>
      </c>
      <c r="J239">
        <f t="shared" si="196"/>
        <v>14.111247008402808</v>
      </c>
      <c r="K239">
        <f t="shared" si="196"/>
        <v>3.5438341603428194</v>
      </c>
      <c r="L239">
        <f t="shared" si="149"/>
        <v>99.712270322729452</v>
      </c>
      <c r="M239">
        <f t="shared" si="151"/>
        <v>0.70772967727054947</v>
      </c>
      <c r="N239">
        <f t="shared" si="152"/>
        <v>0.50088129608947607</v>
      </c>
    </row>
    <row r="240" spans="1:14" x14ac:dyDescent="0.45">
      <c r="A240" s="23">
        <v>42081</v>
      </c>
      <c r="B240">
        <v>98.65</v>
      </c>
      <c r="C240">
        <v>99.93</v>
      </c>
      <c r="G240">
        <f t="shared" ref="G240:K240" si="197">SUMPRODUCT($B240:$B244,P$2:P$6)</f>
        <v>73.606460457599141</v>
      </c>
      <c r="H240">
        <f t="shared" si="197"/>
        <v>51.349161943898082</v>
      </c>
      <c r="I240">
        <f t="shared" si="197"/>
        <v>33.616877708858254</v>
      </c>
      <c r="J240">
        <f t="shared" si="197"/>
        <v>13.94761882027324</v>
      </c>
      <c r="K240">
        <f t="shared" si="197"/>
        <v>3.5162107701274583</v>
      </c>
      <c r="L240">
        <f t="shared" si="149"/>
        <v>98.606067234126343</v>
      </c>
      <c r="M240">
        <f t="shared" si="151"/>
        <v>1.2039327658736596</v>
      </c>
      <c r="N240">
        <f t="shared" si="152"/>
        <v>1.4494541047442</v>
      </c>
    </row>
    <row r="241" spans="1:14" x14ac:dyDescent="0.45">
      <c r="A241" s="23">
        <v>42080</v>
      </c>
      <c r="B241">
        <v>98.75</v>
      </c>
      <c r="C241">
        <v>98.98</v>
      </c>
      <c r="G241">
        <f t="shared" ref="G241:K241" si="198">SUMPRODUCT($B241:$B245,P$2:P$6)</f>
        <v>73.672797397086271</v>
      </c>
      <c r="H241">
        <f t="shared" si="198"/>
        <v>51.395420627423192</v>
      </c>
      <c r="I241">
        <f t="shared" si="198"/>
        <v>33.647322429221624</v>
      </c>
      <c r="J241">
        <f t="shared" si="198"/>
        <v>13.960360407932091</v>
      </c>
      <c r="K241">
        <f t="shared" si="198"/>
        <v>3.5103386586053964</v>
      </c>
      <c r="L241">
        <f t="shared" si="149"/>
        <v>98.691200192000593</v>
      </c>
      <c r="M241">
        <f t="shared" si="151"/>
        <v>-4.1200192000587776E-2</v>
      </c>
      <c r="N241">
        <f t="shared" si="152"/>
        <v>1.6974558208852971E-3</v>
      </c>
    </row>
    <row r="242" spans="1:14" x14ac:dyDescent="0.45">
      <c r="A242" s="23">
        <v>42079</v>
      </c>
      <c r="B242">
        <v>98.1</v>
      </c>
      <c r="C242">
        <v>99.38</v>
      </c>
      <c r="G242">
        <f t="shared" ref="G242:K242" si="199">SUMPRODUCT($B242:$B246,P$2:P$6)</f>
        <v>73.194559654180253</v>
      </c>
      <c r="H242">
        <f t="shared" si="199"/>
        <v>51.062115008686746</v>
      </c>
      <c r="I242">
        <f t="shared" si="199"/>
        <v>33.427523960935709</v>
      </c>
      <c r="J242">
        <f t="shared" si="199"/>
        <v>13.868239649123081</v>
      </c>
      <c r="K242">
        <f t="shared" si="199"/>
        <v>3.4752217802425207</v>
      </c>
      <c r="L242">
        <f t="shared" si="149"/>
        <v>98.077411395315366</v>
      </c>
      <c r="M242">
        <f t="shared" si="151"/>
        <v>0.67258860468463411</v>
      </c>
      <c r="N242">
        <f t="shared" si="152"/>
        <v>0.45237543115162299</v>
      </c>
    </row>
    <row r="243" spans="1:14" x14ac:dyDescent="0.45">
      <c r="A243" s="23">
        <v>42076</v>
      </c>
      <c r="B243">
        <v>96.34</v>
      </c>
      <c r="C243">
        <v>97.77</v>
      </c>
      <c r="G243">
        <f t="shared" ref="G243:K243" si="200">SUMPRODUCT($B243:$B247,P$2:P$6)</f>
        <v>71.900811617743045</v>
      </c>
      <c r="H243">
        <f t="shared" si="200"/>
        <v>50.160054474594233</v>
      </c>
      <c r="I243">
        <f t="shared" si="200"/>
        <v>32.83450961689659</v>
      </c>
      <c r="J243">
        <f t="shared" si="200"/>
        <v>13.620747126220424</v>
      </c>
      <c r="K243">
        <f t="shared" si="200"/>
        <v>3.4226260340158428</v>
      </c>
      <c r="L243">
        <f t="shared" si="149"/>
        <v>96.417527547803076</v>
      </c>
      <c r="M243">
        <f t="shared" si="151"/>
        <v>1.6824724521969188</v>
      </c>
      <c r="N243">
        <f t="shared" si="152"/>
        <v>2.8307135524015132</v>
      </c>
    </row>
    <row r="244" spans="1:14" x14ac:dyDescent="0.45">
      <c r="A244" s="23">
        <v>42075</v>
      </c>
      <c r="B244">
        <v>95.4</v>
      </c>
      <c r="C244">
        <v>96.68</v>
      </c>
      <c r="G244">
        <f t="shared" ref="G244:K244" si="201">SUMPRODUCT($B244:$B248,P$2:P$6)</f>
        <v>71.212605557593022</v>
      </c>
      <c r="H244">
        <f t="shared" si="201"/>
        <v>49.680115803038646</v>
      </c>
      <c r="I244">
        <f t="shared" si="201"/>
        <v>32.519404038753294</v>
      </c>
      <c r="J244">
        <f t="shared" si="201"/>
        <v>13.48946409175535</v>
      </c>
      <c r="K244">
        <f t="shared" si="201"/>
        <v>3.4012356573897855</v>
      </c>
      <c r="L244">
        <f t="shared" si="149"/>
        <v>95.534675744304963</v>
      </c>
      <c r="M244">
        <f t="shared" si="151"/>
        <v>0.80532425569504085</v>
      </c>
      <c r="N244">
        <f t="shared" si="152"/>
        <v>0.64854715681077157</v>
      </c>
    </row>
    <row r="245" spans="1:14" x14ac:dyDescent="0.45">
      <c r="A245" s="23">
        <v>42074</v>
      </c>
      <c r="B245">
        <v>95.44</v>
      </c>
      <c r="C245">
        <v>95.18</v>
      </c>
      <c r="G245">
        <f t="shared" ref="G245:K245" si="202">SUMPRODUCT($B245:$B249,P$2:P$6)</f>
        <v>71.246170076603718</v>
      </c>
      <c r="H245">
        <f t="shared" si="202"/>
        <v>49.703518529894374</v>
      </c>
      <c r="I245">
        <f t="shared" si="202"/>
        <v>32.534753757686239</v>
      </c>
      <c r="J245">
        <f t="shared" si="202"/>
        <v>13.495840851867444</v>
      </c>
      <c r="K245">
        <f t="shared" si="202"/>
        <v>3.4159001481635194</v>
      </c>
      <c r="L245">
        <f t="shared" si="149"/>
        <v>95.577721474378237</v>
      </c>
      <c r="M245">
        <f t="shared" si="151"/>
        <v>-0.17772147437823094</v>
      </c>
      <c r="N245">
        <f t="shared" si="152"/>
        <v>3.1584922455172193E-2</v>
      </c>
    </row>
    <row r="246" spans="1:14" x14ac:dyDescent="0.45">
      <c r="A246" s="23">
        <v>42073</v>
      </c>
      <c r="B246">
        <v>96.66</v>
      </c>
      <c r="C246">
        <v>95.39</v>
      </c>
      <c r="G246">
        <f t="shared" ref="G246:K246" si="203">SUMPRODUCT($B246:$B250,P$2:P$6)</f>
        <v>72.145275793615056</v>
      </c>
      <c r="H246">
        <f t="shared" si="203"/>
        <v>50.330508600069628</v>
      </c>
      <c r="I246">
        <f t="shared" si="203"/>
        <v>32.946476097854529</v>
      </c>
      <c r="J246">
        <f t="shared" si="203"/>
        <v>13.667403973970696</v>
      </c>
      <c r="K246">
        <f t="shared" si="203"/>
        <v>3.456042250227763</v>
      </c>
      <c r="L246">
        <f t="shared" si="149"/>
        <v>96.731133197833884</v>
      </c>
      <c r="M246">
        <f t="shared" si="151"/>
        <v>-1.2911331978338865</v>
      </c>
      <c r="N246">
        <f t="shared" si="152"/>
        <v>1.6670249345487578</v>
      </c>
    </row>
    <row r="247" spans="1:14" x14ac:dyDescent="0.45">
      <c r="A247" s="23">
        <v>42072</v>
      </c>
      <c r="B247">
        <v>97.66</v>
      </c>
      <c r="C247">
        <v>97.64</v>
      </c>
      <c r="G247">
        <f>SUMPRODUCT($B247:$B251,P$2:P$6)</f>
        <v>72.886655127819012</v>
      </c>
      <c r="H247">
        <f>SUMPRODUCT($B247:$B251,Q$2:Q$6)</f>
        <v>50.847694416356354</v>
      </c>
      <c r="I247">
        <f>SUMPRODUCT($B247:$B251,R$2:R$6)</f>
        <v>33.28516731919791</v>
      </c>
      <c r="J247">
        <f>SUMPRODUCT($B247:$B251,S$2:S$6)</f>
        <v>13.807996724591877</v>
      </c>
      <c r="K247">
        <f>SUMPRODUCT($B247:$B251,T$2:T$6)</f>
        <v>3.4800474474231637</v>
      </c>
      <c r="L247">
        <f>(G247+$P$7)*$U$2+(H247+$Q$7)*$U$3+(I247+$R$7)*$U$4+(J247+$S$7)*$U$5+(K247+$T$7)*$U$6+$U$7</f>
        <v>97.681916535671377</v>
      </c>
      <c r="M247">
        <f>B246-L247</f>
        <v>-1.0219165356713802</v>
      </c>
      <c r="N247">
        <f>M247^2</f>
        <v>1.0443134058785952</v>
      </c>
    </row>
    <row r="248" spans="1:14" x14ac:dyDescent="0.45">
      <c r="A248" s="23">
        <v>42069</v>
      </c>
      <c r="B248">
        <v>97.64</v>
      </c>
      <c r="C248">
        <v>97.41</v>
      </c>
    </row>
    <row r="249" spans="1:14" x14ac:dyDescent="0.45">
      <c r="A249" s="23">
        <v>42068</v>
      </c>
      <c r="B249">
        <v>97.58</v>
      </c>
      <c r="C249">
        <v>98.12</v>
      </c>
    </row>
    <row r="250" spans="1:14" x14ac:dyDescent="0.45">
      <c r="A250" s="23">
        <v>42067</v>
      </c>
      <c r="B250">
        <v>97.41</v>
      </c>
      <c r="C250">
        <v>97.45</v>
      </c>
    </row>
    <row r="251" spans="1:14" x14ac:dyDescent="0.45">
      <c r="A251" s="23">
        <v>42066</v>
      </c>
      <c r="B251">
        <v>98.33</v>
      </c>
      <c r="C251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34"/>
  <sheetViews>
    <sheetView tabSelected="1" zoomScale="81" workbookViewId="0">
      <selection activeCell="H27" sqref="H27"/>
    </sheetView>
  </sheetViews>
  <sheetFormatPr defaultRowHeight="14.25" x14ac:dyDescent="0.45"/>
  <cols>
    <col min="1" max="1" width="11.53125" bestFit="1" customWidth="1"/>
    <col min="2" max="2" width="5.796875" bestFit="1" customWidth="1"/>
    <col min="3" max="3" width="6.06640625" bestFit="1" customWidth="1"/>
    <col min="4" max="4" width="8.3984375" bestFit="1" customWidth="1"/>
    <col min="5" max="5" width="13.33203125" bestFit="1" customWidth="1"/>
    <col min="6" max="6" width="12.1328125" bestFit="1" customWidth="1"/>
    <col min="7" max="7" width="14.53125" bestFit="1" customWidth="1"/>
    <col min="8" max="8" width="16.33203125" bestFit="1" customWidth="1"/>
    <col min="9" max="9" width="11.86328125" bestFit="1" customWidth="1"/>
    <col min="10" max="10" width="10.86328125" bestFit="1" customWidth="1"/>
    <col min="11" max="11" width="5.796875" bestFit="1" customWidth="1"/>
    <col min="12" max="12" width="7.1328125" bestFit="1" customWidth="1"/>
    <col min="13" max="13" width="8.73046875" bestFit="1" customWidth="1"/>
    <col min="14" max="16" width="12.86328125" bestFit="1" customWidth="1"/>
    <col min="17" max="17" width="19" bestFit="1" customWidth="1"/>
    <col min="18" max="19" width="12.86328125" bestFit="1" customWidth="1"/>
    <col min="20" max="20" width="4.265625" bestFit="1" customWidth="1"/>
    <col min="21" max="21" width="11.73046875" bestFit="1" customWidth="1"/>
  </cols>
  <sheetData>
    <row r="1" spans="1:21" x14ac:dyDescent="0.45">
      <c r="A1" s="1" t="s">
        <v>0</v>
      </c>
      <c r="B1" s="1" t="s">
        <v>1</v>
      </c>
      <c r="C1" s="1" t="s">
        <v>2</v>
      </c>
      <c r="D1" s="2" t="s">
        <v>6</v>
      </c>
      <c r="E1" s="2" t="s">
        <v>32</v>
      </c>
      <c r="F1" s="2" t="s">
        <v>7</v>
      </c>
      <c r="G1" s="2" t="s">
        <v>8</v>
      </c>
      <c r="H1" s="2" t="s">
        <v>9</v>
      </c>
      <c r="I1" s="2" t="s">
        <v>33</v>
      </c>
      <c r="J1" s="2" t="s">
        <v>10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</row>
    <row r="2" spans="1:21" x14ac:dyDescent="0.45">
      <c r="A2" s="1" t="s">
        <v>35</v>
      </c>
      <c r="B2" s="1">
        <v>1</v>
      </c>
      <c r="C2" s="1">
        <v>39</v>
      </c>
      <c r="D2" s="4">
        <v>53.44</v>
      </c>
      <c r="E2" s="4">
        <v>53.218481140455815</v>
      </c>
      <c r="F2" s="4">
        <f t="shared" ref="F2:F11" si="0">(B2/100)*$H$12</f>
        <v>10000</v>
      </c>
      <c r="G2" s="4">
        <f t="shared" ref="G2:G11" si="1">(C2/100)*$H$12</f>
        <v>390000</v>
      </c>
      <c r="H2">
        <v>188</v>
      </c>
      <c r="I2" s="4">
        <f>H2*D2</f>
        <v>10046.719999999999</v>
      </c>
      <c r="J2" s="4">
        <f>H2*(E2-D2)</f>
        <v>-41.645545594306412</v>
      </c>
      <c r="U2" t="s">
        <v>31</v>
      </c>
    </row>
    <row r="3" spans="1:21" x14ac:dyDescent="0.45">
      <c r="A3" s="1" t="s">
        <v>36</v>
      </c>
      <c r="B3" s="1">
        <v>1</v>
      </c>
      <c r="C3" s="1">
        <v>39</v>
      </c>
      <c r="D3" s="4">
        <v>31.89</v>
      </c>
      <c r="E3" s="4">
        <v>32.241701171039892</v>
      </c>
      <c r="F3" s="4">
        <f t="shared" si="0"/>
        <v>10000</v>
      </c>
      <c r="G3" s="4">
        <f t="shared" si="1"/>
        <v>390000</v>
      </c>
      <c r="H3">
        <v>314</v>
      </c>
      <c r="I3" s="4">
        <f t="shared" ref="I3:I11" si="2">H3*D3</f>
        <v>10013.460000000001</v>
      </c>
      <c r="J3" s="4">
        <f t="shared" ref="J3:J11" si="3">H3*(E3-D3)</f>
        <v>110.43416770652604</v>
      </c>
      <c r="T3" t="s">
        <v>29</v>
      </c>
    </row>
    <row r="4" spans="1:21" x14ac:dyDescent="0.45">
      <c r="A4" s="1" t="s">
        <v>37</v>
      </c>
      <c r="B4" s="1">
        <v>1</v>
      </c>
      <c r="C4" s="1">
        <v>39</v>
      </c>
      <c r="D4" s="4">
        <v>555.23</v>
      </c>
      <c r="E4" s="4">
        <v>559.86217770240717</v>
      </c>
      <c r="F4" s="4">
        <f t="shared" si="0"/>
        <v>10000</v>
      </c>
      <c r="G4" s="4">
        <f t="shared" si="1"/>
        <v>390000</v>
      </c>
      <c r="H4">
        <v>19</v>
      </c>
      <c r="I4" s="4">
        <f t="shared" si="2"/>
        <v>10549.37</v>
      </c>
      <c r="J4" s="4">
        <f t="shared" si="3"/>
        <v>88.011376345735812</v>
      </c>
      <c r="T4" t="s">
        <v>30</v>
      </c>
    </row>
    <row r="5" spans="1:21" x14ac:dyDescent="0.45">
      <c r="A5" s="1" t="s">
        <v>38</v>
      </c>
      <c r="B5" s="1">
        <v>1</v>
      </c>
      <c r="C5" s="1">
        <v>39</v>
      </c>
      <c r="D5" s="4">
        <v>173.8</v>
      </c>
      <c r="E5" s="4">
        <v>175.04473533577567</v>
      </c>
      <c r="F5" s="4">
        <f t="shared" si="0"/>
        <v>10000</v>
      </c>
      <c r="G5" s="4">
        <f t="shared" si="1"/>
        <v>390000</v>
      </c>
      <c r="H5">
        <v>58</v>
      </c>
      <c r="I5" s="4">
        <f t="shared" si="2"/>
        <v>10080.400000000001</v>
      </c>
      <c r="J5" s="4">
        <f t="shared" si="3"/>
        <v>72.194649474988182</v>
      </c>
    </row>
    <row r="6" spans="1:21" x14ac:dyDescent="0.45">
      <c r="A6" s="1" t="s">
        <v>39</v>
      </c>
      <c r="B6" s="1">
        <v>1</v>
      </c>
      <c r="C6" s="1">
        <v>39</v>
      </c>
      <c r="D6" s="4">
        <v>264.49</v>
      </c>
      <c r="E6" s="4">
        <v>265.50799847863527</v>
      </c>
      <c r="F6" s="4">
        <f t="shared" si="0"/>
        <v>10000</v>
      </c>
      <c r="G6" s="4">
        <f t="shared" si="1"/>
        <v>390000</v>
      </c>
      <c r="H6">
        <v>38</v>
      </c>
      <c r="I6" s="4">
        <f t="shared" si="2"/>
        <v>10050.620000000001</v>
      </c>
      <c r="J6" s="4">
        <f t="shared" si="3"/>
        <v>38.683942188140009</v>
      </c>
    </row>
    <row r="7" spans="1:21" x14ac:dyDescent="0.45">
      <c r="A7" s="1" t="s">
        <v>40</v>
      </c>
      <c r="B7" s="1">
        <v>1</v>
      </c>
      <c r="C7" s="1">
        <v>39</v>
      </c>
      <c r="D7" s="4">
        <v>149.68</v>
      </c>
      <c r="E7" s="4">
        <v>152.68895628363816</v>
      </c>
      <c r="F7" s="4">
        <f t="shared" si="0"/>
        <v>10000</v>
      </c>
      <c r="G7" s="4">
        <f t="shared" si="1"/>
        <v>390000</v>
      </c>
      <c r="H7">
        <v>998</v>
      </c>
      <c r="I7" s="4">
        <f t="shared" si="2"/>
        <v>149380.64000000001</v>
      </c>
      <c r="J7" s="4">
        <f t="shared" si="3"/>
        <v>3002.9383710708798</v>
      </c>
      <c r="M7" t="s">
        <v>28</v>
      </c>
    </row>
    <row r="8" spans="1:21" x14ac:dyDescent="0.45">
      <c r="A8" s="1" t="s">
        <v>41</v>
      </c>
      <c r="B8" s="1">
        <v>1</v>
      </c>
      <c r="C8" s="1">
        <v>39</v>
      </c>
      <c r="D8" s="4">
        <v>32.47</v>
      </c>
      <c r="E8" s="4">
        <v>33.181936764875182</v>
      </c>
      <c r="F8" s="4">
        <f t="shared" si="0"/>
        <v>10000</v>
      </c>
      <c r="G8" s="4">
        <f t="shared" si="1"/>
        <v>390000</v>
      </c>
      <c r="H8">
        <v>12006</v>
      </c>
      <c r="I8" s="4">
        <f t="shared" si="2"/>
        <v>389834.82</v>
      </c>
      <c r="J8" s="4">
        <f t="shared" si="3"/>
        <v>8547.5127990914516</v>
      </c>
      <c r="L8" s="24" t="s">
        <v>27</v>
      </c>
      <c r="M8" s="24"/>
      <c r="N8" s="24"/>
      <c r="O8" s="24"/>
      <c r="P8" s="24"/>
      <c r="Q8" t="s">
        <v>59</v>
      </c>
    </row>
    <row r="9" spans="1:21" x14ac:dyDescent="0.45">
      <c r="A9" s="1" t="s">
        <v>42</v>
      </c>
      <c r="B9" s="1">
        <v>1</v>
      </c>
      <c r="C9" s="1">
        <v>39</v>
      </c>
      <c r="D9" s="4">
        <v>24.18</v>
      </c>
      <c r="E9" s="4">
        <v>24.380324876907309</v>
      </c>
      <c r="F9" s="4">
        <f t="shared" si="0"/>
        <v>10000</v>
      </c>
      <c r="G9" s="4">
        <f t="shared" si="1"/>
        <v>390000</v>
      </c>
      <c r="H9">
        <v>414</v>
      </c>
      <c r="I9" s="4">
        <f t="shared" si="2"/>
        <v>10010.52</v>
      </c>
      <c r="J9" s="4">
        <f t="shared" si="3"/>
        <v>82.934499039626175</v>
      </c>
      <c r="L9" t="s">
        <v>19</v>
      </c>
      <c r="M9" t="s">
        <v>20</v>
      </c>
      <c r="N9" t="s">
        <v>21</v>
      </c>
      <c r="O9" t="s">
        <v>22</v>
      </c>
      <c r="P9" t="s">
        <v>23</v>
      </c>
      <c r="Q9" t="s">
        <v>24</v>
      </c>
      <c r="R9" t="s">
        <v>25</v>
      </c>
      <c r="S9" t="s">
        <v>26</v>
      </c>
    </row>
    <row r="10" spans="1:21" x14ac:dyDescent="0.45">
      <c r="A10" s="1" t="s">
        <v>43</v>
      </c>
      <c r="B10" s="1">
        <v>1</v>
      </c>
      <c r="C10" s="1">
        <v>39</v>
      </c>
      <c r="D10" s="4">
        <v>105.45</v>
      </c>
      <c r="E10" s="4">
        <v>106.12089214161725</v>
      </c>
      <c r="F10" s="4">
        <f t="shared" si="0"/>
        <v>10000</v>
      </c>
      <c r="G10" s="4">
        <f t="shared" si="1"/>
        <v>390000</v>
      </c>
      <c r="H10">
        <v>95</v>
      </c>
      <c r="I10" s="4">
        <f t="shared" si="2"/>
        <v>10017.75</v>
      </c>
      <c r="J10" s="4">
        <f t="shared" si="3"/>
        <v>63.73475345363822</v>
      </c>
    </row>
    <row r="11" spans="1:21" x14ac:dyDescent="0.45">
      <c r="A11" s="1" t="s">
        <v>44</v>
      </c>
      <c r="B11" s="1">
        <v>1</v>
      </c>
      <c r="C11" s="1">
        <v>39</v>
      </c>
      <c r="D11" s="4">
        <v>95.75</v>
      </c>
      <c r="E11" s="4">
        <v>100.74964443357081</v>
      </c>
      <c r="F11" s="4">
        <f t="shared" si="0"/>
        <v>10000</v>
      </c>
      <c r="G11" s="4">
        <f t="shared" si="1"/>
        <v>390000</v>
      </c>
      <c r="H11">
        <v>4073</v>
      </c>
      <c r="I11" s="4">
        <f t="shared" si="2"/>
        <v>389989.75</v>
      </c>
      <c r="J11" s="4">
        <f t="shared" si="3"/>
        <v>20363.551777933899</v>
      </c>
    </row>
    <row r="12" spans="1:21" ht="14.65" thickBot="1" x14ac:dyDescent="0.5">
      <c r="B12" s="15"/>
      <c r="C12" s="15"/>
      <c r="D12" s="15"/>
      <c r="E12" s="15"/>
      <c r="F12" s="15"/>
      <c r="G12" s="15" t="s">
        <v>11</v>
      </c>
      <c r="H12" s="20">
        <v>1000000</v>
      </c>
      <c r="I12" s="20">
        <f>SUM(I2:I11)</f>
        <v>999974.05</v>
      </c>
      <c r="J12" s="20">
        <f>SUM(J2:J11)</f>
        <v>32328.350790710578</v>
      </c>
      <c r="K12" s="15"/>
    </row>
    <row r="13" spans="1:21" x14ac:dyDescent="0.45">
      <c r="B13" s="15"/>
      <c r="C13" s="11"/>
      <c r="D13" s="12"/>
      <c r="E13" s="13"/>
      <c r="F13" s="15"/>
      <c r="G13" s="15"/>
      <c r="H13" s="15"/>
      <c r="I13" s="21"/>
      <c r="J13" s="15"/>
      <c r="K13" s="15"/>
    </row>
    <row r="14" spans="1:21" x14ac:dyDescent="0.45">
      <c r="B14" s="15"/>
      <c r="C14" s="14"/>
      <c r="D14" s="15"/>
      <c r="E14" s="16"/>
      <c r="F14" s="15"/>
      <c r="G14" s="15"/>
      <c r="H14" s="15"/>
      <c r="I14" s="15"/>
      <c r="J14" s="15"/>
      <c r="K14" s="15"/>
    </row>
    <row r="15" spans="1:21" x14ac:dyDescent="0.45">
      <c r="B15" s="15"/>
      <c r="C15" s="14"/>
      <c r="D15" s="15"/>
      <c r="E15" s="16"/>
      <c r="F15" s="15"/>
      <c r="G15" s="15"/>
      <c r="H15" s="15"/>
      <c r="I15" s="15"/>
      <c r="J15" s="20"/>
      <c r="K15" s="15"/>
    </row>
    <row r="16" spans="1:21" x14ac:dyDescent="0.45">
      <c r="B16" s="15"/>
      <c r="C16" s="14"/>
      <c r="D16" s="15"/>
      <c r="E16" s="16"/>
      <c r="F16" s="15"/>
      <c r="G16" s="15"/>
      <c r="H16" s="15"/>
      <c r="I16" s="15"/>
      <c r="J16" s="20"/>
      <c r="K16" s="15"/>
      <c r="N16" t="s">
        <v>61</v>
      </c>
      <c r="O16">
        <v>76858</v>
      </c>
    </row>
    <row r="17" spans="2:18" ht="14.65" thickBot="1" x14ac:dyDescent="0.5">
      <c r="B17" s="15"/>
      <c r="C17" s="14"/>
      <c r="D17" s="15"/>
      <c r="E17" s="16"/>
      <c r="F17" s="15"/>
      <c r="G17" s="15"/>
      <c r="H17" s="15"/>
      <c r="I17" s="15"/>
      <c r="J17" s="15"/>
      <c r="K17" s="15"/>
      <c r="N17" t="s">
        <v>60</v>
      </c>
      <c r="O17">
        <v>136732.85</v>
      </c>
    </row>
    <row r="18" spans="2:18" x14ac:dyDescent="0.45">
      <c r="B18" s="15"/>
      <c r="C18" s="11"/>
      <c r="D18" s="12"/>
      <c r="E18" s="12"/>
      <c r="F18" s="12" t="s">
        <v>34</v>
      </c>
      <c r="G18" s="12" t="s">
        <v>45</v>
      </c>
      <c r="H18" s="12" t="s">
        <v>46</v>
      </c>
      <c r="I18" s="13"/>
      <c r="J18" t="s">
        <v>47</v>
      </c>
      <c r="K18" t="s">
        <v>48</v>
      </c>
      <c r="N18" t="s">
        <v>62</v>
      </c>
      <c r="O18">
        <v>215618.21</v>
      </c>
    </row>
    <row r="19" spans="2:18" x14ac:dyDescent="0.45">
      <c r="B19" s="15"/>
      <c r="C19" s="14"/>
      <c r="D19" s="15"/>
      <c r="E19" s="15"/>
      <c r="F19" s="15">
        <v>1</v>
      </c>
      <c r="G19" s="15">
        <v>51.78</v>
      </c>
      <c r="H19" s="15">
        <v>19.579999999999998</v>
      </c>
      <c r="I19" s="16"/>
      <c r="J19" t="s">
        <v>35</v>
      </c>
      <c r="K19" s="22" t="s">
        <v>49</v>
      </c>
      <c r="N19" s="4" t="s">
        <v>63</v>
      </c>
      <c r="O19">
        <v>243519.98</v>
      </c>
      <c r="Q19" s="4"/>
      <c r="R19" s="4"/>
    </row>
    <row r="20" spans="2:18" x14ac:dyDescent="0.45">
      <c r="B20" s="15"/>
      <c r="C20" s="14"/>
      <c r="D20" s="15"/>
      <c r="E20" s="15"/>
      <c r="F20" s="15">
        <v>2</v>
      </c>
      <c r="G20" s="15">
        <v>47.96</v>
      </c>
      <c r="H20" s="15">
        <v>19.82</v>
      </c>
      <c r="I20" s="16"/>
      <c r="J20" t="s">
        <v>36</v>
      </c>
      <c r="K20" s="22" t="s">
        <v>50</v>
      </c>
      <c r="N20" s="4"/>
      <c r="Q20" s="4"/>
      <c r="R20" s="4"/>
    </row>
    <row r="21" spans="2:18" x14ac:dyDescent="0.45">
      <c r="B21" s="15"/>
      <c r="C21" s="14"/>
      <c r="D21" s="15"/>
      <c r="E21" s="15"/>
      <c r="F21" s="15"/>
      <c r="G21" s="15"/>
      <c r="H21" s="15"/>
      <c r="I21" s="16"/>
      <c r="J21" t="s">
        <v>37</v>
      </c>
      <c r="K21" s="22" t="s">
        <v>51</v>
      </c>
      <c r="N21" s="4"/>
      <c r="Q21" s="4"/>
      <c r="R21" s="4"/>
    </row>
    <row r="22" spans="2:18" ht="14.65" thickBot="1" x14ac:dyDescent="0.5">
      <c r="B22" s="15"/>
      <c r="C22" s="17"/>
      <c r="D22" s="18"/>
      <c r="E22" s="18"/>
      <c r="F22" s="18"/>
      <c r="G22" s="18"/>
      <c r="H22" s="18"/>
      <c r="I22" s="19"/>
      <c r="J22" t="s">
        <v>38</v>
      </c>
      <c r="K22" s="22" t="s">
        <v>52</v>
      </c>
      <c r="N22" s="4"/>
      <c r="Q22" s="4"/>
      <c r="R22" s="4"/>
    </row>
    <row r="23" spans="2:18" x14ac:dyDescent="0.45">
      <c r="B23" s="15"/>
      <c r="C23" s="11"/>
      <c r="D23" s="12"/>
      <c r="E23" s="12"/>
      <c r="F23" s="12"/>
      <c r="G23" s="12"/>
      <c r="H23" s="13"/>
      <c r="I23" s="15"/>
      <c r="J23" t="s">
        <v>39</v>
      </c>
      <c r="K23" s="22" t="s">
        <v>53</v>
      </c>
      <c r="N23" s="4"/>
      <c r="Q23" s="4"/>
      <c r="R23" s="4"/>
    </row>
    <row r="24" spans="2:18" x14ac:dyDescent="0.45">
      <c r="B24" s="15"/>
      <c r="C24" s="14"/>
      <c r="D24" s="15"/>
      <c r="E24" s="15"/>
      <c r="F24" s="15"/>
      <c r="G24" s="15"/>
      <c r="H24" s="16"/>
      <c r="I24" s="15"/>
      <c r="J24" t="s">
        <v>40</v>
      </c>
      <c r="K24" s="22" t="s">
        <v>54</v>
      </c>
      <c r="N24" s="4"/>
      <c r="Q24" s="4"/>
      <c r="R24" s="4"/>
    </row>
    <row r="25" spans="2:18" x14ac:dyDescent="0.45">
      <c r="B25" s="15"/>
      <c r="C25" s="14"/>
      <c r="D25" s="15"/>
      <c r="E25" s="15"/>
      <c r="F25" s="15" t="s">
        <v>64</v>
      </c>
      <c r="G25" s="15"/>
      <c r="H25" s="16"/>
      <c r="I25" s="15"/>
      <c r="J25" t="s">
        <v>41</v>
      </c>
      <c r="K25" s="22" t="s">
        <v>55</v>
      </c>
      <c r="N25" s="4"/>
      <c r="Q25" s="4"/>
      <c r="R25" s="4"/>
    </row>
    <row r="26" spans="2:18" x14ac:dyDescent="0.45">
      <c r="B26" s="15"/>
      <c r="C26" s="14"/>
      <c r="D26" s="15"/>
      <c r="E26" s="15"/>
      <c r="F26" s="15"/>
      <c r="G26" s="15"/>
      <c r="H26" s="16"/>
      <c r="I26" s="15"/>
      <c r="J26" t="s">
        <v>42</v>
      </c>
      <c r="K26" s="22" t="s">
        <v>56</v>
      </c>
      <c r="N26" s="4"/>
      <c r="Q26" s="4"/>
      <c r="R26" s="4"/>
    </row>
    <row r="27" spans="2:18" x14ac:dyDescent="0.45">
      <c r="B27" s="15"/>
      <c r="C27" s="14"/>
      <c r="D27" s="15"/>
      <c r="E27" s="15"/>
      <c r="F27" s="15"/>
      <c r="G27" s="15"/>
      <c r="H27" s="16"/>
      <c r="I27" s="15"/>
      <c r="J27" t="s">
        <v>43</v>
      </c>
      <c r="K27" s="22" t="s">
        <v>57</v>
      </c>
      <c r="N27" s="4"/>
      <c r="Q27" s="4"/>
      <c r="R27" s="4"/>
    </row>
    <row r="28" spans="2:18" ht="14.65" thickBot="1" x14ac:dyDescent="0.5">
      <c r="B28" s="15"/>
      <c r="C28" s="14"/>
      <c r="D28" s="15"/>
      <c r="E28" s="15"/>
      <c r="F28" s="15"/>
      <c r="G28" s="15"/>
      <c r="H28" s="16"/>
      <c r="I28" s="15"/>
      <c r="J28" t="s">
        <v>44</v>
      </c>
      <c r="K28" s="22" t="s">
        <v>58</v>
      </c>
      <c r="N28" s="4"/>
      <c r="Q28" s="4"/>
      <c r="R28" s="4"/>
    </row>
    <row r="29" spans="2:18" x14ac:dyDescent="0.45">
      <c r="B29" s="15"/>
      <c r="C29" s="11"/>
      <c r="D29" s="12"/>
      <c r="E29" s="13"/>
      <c r="F29" s="15"/>
      <c r="G29" s="15"/>
      <c r="H29" s="15"/>
      <c r="I29" s="15"/>
      <c r="J29" s="15"/>
      <c r="K29" s="15"/>
    </row>
    <row r="30" spans="2:18" x14ac:dyDescent="0.45">
      <c r="B30" s="15"/>
      <c r="C30" s="14"/>
      <c r="D30" s="15"/>
      <c r="E30" s="16"/>
      <c r="F30" s="15"/>
      <c r="G30" s="15"/>
      <c r="H30" s="15"/>
      <c r="I30" s="15"/>
      <c r="J30" s="15"/>
      <c r="K30" s="15"/>
    </row>
    <row r="31" spans="2:18" x14ac:dyDescent="0.45">
      <c r="C31" s="5"/>
      <c r="D31" s="6"/>
      <c r="E31" s="7"/>
    </row>
    <row r="32" spans="2:18" x14ac:dyDescent="0.45">
      <c r="C32" s="5"/>
      <c r="D32" s="6"/>
      <c r="E32" s="7"/>
    </row>
    <row r="33" spans="3:5" x14ac:dyDescent="0.45">
      <c r="C33" s="5"/>
      <c r="D33" s="6"/>
      <c r="E33" s="7"/>
    </row>
    <row r="34" spans="3:5" ht="14.65" thickBot="1" x14ac:dyDescent="0.5">
      <c r="C34" s="8"/>
      <c r="D34" s="9"/>
      <c r="E34" s="10"/>
    </row>
  </sheetData>
  <mergeCells count="1">
    <mergeCell ref="L8:P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stocks">
                <anchor moveWithCells="1" sizeWithCells="1">
                  <from>
                    <xdr:col>2</xdr:col>
                    <xdr:colOff>19050</xdr:colOff>
                    <xdr:row>12</xdr:row>
                    <xdr:rowOff>19050</xdr:rowOff>
                  </from>
                  <to>
                    <xdr:col>4</xdr:col>
                    <xdr:colOff>904875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ddupdatedata">
                <anchor moveWithCells="1" sizeWithCells="1">
                  <from>
                    <xdr:col>2</xdr:col>
                    <xdr:colOff>19050</xdr:colOff>
                    <xdr:row>17</xdr:row>
                    <xdr:rowOff>19050</xdr:rowOff>
                  </from>
                  <to>
                    <xdr:col>4</xdr:col>
                    <xdr:colOff>914400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SOLVAasst2">
                <anchor moveWithCells="1" siz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5</xdr:col>
                    <xdr:colOff>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ANNMAXbystock">
                <anchor moveWithCells="1" sizeWithCells="1">
                  <from>
                    <xdr:col>2</xdr:col>
                    <xdr:colOff>19050</xdr:colOff>
                    <xdr:row>23</xdr:row>
                    <xdr:rowOff>23813</xdr:rowOff>
                  </from>
                  <to>
                    <xdr:col>4</xdr:col>
                    <xdr:colOff>0</xdr:colOff>
                    <xdr:row>27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ANNSUMbystock">
                <anchor moveWithCells="1" sizeWithCells="1">
                  <from>
                    <xdr:col>4</xdr:col>
                    <xdr:colOff>23813</xdr:colOff>
                    <xdr:row>23</xdr:row>
                    <xdr:rowOff>23813</xdr:rowOff>
                  </from>
                  <to>
                    <xdr:col>4</xdr:col>
                    <xdr:colOff>1057275</xdr:colOff>
                    <xdr:row>27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exporttoword">
                <anchor moveWithCells="1" sizeWithCells="1">
                  <from>
                    <xdr:col>5</xdr:col>
                    <xdr:colOff>619125</xdr:colOff>
                    <xdr:row>29</xdr:row>
                    <xdr:rowOff>133350</xdr:rowOff>
                  </from>
                  <to>
                    <xdr:col>7</xdr:col>
                    <xdr:colOff>623888</xdr:colOff>
                    <xdr:row>34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ADI</vt:lpstr>
      <vt:lpstr>ATVI</vt:lpstr>
      <vt:lpstr>AMZN</vt:lpstr>
      <vt:lpstr>BIDU</vt:lpstr>
      <vt:lpstr>BIIB</vt:lpstr>
      <vt:lpstr>COST</vt:lpstr>
      <vt:lpstr>MAT</vt:lpstr>
      <vt:lpstr>EBAY</vt:lpstr>
      <vt:lpstr>EXPE</vt:lpstr>
      <vt:lpstr>INTU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OBrien, Connor Evan Nagata</dc:creator>
  <cp:lastModifiedBy>Connor O'brien</cp:lastModifiedBy>
  <dcterms:created xsi:type="dcterms:W3CDTF">2016-01-25T20:54:11Z</dcterms:created>
  <dcterms:modified xsi:type="dcterms:W3CDTF">2016-02-29T23:30:33Z</dcterms:modified>
</cp:coreProperties>
</file>